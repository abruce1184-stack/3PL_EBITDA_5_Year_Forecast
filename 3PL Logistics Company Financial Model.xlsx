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ec1393e73d9c0c/FMWC 2026/Jan 2026/VIT Solution/"/>
    </mc:Choice>
  </mc:AlternateContent>
  <xr:revisionPtr revIDLastSave="0" documentId="8_{92E0E1F1-4E42-40F8-8A68-B358B231B643}" xr6:coauthVersionLast="47" xr6:coauthVersionMax="47" xr10:uidLastSave="{00000000-0000-0000-0000-000000000000}"/>
  <bookViews>
    <workbookView xWindow="-110" yWindow="-110" windowWidth="19420" windowHeight="10300" tabRatio="401" activeTab="1" xr2:uid="{00000000-000D-0000-FFFF-FFFF00000000}"/>
  </bookViews>
  <sheets>
    <sheet name="Cover" sheetId="1" r:id="rId1"/>
    <sheet name="Dashboard Summary" sheetId="7" r:id="rId2"/>
    <sheet name="Assumptions" sheetId="2" r:id="rId3"/>
    <sheet name="Financial Model" sheetId="3" state="hidden" r:id="rId4"/>
    <sheet name="Model" sheetId="4" r:id="rId5"/>
    <sheet name="Model Validation" sheetId="5" state="hidden" r:id="rId6"/>
    <sheet name="_avcts_version_hash" sheetId="6" state="hidden" r:id="rId7"/>
  </sheets>
  <definedNames>
    <definedName name="active">Assumptions!$I$25:$I$30</definedName>
    <definedName name="Ad_to_Contents">_xlfn.LAMBDA(_xlpm.ad,_xlpm.map,_xlop.OOB,_xlfn.LET(_xlpm.r,RowNum(_xlpm.ad),_xlpm.c,ColNum(_xlpm.ad),_xlpm.RC,_xlpm.r*10^6+_xlpm.c,_xlpm.rcn,ROW(_xlpm.map)*1000000+COLUMN(_xlpm.map), _xlpm.out,ISNA(_xlfn.XMATCH(_xlpm.RC,_xlfn.TOCOL(_xlpm.rcn))),_xlpm.ob,IF(_xlfn.ISOMITTED(_xlpm.OOB),"OOB",_xlpm.OOB), _xlpm.rs,IF(_xlpm.out,_xlpm.ob,INDEX(_xlpm.map,_xlpm.r-_xlfn.SINGLE(ROW(_xlpm.map))+1,_xlpm.c-_xlfn.SINGLE(COLUMN(_xlpm.map))+1) ),_xlpm.rs))</definedName>
    <definedName name="AddressOfCells">_xlfn.LAMBDA(_xlpm.Array,_xlfn.MAP(_xlpm.Array,_xlfn.LAMBDA(_xlpm.a,ADDRESS(ROW(_xlpm.a),COLUMN(_xlpm.a),4))))</definedName>
    <definedName name="Alphabet">_xlfn.LAMBDA(CHAR(_xlfn.SEQUENCE(26,,65)))</definedName>
    <definedName name="AlphaShift">_xlfn.LAMBDA(_xlpm.startcode,_xlpm.adjustment,_xlpm.startingletter,MOD(_xlpm.startcode+_xlpm.adjustment-_xlpm.startingletter,26)+_xlpm.startingletter)</definedName>
    <definedName name="ArrayShift">_xlfn.LAMBDA(_xlpm.Array,_xlop.RowShift,_xlop.ColumnShift,_xlop.Fill,_xlop.WrapAround,_xlfn.LET(_xlpm.fl,IF(_xlfn.ISOMITTED(_xlpm.Fill),"X",_xlpm.Fill),_xlpm.rs,_xlpm.RowShift,_xlpm.cs,_xlpm.ColumnShift,_xlpm.wa,_xlpm.WrapAround,_xlpm.a,_xlpm.Array,_xlpm.r,ROWS(_xlpm.a),_xlpm.c,COLUMNS(_xlpm.a),_xlpm.rf,IF(_xlpm.wa,_xlfn.TAKE(_xlpm.a,-(MOD(_xlpm.rs-1,_xlpm.r)+1)),_xlfn.EXPAND(_xlpm.fl,MIN(ABS(_xlpm.rs),_xlpm.r),_xlpm.c,_xlpm.fl)), _xlpm.ra,IF(_xlpm.rs=0,_xlpm.a,IF(_xlpm.wa,IFERROR(_xlfn.VSTACK(_xlpm.rf,_xlfn.TAKE(_xlpm.a,_xlpm.r-ROWS(_xlpm.rf))),_xlpm.rf),IF(ABS(_xlpm.rs)&gt;_xlpm.r-1,_xlpm.rf,_xlfn.VSTACK(IF(_xlpm.rs&gt;0,_xlpm.rf,_xlfn.TAKE(_xlpm.a,-_xlpm.r-_xlpm.rs)),IF(_xlpm.rs&gt;0,_xlfn.TAKE(_xlpm.a,_xlpm.r-_xlpm.rs),_xlpm.rf))))),_xlpm.cf,IF(_xlpm.wa,_xlfn.TAKE(_xlpm.ra,,-(MOD(_xlpm.cs-1,_xlpm.c)+1)),_xlfn.EXPAND(_xlpm.fl,_xlpm.r,MIN(ABS(_xlpm.cs),_xlpm.c),_xlpm.fl)), _xlpm.ca,IF(_xlpm.cs=0,_xlpm.ra,IF(_xlpm.wa,IFERROR(_xlfn.HSTACK(_xlpm.cf,_xlfn.TAKE(_xlpm.ra,,_xlpm.c-COLUMNS(_xlpm.cf))),_xlpm.cf),IF(ABS(_xlpm.cs)&gt;_xlpm.c-1,_xlpm.cf,_xlfn.HSTACK(IF(_xlpm.cs&gt;0,_xlpm.cf,_xlfn.TAKE(_xlpm.ra,,-_xlpm.c-_xlpm.cs)),IF(_xlpm.cs&gt;0,_xlfn.TAKE(_xlpm.ra,,_xlpm.c-_xlpm.cs),_xlpm.cf))))),_xlpm.ca))</definedName>
    <definedName name="Arrows">_xlfn.LAMBDA(_xlop.ShowHV,IF(_xlpm.ShowHV,{"↓",1,0;"↑",-1,0;"→",0,1;"←",0,-1;"↘",1,1;"↖",-1,-1;"↙",1,-1;"↗",-1,1},{"↓";"↑";"→";"←";"↘";"↖";"↙";"↗"}))</definedName>
    <definedName name="Biggest">_xlfn.LAMBDA(_xlpm.Range,_xlpm.Return,_xlop.Smallest,_xlop.N,_xlfn.LET(_xlpm.nu,IF(_xlfn.ISOMITTED(_xlpm.N),1,_xlpm.N),_xlpm.s,_xlfn.SORTBY(_xlpm.Return,_xlpm.Range,IF(_xlpm.Smallest,1,-1)),IF(COLUMNS(_xlpm.Return)=1,_xlfn.CHOOSEROWS(_xlpm.s,_xlpm.nu),_xlfn.CHOOSECOLS(_xlpm.s,_xlpm.nu))))</definedName>
    <definedName name="BlockOutMap">_xlfn.LAMBDA(_xlpm.mp,_xlpm.blockers,_xlop.Fill,_xlop.No_Diag,_xlop.Cus_Dir,_xlfn.LET(_xlpm.rn,ROW(_xlpm.mp),_xlpm.cn,COLUMN(_xlpm.mp),_xlpm.m,10^6,_xlpm.rcn,_xlpm.rn*_xlpm.m+_xlpm.cn,_xlpm.dir,{-1000000,-1,1,1000000,-1000001,-999999,999999,1000001}, _xlpm.xRC,IF(_xlfn.ISOMITTED(_xlpm.Cus_Dir),_xlfn.TAKE(_xlpm.dir,,8-4*_xlpm.No_Diag),_xlfn.TOROW(_xlpm.Cus_Dir,3)), _xlpm.blc,_xlfn.TOCOL(IF(_xlfn.XMATCH(_xlpm.mp,_xlfn.TAKE(_xlpm.blockers,,1)),_xlpm.rcn,""),3),_xlpm.rblc,VLOOKUP(INDEX(_xlpm.mp,INT(_xlpm.blc/_xlpm.m)-_xlfn.SINGLE(ROW(_xlpm.mp))+1,MOD(_xlpm.blc,_xlpm.m)-_xlfn.SINGLE(COLUMN(_xlpm.mp))+1),_xlpm.blockers,2,)-1,_xlpm.blitm,_xlfn.TOCOL(IF(_xlfn.XMATCH(_xlpm.rcn,_xlpm.blc),_xlpm.mp),3), _xlpm.tab,_xlfn.HSTACK(_xlpm.blc,_xlpm.rblc,_xlpm.blitm),_xlpm.cot,_xlfn._xlws.FILTER(_xlpm.tab,_xlpm.rblc&gt;0),  _xlpm.rs,_xlfn.REDUCE(1,_xlfn.SEQUENCE(ROWS(_xlpm.cot)),_xlfn.LAMBDA(_xlpm.t,_xlpm.y,_xlfn.LET( _xlpm.co,_xlfn.CHOOSEROWS(_xlpm.cot,_xlpm.y),_xlfn.VSTACK(_xlpm.t, _xlfn.IFNA(_xlfn.HSTACK(_xlfn.REDUCE(_xlfn.CONCAT(_xlfn.TAKE(_xlpm.co,,1))*1,_xlfn.SEQUENCE(_xlfn.CONCAT(_xlfn.CHOOSECOLS(_xlpm.co,2)))*1,_xlfn.LAMBDA(_xlpm.a,_xlpm.v,_xlfn.LET( _xlpm.b,_xlfn.TOCOL(_xlpm.a+_xlpm.xRC),_xlpm.c,_xlfn._xlws.FILTER(_xlpm.b,ISNA(_xlfn.XMATCH(_xlpm.b,_xlpm.a))), _xlfn.UNIQUE(_xlfn.VSTACK(_xlpm.a,_xlpm.c))))),_xlfn.TAKE(_xlpm.co,,-1)),_xlfn.TAKE(_xlpm.co,,-1)))))),  _xlpm.lut,_xlfn.VSTACK(_xlfn.CHOOSECOLS(_xlfn._xlws.FILTER(_xlpm.tab,_xlfn.CHOOSECOLS(_xlpm.tab,2)&gt;=0),1,3),IFERROR(_xlpm.rs,"")),_xlpm.final,IF(_xlfn.ISOMITTED(_xlpm.Fill),_xlfn.IFNA(VLOOKUP(_xlpm.rcn,_xlpm.lut,2,),""),IF(ISNUMBER(_xlfn.XMATCH(_xlpm.rcn,_xlfn.TAKE(_xlpm.lut,,1))),_xlpm.Fill,"")),_xlpm.final))</definedName>
    <definedName name="BoardGameMove">_xlfn.LAMBDA(_xlpm.MoveValue,_xlpm.EndSpace,MOD(_xlpm.MoveValue-1,_xlpm.EndSpace)+1)</definedName>
    <definedName name="Carddetails">_xlfn.LAMBDA({"Card","Colour","Suit","Num","Suit Symbol","Value";"A♠","Black","Spades","A","♠",1;"2♠","Black","Spades","2","♠",2;"3♠","Black","Spades","3","♠",3;"4♠","Black","Spades","4","♠",4;"5♠","Black","Spades","5","♠",5;"6♠","Black","Spades","6","♠",6;"7♠","Black","Spades","7","♠",7;"8♠","Black","Spades","8","♠",8;"9♠","Black","Spades","9","♠",9;"10♠","Black","Spades","10","♠",10;"J♠","Black","Spades","J","♠",11;"Q♠","Black","Spades","Q","♠",12;"K♠","Black","Spades","K","♠",13;"A♣","Black","Clubs","A","♣",1;"2♣","Black","Clubs","2","♣",2;"3♣","Black","Clubs","3","♣",3;"4♣","Black","Clubs","4","♣",4;"5♣","Black","Clubs","5","♣",5;"6♣","Black","Clubs","6","♣",6;"7♣","Black","Clubs","7","♣",7;"8♣","Black","Clubs","8","♣",8;"9♣","Black","Clubs","9","♣",9;"10♣","Black","Clubs","10","♣",10;"J♣","Black","Clubs","J","♣",11;"Q♣","Black","Clubs","Q","♣",12;"K♣","Black","Clubs","K","♣",13;"A♥","Red","Hearts","A","♥",1;"2♥","Red","Hearts","2","♥",2;"3♥","Red","Hearts","3","♥",3;"4♥","Red","Hearts","4","♥",4;"5♥","Red","Hearts","5","♥",5;"6♥","Red","Hearts","6","♥",6;"7♥","Red","Hearts","7","♥",7;"8♥","Red","Hearts","8","♥",8;"9♥","Red","Hearts","9","♥",9;"10♥","Red","Hearts","10","♥",10;"J♥","Red","Hearts","J","♥",11;"Q♥","Red","Hearts","Q","♥",12;"K♥","Red","Hearts","K","♥",13;"A♦","Red","Diamonds","A","♦",1;"2♦","Red","Diamonds","2","♦",2;"3♦","Red","Diamonds","3","♦",3;"4♦","Red","Diamonds","4","♦",4;"5♦","Red","Diamonds","5","♦",5;"6♦","Red","Diamonds","6","♦",6;"7♦","Red","Diamonds","7","♦",7;"8♦","Red","Diamonds","8","♦",8;"9♦","Red","Diamonds","9","♦",9;"10♦","Red","Diamonds","10","♦",10;"J♦","Red","Diamonds","J","♦",11;"Q♦","Red","Diamonds","Q","♦",12;"K♦","Red","Diamonds","K","♦",13})</definedName>
    <definedName name="CaseQuestions">_xlfn.LAMBDA(_xlop.StartQ,_xlop.EndQ,_xlfn.LET(_xlpm.questions,_xlfn.TRIMRANGE(_xlfn._xlws.FILTER(INDIRECT("Case!$B:$EE"),ISNUMBER(INDIRECT("Case!$B:$B")))),_xlpm.rs,IF(_xlpm.questions=0,NA(),_xlpm.questions), _xlpm.QNumbersOnly,IF(_xlfn.ISOMITTED(_xlpm.StartQ),_xlpm.rs,_xlfn._xlws.FILTER(_xlpm.questions,(_xlfn.CHOOSECOLS(_xlpm.rs,2)&gt;=_xlpm.StartQ)*(_xlfn.CHOOSECOLS(_xlpm.rs,2)&lt;=IF(_xlfn.ISOMITTED(_xlpm.EndQ),20,_xlpm.EndQ)))), _xlfn.DROP(_xlpm.QNumbersOnly,,5)))</definedName>
    <definedName name="ClosestonMap">_xlfn.LAMBDA(_xlpm.mp,_xlpm.St,_xlpm.Steps,_xlop.No_Diag,_xlop.Items,_xlop.RCaa_CRaa_RCad_CRad_RCda_CRda_RCdd_CRdd,_xlfn.LET(_xlpm.o,_xlpm.RCaa_CRaa_RCad_CRad_RCda_CRda_RCdd_CRdd,_xlpm.mr,ROWS(_xlpm.mp),_xlpm.mc,COLUMNS(_xlpm.mp),   _xlpm.vs,INDEX(_xlpm.mp,MAX(RowNum(_xlpm.St)-MIN(ROW(_xlpm.mp))+1-_xlpm.Steps,1),MAX(ColNum(_xlpm.St)-MIN(COLUMN(_xlpm.mp))+1-_xlpm.Steps,1)):INDEX(_xlpm.mp,MIN(RowNum(_xlpm.St)-MIN(ROW(_xlpm.mp))+1+_xlpm.Steps,_xlpm.mr),MIN(ColNum(_xlpm.St)-MIN(COLUMN(_xlpm.mp))+1+_xlpm.Steps,_xlpm.mc)),   _xlpm.ad,_xlfn.TOCOL(AddressOfCells(_xlpm.vs)), _xlpm.rd,RowNum(_xlpm.ad)-RowNum(_xlpm.St),_xlpm.cd,ColNum(_xlpm.ad)-ColNum(_xlpm.St), _xlpm.td,Distance(_xlpm.St,_xlpm.ad,_xlpm.No_Diag,_xlpm.No_Diag),   _xlpm.Table,_xlfn.HSTACK(_xlfn.TOCOL(_xlpm.vs),_xlpm.ad,_xlpm.td), _xlpm.cleantable,_xlfn.SORTBY(_xlpm.Table,_xlpm.td,1),   _xlpm.ordered,IF(_xlfn.ISOMITTED(_xlpm.o),"",_xlfn.SORTBY(_xlpm.Table,_xlpm.td,1,IF(ISODD(_xlpm.o),_xlpm.rd,_xlpm.cd),IF(_xlpm.o&lt;=4,1,-1),IF(ISODD(_xlpm.o),_xlpm.cd,_xlpm.rd),IF(MOD(_xlpm.o-1,4)&lt;2,1,-1))),   _xlpm.omitblanks,_xlfn._xlws.FILTER(IF(_xlfn.ISOMITTED(_xlpm.o),_xlpm.cleantable,_xlpm.ordered),IFERROR(_xlfn.TAKE(IF(_xlfn.ISOMITTED(_xlpm.o),_xlpm.cleantable,_xlpm.ordered),,1)&lt;&gt;"",FALSE)),_xlpm.end,IF(_xlfn.ISOMITTED(_xlpm.Items),_xlpm.omitblanks,_xlfn._xlws.FILTER(_xlpm.omitblanks,ISNUMBER(_xlfn.XMATCH(_xlfn.TAKE(_xlpm.omitblanks,,1),_xlpm.Items)))), _xlfn._xlws.FILTER(_xlpm.end,_xlfn.DROP(_xlpm.end,,2)&lt;=_xlpm.Steps)))</definedName>
    <definedName name="ColNum">_xlfn.LAMBDA(_xlpm.address,IF(ISNUMBER(_xlpm.address),MOD(_xlpm.address,10^6),_xlfn.LET(_xlpm.result,_xlfn.MAP(_xlfn.TEXTBEFORE(_xlpm.address,_xlfn.SEQUENCE(9)), _xlfn.LAMBDA(_xlpm.ca,_xlfn.LET(_xlpm.s,_xlfn.SEQUENCE(LEN(_xlpm.ca)),SUM((CODE(MID(UPPER(_xlpm.ca),_xlpm.s,1))-64)*26^-_xlfn._xlws.SORT(1-_xlpm.s))))),IF(COUNTA(_xlpm.address)=1,_xlfn.CONCAT(_xlpm.result)*1,_xlpm.result))))</definedName>
    <definedName name="Combinations">_xlfn.LAMBDA(_xlpm.Array,_xlpm.c,_xlop.RemoveOrder,_xlop.AllowRepeatItems,_xlfn.XLOOKUP(PerCom(COUNTA(_xlpm.Array),_xlpm.c,IF(_xlpm.RemoveOrder=1,1),IF(_xlpm.AllowRepeatItems=1,1)),_xlfn.TAKE(_xlfn.HSTACK(_xlfn.SEQUENCE(COUNTA(_xlpm.Array)),_xlfn.TOCOL(_xlpm.Array)),,1),_xlfn.TAKE(_xlfn.HSTACK(_xlfn.SEQUENCE(COUNTA(_xlpm.Array)),_xlfn.TOCOL(_xlpm.Array)),,-1)))</definedName>
    <definedName name="Consecutives">_xlfn.LAMBDA(_xlpm.Array,_xlfn.SCAN(1,IF(COUNTA(_xlpm.Array)&gt;1,--(ArrayShift(_xlpm.Array,1)=_xlpm.Array),--(ArrayShift(SplitText(_xlpm.Array),1)=SplitText(_xlpm.Array))),_xlfn.LAMBDA(_xlpm.a,_xlpm.v,_xlpm.a*_xlpm.v+1)))</definedName>
    <definedName name="CountOcc">_xlfn.LAMBDA(_xlpm.OccOf,_xlpm.Text,_xlop.Case,IF(_xlfn.ISOMITTED(_xlpm.Case),(LEN(_xlpm.Text)-LEN(SUBSTITUTE(LOWER(_xlpm.Text),LOWER(_xlpm.OccOf),"")))/LEN(_xlpm.OccOf),(LEN(_xlpm.Text)-LEN(SUBSTITUTE(_xlpm.Text,_xlpm.OccOf,"")))/LEN(_xlpm.OccOf)))</definedName>
    <definedName name="cust">Assumptions!$B$25:$B$30</definedName>
    <definedName name="Dice">_xlfn.LAMBDA(_xlpm.Dice,_xlop.add,_xlop.join,_xlfn.LET(_xlpm.end,_xlfn.MAP(_xlpm.Dice,_xlfn.LAMBDA(_xlpm.a,_xlfn.LET(_xlpm.l,IFERROR(SplitText(_xlpm.a),""),_xlpm.m,IF(_xlpm.add,0,IF(_xlpm.join,"",_xlpm.l)),_xlpm.rs,IFERROR(_xlfn.XLOOKUP(_xlpm.l,{"⚀";"⚁";"⚂";"⚃";"⚄";"⚅"},{1;2;3;4;5;6}),_xlpm.m),_xlpm.end,IF(_xlpm.add,_xleta.SUM,_xleta.CONCAT)(_xlpm.rs),IF(COUNTA(_xlpm.end)=1,_xlfn.CONCAT(_xlpm.end),_xlpm.end)))),IF(COUNTA(_xlpm.end)=1,_xlfn.CONCAT(_xlpm.end),_xlpm.end)))</definedName>
    <definedName name="DiceNumExtract">_xlfn.LAMBDA(_xlpm.Dice,_xlfn.UNICODE(_xlpm.Dice)-9855)</definedName>
    <definedName name="Distance">_xlfn.LAMBDA(_xlpm.start,_xlpm.end,_xlop.h,_xlop.v,_xlop.d,_xlop.pythag,_xlop.knight,  _xlfn.LET(_xlpm.rd,ABS(RowNum(_xlpm.start)-RowNum(_xlpm.end)),_xlpm.cd,ABS(ColNum(_xlpm.start)-ColNum(_xlpm.end)),_xlpm.dd,_xlfn.MAP(_xlfn.HSTACK(_xlpm.rd),_xlfn.HSTACK(_xlpm.cd),_xleta.MAX),_xlpm.md,_xlfn.MAP(_xlfn.HSTACK(_xlpm.rd),_xlfn.HSTACK(_xlpm.cd),_xleta.MIN),  _xlpm.hvd,IF(_xlfn.ISOMITTED(_xlpm.h),0,IF(_xlfn.ISOMITTED(_xlpm.d),_xlpm.rd*_xlpm.v+_xlpm.cd*_xlpm.h,_xlpm.md*_xlpm.d+(_xlpm.rd-_xlpm.md)*_xlpm.v+(_xlpm.cd-_xlpm.md)*_xlpm.h)),  _xlpm.py,IF(_xlfn.ISOMITTED(_xlpm.pythag),0,SQRT(_xlpm.rd^2+_xlpm.cd^2)),  _xlpm.kn,IF(_xlfn.ISOMITTED(_xlpm.knight),0,_xlfn.LET(_xlpm.km,ROUNDUP(_xlfn.MAP(_xlpm.dd/2,(_xlpm.dd+_xlpm.md)/3,_xleta.MAX),0),_xlpm.parity,IF(ISODD(_xlpm.km)=ISODD(_xlpm.dd+_xlpm.md),0,1),IF(_xlpm.dd+_xlpm.md=1,3,IF(AND(_xlpm.dd=2,_xlpm.md=2),4,_xlpm.km+_xlpm.parity)))),_xlpm.dist,IF(SUM(_xlpm.h,_xlpm.v,_xlpm.d,_xlpm.pythag,_xlpm.knight)=0,_xlpm.dd,_xlpm.hvd+_xlpm.py+_xlpm.kn),_xlpm.dist))</definedName>
    <definedName name="Exists">_xlfn.LAMBDA(_xlpm.Item,_xlpm.List,_xlop.SearchMode,ISNUMBER(IF(_xlpm.SearchMode,_xleta.SEARCH,_xleta.XMATCH)(_xlpm.Item,_xlpm.List)))</definedName>
    <definedName name="ExtractNumbers">_xlfn.LAMBDA(_xlpm.Text,_xlop.With_Decimals,_xlfn.LET(_xlpm.rs,_xlfn.REGEXEXTRACT(_xlpm.Text,IF(_xlfn.ISOMITTED(_xlpm.With_Decimals),"[-+]?\d+","[-+]?\d*\.\d+|[-+]?\d+"),1)*1,IF(COUNTA(_xlpm.rs)=1,_xlfn.CONCAT(_xlpm.rs)*1,_xlpm.rs)))</definedName>
    <definedName name="Find_In_Map">_xlfn.LAMBDA(_xlpm.mp,_xlpm.items,_xlfn.LET(_xlpm.a,Flatten(_xlpm.mp),_xlpm.incells,_xlfn.TAKE(_xlpm.a,,1),_xlpm.addresses,_xlfn.TAKE(_xlpm.a,,-1),_xlfn._xlws.FILTER(_xlpm.addresses,ISNUMBER(_xlfn.XMATCH(_xlpm.incells,_xlpm.items)),"Not Found")))</definedName>
    <definedName name="Flatten">_xlfn.LAMBDA(_xlpm.Array,_xlop.scan_by_column,_xlop.include_blanks,_xlfn.LET(_xlpm.celladdresses,AddressOfCells(_xlpm.Array),_xlpm.incells,_xlfn.TOCOL(_xlpm.Array,,IF(_xlpm.scan_by_column,1,0)),_xlpm.flatten,_xlfn.HSTACK(_xlpm.incells,_xlfn.TOCOL(_xlpm.celladdresses,,IF(_xlpm.scan_by_column=1,1,0))),_xlpm.output,IF(_xlpm.include_blanks,_xlpm.flatten,_xlfn._xlws.FILTER(_xlpm.flatten,IFERROR(_xlfn.TAKE(_xlpm.flatten,,1)&lt;&gt;"",FALSE))),_xlpm.output))</definedName>
    <definedName name="ib_rate">Assumptions!$H$25:$H$30</definedName>
    <definedName name="inpal">Assumptions!$G$25:$G$30</definedName>
    <definedName name="Longaddition">_xlfn.LAMBDA(_xlpm.nums1,_xlpm.nums2,_xlop.multiply,_xlop.subtract,IF(_xlpm.multiply,_xlfn.LET(_xlpm.diagonals,_xlfn.SEQUENCE(LEN(_xlpm.nums1))+_xlfn.SEQUENCE(,LEN(_xlpm.nums2)), _xlpm.multiarray,MID(_xlpm.nums1,_xlfn.SEQUENCE(LEN(_xlpm.nums1),,LEN(_xlpm.nums1),-1),1)*_xlfn.TOROW(MID(_xlpm.nums2,_xlfn.SEQUENCE(LEN(_xlpm.nums2),,LEN(_xlpm.nums2),-1),1)), _xlpm.addednums,_xlfn.DROP(_xlfn.GROUPBY(_xlfn.TOCOL(_xlpm.diagonals),_xlfn.TOCOL(_xlpm.multiarray),_xleta.SUM,0,0),,1),_xlfn.CONCAT(_xlfn.REDUCE(_xlfn.HSTACK(0,""),_xlpm.addednums,_xlfn.LAMBDA(_xlpm.a,_xlpm.v,_xlfn.LET(_xlpm.nextpluscarry,INDEX(_xlpm.a,1,1)+_xlpm.v, _xlpm.nextdigit,MOD(_xlpm.nextpluscarry,10), _xlpm.carryfwd,(_xlpm.nextpluscarry-_xlpm.nextdigit)/10, _xlfn.HSTACK(_xlpm.carryfwd,_xlpm.nextdigit&amp;INDEX(_xlpm.a,1,2))))))),_xlfn.LET(_xlpm.nums1split,MID(_xlpm.nums1,_xlfn.SEQUENCE(LEN(_xlpm.nums1),,LEN(_xlpm.nums1),-1),1), _xlpm.nums2split,MID(_xlpm.nums2,_xlfn.SEQUENCE(LEN(_xlpm.nums2),,LEN(_xlpm.nums2),-1),1), _xlpm.subtraction,IF(_xlfn.ISOMITTED(_xlpm.subtract),1,-1), _xlpm.addednums,IFERROR(_xlpm.nums1split+_xlpm.subtraction*_xlpm.nums2split,IF(LEN(_xlpm.nums1)&gt;LEN(_xlpm.nums2),_xlpm.nums1split,_xlpm.subtraction*_xlpm.nums2split)),_xlfn.CONCAT(_xlfn.REDUCE(_xlfn.HSTACK(0,""),_xlpm.addednums,_xlfn.LAMBDA(_xlpm.a,_xlpm.v,_xlfn.LET( _xlpm.nextpluscarry,INDEX(_xlpm.a,1,1)+_xlpm.v, _xlpm.nextdigit,MOD(_xlpm.nextpluscarry,10), _xlpm.carryfwd,(_xlpm.nextpluscarry-_xlpm.nextdigit)/10, _xlfn.HSTACK(_xlpm.carryfwd,_xlpm.nextdigit&amp;INDEX(_xlpm.a,1,2)))))))))</definedName>
    <definedName name="Maze">_xlfn.LAMBDA(_xlpm.mp,_xlpm.St,_xlop.targets,_xlop.No_Diag,_xlop.AllowMp,_xlop.Custom_Directions,_xlfn.LET(_xlpm.directions,{-1000000,-1,1,1000000,-1000001,-999999,999999,1000001},_xlpm.xRC,IF(_xlfn.ISOMITTED(_xlpm.Custom_Directions),_xlfn.TAKE(_xlpm.directions,,8-4*_xlpm.No_Diag),_xlfn.TOROW(_xlpm.Custom_Directions,3)),_xlpm.nv,IF(ISERR(_xlfn.SINGLE(_xlfn.LET(_xlpm.rng,_xlpm.mp,ROW(_xlpm.rng)))),1,0),_xlpm.rn,IF(_xlpm.nv,_xlfn.SEQUENCE(ROWS(_xlpm.mp)),ROW(_xlpm.mp)),_xlpm.cn,IF(_xlpm.nv,_xlfn.SEQUENCE(,COLUMNS(_xlpm.mp)),COLUMN(_xlpm.mp)),_xlpm.m,1000000,_xlpm.rcn,_xlpm.rn*_xlpm.m+_xlpm.cn,_xlpm.mpA,IF(_xlfn.ISOMITTED(_xlpm.AllowMp),_xlpm.mp,_xlpm.AllowMp),_xlpm.al,IF(Exists("",_xlfn.TOCOL(_xlpm.mp)),"",0),  _xlpm.Rec,_xlfn.LAMBDA(_xlpm.f,_xlpm.a,_xlfn.LET(_xlpm.j,_xlfn.DROP(_xlpm.a,,1),_xlpm.i,MAX(_xlpm.j)+1,_xlpm.p,_xlfn._xlws.FILTER(_xlpm.a,_xlpm.j=_xlpm.i-1),    _xlpm.b,_xlfn.TAKE(_xlpm.p,,1)+_xlpm.xRC,_xlpm.br,INT(_xlpm.b/_xlpm.m),_xlpm.bc,MOD(_xlpm.b,_xlpm.m),_xlpm.c,_xlfn.IFS(_xlpm.br*_xlpm.bc*ISNA(_xlfn.XMATCH(_xlpm.b,_xlfn.TAKE(_xlpm.a,,1))),INDEX(_xlpm.mpA,_xlpm.br-_xlfn.SINGLE(_xlpm.rn)+1,_xlpm.bc-_xlfn.SINGLE(_xlpm.cn)+1)),    _xlpm.h,_xlfn.IFNA(_xlfn.HSTACK(_xlfn.UNIQUE(_xlfn.TOCOL(_xlfn.IFS(IF(_xlfn.ISOMITTED(_xlpm.AllowMp),_xlpm.c=_xlpm.al,_xlpm.c),_xlpm.b),3)),_xlpm.i),_xlpm.i),    IF(ISERR(_xlfn.SINGLE(_xlpm.h)),_xlpm.a,_xlpm.f(_xlpm.f,_xlfn.VSTACK(_xlpm.a,_xlpm.h))))),_xlpm.rs,_xlpm.Rec(_xlpm.Rec,_xlfn.IFNA(_xlfn.HSTACK(_xlfn.TOCOL(RowNum(_xlpm.St)*10^6+ColNum(_xlpm.St)),0),0)),_xlpm.final,IF(_xlfn.ISOMITTED(_xlpm.targets),_xlfn.IFNA(VLOOKUP(_xlpm.rcn,_xlpm.rs,2,0),""),_xlfn.IFNA(VLOOKUP(RowNum(_xlpm.targets)*1000000+ColNum(_xlpm.targets),_xlpm.rs,2,0),"OOB")),_xlpm.final))</definedName>
    <definedName name="MazeDistance">_xlfn.LAMBDA(_xlpm.mp,_xlpm.St,_xlop.targets,_xlop.No_Diag,_xlop.Show_Steps,_xlop.Cus_Dir,_xlop.Mazelam,_xlfn.LET(_xlpm.dir,{1000000,-1000000,1,-1,1000001,-1000001,999999,-999999},_xlpm.xRC,IF(_xlfn.ISOMITTED(_xlpm.Cus_Dir),_xlfn.TAKE(_xlpm.dir,,8-4*_xlpm.No_Diag),_xlfn.TOROW(_xlpm.Cus_Dir,3)),_xlpm.nv,IF(ISERR(_xlfn.SINGLE(_xlfn.LET(_xlpm.rng,_xlpm.mp,ROW(_xlpm.rng)))),1,0),_xlpm.cn,IF(_xlpm.nv,_xlfn.SEQUENCE(,COLUMNS(_xlpm.mp)),COLUMN(_xlpm.mp)),_xlpm.rn,IF(_xlpm.nv,_xlfn.SEQUENCE(ROWS(_xlpm.mp)),ROW(_xlpm.mp)),_xlpm.m,1000000,_xlpm.rcn,_xlpm.rn*_xlpm.m+_xlpm.cn,_xlpm.ir,_xlfn.SINGLE(_xlpm.rn)-1,_xlpm.ic,_xlfn.SINGLE(_xlpm.cn)-1,_xlpm.na,_xlfn.HSTACK(0,0,0),_xlpm.rcst,RowNum(_xlpm.St)*_xlpm.m+ColNum(_xlpm.St),   _xlpm.fx, _xlfn.LAMBDA(_xlpm.lfx,_xlpm.pool,_xlpm.ft,_xlpm.N,     _xlfn.LET(_xlpm.cf,_xlfn.TAKE(_xlpm.ft,,1)+_xlfn.SEQUENCE(,COUNTA(_xlpm.xRC),0,0),_xlpm.ct,_xlfn.TAKE(_xlpm.ft,,1)+_xlpm.xRC,_xlpm.St,_xlfn.SEQUENCE(ROWS(_xlpm.ft),,0,0)+_xlfn.SEQUENCE(,COUNTA(_xlpm.xRC),_xlpm.N+1,0),_xlpm.df,_xlfn.CHOOSECOLS(_xlpm.ft,2)+_xlfn.SEQUENCE(,COUNTA(_xlpm.xRC),0,0),_xlpm.con,INDEX(_xlpm.mp,INT(_xlpm.ct/_xlpm.m)-_xlpm.ir,MOD(_xlpm.ct,_xlpm.m)-_xlpm.ic),     _xlpm.expl,_xlfn.TOCOL(_xlpm.ct),_xlpm.er,INT(_xlpm.expl/_xlpm.m)-_xlpm.ir,_xlpm.ec,MOD(_xlpm.expl,_xlpm.m)-_xlpm.ic,_xlpm.fd,_xlfn.TOCOL(_xlpm.df),_xlpm.pd,_xlfn.IFNA(_xlfn.XLOOKUP(_xlpm.expl,_xlfn.TAKE(_xlpm.pool,,1),_xlfn.CHOOSECOLS(_xlpm.pool,2),,,2),""),_xlpm.s,_xlfn.TOCOL(_xlpm.St),     _xlpm.ift,_xlfn._xlws.SORT(IF(_xlpm.er*_xlpm.ec,_xlfn.LET(_xlpm.im,INDEX(_xlpm.mp,_xlpm.er,_xlpm.ec),_xlpm.nd,IF(_xlfn.ISOMITTED(_xlpm.Mazelam),_xlpm.im,_xlfn.TOCOL(_xlpm.Mazelam(_xlpm.cf,_xlpm.ct,_xlpm.df,_xlpm.St,_xlpm.con))),IF(NOT(ISNUMBER(_xlpm.im)),_xlpm.na,IFERROR(IF(_xlpm.nd+_xlpm.fd&lt;_xlpm.pd,_xlfn.HSTACK(_xlpm.expl,_xlpm.fd+_xlpm.nd,_xlpm.s),_xlpm.na),_xlpm.na))),_xlpm.na),{1,2},{1,-1}),     _xlpm.nft,_xlfn.LET(_xlpm.au,_xlfn.UNIQUE(_xlfn.TAKE(_xlpm.ift,,1)),_xlpm.a,_xlfn.HSTACK(_xlpm.au,VLOOKUP(_xlpm.au,_xlpm.ift,2),VLOOKUP(_xlpm.au,_xlpm.ift,3)),_xlfn._xlws.FILTER(_xlpm.a,_xlfn.TAKE(_xlpm.a,,1)&gt;0,_xlfn.HSTACK(0,0,0))),     _xlpm.npool,_xlfn.LET(_xlpm.b,_xlfn._xlws.SORT(_xlfn.VSTACK(_xlpm.pool,_xlpm.nft),{1,2},{1,-1}),_xlpm.bu,_xlfn.UNIQUE(_xlfn.TAKE(_xlpm.b,,1)),_xlfn.HSTACK(_xlpm.bu,VLOOKUP(_xlpm.bu,_xlpm.b,2),VLOOKUP(_xlpm.bu,_xlpm.b,3))),   IF(SUM(_xlpm.nft)=0,_xlpm.pool,_xlpm.lfx(_xlpm.lfx,_xlpm.npool,_xlpm.nft,_xlpm.N+1)))), _xlpm.rs,_xlpm.fx(_xlpm.fx,_xlfn.IFNA(_xlfn.HSTACK(_xlpm.rcst,0,0),0),_xlfn.IFNA(_xlfn.HSTACK(_xlpm.rcst,0,0),0),0),_xlpm.end,_xlfn.LET(_xlpm.z,IF(_xlfn.ISOMITTED(_xlpm.Show_Steps),2,3),IF(_xlfn.ISOMITTED(_xlpm.targets),_xlfn.IFNA(VLOOKUP(_xlpm.rcn,_xlpm.rs,_xlpm.z,),""),VLOOKUP(RowNum(_xlpm.targets)*_xlpm.m+ColNum(_xlpm.targets),_xlpm.rs,_xlpm.z,))),_xlpm.end))</definedName>
    <definedName name="month">Assumptions!$D$25:$D$30</definedName>
    <definedName name="MostOf">_xlfn.LAMBDA(_xlpm.Array,_xlfn.GROUPBY(_xlfn.TOCOL(IF(COUNTA(_xlpm.Array)=1,SplitText(_xlpm.Array),_xlpm.Array),3),_xlfn.TOCOL(IF(COUNTA(_xlpm.Array)=1,SplitText(_xlpm.Array),_xlpm.Array),3),_xleta.ROWS,0,0,-2))</definedName>
    <definedName name="MoveOnMap">_xlfn.LAMBDA(_xlpm.St,_xlpm.Arrow,_xlop.Multiple,_xlop.mp,_xlop.Stop,_xlop.Glide,_xlop.Bounce,_xlop.WrapAround,_xlop.AllowMp,_xlop.ShowPath,_xlfn.LET(_xlpm.ar,_xlpm.Arrow,_xlpm.m,10^6,_xlpm.r,RowNum(_xlpm.St),_xlpm.c,ColNum(_xlpm.St),_xlpm.rcs,_xlpm.r*_xlpm.m+_xlpm.c,_xlpm.rmp,ROW(_xlpm.mp),_xlpm.cmp,COLUMN(_xlpm.mp),_xlpm.rcn,_xlpm.rmp*_xlpm.m+_xlpm.cmp,_xlpm.mir,MIN(_xlpm.rmp),_xlpm.mic,MIN(_xlpm.cmp),_xlpm.mar,MAX(_xlpm.rmp),_xlpm.mac,MAX(_xlpm.cmp),_xlpm.mlt,IF(_xlfn.ISOMITTED(_xlpm.Multiple),1,_xlpm.Multiple),_xlpm.ib,_xlfn.TOCOL(IF(_xlfn.ISOMITTED(_xlpm.AllowMp),_xlpm.rcn,_xlfn.IFS(_xlpm.AllowMp,_xlpm.rcn)),3),_xlpm.rm,_xlfn.XLOOKUP(_xlpm.ar,{"↗";"↖";"↙";"↓";"↘";"→";"↑";"←"},{-1;-1;1;1;1;0;-1;0}),_xlpm.cm,_xlfn.XLOOKUP(_xlpm.ar,{"↗";"↖";"↙";"↓";"↘";"→";"↑";"←"},{1;-1;-1;0;1;1;0;-1}),_xlpm.sp,_xlpm.ShowPath,_xlpm.b,_xlpm.Bounce,_xlpm.g,_xlpm.Glide,IF(_xlpm.mlt=0,_xlpm.St,IF(_xlpm.b+_xlpm.g&gt;0,_xlfn.LET(_xlpm.pth,_xlfn.REDUCE(_xlfn.HSTACK(_xlpm.rcs,_xlpm.ar),_xlfn.SEQUENCE(_xlpm.mlt),_xlfn.LAMBDA(_xlpm.a,_xlpm.v,_xlfn.LET(_xlpm.sc,_xlfn.CONCAT(_xlfn.TAKE(_xlpm.a,-1,1))*1,_xlpm.sa,_xlfn.CONCAT(_xlfn.TAKE(_xlpm.a,-1,-1)),_xlpm.gc,RC_Ref_Convert(_xlpm.sa)+_xlpm.sc,_xlpm.rs,IF(ISNUMBER(_xlfn.XMATCH(_xlpm.gc,_xlpm.ib)),_xlfn.HSTACK(_xlpm.gc,IF(_xlpm.b,_xlpm.sa,_xlpm.ar)),_xlfn.LET(_xlpm.ck,_xlfn.XLOOKUP(_xlpm.sa,{"↘";"↖";"↙";"↗"},{1000000,1,"↗","↙","→","↓";-1000000,-1,"↙","↗","←","↑";1000000,-1,"↖","↘","←","↓";-1000000,1,"↘","↖","→","↑"}),_xlpm.cb,--ISNUMBER(_xlfn.XMATCH(_xlfn.TAKE(_xlpm.ck,,2)+_xlpm.sc,_xlpm.ib)),_xlpm.eao,IF(SUM(_xlpm.cb)&lt;&gt;1,IF(_xlpm.g,0,_xlfn.XLOOKUP(_xlpm.sa,{"↘";"↖";"↙";"↗"},{"↖";"↘";"↗";"↙"})),_xlfn.CONCAT(_xlfn.XLOOKUP(0,_xlpm.cb,IF(_xlpm.b,_xlfn.CHOOSECOLS(_xlpm.ck,3,4),_xlfn.DROP(_xlpm.ck,,4))))),_xlpm.ea,IF(ISERROR(_xlfn.SINGLE(_xlpm.ck)),IF(_xlpm.g,0,_xlfn.XLOOKUP(_xlpm.sa,{"↓";"↑";"→";"←"},{"↑";"↓";"←";"→"})),_xlpm.eao),_xlpm.nc,RC_Ref_Convert(_xlpm.ea)+_xlpm.sc,_xlpm.ncc,_xlfn.IFNA(IF(ISNUMBER(_xlfn.XMATCH(_xlpm.nc,_xlpm.ib)),_xlpm.nc,_xlpm.sc),_xlpm.sc),_xlfn.HSTACK(_xlpm.ncc,IF(_xlpm.b,_xlpm.ea,_xlpm.ar)))),IF(_xlpm.sp,_xlfn.VSTACK(_xlpm.a,_xlpm.rs),_xlpm.rs)))),IF(_xlpm.sp,_xlfn.HSTACK(RC_Ref_Convert(_xlfn.TAKE(_xlpm.pth,,1)),_xlfn.TAKE(_xlpm.pth,,-1)),RC_Ref_Convert(_xlfn.TAKE(_xlpm.pth,,1)))),_xlfn.REDUCE(_xlpm.St,_xlfn.SEQUENCE(_xlpm.mlt),_xlfn.LAMBDA(_xlpm.a,_xlpm.v,_xlfn.LET(_xlpm.ra,RowNum(_xlfn.TAKE(_xlpm.a,-1)),_xlpm.ca,ColNum(_xlfn.TAKE(_xlpm.a,-1)),_xlpm.gl,ADDRESS(IF(_xlpm.WrapAround,MOD(_xlpm.ra+_xlpm.rm-_xlpm.mir,_xlpm.mar-_xlpm.mir+1)+_xlpm.mir,_xlpm.ra+_xlpm.rm),IF(_xlpm.WrapAround,MOD(_xlpm.ca+_xlpm.cm-_xlpm.mic,_xlpm.mac-_xlpm.mic+1)+_xlpm.mic,_xlpm.ca+_xlpm.cm),4),_xlpm.gib,IF(_xlfn.ISOMITTED(_xlpm.mp),1,ISNUMBER(_xlfn.XMATCH(RC_Ref_Convert(_xlpm.gl),_xlpm.ib))),_xlpm.rs,IFERROR(IF(_xlpm.gib,_xlpm.gl,IF(_xlpm.Stop,_xlfn.TAKE(_xlpm.a,-1),"OOB")),"OOB"),IF(_xlpm.sp,_xlfn.VSTACK(_xlpm.a,_xlpm.rs),_xlpm.rs))))))))</definedName>
    <definedName name="pal">Assumptions!$H$25:$H$30</definedName>
    <definedName name="Pokerhand">_xlfn.LAMBDA(_xlpm.pokercards,_xlfn.LET(_xlpm.cards,_xlfn.TOCOL(_xlpm.pokercards,3),_xlpm.cardnums,LEFT(_xlpm.cards),_xlpm.cardsuits,RIGHT(_xlpm.cards),_xlpm.Suitspresent,ROWS(_xlfn.UNIQUE(_xlpm.cardsuits)),_xlpm.cardspresent,ROWS(_xlfn.UNIQUE(_xlpm.cardnums)),_xlpm.cardvals,_xlfn.XLOOKUP(_xlpm.cards,_xlfn.CHOOSECOLS(Carddetails(),1),_xlfn.CHOOSECOLS(Carddetails(),4)),_xlpm.royalflush,AND(_xlpm.Suitspresent=1,AND(LEFT(_xlpm.cardvals)="1")), _xlpm.cardsinorder,AND(IFERROR(ArrayShift(_xlfn._xlws.SORT(_xlpm.cardvals),-1)-_xlfn._xlws.SORT(_xlpm.cardvals),1)=1),_xlpm.StraightFlush,AND(_xlpm.Suitspresent=1,_xlpm.cardsinorder),_xlpm.fourkind,IFERROR(ROWS(_xlfn._xlws.FILTER(_xlpm.cardvals,_xlpm.cardvals=_xlfn.MODE.SNGL(_xlpm.cardvals)))=4,FALSE),_xlpm.fullhouse,ROWS(_xlfn.UNIQUE(_xlpm.cardvals))=2,_xlpm.flush,_xlpm.Suitspresent=1,_xlpm.straight,_xlpm.cardsinorder,_xlpm.threekind,IFERROR(ROWS(_xlfn._xlws.FILTER(_xlpm.cardvals,_xlpm.cardvals=_xlfn.MODE.SNGL(_xlpm.cardvals)))=3,FALSE), _xlpm.twopair,ROWS(_xlfn.UNIQUE(_xlpm.cardvals))=3,_xlpm.pair,ROWS(_xlfn.UNIQUE(_xlpm.cardvals))=4,_xlpm.result,_xlfn.IFS(_xlpm.royalflush,"Royal Flush",_xlpm.StraightFlush,"Straight Flush",_xlpm.fourkind,"Four of a Kind",_xlpm.fullhouse,"Full House",_xlpm.flush,"Flush",_xlpm.straight,"Straight",_xlpm.threekind,"Three of a Kind",_xlpm.twopair,"Two Pair",_xlpm.pair,"Pair"),IFERROR(_xlpm.result,"High Card")))</definedName>
    <definedName name="PPP">Assumptions!$F$25:$F$30</definedName>
    <definedName name="Primes">_xlfn.LAMBDA(_xlop.First,_xlfn.LET(_xlpm.p,{2;3;5;7;11;13;17;19;23;29;31;37;41;43;47;53;59;61;67;71;73;79;83;89;97;101;103;107;109;113;127;131;137;139;149;151;157;163;167;173;179;181;191;193;197;199;211;223;227;229;233;239;241;251;257;263;269;271;277;281;283;293;307;311;313;317;331;337;347;349;353;359;367;373;379;383;389;397;401;409;419;421;431;433;439;443;449;457;461;463;467;479;487;491;499;503;509;521;523;541;547;557;563;569;571;577;587;593;599;601;607;613;617;619;631;641;643;647;653;659;661;673;677;683;691;701;709;719;727;733;739;743;751;757;761;769;773;787;797;809;811;821;823;827;829;839;853;857;859;863;877;881;883;887;907;911;919;929;937;941;947;953;967;971;977;983;991;997;1009;1013;1019;1021;1031;1033;1039;1049;1051;1061;1063;1069;1087;1091;1093;1097;1103;1109;1117;1123;1129;1151;1153;1163;1171;1181;1187;1193;1201;1213;1217;1223;1229;1231;1237;1249;1259;1277;1279;1283;1289;1291;1297;1301;1303;1307;1319;1321;1327;1361;1367;1373;1381;1399;1409;1423;1427;1429;1433;1439;1447;1451;1453;1459;1471;1481;1483;1487;1489;1493;1499;1511;1523;1531;1543;1549;1553;1559;1567;1571;1579;1583;1597;1601;1607;1609;1613;1619;1621;1627;1637;1657;1663;1667;1669;1693;1697;1699;1709;1721;1723;1733;1741;1747;1753;1759;1777;1783;1787;1789;1801;1811;1823;1831;1847;1861;1867;1871;1873;1877;1879;1889;1901;1907;1913;1931;1933;1949;1951;1973;1979;1987;1993;1997;1999;2003;2011;2017;2027;2029;2039;2053;2063;2069;2081;2083;2087;2089;2099;2111;2113;2129;2131;2137;2141;2143;2153;2161;2179;2203;2207;2213;2221;2237;2239;2243;2251;2267;2269;2273;2281;2287;2293;2297;2309;2311;2333;2339;2341;2347;2351;2357;2371;2377;2381;2383;2389;2393;2399;2411;2417;2423;2437;2441;2447;2459;2467;2473;2477;2503;2521;2531;2539;2543;2549;2551;2557;2579;2591;2593;2609;2617;2621;2633;2647;2657;2659;2663;2671;2677;2683;2687;2689;2693;2699;2707;2711;2713;2719;2729;2731;2741;2749;2753;2767;2777;2789;2791;2797;2801;2803;2819;2833;2837;2843;2851;2857;2861;2879;2887;2897;2903;2909;2917;2927;2939;2953;2957;2963;2969;2971;2999},IF(_xlpm.First,_xlfn.TAKE(_xlpm.p,_xlpm.First),_xlpm.p)))</definedName>
    <definedName name="PriorityMovement">_xlfn.LAMBDA(_xlpm.mp,_xlpm.St,_xlpm.prioarrows,_xlpm.blockers,_xlpm.Steps,_xlop.allow_loops,_xlfn.LET(_xlpm.cn,COLUMN(_xlpm.mp),_xlpm.rn,ROW(_xlpm.mp),_xlpm.m,10^6,_xlpm.rcn,_xlfn.TOCOL(_xlpm.rn*_xlpm.m+_xlpm.cn),_xlpm.p,RC_Ref_Convert(_xlpm.prioarrows),   _xlpm.iter,_xlfn.REDUCE(_xlfn.HSTACK(RowNum(_xlpm.St)*_xlpm.m+ColNum(_xlpm.St),Ad_to_Contents(_xlpm.St,_xlpm.mp)),_xlfn.SEQUENCE(_xlpm.Steps),_xlfn.LAMBDA(_xlpm.a,_xlpm.v, _xlfn.LET(       _xlpm.cnd,_xlfn.TAKE(_xlpm.a,-1,1)+_xlpm.p,_xlpm.valid,ISNUMBER(_xlfn.XMATCH(_xlpm.cnd,_xlpm.rcn))*IF(_xlfn.ISOMITTED(_xlpm.allow_loops),ISNA(_xlfn.XMATCH(_xlpm.cnd,_xlfn.TAKE(_xlpm.a,,1))),1),       _xlpm.cont,IF(_xlpm.valid,Ad_to_Contents(_xlpm.cnd,_xlpm.mp),_xlfn.SINGLE(_xlpm.blockers)), _xlpm.nextarrow,_xlfn.XLOOKUP(TRUE,ISNA(_xlfn.XMATCH(_xlpm.cont,_xlpm.blockers)),_xlpm.p),_xlpm.res,_xlfn.TAKE(_xlpm.a,-1,1)+_xlpm.nextarrow,   _xlpm.rs,_xlfn.VSTACK(_xlpm.a,_xlfn.HSTACK(_xlpm.res,Ad_to_Contents(_xlpm.res,_xlpm.mp))), _xlpm.rs))),_xlfn.HSTACK(RC_Ref_Convert(_xlfn.TAKE(_xlpm.iter,,1)),_xlfn.DROP(_xlpm.iter,,1))))</definedName>
    <definedName name="RC_Ref_Convert">_xlfn.LAMBDA(_xlpm.St,IFERROR(IF(ISNUMBER(_xlpm.St),ADDRESS(INT(_xlpm.St/10^6),MOD(_xlpm.St,10^6),4),RowNum(_xlpm.St)*10^6+ColNum(_xlpm.St)),_xlfn.XLOOKUP(_xlpm.St,{"↓";"↑";"→";"←";"↘";"↖";"↙";"↗"},{1000000;-1000000;1;-1;1000001;-1000001;999999;-999999})))</definedName>
    <definedName name="RemoveCharacters">_xlfn.LAMBDA(_xlpm.TextToRemove,_xlpm.Text,_xlop.CaseSensitive,IF(_xlfn.ISOMITTED(_xlpm.CaseSensitive),_xlfn.REDUCE(LOWER(_xlpm.Text),LOWER(SplitText(_xlpm.TextToRemove)),_xlfn.LAMBDA(_xlpm.i,_xlpm.a,SUBSTITUTE(_xlpm.i,_xlpm.a,""))),_xlfn.REDUCE(_xlpm.Text,SplitText(_xlpm.TextToRemove),_xlfn.LAMBDA(_xlpm.i,_xlpm.a,SUBSTITUTE(_xlpm.i,_xlpm.a,"")))))</definedName>
    <definedName name="Reverse">_xlfn.LAMBDA(_xlpm.TextOrArray,IF(COUNTA(_xlpm.TextOrArray)=1,_xlfn.CONCAT(MID(_xlpm.TextOrArray,_xlfn.SEQUENCE(LEN(_xlpm.TextOrArray),,LEN(_xlpm.TextOrArray),-1),1)),INDEX(_xlpm.TextOrArray,_xlfn.SEQUENCE(ROWS(_xlpm.TextOrArray),,ROWS(_xlpm.TextOrArray),-1),_xlfn.SEQUENCE(,COLUMNS(_xlpm.TextOrArray),COLUMNS(_xlpm.TextOrArray),-1))))</definedName>
    <definedName name="RowNum">_xlfn.LAMBDA(_xlpm.addresses,IF(ISNUMBER(_xlpm.addresses),INT(_xlpm.addresses/10^6),1*_xlfn.TEXTAFTER(UPPER(_xlpm.addresses),Alphabet(),-1)))</definedName>
    <definedName name="seg">Assumptions!$C$25:$C$30</definedName>
    <definedName name="ShiftText">_xlfn.LAMBDA(_xlpm.Text,_xlpm.Shift,_xlop.AlongShift,_xlop.AlongLettersOnly,_xlop.NoWrapAround,_xlfn.LET(_xlpm.l,SplitText(_xlpm.Text),_xlpm.als,IF(_xlpm.AlongShift,_xlpm.AlongShift,0),_xlpm.sym,EXACT(LOWER(_xlpm.l),UPPER(_xlpm.l)), _xlpm.upp,EXACT(UPPER(_xlpm.l),_xlpm.l),_xlpm.al,IF(_xlpm.AlongLettersOnly,_xlfn.SCAN(-_xlpm.als,_xlpm.sym,_xlfn.LAMBDA(_xlpm.a,_xlpm.v,IF(_xlpm.v,_xlpm.a,_xlpm.a+_xlpm.als))),_xlfn.SEQUENCE(LEN(_xlpm.Text),,0,_xlpm.als)),_xlpm.mu,MOD(CODE(_xlpm.l)-65+_xlpm.Shift+_xlpm.al,26)+65, _xlpm.ml,MOD(CODE(_xlpm.l)-97+_xlpm.Shift+_xlpm.al,26)+97,_xlpm.nw,IFERROR(_xlfn.UNICHAR(_xlfn.UNICODE(_xlpm.l)+_xlpm.Shift+_xlpm.al),_xlpm.l),_xlpm.rs,IF(_xlpm.sym,_xlpm.l,IF(_xlpm.upp,CHAR(_xlpm.mu),CHAR(_xlpm.ml))),_xlfn.CONCAT(IF(_xlpm.NoWrapAround,_xlpm.nw,_xlpm.rs))))</definedName>
    <definedName name="solver_adj" localSheetId="2" hidden="1">Assumptions!$D$18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Assumptions!#REF!</definedName>
    <definedName name="solver_lhs2" localSheetId="2" hidden="1">Assumptions!#REF!</definedName>
    <definedName name="solver_lhs3" localSheetId="2" hidden="1">Assumptions!#REF!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Assumptions!#REF!</definedName>
    <definedName name="solver_pre" localSheetId="2" hidden="1">0.000001</definedName>
    <definedName name="solver_rbv" localSheetId="2" hidden="1">1</definedName>
    <definedName name="solver_rel1" localSheetId="2" hidden="1">3</definedName>
    <definedName name="solver_rel2" localSheetId="2" hidden="1">3</definedName>
    <definedName name="solver_rel3" localSheetId="2" hidden="1">3</definedName>
    <definedName name="solver_rhs1" localSheetId="2" hidden="1">1300000</definedName>
    <definedName name="solver_rhs2" localSheetId="2" hidden="1">1300000</definedName>
    <definedName name="solver_rhs3" localSheetId="2" hidden="1">1300000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0</definedName>
    <definedName name="solver_ver" localSheetId="2" hidden="1">3</definedName>
    <definedName name="Spiral">_xlfn.LAMBDA(_xlpm.grid,_xlop.downward, _xlfn.LET(_xlpm.sp,_xlfn.LAMBDA(_xlpm.sp,_xlpm.a,_xlfn.LET(_xlpm.r,ROWS(_xlpm.a),_xlpm.c,COLUMNS(_xlpm.a),_xlpm.i,_xlfn.SEQUENCE(_xlpm.r),_xlpm.j,_xlfn.SEQUENCE(,_xlpm.c), IF(_xlpm.r=1,_xlpm.j,IF(_xlpm.c=1,_xlpm.i,IF(_xlpm.downward,_xleta.HSTACK,_xleta.VSTACK)(IF(_xlpm.downward,_xlpm.i,_xlpm.j),IF(_xlpm.downward,_xlpm.r,_xlpm.c)+ _xlfn.SORTBY(TRANSPOSE(_xlpm.sp(_xlpm.sp,_xlfn.SORTBY(TRANSPOSE(_xlfn.DROP(_xlpm.a,IF(_xlpm.downward,,1),IF(_xlpm.downward,1))),-_xlfn.SEQUENCE(IF(_xlpm.downward,_xlpm.c-1,),IF(_xlpm.downward,,_xlpm.r-1))))),-IF(_xlpm.downward,_xlpm.i,_xlpm.j))))))), _xlpm.sp(_xlpm.sp,_xlpm.grid)))</definedName>
    <definedName name="SplitText">_xlfn.LAMBDA(_xlpm.Text,_xlop.Groups,_xlop.Overlap,_xlfn.LET(_xlpm.t,_xlfn.CONCAT(_xlpm.Text), _xlpm._groups,MAX(_xlpm.Groups,1), IF(_xlpm.Overlap,MID(_xlpm.t,_xlfn.SEQUENCE(LEN(_xlpm.t)-_xlpm._groups+1),_xlpm._groups),MID(_xlpm.t,_xlfn.SEQUENCE(ROUNDUP(LEN(_xlpm.t)/_xlpm._groups,0),,,_xlpm._groups),_xlpm._groups))))</definedName>
    <definedName name="starting_parc">Assumptions!$E$25:$E$30</definedName>
    <definedName name="Timeline">_xlfn.LAMBDA(_xlpm.St,_xlpm.yrs,_xlop.per,_xlop.perNum,_xlop.MonSt,_xlop.MonEnd,_xlop.YrNum,_xlop.MonNum,_xlop.QNum,_xlop.QTxt,        _xlfn.LET(_xlpm.stClean, IF(_xlpm.St&lt;3000,DATE(_xlpm.St,1,1),_xlpm.St), _xlpm.perClean, IF(_xlfn.ISOMITTED(_xlpm.per), 1, _xlpm.per),        _xlpm.seq, _xlfn.SEQUENCE(,_xlpm.yrs*12/_xlpm.perClean),        _xlpm.som, EOMONTH(_xlpm.stClean, (_xlpm.seq-1)*_xlpm.perClean-1)+1,        _xlpm.out, _xlfn.VSTACK(_xlpm.seq, _xlpm.som, EOMONTH(_xlpm.som, _xlpm.perClean-1), YEAR(_xlpm.som), MONTH(_xlpm.som), ROUNDUP(MONTH(_xlpm.som)/3,0), YEAR(_xlpm.som)&amp;"-Q"&amp;ROUNDUP(MONTH(_xlpm.som)/3,0)),        _xlfn._xlws.FILTER(_xlpm.out,_xlfn.VSTACK(1-_xlpm.perNum,1-_xlpm.MonSt,1-_xlpm.MonEnd,1-_xlpm.YrNum,IF(_xlfn.ISOMITTED(_xlpm.MonNum), _xlpm.perClean=1, 1-_xlpm.MonNum),IF(_xlfn.ISOMITTED(_xlpm.QNum), _xlpm.perClean&lt;=3, 1-_xlpm.QNum),IF(_xlfn.ISOMITTED(_xlpm.QTxt), _xlpm.perClean&lt;=3, 1-_xlpm.QTxt)))))</definedName>
    <definedName name="Tlookup">_xlfn.LAMBDA(_xlpm.Table,_xlpm.Rowitem,_xlpm.Columnitem,INDEX(_xlpm.Table,_xlfn.XMATCH(_xlpm.Rowitem,_xlfn.TAKE(_xlpm.Table,,1)),_xlfn.XMATCH(_xlpm.Columnitem,_xlfn.TAKE(_xlpm.Table,1))))</definedName>
    <definedName name="Vstacks">_xlfn.LAMBDA(_xlpm.Array,_xlpm.NoTimes,_xlop.Hstk,IFERROR(_xlfn.REDUCE(_xlpm.Array,_xlfn.SEQUENCE(_xlpm.NoTimes-1),_xlfn.LAMBDA(_xlpm.a,_xlpm.v,IF(_xlpm.Hstk,_xleta.HSTACK,_xleta.VSTACK)(_xlpm.a,_xlpm.Array))),_xlpm.Array))</definedName>
    <definedName name="WordMaker">_xlfn.LAMBDA(_xlpm.Word_to_Make,_xlpm.Tiles,_xlop.Case_Sensitive,_xlfn.MAP(_xlpm.Word_to_Make,_xlfn.LAMBDA(_xlpm.wl,_xlfn.LET(_xlpm.t,IF(_xlpm.Case_Sensitive,_xlpm.Tiles,UPPER(_xlpm.Tiles)),_xlpm.w,IF(_xlpm.Case_Sensitive,SplitText(_xlpm.wl),SplitText(UPPER(_xlpm.wl))),_xlpm.lg,LEN(_xlpm.t)-LEN(_xlfn.REDUCE(_xlpm.t,_xlpm.w,_xlfn.LAMBDA(_xlpm.a,_xlpm.v,SUBSTITUTE(_xlpm.a,_xlpm.v,"",1)))),LEN(_xlpm.wl)=_xlpm.lg))))</definedName>
    <definedName name="WordValue">_xlfn.LAMBDA(_xlpm.Text,_xlpm.Letters,_xlpm.Values,_xlop.Case_Sensitive,_xlop.join,_xlop.Delimiter,_xlfn.MAP(_xlpm.Text,_xlfn.LAMBDA(_xlpm.b,_xlfn.LET(_xlpm.dl,IF(_xlfn.ISOMITTED(_xlpm.Delimiter),"-",_xlpm.Delimiter),_xlpm.m,IF(_xlfn.ISOMITTED(_xlpm.join),0,""),_xlpm.l,SplitText(_xlpm.b),_xlpm.lu,IF(_xlfn.ISOMITTED(_xlpm.Case_Sensitive),_xlfn.XLOOKUP(_xlpm.l,_xlpm.Letters,_xlpm.Values,_xlpm.m),_xlfn.MAP(_xlpm.l,_xlfn.LAMBDA(_xlpm.a,IFERROR(_xlfn.TOCOL(IF(EXACT(_xlpm.a,_xlpm.Letters),_xlpm.Values,NA()),3),IF(_xlpm.join,"",0))))),_xlpm.rs,IF(_xlfn.ISOMITTED(_xlpm.join),SUM(_xlpm.lu),_xlfn.TEXTJOIN(_xlpm.dl,TRUE,_xlpm.lu)),_xlpm.rs))))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I30" i="2"/>
  <c r="E19" i="7"/>
  <c r="E18" i="7"/>
  <c r="E17" i="7"/>
  <c r="D19" i="7"/>
  <c r="D18" i="7"/>
  <c r="D17" i="7"/>
  <c r="E19" i="5"/>
  <c r="E17" i="5"/>
  <c r="E10" i="5"/>
  <c r="D33" i="3"/>
  <c r="D32" i="3"/>
  <c r="D31" i="3"/>
  <c r="D30" i="3"/>
  <c r="D29" i="3"/>
  <c r="D28" i="3"/>
  <c r="C28" i="3" a="1"/>
  <c r="C19" i="3" a="1"/>
  <c r="C23" i="3" s="1"/>
  <c r="D10" i="3"/>
  <c r="D8" i="3"/>
  <c r="D7" i="3"/>
  <c r="D6" i="3"/>
  <c r="E4" i="3" a="1"/>
  <c r="BF10" i="3" s="1"/>
  <c r="B2" i="3"/>
  <c r="I36" i="2" a="1"/>
  <c r="I41" i="2" s="1"/>
  <c r="D354" i="4"/>
  <c r="D350" i="4"/>
  <c r="D340" i="4"/>
  <c r="D336" i="4"/>
  <c r="D335" i="4"/>
  <c r="C332" i="4"/>
  <c r="C331" i="4"/>
  <c r="D313" i="4"/>
  <c r="G312" i="4" a="1"/>
  <c r="D312" i="4"/>
  <c r="D304" i="4"/>
  <c r="D303" i="4"/>
  <c r="D302" i="4"/>
  <c r="D301" i="4"/>
  <c r="D300" i="4"/>
  <c r="C293" i="4" a="1"/>
  <c r="D285" i="4" a="1"/>
  <c r="D285" i="4" s="1"/>
  <c r="B277" i="4"/>
  <c r="C263" i="4" a="1"/>
  <c r="C263" i="4" s="1"/>
  <c r="C250" i="4" a="1"/>
  <c r="C250" i="4" s="1"/>
  <c r="D240" i="4"/>
  <c r="D239" i="4"/>
  <c r="D228" i="4"/>
  <c r="G230" i="4" s="1"/>
  <c r="BP224" i="4"/>
  <c r="D223" i="4"/>
  <c r="D222" i="4"/>
  <c r="D221" i="4"/>
  <c r="D220" i="4"/>
  <c r="D219" i="4"/>
  <c r="BP215" i="4"/>
  <c r="D210" i="4" a="1"/>
  <c r="D214" i="4" s="1"/>
  <c r="C203" i="4" a="1"/>
  <c r="C203" i="4" s="1"/>
  <c r="BP190" i="4"/>
  <c r="C184" i="4" a="1"/>
  <c r="C184" i="4" s="1"/>
  <c r="C176" i="4" a="1"/>
  <c r="C176" i="4" s="1"/>
  <c r="D173" i="4"/>
  <c r="BP169" i="4"/>
  <c r="C163" i="4" a="1"/>
  <c r="C168" i="4" s="1"/>
  <c r="C155" i="4" a="1"/>
  <c r="C157" i="4" s="1"/>
  <c r="D152" i="4"/>
  <c r="BP148" i="4"/>
  <c r="C142" i="4" a="1"/>
  <c r="C143" i="4" s="1"/>
  <c r="C134" i="4" a="1"/>
  <c r="C134" i="4" s="1"/>
  <c r="D131" i="4"/>
  <c r="BP127" i="4"/>
  <c r="C121" i="4" a="1"/>
  <c r="C122" i="4" s="1"/>
  <c r="C113" i="4" a="1"/>
  <c r="C115" i="4" s="1"/>
  <c r="D110" i="4"/>
  <c r="BP104" i="4"/>
  <c r="E103" i="4"/>
  <c r="E102" i="4"/>
  <c r="E101" i="4"/>
  <c r="E100" i="4"/>
  <c r="E99" i="4"/>
  <c r="E98" i="4"/>
  <c r="D98" i="4" a="1"/>
  <c r="D100" i="4" s="1"/>
  <c r="C98" i="4" a="1"/>
  <c r="C98" i="4" s="1"/>
  <c r="BP95" i="4"/>
  <c r="E94" i="4"/>
  <c r="E93" i="4"/>
  <c r="E92" i="4"/>
  <c r="E91" i="4"/>
  <c r="E90" i="4"/>
  <c r="E89" i="4"/>
  <c r="D89" i="4" a="1"/>
  <c r="D89" i="4" s="1"/>
  <c r="C89" i="4" a="1"/>
  <c r="C92" i="4" s="1"/>
  <c r="D80" i="4" a="1"/>
  <c r="D81" i="4" s="1"/>
  <c r="C80" i="4" a="1"/>
  <c r="C80" i="4" s="1"/>
  <c r="C71" i="4" a="1"/>
  <c r="C72" i="4" s="1"/>
  <c r="E68" i="4"/>
  <c r="E67" i="4"/>
  <c r="E66" i="4"/>
  <c r="E65" i="4"/>
  <c r="E64" i="4"/>
  <c r="G63" i="4" a="1"/>
  <c r="G63" i="4" s="1"/>
  <c r="E63" i="4"/>
  <c r="D63" i="4" a="1"/>
  <c r="D67" i="4" s="1"/>
  <c r="C63" i="4" a="1"/>
  <c r="C64" i="4" s="1"/>
  <c r="C53" i="4" a="1"/>
  <c r="C53" i="4" s="1"/>
  <c r="D45" i="4" a="1"/>
  <c r="D47" i="4" s="1"/>
  <c r="C45" i="4" a="1"/>
  <c r="C50" i="4" s="1"/>
  <c r="D44" i="4"/>
  <c r="E38" i="4"/>
  <c r="E35" i="4" a="1"/>
  <c r="E37" i="4" s="1"/>
  <c r="D35" i="4" a="1"/>
  <c r="D37" i="4" s="1"/>
  <c r="C35" i="4" a="1"/>
  <c r="C39" i="4" s="1"/>
  <c r="E34" i="4"/>
  <c r="D34" i="4"/>
  <c r="F28" i="5"/>
  <c r="E28" i="5" s="1"/>
  <c r="G7" i="4" a="1"/>
  <c r="BO7" i="4" s="1"/>
  <c r="BO8" i="4" s="1"/>
  <c r="F17" i="7" l="1"/>
  <c r="C252" i="4"/>
  <c r="E39" i="4"/>
  <c r="E40" i="4"/>
  <c r="AG7" i="4"/>
  <c r="AG8" i="4" s="1"/>
  <c r="AV7" i="4"/>
  <c r="AV8" i="4" s="1"/>
  <c r="BL7" i="4"/>
  <c r="BL8" i="4" s="1"/>
  <c r="Q7" i="4"/>
  <c r="Q8" i="4" s="1"/>
  <c r="BM7" i="4"/>
  <c r="BM8" i="4" s="1"/>
  <c r="U7" i="4"/>
  <c r="U8" i="4" s="1"/>
  <c r="AJ7" i="4"/>
  <c r="AJ8" i="4" s="1"/>
  <c r="J7" i="4"/>
  <c r="J8" i="4" s="1"/>
  <c r="Z7" i="4"/>
  <c r="Z8" i="4" s="1"/>
  <c r="AO7" i="4"/>
  <c r="AO8" i="4" s="1"/>
  <c r="BF7" i="4"/>
  <c r="BF8" i="4" s="1"/>
  <c r="C257" i="4"/>
  <c r="L7" i="4"/>
  <c r="L8" i="4" s="1"/>
  <c r="C259" i="4"/>
  <c r="AA7" i="4"/>
  <c r="AA8" i="4" s="1"/>
  <c r="N7" i="4"/>
  <c r="N8" i="4" s="1"/>
  <c r="AC7" i="4"/>
  <c r="AC8" i="4" s="1"/>
  <c r="AT7" i="4"/>
  <c r="AT8" i="4" s="1"/>
  <c r="BJ7" i="4"/>
  <c r="BJ8" i="4" s="1"/>
  <c r="K7" i="4"/>
  <c r="K8" i="4" s="1"/>
  <c r="AR7" i="4"/>
  <c r="AR8" i="4" s="1"/>
  <c r="BG7" i="4"/>
  <c r="BG8" i="4" s="1"/>
  <c r="AB7" i="4"/>
  <c r="AB8" i="4" s="1"/>
  <c r="AS7" i="4"/>
  <c r="AS8" i="4" s="1"/>
  <c r="BH7" i="4"/>
  <c r="BH8" i="4" s="1"/>
  <c r="O7" i="4"/>
  <c r="O8" i="4" s="1"/>
  <c r="AF7" i="4"/>
  <c r="AF8" i="4" s="1"/>
  <c r="AU7" i="4"/>
  <c r="AU8" i="4" s="1"/>
  <c r="BK7" i="4"/>
  <c r="BK8" i="4" s="1"/>
  <c r="C71" i="4"/>
  <c r="D287" i="4"/>
  <c r="T7" i="4"/>
  <c r="T8" i="4" s="1"/>
  <c r="AI7" i="4"/>
  <c r="AI8" i="4" s="1"/>
  <c r="AY7" i="4"/>
  <c r="AY8" i="4" s="1"/>
  <c r="BP7" i="4"/>
  <c r="BP8" i="4" s="1"/>
  <c r="V7" i="4"/>
  <c r="V8" i="4" s="1"/>
  <c r="AL7" i="4"/>
  <c r="AL8" i="4" s="1"/>
  <c r="BA7" i="4"/>
  <c r="BA8" i="4" s="1"/>
  <c r="P7" i="4"/>
  <c r="P8" i="4" s="1"/>
  <c r="H7" i="4"/>
  <c r="H8" i="4" s="1"/>
  <c r="W7" i="4"/>
  <c r="W8" i="4" s="1"/>
  <c r="AM7" i="4"/>
  <c r="AM8" i="4" s="1"/>
  <c r="BD7" i="4"/>
  <c r="BD8" i="4" s="1"/>
  <c r="AH7" i="4"/>
  <c r="AH8" i="4" s="1"/>
  <c r="AX7" i="4"/>
  <c r="AX8" i="4" s="1"/>
  <c r="AZ7" i="4"/>
  <c r="AZ8" i="4" s="1"/>
  <c r="I7" i="4"/>
  <c r="I8" i="4" s="1"/>
  <c r="X7" i="4"/>
  <c r="X8" i="4" s="1"/>
  <c r="AN7" i="4"/>
  <c r="AN8" i="4" s="1"/>
  <c r="BE7" i="4"/>
  <c r="BE8" i="4" s="1"/>
  <c r="C142" i="4"/>
  <c r="C251" i="4"/>
  <c r="F18" i="7"/>
  <c r="F19" i="7"/>
  <c r="C185" i="4"/>
  <c r="C147" i="4"/>
  <c r="C47" i="4"/>
  <c r="C118" i="4"/>
  <c r="C160" i="4"/>
  <c r="C124" i="4"/>
  <c r="C166" i="4"/>
  <c r="D83" i="4"/>
  <c r="C144" i="4"/>
  <c r="C35" i="4"/>
  <c r="D85" i="4"/>
  <c r="C123" i="4"/>
  <c r="C146" i="4"/>
  <c r="C165" i="4"/>
  <c r="C189" i="4"/>
  <c r="D286" i="4"/>
  <c r="AJ4" i="3"/>
  <c r="L5" i="3"/>
  <c r="AV5" i="3"/>
  <c r="X6" i="3"/>
  <c r="BH6" i="3"/>
  <c r="AJ7" i="3"/>
  <c r="L8" i="3"/>
  <c r="AV8" i="3"/>
  <c r="Z9" i="3"/>
  <c r="J10" i="3"/>
  <c r="BA10" i="3"/>
  <c r="C24" i="3"/>
  <c r="C93" i="4"/>
  <c r="D98" i="4"/>
  <c r="C125" i="4"/>
  <c r="C167" i="4"/>
  <c r="J4" i="3"/>
  <c r="AT4" i="3"/>
  <c r="V5" i="3"/>
  <c r="BF5" i="3"/>
  <c r="AH6" i="3"/>
  <c r="J7" i="3"/>
  <c r="AT7" i="3"/>
  <c r="V8" i="3"/>
  <c r="BF8" i="3"/>
  <c r="AL9" i="3"/>
  <c r="V10" i="3"/>
  <c r="C94" i="4"/>
  <c r="C126" i="4"/>
  <c r="K4" i="3"/>
  <c r="AU4" i="3"/>
  <c r="W5" i="3"/>
  <c r="BG5" i="3"/>
  <c r="AI6" i="3"/>
  <c r="K7" i="3"/>
  <c r="AU7" i="3"/>
  <c r="W8" i="3"/>
  <c r="BG8" i="3"/>
  <c r="AM9" i="3"/>
  <c r="W10" i="3"/>
  <c r="C40" i="4"/>
  <c r="D35" i="4"/>
  <c r="D99" i="4"/>
  <c r="C113" i="4"/>
  <c r="C155" i="4"/>
  <c r="L4" i="3"/>
  <c r="AV4" i="3"/>
  <c r="X5" i="3"/>
  <c r="BH5" i="3"/>
  <c r="AJ6" i="3"/>
  <c r="L7" i="3"/>
  <c r="AV7" i="3"/>
  <c r="X8" i="3"/>
  <c r="BH8" i="3"/>
  <c r="AO9" i="3"/>
  <c r="X10" i="3"/>
  <c r="D101" i="4"/>
  <c r="M4" i="3"/>
  <c r="AW4" i="3"/>
  <c r="Y5" i="3"/>
  <c r="BI5" i="3"/>
  <c r="AK6" i="3"/>
  <c r="M7" i="3"/>
  <c r="AW7" i="3"/>
  <c r="Y8" i="3"/>
  <c r="BI8" i="3"/>
  <c r="AP9" i="3"/>
  <c r="Y10" i="3"/>
  <c r="M5" i="3"/>
  <c r="BI6" i="3"/>
  <c r="AW8" i="3"/>
  <c r="BB10" i="3"/>
  <c r="E35" i="4"/>
  <c r="D68" i="4"/>
  <c r="D102" i="4"/>
  <c r="C116" i="4"/>
  <c r="C158" i="4"/>
  <c r="V4" i="3"/>
  <c r="BF4" i="3"/>
  <c r="AH5" i="3"/>
  <c r="J6" i="3"/>
  <c r="AT6" i="3"/>
  <c r="V7" i="3"/>
  <c r="BF7" i="3"/>
  <c r="AH8" i="3"/>
  <c r="K9" i="3"/>
  <c r="BA9" i="3"/>
  <c r="AJ10" i="3"/>
  <c r="C19" i="3"/>
  <c r="AK4" i="3"/>
  <c r="AW5" i="3"/>
  <c r="Y6" i="3"/>
  <c r="AK7" i="3"/>
  <c r="M8" i="3"/>
  <c r="AA9" i="3"/>
  <c r="K10" i="3"/>
  <c r="C36" i="4"/>
  <c r="D80" i="4"/>
  <c r="D103" i="4"/>
  <c r="C117" i="4"/>
  <c r="C159" i="4"/>
  <c r="I36" i="2"/>
  <c r="K36" i="2" s="1" a="1"/>
  <c r="W4" i="3"/>
  <c r="BG4" i="3"/>
  <c r="AI5" i="3"/>
  <c r="K6" i="3"/>
  <c r="AU6" i="3"/>
  <c r="W7" i="3"/>
  <c r="BG7" i="3"/>
  <c r="AI8" i="3"/>
  <c r="L9" i="3"/>
  <c r="BB9" i="3"/>
  <c r="AK10" i="3"/>
  <c r="X4" i="3"/>
  <c r="BH4" i="3"/>
  <c r="AJ5" i="3"/>
  <c r="L6" i="3"/>
  <c r="AV6" i="3"/>
  <c r="X7" i="3"/>
  <c r="BH7" i="3"/>
  <c r="AJ8" i="3"/>
  <c r="M9" i="3"/>
  <c r="BC9" i="3"/>
  <c r="AL10" i="3"/>
  <c r="C20" i="3"/>
  <c r="C121" i="4"/>
  <c r="C163" i="4"/>
  <c r="C186" i="4"/>
  <c r="I37" i="2"/>
  <c r="Y4" i="3"/>
  <c r="BI4" i="3"/>
  <c r="AK5" i="3"/>
  <c r="M6" i="3"/>
  <c r="AW6" i="3"/>
  <c r="Y7" i="3"/>
  <c r="BI7" i="3"/>
  <c r="AK8" i="3"/>
  <c r="N9" i="3"/>
  <c r="BE9" i="3"/>
  <c r="AM10" i="3"/>
  <c r="C21" i="3"/>
  <c r="C187" i="4"/>
  <c r="I38" i="2"/>
  <c r="AH4" i="3"/>
  <c r="J5" i="3"/>
  <c r="AT5" i="3"/>
  <c r="V6" i="3"/>
  <c r="BF6" i="3"/>
  <c r="AH7" i="3"/>
  <c r="J8" i="3"/>
  <c r="AT8" i="3"/>
  <c r="X9" i="3"/>
  <c r="G10" i="3"/>
  <c r="AX10" i="3"/>
  <c r="C22" i="3"/>
  <c r="D82" i="4"/>
  <c r="D84" i="4"/>
  <c r="C145" i="4"/>
  <c r="C164" i="4"/>
  <c r="C188" i="4"/>
  <c r="I40" i="2"/>
  <c r="AI4" i="3"/>
  <c r="K5" i="3"/>
  <c r="AU5" i="3"/>
  <c r="W6" i="3"/>
  <c r="BG6" i="3"/>
  <c r="AI7" i="3"/>
  <c r="K8" i="3"/>
  <c r="AU8" i="3"/>
  <c r="Y9" i="3"/>
  <c r="I10" i="3"/>
  <c r="AY10" i="3"/>
  <c r="D36" i="4"/>
  <c r="M7" i="4"/>
  <c r="M8" i="4" s="1"/>
  <c r="Y7" i="4"/>
  <c r="Y8" i="4" s="1"/>
  <c r="AK7" i="4"/>
  <c r="AK8" i="4" s="1"/>
  <c r="AW7" i="4"/>
  <c r="AW8" i="4" s="1"/>
  <c r="BI7" i="4"/>
  <c r="BI8" i="4" s="1"/>
  <c r="D40" i="4"/>
  <c r="D39" i="4"/>
  <c r="D38" i="4"/>
  <c r="C207" i="4"/>
  <c r="C206" i="4"/>
  <c r="C205" i="4"/>
  <c r="C204" i="4"/>
  <c r="F25" i="5"/>
  <c r="E25" i="5" s="1"/>
  <c r="D46" i="4"/>
  <c r="C63" i="4"/>
  <c r="C68" i="4"/>
  <c r="C67" i="4"/>
  <c r="C66" i="4"/>
  <c r="C65" i="4"/>
  <c r="G7" i="4"/>
  <c r="R7" i="4"/>
  <c r="R8" i="4" s="1"/>
  <c r="AD7" i="4"/>
  <c r="AD8" i="4" s="1"/>
  <c r="AP7" i="4"/>
  <c r="AP8" i="4" s="1"/>
  <c r="BB7" i="4"/>
  <c r="BB8" i="4" s="1"/>
  <c r="BN7" i="4"/>
  <c r="BN8" i="4" s="1"/>
  <c r="C85" i="4"/>
  <c r="C83" i="4"/>
  <c r="C82" i="4"/>
  <c r="C84" i="4"/>
  <c r="C81" i="4"/>
  <c r="D50" i="4"/>
  <c r="D49" i="4"/>
  <c r="D48" i="4"/>
  <c r="C58" i="4"/>
  <c r="C57" i="4"/>
  <c r="C56" i="4"/>
  <c r="C55" i="4"/>
  <c r="C54" i="4"/>
  <c r="S7" i="4"/>
  <c r="S8" i="4" s="1"/>
  <c r="AE7" i="4"/>
  <c r="AE8" i="4" s="1"/>
  <c r="AQ7" i="4"/>
  <c r="AQ8" i="4" s="1"/>
  <c r="BC7" i="4"/>
  <c r="BC8" i="4" s="1"/>
  <c r="D45" i="4"/>
  <c r="G64" i="4"/>
  <c r="C73" i="4"/>
  <c r="C45" i="4"/>
  <c r="G65" i="4"/>
  <c r="C74" i="4"/>
  <c r="C103" i="4"/>
  <c r="C102" i="4"/>
  <c r="C101" i="4"/>
  <c r="C100" i="4"/>
  <c r="C139" i="4"/>
  <c r="C138" i="4"/>
  <c r="C137" i="4"/>
  <c r="C136" i="4"/>
  <c r="C135" i="4"/>
  <c r="C181" i="4"/>
  <c r="C180" i="4"/>
  <c r="C179" i="4"/>
  <c r="C178" i="4"/>
  <c r="C177" i="4"/>
  <c r="G66" i="4"/>
  <c r="C75" i="4"/>
  <c r="C99" i="4"/>
  <c r="C46" i="4"/>
  <c r="D63" i="4"/>
  <c r="G67" i="4"/>
  <c r="C76" i="4"/>
  <c r="D94" i="4"/>
  <c r="D93" i="4"/>
  <c r="D91" i="4"/>
  <c r="D90" i="4"/>
  <c r="G68" i="4"/>
  <c r="D92" i="4"/>
  <c r="C37" i="4"/>
  <c r="C48" i="4"/>
  <c r="D64" i="4"/>
  <c r="C38" i="4"/>
  <c r="E36" i="4"/>
  <c r="C49" i="4"/>
  <c r="D65" i="4"/>
  <c r="D66" i="4"/>
  <c r="C297" i="4"/>
  <c r="C296" i="4"/>
  <c r="C295" i="4"/>
  <c r="C294" i="4"/>
  <c r="C293" i="4"/>
  <c r="D210" i="4"/>
  <c r="C271" i="4"/>
  <c r="C270" i="4"/>
  <c r="C269" i="4"/>
  <c r="C268" i="4"/>
  <c r="C264" i="4"/>
  <c r="D211" i="4"/>
  <c r="C265" i="4"/>
  <c r="C89" i="4"/>
  <c r="D212" i="4"/>
  <c r="C266" i="4"/>
  <c r="D213" i="4"/>
  <c r="C267" i="4"/>
  <c r="C90" i="4"/>
  <c r="C272" i="4"/>
  <c r="C91" i="4"/>
  <c r="C114" i="4"/>
  <c r="C156" i="4"/>
  <c r="C258" i="4"/>
  <c r="C256" i="4"/>
  <c r="C255" i="4"/>
  <c r="C254" i="4"/>
  <c r="C253" i="4"/>
  <c r="C335" i="4" a="1"/>
  <c r="C308" i="4" a="1"/>
  <c r="D289" i="4"/>
  <c r="D288" i="4"/>
  <c r="G313" i="4"/>
  <c r="H313" i="4" s="1"/>
  <c r="G312" i="4"/>
  <c r="H312" i="4" s="1"/>
  <c r="C33" i="3"/>
  <c r="C31" i="3"/>
  <c r="C29" i="3"/>
  <c r="C28" i="3"/>
  <c r="C30" i="3"/>
  <c r="C32" i="3"/>
  <c r="N4" i="3"/>
  <c r="Z4" i="3"/>
  <c r="AL4" i="3"/>
  <c r="AX4" i="3"/>
  <c r="BJ4" i="3"/>
  <c r="N5" i="3"/>
  <c r="Z5" i="3"/>
  <c r="AL5" i="3"/>
  <c r="AX5" i="3"/>
  <c r="BJ5" i="3"/>
  <c r="N6" i="3"/>
  <c r="Z6" i="3"/>
  <c r="AL6" i="3"/>
  <c r="AX6" i="3"/>
  <c r="BJ6" i="3"/>
  <c r="N7" i="3"/>
  <c r="Z7" i="3"/>
  <c r="AL7" i="3"/>
  <c r="AX7" i="3"/>
  <c r="BJ7" i="3"/>
  <c r="N8" i="3"/>
  <c r="Z8" i="3"/>
  <c r="AL8" i="3"/>
  <c r="AX8" i="3"/>
  <c r="BJ8" i="3"/>
  <c r="O9" i="3"/>
  <c r="AC9" i="3"/>
  <c r="AQ9" i="3"/>
  <c r="BF9" i="3"/>
  <c r="L10" i="3"/>
  <c r="Z10" i="3"/>
  <c r="AO10" i="3"/>
  <c r="BC10" i="3"/>
  <c r="O4" i="3"/>
  <c r="AA4" i="3"/>
  <c r="AM4" i="3"/>
  <c r="AY4" i="3"/>
  <c r="BK4" i="3"/>
  <c r="O5" i="3"/>
  <c r="AA5" i="3"/>
  <c r="AM5" i="3"/>
  <c r="AY5" i="3"/>
  <c r="BK5" i="3"/>
  <c r="O6" i="3"/>
  <c r="AA6" i="3"/>
  <c r="AM6" i="3"/>
  <c r="AY6" i="3"/>
  <c r="BK6" i="3"/>
  <c r="O7" i="3"/>
  <c r="AA7" i="3"/>
  <c r="AM7" i="3"/>
  <c r="AY7" i="3"/>
  <c r="BK7" i="3"/>
  <c r="O8" i="3"/>
  <c r="AA8" i="3"/>
  <c r="AM8" i="3"/>
  <c r="AY8" i="3"/>
  <c r="BK8" i="3"/>
  <c r="P9" i="3"/>
  <c r="AD9" i="3"/>
  <c r="AS9" i="3"/>
  <c r="BG9" i="3"/>
  <c r="M10" i="3"/>
  <c r="AA10" i="3"/>
  <c r="AP10" i="3"/>
  <c r="BE10" i="3"/>
  <c r="E4" i="3"/>
  <c r="P4" i="3"/>
  <c r="AB4" i="3"/>
  <c r="AN4" i="3"/>
  <c r="AZ4" i="3"/>
  <c r="BL4" i="3"/>
  <c r="BM4" i="3" s="1"/>
  <c r="P5" i="3"/>
  <c r="AB5" i="3"/>
  <c r="AN5" i="3"/>
  <c r="AZ5" i="3"/>
  <c r="BL5" i="3"/>
  <c r="BM5" i="3" s="1"/>
  <c r="P6" i="3"/>
  <c r="AB6" i="3"/>
  <c r="AN6" i="3"/>
  <c r="AZ6" i="3"/>
  <c r="BL6" i="3"/>
  <c r="P7" i="3"/>
  <c r="AB7" i="3"/>
  <c r="AN7" i="3"/>
  <c r="AZ7" i="3"/>
  <c r="BL7" i="3"/>
  <c r="P8" i="3"/>
  <c r="AB8" i="3"/>
  <c r="AN8" i="3"/>
  <c r="AZ8" i="3"/>
  <c r="BL8" i="3"/>
  <c r="Q9" i="3"/>
  <c r="AE9" i="3"/>
  <c r="AT9" i="3"/>
  <c r="BH9" i="3"/>
  <c r="N10" i="3"/>
  <c r="AC10" i="3"/>
  <c r="AQ10" i="3"/>
  <c r="BD10" i="3"/>
  <c r="AR10" i="3"/>
  <c r="AF10" i="3"/>
  <c r="T10" i="3"/>
  <c r="H10" i="3"/>
  <c r="BD9" i="3"/>
  <c r="AR9" i="3"/>
  <c r="AF9" i="3"/>
  <c r="T9" i="3"/>
  <c r="H9" i="3"/>
  <c r="BL10" i="3"/>
  <c r="AZ10" i="3"/>
  <c r="AN10" i="3"/>
  <c r="AB10" i="3"/>
  <c r="P10" i="3"/>
  <c r="BL9" i="3"/>
  <c r="AZ9" i="3"/>
  <c r="AN9" i="3"/>
  <c r="AB9" i="3"/>
  <c r="Q4" i="3"/>
  <c r="AC4" i="3"/>
  <c r="AO4" i="3"/>
  <c r="BA4" i="3"/>
  <c r="E5" i="3"/>
  <c r="Q5" i="3"/>
  <c r="AC5" i="3"/>
  <c r="AO5" i="3"/>
  <c r="BA5" i="3"/>
  <c r="E6" i="3"/>
  <c r="Q6" i="3"/>
  <c r="AC6" i="3"/>
  <c r="AO6" i="3"/>
  <c r="BA6" i="3"/>
  <c r="E7" i="3"/>
  <c r="Q7" i="3"/>
  <c r="AC7" i="3"/>
  <c r="AO7" i="3"/>
  <c r="BA7" i="3"/>
  <c r="E8" i="3"/>
  <c r="Q8" i="3"/>
  <c r="AC8" i="3"/>
  <c r="AO8" i="3"/>
  <c r="BA8" i="3"/>
  <c r="E9" i="3"/>
  <c r="R9" i="3"/>
  <c r="AG9" i="3"/>
  <c r="AU9" i="3"/>
  <c r="BI9" i="3"/>
  <c r="O10" i="3"/>
  <c r="AD10" i="3"/>
  <c r="AS10" i="3"/>
  <c r="BG10" i="3"/>
  <c r="I39" i="2"/>
  <c r="F4" i="3"/>
  <c r="R4" i="3"/>
  <c r="AD4" i="3"/>
  <c r="AP4" i="3"/>
  <c r="BB4" i="3"/>
  <c r="F5" i="3"/>
  <c r="R5" i="3"/>
  <c r="AD5" i="3"/>
  <c r="AP5" i="3"/>
  <c r="BB5" i="3"/>
  <c r="F6" i="3"/>
  <c r="R6" i="3"/>
  <c r="AD6" i="3"/>
  <c r="AP6" i="3"/>
  <c r="BB6" i="3"/>
  <c r="F7" i="3"/>
  <c r="R7" i="3"/>
  <c r="AD7" i="3"/>
  <c r="AP7" i="3"/>
  <c r="BB7" i="3"/>
  <c r="F8" i="3"/>
  <c r="R8" i="3"/>
  <c r="AD8" i="3"/>
  <c r="AP8" i="3"/>
  <c r="BB8" i="3"/>
  <c r="F9" i="3"/>
  <c r="S9" i="3"/>
  <c r="AH9" i="3"/>
  <c r="AV9" i="3"/>
  <c r="BJ9" i="3"/>
  <c r="Q10" i="3"/>
  <c r="AE10" i="3"/>
  <c r="AT10" i="3"/>
  <c r="BH10" i="3"/>
  <c r="G4" i="3"/>
  <c r="S4" i="3"/>
  <c r="AE4" i="3"/>
  <c r="AQ4" i="3"/>
  <c r="BC4" i="3"/>
  <c r="G5" i="3"/>
  <c r="S5" i="3"/>
  <c r="AE5" i="3"/>
  <c r="AQ5" i="3"/>
  <c r="BC5" i="3"/>
  <c r="G6" i="3"/>
  <c r="S6" i="3"/>
  <c r="AE6" i="3"/>
  <c r="AQ6" i="3"/>
  <c r="BC6" i="3"/>
  <c r="G7" i="3"/>
  <c r="S7" i="3"/>
  <c r="AE7" i="3"/>
  <c r="AQ7" i="3"/>
  <c r="BC7" i="3"/>
  <c r="G8" i="3"/>
  <c r="S8" i="3"/>
  <c r="AE8" i="3"/>
  <c r="AQ8" i="3"/>
  <c r="BC8" i="3"/>
  <c r="G9" i="3"/>
  <c r="U9" i="3"/>
  <c r="AI9" i="3"/>
  <c r="AW9" i="3"/>
  <c r="BK9" i="3"/>
  <c r="R10" i="3"/>
  <c r="AG10" i="3"/>
  <c r="AU10" i="3"/>
  <c r="BI10" i="3"/>
  <c r="H4" i="3"/>
  <c r="T4" i="3"/>
  <c r="AF4" i="3"/>
  <c r="AR4" i="3"/>
  <c r="BD4" i="3"/>
  <c r="H5" i="3"/>
  <c r="T5" i="3"/>
  <c r="AF5" i="3"/>
  <c r="AR5" i="3"/>
  <c r="BD5" i="3"/>
  <c r="H6" i="3"/>
  <c r="T6" i="3"/>
  <c r="AF6" i="3"/>
  <c r="AR6" i="3"/>
  <c r="BD6" i="3"/>
  <c r="H7" i="3"/>
  <c r="T7" i="3"/>
  <c r="AF7" i="3"/>
  <c r="AR7" i="3"/>
  <c r="BD7" i="3"/>
  <c r="H8" i="3"/>
  <c r="T8" i="3"/>
  <c r="AF8" i="3"/>
  <c r="AR8" i="3"/>
  <c r="BD8" i="3"/>
  <c r="I9" i="3"/>
  <c r="V9" i="3"/>
  <c r="AJ9" i="3"/>
  <c r="AX9" i="3"/>
  <c r="E10" i="3"/>
  <c r="S10" i="3"/>
  <c r="AH10" i="3"/>
  <c r="AV10" i="3"/>
  <c r="BJ10" i="3"/>
  <c r="I4" i="3"/>
  <c r="U4" i="3"/>
  <c r="AG4" i="3"/>
  <c r="AS4" i="3"/>
  <c r="BE4" i="3"/>
  <c r="I5" i="3"/>
  <c r="U5" i="3"/>
  <c r="AG5" i="3"/>
  <c r="AS5" i="3"/>
  <c r="BE5" i="3"/>
  <c r="I6" i="3"/>
  <c r="U6" i="3"/>
  <c r="AG6" i="3"/>
  <c r="AS6" i="3"/>
  <c r="BE6" i="3"/>
  <c r="I7" i="3"/>
  <c r="U7" i="3"/>
  <c r="AG7" i="3"/>
  <c r="AS7" i="3"/>
  <c r="BE7" i="3"/>
  <c r="I8" i="3"/>
  <c r="U8" i="3"/>
  <c r="AG8" i="3"/>
  <c r="AS8" i="3"/>
  <c r="BE8" i="3"/>
  <c r="J9" i="3"/>
  <c r="W9" i="3"/>
  <c r="AK9" i="3"/>
  <c r="AY9" i="3"/>
  <c r="F10" i="3"/>
  <c r="U10" i="3"/>
  <c r="AI10" i="3"/>
  <c r="AW10" i="3"/>
  <c r="BK10" i="3"/>
  <c r="C278" i="4" l="1" a="1"/>
  <c r="C281" i="4" s="1"/>
  <c r="D281" i="4" s="1"/>
  <c r="G98" i="4" a="1"/>
  <c r="G98" i="4" s="1"/>
  <c r="C309" i="4"/>
  <c r="C308" i="4"/>
  <c r="BM6" i="3"/>
  <c r="BM10" i="3"/>
  <c r="BM8" i="3"/>
  <c r="E21" i="3" s="1" a="1"/>
  <c r="BM7" i="3"/>
  <c r="D16" i="3" s="1" a="1"/>
  <c r="K36" i="2"/>
  <c r="K41" i="2"/>
  <c r="K40" i="2"/>
  <c r="K39" i="2"/>
  <c r="K38" i="2"/>
  <c r="K37" i="2"/>
  <c r="C336" i="4"/>
  <c r="C335" i="4"/>
  <c r="XEZ28" i="3" a="1"/>
  <c r="XEZ28" i="3" s="1"/>
  <c r="XET28" i="3" a="1"/>
  <c r="XET28" i="3" s="1"/>
  <c r="XEN28" i="3" a="1"/>
  <c r="XEN28" i="3" s="1"/>
  <c r="XEH28" i="3" a="1"/>
  <c r="XEH28" i="3" s="1"/>
  <c r="XEB28" i="3" a="1"/>
  <c r="XEB28" i="3" s="1"/>
  <c r="XDV28" i="3" a="1"/>
  <c r="XDV28" i="3" s="1"/>
  <c r="XDP28" i="3" a="1"/>
  <c r="XDP28" i="3" s="1"/>
  <c r="XDJ28" i="3" a="1"/>
  <c r="XDJ28" i="3" s="1"/>
  <c r="XDD28" i="3" a="1"/>
  <c r="XDD28" i="3" s="1"/>
  <c r="XCX28" i="3" a="1"/>
  <c r="XCX28" i="3" s="1"/>
  <c r="XCR28" i="3" a="1"/>
  <c r="XCR28" i="3" s="1"/>
  <c r="XCL28" i="3" a="1"/>
  <c r="XCL28" i="3" s="1"/>
  <c r="XCF28" i="3" a="1"/>
  <c r="XCF28" i="3" s="1"/>
  <c r="XBZ28" i="3" a="1"/>
  <c r="XBZ28" i="3" s="1"/>
  <c r="XBT28" i="3" a="1"/>
  <c r="XBT28" i="3" s="1"/>
  <c r="XBN28" i="3" a="1"/>
  <c r="XBN28" i="3" s="1"/>
  <c r="XEY28" i="3" a="1"/>
  <c r="XEY28" i="3" s="1"/>
  <c r="XES28" i="3" a="1"/>
  <c r="XES28" i="3" s="1"/>
  <c r="XEM28" i="3" a="1"/>
  <c r="XEM28" i="3" s="1"/>
  <c r="XEG28" i="3" a="1"/>
  <c r="XEG28" i="3" s="1"/>
  <c r="XEA28" i="3" a="1"/>
  <c r="XEA28" i="3" s="1"/>
  <c r="XDU28" i="3" a="1"/>
  <c r="XDU28" i="3" s="1"/>
  <c r="XDO28" i="3" a="1"/>
  <c r="XDO28" i="3" s="1"/>
  <c r="XDI28" i="3" a="1"/>
  <c r="XDI28" i="3" s="1"/>
  <c r="XDC28" i="3" a="1"/>
  <c r="XDC28" i="3" s="1"/>
  <c r="XCW28" i="3" a="1"/>
  <c r="XCW28" i="3" s="1"/>
  <c r="XCQ28" i="3" a="1"/>
  <c r="XCQ28" i="3" s="1"/>
  <c r="XCK28" i="3" a="1"/>
  <c r="XCK28" i="3" s="1"/>
  <c r="XCE28" i="3" a="1"/>
  <c r="XCE28" i="3" s="1"/>
  <c r="XBY28" i="3" a="1"/>
  <c r="XBY28" i="3" s="1"/>
  <c r="XBS28" i="3" a="1"/>
  <c r="XBS28" i="3" s="1"/>
  <c r="XBM28" i="3" a="1"/>
  <c r="XBM28" i="3" s="1"/>
  <c r="XFD28" i="3" a="1"/>
  <c r="XFD28" i="3" s="1"/>
  <c r="XEX28" i="3" a="1"/>
  <c r="XEX28" i="3" s="1"/>
  <c r="XER28" i="3" a="1"/>
  <c r="XER28" i="3" s="1"/>
  <c r="XEL28" i="3" a="1"/>
  <c r="XEL28" i="3" s="1"/>
  <c r="XEF28" i="3" a="1"/>
  <c r="XEF28" i="3" s="1"/>
  <c r="XDZ28" i="3" a="1"/>
  <c r="XDZ28" i="3" s="1"/>
  <c r="XDT28" i="3" a="1"/>
  <c r="XDT28" i="3" s="1"/>
  <c r="XDN28" i="3" a="1"/>
  <c r="XDN28" i="3" s="1"/>
  <c r="XFC28" i="3" a="1"/>
  <c r="XFC28" i="3" s="1"/>
  <c r="XEW28" i="3" a="1"/>
  <c r="XEW28" i="3" s="1"/>
  <c r="XEQ28" i="3" a="1"/>
  <c r="XEQ28" i="3" s="1"/>
  <c r="XEK28" i="3" a="1"/>
  <c r="XEK28" i="3" s="1"/>
  <c r="XEE28" i="3" a="1"/>
  <c r="XEE28" i="3" s="1"/>
  <c r="XDY28" i="3" a="1"/>
  <c r="XDY28" i="3" s="1"/>
  <c r="XDS28" i="3" a="1"/>
  <c r="XDS28" i="3" s="1"/>
  <c r="XDM28" i="3" a="1"/>
  <c r="XDM28" i="3" s="1"/>
  <c r="XDG28" i="3" a="1"/>
  <c r="XDG28" i="3" s="1"/>
  <c r="XDA28" i="3" a="1"/>
  <c r="XDA28" i="3" s="1"/>
  <c r="XCU28" i="3" a="1"/>
  <c r="XCU28" i="3" s="1"/>
  <c r="XFB28" i="3" a="1"/>
  <c r="XFB28" i="3" s="1"/>
  <c r="XEV28" i="3" a="1"/>
  <c r="XEV28" i="3" s="1"/>
  <c r="XEP28" i="3" a="1"/>
  <c r="XEP28" i="3" s="1"/>
  <c r="XEJ28" i="3" a="1"/>
  <c r="XEJ28" i="3" s="1"/>
  <c r="XED28" i="3" a="1"/>
  <c r="XED28" i="3" s="1"/>
  <c r="XDE28" i="3" a="1"/>
  <c r="XDE28" i="3" s="1"/>
  <c r="XCS28" i="3" a="1"/>
  <c r="XCS28" i="3" s="1"/>
  <c r="XCH28" i="3" a="1"/>
  <c r="XCH28" i="3" s="1"/>
  <c r="XBW28" i="3" a="1"/>
  <c r="XBW28" i="3" s="1"/>
  <c r="XAW28" i="3" a="1"/>
  <c r="XAW28" i="3" s="1"/>
  <c r="XAO28" i="3" a="1"/>
  <c r="XAO28" i="3" s="1"/>
  <c r="WZY28" i="3" a="1"/>
  <c r="WZY28" i="3" s="1"/>
  <c r="WZQ28" i="3" a="1"/>
  <c r="WZQ28" i="3" s="1"/>
  <c r="WZA28" i="3" a="1"/>
  <c r="WZA28" i="3" s="1"/>
  <c r="WYS28" i="3" a="1"/>
  <c r="WYS28" i="3" s="1"/>
  <c r="WYF28" i="3" a="1"/>
  <c r="WYF28" i="3" s="1"/>
  <c r="WXZ28" i="3" a="1"/>
  <c r="WXZ28" i="3" s="1"/>
  <c r="WXT28" i="3" a="1"/>
  <c r="WXT28" i="3" s="1"/>
  <c r="WXN28" i="3" a="1"/>
  <c r="WXN28" i="3" s="1"/>
  <c r="WXH28" i="3" a="1"/>
  <c r="WXH28" i="3" s="1"/>
  <c r="WXB28" i="3" a="1"/>
  <c r="WXB28" i="3" s="1"/>
  <c r="WWV28" i="3" a="1"/>
  <c r="WWV28" i="3" s="1"/>
  <c r="WWP28" i="3" a="1"/>
  <c r="WWP28" i="3" s="1"/>
  <c r="WWJ28" i="3" a="1"/>
  <c r="WWJ28" i="3" s="1"/>
  <c r="WWD28" i="3" a="1"/>
  <c r="WWD28" i="3" s="1"/>
  <c r="WVX28" i="3" a="1"/>
  <c r="WVX28" i="3" s="1"/>
  <c r="WVR28" i="3" a="1"/>
  <c r="WVR28" i="3" s="1"/>
  <c r="WVL28" i="3" a="1"/>
  <c r="WVL28" i="3" s="1"/>
  <c r="WVF28" i="3" a="1"/>
  <c r="WVF28" i="3" s="1"/>
  <c r="WUZ28" i="3" a="1"/>
  <c r="WUZ28" i="3" s="1"/>
  <c r="WUT28" i="3" a="1"/>
  <c r="WUT28" i="3" s="1"/>
  <c r="WUN28" i="3" a="1"/>
  <c r="WUN28" i="3" s="1"/>
  <c r="WUH28" i="3" a="1"/>
  <c r="WUH28" i="3" s="1"/>
  <c r="WUB28" i="3" a="1"/>
  <c r="WUB28" i="3" s="1"/>
  <c r="WTV28" i="3" a="1"/>
  <c r="WTV28" i="3" s="1"/>
  <c r="WTP28" i="3" a="1"/>
  <c r="WTP28" i="3" s="1"/>
  <c r="WTJ28" i="3" a="1"/>
  <c r="WTJ28" i="3" s="1"/>
  <c r="WTD28" i="3" a="1"/>
  <c r="WTD28" i="3" s="1"/>
  <c r="WSX28" i="3" a="1"/>
  <c r="WSX28" i="3" s="1"/>
  <c r="WSR28" i="3" a="1"/>
  <c r="WSR28" i="3" s="1"/>
  <c r="WSL28" i="3" a="1"/>
  <c r="WSL28" i="3" s="1"/>
  <c r="WSF28" i="3" a="1"/>
  <c r="WSF28" i="3" s="1"/>
  <c r="WRZ28" i="3" a="1"/>
  <c r="WRZ28" i="3" s="1"/>
  <c r="WRT28" i="3" a="1"/>
  <c r="WRT28" i="3" s="1"/>
  <c r="WRN28" i="3" a="1"/>
  <c r="WRN28" i="3" s="1"/>
  <c r="WRH28" i="3" a="1"/>
  <c r="WRH28" i="3" s="1"/>
  <c r="WRB28" i="3" a="1"/>
  <c r="WRB28" i="3" s="1"/>
  <c r="WQV28" i="3" a="1"/>
  <c r="WQV28" i="3" s="1"/>
  <c r="WQP28" i="3" a="1"/>
  <c r="WQP28" i="3" s="1"/>
  <c r="WQJ28" i="3" a="1"/>
  <c r="WQJ28" i="3" s="1"/>
  <c r="WQD28" i="3" a="1"/>
  <c r="WQD28" i="3" s="1"/>
  <c r="WPX28" i="3" a="1"/>
  <c r="WPX28" i="3" s="1"/>
  <c r="WPR28" i="3" a="1"/>
  <c r="WPR28" i="3" s="1"/>
  <c r="WPL28" i="3" a="1"/>
  <c r="WPL28" i="3" s="1"/>
  <c r="WPF28" i="3" a="1"/>
  <c r="WPF28" i="3" s="1"/>
  <c r="WOZ28" i="3" a="1"/>
  <c r="WOZ28" i="3" s="1"/>
  <c r="WOT28" i="3" a="1"/>
  <c r="WOT28" i="3" s="1"/>
  <c r="WON28" i="3" a="1"/>
  <c r="WON28" i="3" s="1"/>
  <c r="WOH28" i="3" a="1"/>
  <c r="WOH28" i="3" s="1"/>
  <c r="WOB28" i="3" a="1"/>
  <c r="WOB28" i="3" s="1"/>
  <c r="WNV28" i="3" a="1"/>
  <c r="WNV28" i="3" s="1"/>
  <c r="WNP28" i="3" a="1"/>
  <c r="WNP28" i="3" s="1"/>
  <c r="WNJ28" i="3" a="1"/>
  <c r="WNJ28" i="3" s="1"/>
  <c r="WND28" i="3" a="1"/>
  <c r="WND28" i="3" s="1"/>
  <c r="WMX28" i="3" a="1"/>
  <c r="WMX28" i="3" s="1"/>
  <c r="WMR28" i="3" a="1"/>
  <c r="WMR28" i="3" s="1"/>
  <c r="WML28" i="3" a="1"/>
  <c r="WML28" i="3" s="1"/>
  <c r="XDQ28" i="3" a="1"/>
  <c r="XDQ28" i="3" s="1"/>
  <c r="XBL28" i="3" a="1"/>
  <c r="XBL28" i="3" s="1"/>
  <c r="XBD28" i="3" a="1"/>
  <c r="XBD28" i="3" s="1"/>
  <c r="XAN28" i="3" a="1"/>
  <c r="XAN28" i="3" s="1"/>
  <c r="XAF28" i="3" a="1"/>
  <c r="XAF28" i="3" s="1"/>
  <c r="WZP28" i="3" a="1"/>
  <c r="WZP28" i="3" s="1"/>
  <c r="WZH28" i="3" a="1"/>
  <c r="WZH28" i="3" s="1"/>
  <c r="WYL28" i="3" a="1"/>
  <c r="WYL28" i="3" s="1"/>
  <c r="XDB28" i="3" a="1"/>
  <c r="XDB28" i="3" s="1"/>
  <c r="XCP28" i="3" a="1"/>
  <c r="XCP28" i="3" s="1"/>
  <c r="XCG28" i="3" a="1"/>
  <c r="XCG28" i="3" s="1"/>
  <c r="XBV28" i="3" a="1"/>
  <c r="XBV28" i="3" s="1"/>
  <c r="XBK28" i="3" a="1"/>
  <c r="XBK28" i="3" s="1"/>
  <c r="XAV28" i="3" a="1"/>
  <c r="XAV28" i="3" s="1"/>
  <c r="XAM28" i="3" a="1"/>
  <c r="XAM28" i="3" s="1"/>
  <c r="WZX28" i="3" a="1"/>
  <c r="WZX28" i="3" s="1"/>
  <c r="WZO28" i="3" a="1"/>
  <c r="WZO28" i="3" s="1"/>
  <c r="WYZ28" i="3" a="1"/>
  <c r="WYZ28" i="3" s="1"/>
  <c r="WYR28" i="3" a="1"/>
  <c r="WYR28" i="3" s="1"/>
  <c r="WYE28" i="3" a="1"/>
  <c r="WYE28" i="3" s="1"/>
  <c r="WXY28" i="3" a="1"/>
  <c r="WXY28" i="3" s="1"/>
  <c r="WXS28" i="3" a="1"/>
  <c r="WXS28" i="3" s="1"/>
  <c r="WXM28" i="3" a="1"/>
  <c r="WXM28" i="3" s="1"/>
  <c r="WXG28" i="3" a="1"/>
  <c r="WXG28" i="3" s="1"/>
  <c r="WXA28" i="3" a="1"/>
  <c r="WXA28" i="3" s="1"/>
  <c r="WWU28" i="3" a="1"/>
  <c r="WWU28" i="3" s="1"/>
  <c r="WWO28" i="3" a="1"/>
  <c r="WWO28" i="3" s="1"/>
  <c r="WWI28" i="3" a="1"/>
  <c r="WWI28" i="3" s="1"/>
  <c r="WWC28" i="3" a="1"/>
  <c r="WWC28" i="3" s="1"/>
  <c r="WVW28" i="3" a="1"/>
  <c r="WVW28" i="3" s="1"/>
  <c r="WVQ28" i="3" a="1"/>
  <c r="WVQ28" i="3" s="1"/>
  <c r="WVK28" i="3" a="1"/>
  <c r="WVK28" i="3" s="1"/>
  <c r="WVE28" i="3" a="1"/>
  <c r="WVE28" i="3" s="1"/>
  <c r="WUY28" i="3" a="1"/>
  <c r="WUY28" i="3" s="1"/>
  <c r="WUS28" i="3" a="1"/>
  <c r="WUS28" i="3" s="1"/>
  <c r="WUM28" i="3" a="1"/>
  <c r="WUM28" i="3" s="1"/>
  <c r="WUG28" i="3" a="1"/>
  <c r="WUG28" i="3" s="1"/>
  <c r="WUA28" i="3" a="1"/>
  <c r="WUA28" i="3" s="1"/>
  <c r="WTU28" i="3" a="1"/>
  <c r="WTU28" i="3" s="1"/>
  <c r="WTO28" i="3" a="1"/>
  <c r="WTO28" i="3" s="1"/>
  <c r="WTI28" i="3" a="1"/>
  <c r="WTI28" i="3" s="1"/>
  <c r="XEU28" i="3" a="1"/>
  <c r="XEU28" i="3" s="1"/>
  <c r="XEC28" i="3" a="1"/>
  <c r="XEC28" i="3" s="1"/>
  <c r="XCO28" i="3" a="1"/>
  <c r="XCO28" i="3" s="1"/>
  <c r="XBC28" i="3" a="1"/>
  <c r="XBC28" i="3" s="1"/>
  <c r="XAU28" i="3" a="1"/>
  <c r="XAU28" i="3" s="1"/>
  <c r="XAE28" i="3" a="1"/>
  <c r="XAE28" i="3" s="1"/>
  <c r="WZW28" i="3" a="1"/>
  <c r="WZW28" i="3" s="1"/>
  <c r="WZG28" i="3" a="1"/>
  <c r="WZG28" i="3" s="1"/>
  <c r="WYY28" i="3" a="1"/>
  <c r="WYY28" i="3" s="1"/>
  <c r="WYK28" i="3" a="1"/>
  <c r="WYK28" i="3" s="1"/>
  <c r="XDL28" i="3" a="1"/>
  <c r="XDL28" i="3" s="1"/>
  <c r="XCZ28" i="3" a="1"/>
  <c r="XCZ28" i="3" s="1"/>
  <c r="XCD28" i="3" a="1"/>
  <c r="XCD28" i="3" s="1"/>
  <c r="XBU28" i="3" a="1"/>
  <c r="XBU28" i="3" s="1"/>
  <c r="XBJ28" i="3" a="1"/>
  <c r="XBJ28" i="3" s="1"/>
  <c r="XAT28" i="3" a="1"/>
  <c r="XAT28" i="3" s="1"/>
  <c r="XAL28" i="3" a="1"/>
  <c r="XAL28" i="3" s="1"/>
  <c r="WZV28" i="3" a="1"/>
  <c r="WZV28" i="3" s="1"/>
  <c r="WZN28" i="3" a="1"/>
  <c r="WZN28" i="3" s="1"/>
  <c r="WYX28" i="3" a="1"/>
  <c r="WYX28" i="3" s="1"/>
  <c r="WYQ28" i="3" a="1"/>
  <c r="WYQ28" i="3" s="1"/>
  <c r="WYD28" i="3" a="1"/>
  <c r="WYD28" i="3" s="1"/>
  <c r="WXX28" i="3" a="1"/>
  <c r="WXX28" i="3" s="1"/>
  <c r="WXR28" i="3" a="1"/>
  <c r="WXR28" i="3" s="1"/>
  <c r="WXL28" i="3" a="1"/>
  <c r="WXL28" i="3" s="1"/>
  <c r="WXF28" i="3" a="1"/>
  <c r="WXF28" i="3" s="1"/>
  <c r="WWZ28" i="3" a="1"/>
  <c r="WWZ28" i="3" s="1"/>
  <c r="WWT28" i="3" a="1"/>
  <c r="WWT28" i="3" s="1"/>
  <c r="WWN28" i="3" a="1"/>
  <c r="WWN28" i="3" s="1"/>
  <c r="WWH28" i="3" a="1"/>
  <c r="WWH28" i="3" s="1"/>
  <c r="WWB28" i="3" a="1"/>
  <c r="WWB28" i="3" s="1"/>
  <c r="WVV28" i="3" a="1"/>
  <c r="WVV28" i="3" s="1"/>
  <c r="WVP28" i="3" a="1"/>
  <c r="WVP28" i="3" s="1"/>
  <c r="WVJ28" i="3" a="1"/>
  <c r="WVJ28" i="3" s="1"/>
  <c r="WVD28" i="3" a="1"/>
  <c r="WVD28" i="3" s="1"/>
  <c r="WUX28" i="3" a="1"/>
  <c r="WUX28" i="3" s="1"/>
  <c r="WUR28" i="3" a="1"/>
  <c r="WUR28" i="3" s="1"/>
  <c r="WUL28" i="3" a="1"/>
  <c r="WUL28" i="3" s="1"/>
  <c r="WUF28" i="3" a="1"/>
  <c r="WUF28" i="3" s="1"/>
  <c r="WTZ28" i="3" a="1"/>
  <c r="WTZ28" i="3" s="1"/>
  <c r="WTT28" i="3" a="1"/>
  <c r="WTT28" i="3" s="1"/>
  <c r="WTN28" i="3" a="1"/>
  <c r="WTN28" i="3" s="1"/>
  <c r="WTH28" i="3" a="1"/>
  <c r="WTH28" i="3" s="1"/>
  <c r="WTB28" i="3" a="1"/>
  <c r="WTB28" i="3" s="1"/>
  <c r="WSV28" i="3" a="1"/>
  <c r="WSV28" i="3" s="1"/>
  <c r="WSP28" i="3" a="1"/>
  <c r="WSP28" i="3" s="1"/>
  <c r="WSJ28" i="3" a="1"/>
  <c r="WSJ28" i="3" s="1"/>
  <c r="WSD28" i="3" a="1"/>
  <c r="WSD28" i="3" s="1"/>
  <c r="WRX28" i="3" a="1"/>
  <c r="WRX28" i="3" s="1"/>
  <c r="WRR28" i="3" a="1"/>
  <c r="WRR28" i="3" s="1"/>
  <c r="WRL28" i="3" a="1"/>
  <c r="WRL28" i="3" s="1"/>
  <c r="WRF28" i="3" a="1"/>
  <c r="WRF28" i="3" s="1"/>
  <c r="WQZ28" i="3" a="1"/>
  <c r="WQZ28" i="3" s="1"/>
  <c r="WQT28" i="3" a="1"/>
  <c r="WQT28" i="3" s="1"/>
  <c r="WQN28" i="3" a="1"/>
  <c r="WQN28" i="3" s="1"/>
  <c r="WQH28" i="3" a="1"/>
  <c r="WQH28" i="3" s="1"/>
  <c r="WQB28" i="3" a="1"/>
  <c r="WQB28" i="3" s="1"/>
  <c r="WPV28" i="3" a="1"/>
  <c r="WPV28" i="3" s="1"/>
  <c r="WPP28" i="3" a="1"/>
  <c r="WPP28" i="3" s="1"/>
  <c r="WPJ28" i="3" a="1"/>
  <c r="WPJ28" i="3" s="1"/>
  <c r="WPD28" i="3" a="1"/>
  <c r="WPD28" i="3" s="1"/>
  <c r="WOX28" i="3" a="1"/>
  <c r="WOX28" i="3" s="1"/>
  <c r="WOR28" i="3" a="1"/>
  <c r="WOR28" i="3" s="1"/>
  <c r="WOL28" i="3" a="1"/>
  <c r="WOL28" i="3" s="1"/>
  <c r="WOF28" i="3" a="1"/>
  <c r="WOF28" i="3" s="1"/>
  <c r="WNZ28" i="3" a="1"/>
  <c r="WNZ28" i="3" s="1"/>
  <c r="WNT28" i="3" a="1"/>
  <c r="WNT28" i="3" s="1"/>
  <c r="WNN28" i="3" a="1"/>
  <c r="WNN28" i="3" s="1"/>
  <c r="WNH28" i="3" a="1"/>
  <c r="WNH28" i="3" s="1"/>
  <c r="WNB28" i="3" a="1"/>
  <c r="WNB28" i="3" s="1"/>
  <c r="WMV28" i="3" a="1"/>
  <c r="WMV28" i="3" s="1"/>
  <c r="WMP28" i="3" a="1"/>
  <c r="WMP28" i="3" s="1"/>
  <c r="WMJ28" i="3" a="1"/>
  <c r="WMJ28" i="3" s="1"/>
  <c r="XCN28" i="3" a="1"/>
  <c r="XCN28" i="3" s="1"/>
  <c r="XCC28" i="3" a="1"/>
  <c r="XCC28" i="3" s="1"/>
  <c r="XBB28" i="3" a="1"/>
  <c r="XBB28" i="3" s="1"/>
  <c r="XAS28" i="3" a="1"/>
  <c r="XAS28" i="3" s="1"/>
  <c r="XAD28" i="3" a="1"/>
  <c r="XAD28" i="3" s="1"/>
  <c r="WZU28" i="3" a="1"/>
  <c r="WZU28" i="3" s="1"/>
  <c r="WZF28" i="3" a="1"/>
  <c r="WZF28" i="3" s="1"/>
  <c r="WYW28" i="3" a="1"/>
  <c r="WYW28" i="3" s="1"/>
  <c r="WYJ28" i="3" a="1"/>
  <c r="WYJ28" i="3" s="1"/>
  <c r="XDX28" i="3" a="1"/>
  <c r="XDX28" i="3" s="1"/>
  <c r="XDK28" i="3" a="1"/>
  <c r="XDK28" i="3" s="1"/>
  <c r="XCY28" i="3" a="1"/>
  <c r="XCY28" i="3" s="1"/>
  <c r="XBR28" i="3" a="1"/>
  <c r="XBR28" i="3" s="1"/>
  <c r="XBI28" i="3" a="1"/>
  <c r="XBI28" i="3" s="1"/>
  <c r="XBA28" i="3" a="1"/>
  <c r="XBA28" i="3" s="1"/>
  <c r="XAK28" i="3" a="1"/>
  <c r="XAK28" i="3" s="1"/>
  <c r="XAC28" i="3" a="1"/>
  <c r="XAC28" i="3" s="1"/>
  <c r="WZM28" i="3" a="1"/>
  <c r="WZM28" i="3" s="1"/>
  <c r="WZE28" i="3" a="1"/>
  <c r="WZE28" i="3" s="1"/>
  <c r="WYP28" i="3" a="1"/>
  <c r="WYP28" i="3" s="1"/>
  <c r="WYC28" i="3" a="1"/>
  <c r="WYC28" i="3" s="1"/>
  <c r="WXW28" i="3" a="1"/>
  <c r="WXW28" i="3" s="1"/>
  <c r="WXQ28" i="3" a="1"/>
  <c r="WXQ28" i="3" s="1"/>
  <c r="WXK28" i="3" a="1"/>
  <c r="WXK28" i="3" s="1"/>
  <c r="WXE28" i="3" a="1"/>
  <c r="WXE28" i="3" s="1"/>
  <c r="WWY28" i="3" a="1"/>
  <c r="WWY28" i="3" s="1"/>
  <c r="WWS28" i="3" a="1"/>
  <c r="WWS28" i="3" s="1"/>
  <c r="WWM28" i="3" a="1"/>
  <c r="WWM28" i="3" s="1"/>
  <c r="WWG28" i="3" a="1"/>
  <c r="WWG28" i="3" s="1"/>
  <c r="WWA28" i="3" a="1"/>
  <c r="WWA28" i="3" s="1"/>
  <c r="WVU28" i="3" a="1"/>
  <c r="WVU28" i="3" s="1"/>
  <c r="WVO28" i="3" a="1"/>
  <c r="WVO28" i="3" s="1"/>
  <c r="WVI28" i="3" a="1"/>
  <c r="WVI28" i="3" s="1"/>
  <c r="WVC28" i="3" a="1"/>
  <c r="WVC28" i="3" s="1"/>
  <c r="WUW28" i="3" a="1"/>
  <c r="WUW28" i="3" s="1"/>
  <c r="WUQ28" i="3" a="1"/>
  <c r="WUQ28" i="3" s="1"/>
  <c r="WUK28" i="3" a="1"/>
  <c r="WUK28" i="3" s="1"/>
  <c r="WUE28" i="3" a="1"/>
  <c r="WUE28" i="3" s="1"/>
  <c r="WTY28" i="3" a="1"/>
  <c r="WTY28" i="3" s="1"/>
  <c r="WTS28" i="3" a="1"/>
  <c r="WTS28" i="3" s="1"/>
  <c r="WTM28" i="3" a="1"/>
  <c r="WTM28" i="3" s="1"/>
  <c r="WTG28" i="3" a="1"/>
  <c r="WTG28" i="3" s="1"/>
  <c r="WTA28" i="3" a="1"/>
  <c r="WTA28" i="3" s="1"/>
  <c r="WSU28" i="3" a="1"/>
  <c r="WSU28" i="3" s="1"/>
  <c r="WSO28" i="3" a="1"/>
  <c r="WSO28" i="3" s="1"/>
  <c r="WSI28" i="3" a="1"/>
  <c r="WSI28" i="3" s="1"/>
  <c r="WSC28" i="3" a="1"/>
  <c r="WSC28" i="3" s="1"/>
  <c r="WRW28" i="3" a="1"/>
  <c r="WRW28" i="3" s="1"/>
  <c r="WRQ28" i="3" a="1"/>
  <c r="WRQ28" i="3" s="1"/>
  <c r="WRK28" i="3" a="1"/>
  <c r="WRK28" i="3" s="1"/>
  <c r="WRE28" i="3" a="1"/>
  <c r="WRE28" i="3" s="1"/>
  <c r="WQY28" i="3" a="1"/>
  <c r="WQY28" i="3" s="1"/>
  <c r="WQS28" i="3" a="1"/>
  <c r="WQS28" i="3" s="1"/>
  <c r="WQM28" i="3" a="1"/>
  <c r="WQM28" i="3" s="1"/>
  <c r="XEI28" i="3" a="1"/>
  <c r="XEI28" i="3" s="1"/>
  <c r="XCV28" i="3" a="1"/>
  <c r="XCV28" i="3" s="1"/>
  <c r="XAZ28" i="3" a="1"/>
  <c r="XAZ28" i="3" s="1"/>
  <c r="XAI28" i="3" a="1"/>
  <c r="XAI28" i="3" s="1"/>
  <c r="WZR28" i="3" a="1"/>
  <c r="WZR28" i="3" s="1"/>
  <c r="WYG28" i="3" a="1"/>
  <c r="WYG28" i="3" s="1"/>
  <c r="WST28" i="3" a="1"/>
  <c r="WST28" i="3" s="1"/>
  <c r="WSK28" i="3" a="1"/>
  <c r="WSK28" i="3" s="1"/>
  <c r="WSB28" i="3" a="1"/>
  <c r="WSB28" i="3" s="1"/>
  <c r="WRS28" i="3" a="1"/>
  <c r="WRS28" i="3" s="1"/>
  <c r="WRJ28" i="3" a="1"/>
  <c r="WRJ28" i="3" s="1"/>
  <c r="WRA28" i="3" a="1"/>
  <c r="WRA28" i="3" s="1"/>
  <c r="WQR28" i="3" a="1"/>
  <c r="WQR28" i="3" s="1"/>
  <c r="WQI28" i="3" a="1"/>
  <c r="WQI28" i="3" s="1"/>
  <c r="WQA28" i="3" a="1"/>
  <c r="WQA28" i="3" s="1"/>
  <c r="WPK28" i="3" a="1"/>
  <c r="WPK28" i="3" s="1"/>
  <c r="WPC28" i="3" a="1"/>
  <c r="WPC28" i="3" s="1"/>
  <c r="WOM28" i="3" a="1"/>
  <c r="WOM28" i="3" s="1"/>
  <c r="WOE28" i="3" a="1"/>
  <c r="WOE28" i="3" s="1"/>
  <c r="WNO28" i="3" a="1"/>
  <c r="WNO28" i="3" s="1"/>
  <c r="WNG28" i="3" a="1"/>
  <c r="WNG28" i="3" s="1"/>
  <c r="WMQ28" i="3" a="1"/>
  <c r="WMQ28" i="3" s="1"/>
  <c r="WMI28" i="3" a="1"/>
  <c r="WMI28" i="3" s="1"/>
  <c r="XBX28" i="3" a="1"/>
  <c r="XBX28" i="3" s="1"/>
  <c r="XAY28" i="3" a="1"/>
  <c r="XAY28" i="3" s="1"/>
  <c r="XAH28" i="3" a="1"/>
  <c r="XAH28" i="3" s="1"/>
  <c r="WYU28" i="3" a="1"/>
  <c r="WYU28" i="3" s="1"/>
  <c r="WTC28" i="3" a="1"/>
  <c r="WTC28" i="3" s="1"/>
  <c r="WPS28" i="3" a="1"/>
  <c r="WPS28" i="3" s="1"/>
  <c r="WOU28" i="3" a="1"/>
  <c r="WOU28" i="3" s="1"/>
  <c r="WNW28" i="3" a="1"/>
  <c r="WNW28" i="3" s="1"/>
  <c r="WMY28" i="3" a="1"/>
  <c r="WMY28" i="3" s="1"/>
  <c r="WMB28" i="3" a="1"/>
  <c r="WMB28" i="3" s="1"/>
  <c r="WLV28" i="3" a="1"/>
  <c r="WLV28" i="3" s="1"/>
  <c r="WLP28" i="3" a="1"/>
  <c r="WLP28" i="3" s="1"/>
  <c r="WLJ28" i="3" a="1"/>
  <c r="WLJ28" i="3" s="1"/>
  <c r="WLD28" i="3" a="1"/>
  <c r="WLD28" i="3" s="1"/>
  <c r="WKX28" i="3" a="1"/>
  <c r="WKX28" i="3" s="1"/>
  <c r="WKR28" i="3" a="1"/>
  <c r="WKR28" i="3" s="1"/>
  <c r="WKL28" i="3" a="1"/>
  <c r="WKL28" i="3" s="1"/>
  <c r="WKF28" i="3" a="1"/>
  <c r="WKF28" i="3" s="1"/>
  <c r="WJZ28" i="3" a="1"/>
  <c r="WJZ28" i="3" s="1"/>
  <c r="WJT28" i="3" a="1"/>
  <c r="WJT28" i="3" s="1"/>
  <c r="WJN28" i="3" a="1"/>
  <c r="WJN28" i="3" s="1"/>
  <c r="WJH28" i="3" a="1"/>
  <c r="WJH28" i="3" s="1"/>
  <c r="WJB28" i="3" a="1"/>
  <c r="WJB28" i="3" s="1"/>
  <c r="WIV28" i="3" a="1"/>
  <c r="WIV28" i="3" s="1"/>
  <c r="WIP28" i="3" a="1"/>
  <c r="WIP28" i="3" s="1"/>
  <c r="WIJ28" i="3" a="1"/>
  <c r="WIJ28" i="3" s="1"/>
  <c r="WID28" i="3" a="1"/>
  <c r="WID28" i="3" s="1"/>
  <c r="WHX28" i="3" a="1"/>
  <c r="WHX28" i="3" s="1"/>
  <c r="WHR28" i="3" a="1"/>
  <c r="WHR28" i="3" s="1"/>
  <c r="WHL28" i="3" a="1"/>
  <c r="WHL28" i="3" s="1"/>
  <c r="WHF28" i="3" a="1"/>
  <c r="WHF28" i="3" s="1"/>
  <c r="WGZ28" i="3" a="1"/>
  <c r="WGZ28" i="3" s="1"/>
  <c r="WGT28" i="3" a="1"/>
  <c r="WGT28" i="3" s="1"/>
  <c r="XDW28" i="3" a="1"/>
  <c r="XDW28" i="3" s="1"/>
  <c r="XCT28" i="3" a="1"/>
  <c r="XCT28" i="3" s="1"/>
  <c r="XBQ28" i="3" a="1"/>
  <c r="XBQ28" i="3" s="1"/>
  <c r="XAG28" i="3" a="1"/>
  <c r="XAG28" i="3" s="1"/>
  <c r="WZL28" i="3" a="1"/>
  <c r="WZL28" i="3" s="1"/>
  <c r="WSS28" i="3" a="1"/>
  <c r="WSS28" i="3" s="1"/>
  <c r="WSA28" i="3" a="1"/>
  <c r="WSA28" i="3" s="1"/>
  <c r="WRI28" i="3" a="1"/>
  <c r="WRI28" i="3" s="1"/>
  <c r="WQQ28" i="3" a="1"/>
  <c r="WQQ28" i="3" s="1"/>
  <c r="WPZ28" i="3" a="1"/>
  <c r="WPZ28" i="3" s="1"/>
  <c r="WPB28" i="3" a="1"/>
  <c r="WPB28" i="3" s="1"/>
  <c r="WOD28" i="3" a="1"/>
  <c r="WOD28" i="3" s="1"/>
  <c r="WNF28" i="3" a="1"/>
  <c r="WNF28" i="3" s="1"/>
  <c r="WMH28" i="3" a="1"/>
  <c r="WMH28" i="3" s="1"/>
  <c r="XAX28" i="3" a="1"/>
  <c r="XAX28" i="3" s="1"/>
  <c r="XAB28" i="3" a="1"/>
  <c r="XAB28" i="3" s="1"/>
  <c r="WZK28" i="3" a="1"/>
  <c r="WZK28" i="3" s="1"/>
  <c r="WYT28" i="3" a="1"/>
  <c r="WYT28" i="3" s="1"/>
  <c r="WYB28" i="3" a="1"/>
  <c r="WYB28" i="3" s="1"/>
  <c r="WXP28" i="3" a="1"/>
  <c r="WXP28" i="3" s="1"/>
  <c r="WXD28" i="3" a="1"/>
  <c r="WXD28" i="3" s="1"/>
  <c r="WWR28" i="3" a="1"/>
  <c r="WWR28" i="3" s="1"/>
  <c r="WWF28" i="3" a="1"/>
  <c r="WWF28" i="3" s="1"/>
  <c r="WVT28" i="3" a="1"/>
  <c r="WVT28" i="3" s="1"/>
  <c r="WVH28" i="3" a="1"/>
  <c r="WVH28" i="3" s="1"/>
  <c r="WUV28" i="3" a="1"/>
  <c r="WUV28" i="3" s="1"/>
  <c r="WUJ28" i="3" a="1"/>
  <c r="WUJ28" i="3" s="1"/>
  <c r="WTX28" i="3" a="1"/>
  <c r="WTX28" i="3" s="1"/>
  <c r="WTL28" i="3" a="1"/>
  <c r="WTL28" i="3" s="1"/>
  <c r="WQG28" i="3" a="1"/>
  <c r="WQG28" i="3" s="1"/>
  <c r="WPQ28" i="3" a="1"/>
  <c r="WPQ28" i="3" s="1"/>
  <c r="WPI28" i="3" a="1"/>
  <c r="WPI28" i="3" s="1"/>
  <c r="WOS28" i="3" a="1"/>
  <c r="WOS28" i="3" s="1"/>
  <c r="WOK28" i="3" a="1"/>
  <c r="WOK28" i="3" s="1"/>
  <c r="WNU28" i="3" a="1"/>
  <c r="WNU28" i="3" s="1"/>
  <c r="WNM28" i="3" a="1"/>
  <c r="WNM28" i="3" s="1"/>
  <c r="WMW28" i="3" a="1"/>
  <c r="WMW28" i="3" s="1"/>
  <c r="WMO28" i="3" a="1"/>
  <c r="WMO28" i="3" s="1"/>
  <c r="WMA28" i="3" a="1"/>
  <c r="WMA28" i="3" s="1"/>
  <c r="WLU28" i="3" a="1"/>
  <c r="WLU28" i="3" s="1"/>
  <c r="WLO28" i="3" a="1"/>
  <c r="WLO28" i="3" s="1"/>
  <c r="WLI28" i="3" a="1"/>
  <c r="WLI28" i="3" s="1"/>
  <c r="WLC28" i="3" a="1"/>
  <c r="WLC28" i="3" s="1"/>
  <c r="WKW28" i="3" a="1"/>
  <c r="WKW28" i="3" s="1"/>
  <c r="WKQ28" i="3" a="1"/>
  <c r="WKQ28" i="3" s="1"/>
  <c r="WKK28" i="3" a="1"/>
  <c r="WKK28" i="3" s="1"/>
  <c r="WKE28" i="3" a="1"/>
  <c r="WKE28" i="3" s="1"/>
  <c r="WJY28" i="3" a="1"/>
  <c r="WJY28" i="3" s="1"/>
  <c r="WJS28" i="3" a="1"/>
  <c r="WJS28" i="3" s="1"/>
  <c r="WJM28" i="3" a="1"/>
  <c r="WJM28" i="3" s="1"/>
  <c r="WJG28" i="3" a="1"/>
  <c r="WJG28" i="3" s="1"/>
  <c r="WJA28" i="3" a="1"/>
  <c r="WJA28" i="3" s="1"/>
  <c r="WIU28" i="3" a="1"/>
  <c r="WIU28" i="3" s="1"/>
  <c r="WIO28" i="3" a="1"/>
  <c r="WIO28" i="3" s="1"/>
  <c r="WII28" i="3" a="1"/>
  <c r="WII28" i="3" s="1"/>
  <c r="WIC28" i="3" a="1"/>
  <c r="WIC28" i="3" s="1"/>
  <c r="WHW28" i="3" a="1"/>
  <c r="WHW28" i="3" s="1"/>
  <c r="WHQ28" i="3" a="1"/>
  <c r="WHQ28" i="3" s="1"/>
  <c r="WHK28" i="3" a="1"/>
  <c r="WHK28" i="3" s="1"/>
  <c r="WHE28" i="3" a="1"/>
  <c r="WHE28" i="3" s="1"/>
  <c r="WGY28" i="3" a="1"/>
  <c r="WGY28" i="3" s="1"/>
  <c r="WGS28" i="3" a="1"/>
  <c r="WGS28" i="3" s="1"/>
  <c r="WGM28" i="3" a="1"/>
  <c r="WGM28" i="3" s="1"/>
  <c r="WGG28" i="3" a="1"/>
  <c r="WGG28" i="3" s="1"/>
  <c r="WGA28" i="3" a="1"/>
  <c r="WGA28" i="3" s="1"/>
  <c r="WFU28" i="3" a="1"/>
  <c r="WFU28" i="3" s="1"/>
  <c r="WFO28" i="3" a="1"/>
  <c r="WFO28" i="3" s="1"/>
  <c r="WFI28" i="3" a="1"/>
  <c r="WFI28" i="3" s="1"/>
  <c r="WFC28" i="3" a="1"/>
  <c r="WFC28" i="3" s="1"/>
  <c r="WEW28" i="3" a="1"/>
  <c r="WEW28" i="3" s="1"/>
  <c r="WEQ28" i="3" a="1"/>
  <c r="WEQ28" i="3" s="1"/>
  <c r="WEK28" i="3" a="1"/>
  <c r="WEK28" i="3" s="1"/>
  <c r="WEE28" i="3" a="1"/>
  <c r="WEE28" i="3" s="1"/>
  <c r="XCM28" i="3" a="1"/>
  <c r="XCM28" i="3" s="1"/>
  <c r="XBP28" i="3" a="1"/>
  <c r="XBP28" i="3" s="1"/>
  <c r="XAA28" i="3" a="1"/>
  <c r="XAA28" i="3" s="1"/>
  <c r="WZJ28" i="3" a="1"/>
  <c r="WZJ28" i="3" s="1"/>
  <c r="WSZ28" i="3" a="1"/>
  <c r="WSZ28" i="3" s="1"/>
  <c r="WSQ28" i="3" a="1"/>
  <c r="WSQ28" i="3" s="1"/>
  <c r="WSH28" i="3" a="1"/>
  <c r="WSH28" i="3" s="1"/>
  <c r="WRY28" i="3" a="1"/>
  <c r="WRY28" i="3" s="1"/>
  <c r="WRP28" i="3" a="1"/>
  <c r="WRP28" i="3" s="1"/>
  <c r="WRG28" i="3" a="1"/>
  <c r="WRG28" i="3" s="1"/>
  <c r="WQX28" i="3" a="1"/>
  <c r="WQX28" i="3" s="1"/>
  <c r="WQO28" i="3" a="1"/>
  <c r="WQO28" i="3" s="1"/>
  <c r="WPY28" i="3" a="1"/>
  <c r="WPY28" i="3" s="1"/>
  <c r="WPA28" i="3" a="1"/>
  <c r="WPA28" i="3" s="1"/>
  <c r="WOC28" i="3" a="1"/>
  <c r="WOC28" i="3" s="1"/>
  <c r="WNE28" i="3" a="1"/>
  <c r="WNE28" i="3" s="1"/>
  <c r="WMG28" i="3" a="1"/>
  <c r="WMG28" i="3" s="1"/>
  <c r="XDR28" i="3" a="1"/>
  <c r="XDR28" i="3" s="1"/>
  <c r="XAR28" i="3" a="1"/>
  <c r="XAR28" i="3" s="1"/>
  <c r="WZI28" i="3" a="1"/>
  <c r="WZI28" i="3" s="1"/>
  <c r="WYO28" i="3" a="1"/>
  <c r="WYO28" i="3" s="1"/>
  <c r="WYA28" i="3" a="1"/>
  <c r="WYA28" i="3" s="1"/>
  <c r="WXO28" i="3" a="1"/>
  <c r="WXO28" i="3" s="1"/>
  <c r="WXC28" i="3" a="1"/>
  <c r="WXC28" i="3" s="1"/>
  <c r="WWQ28" i="3" a="1"/>
  <c r="WWQ28" i="3" s="1"/>
  <c r="WWE28" i="3" a="1"/>
  <c r="WWE28" i="3" s="1"/>
  <c r="WVS28" i="3" a="1"/>
  <c r="WVS28" i="3" s="1"/>
  <c r="WVG28" i="3" a="1"/>
  <c r="WVG28" i="3" s="1"/>
  <c r="WUU28" i="3" a="1"/>
  <c r="WUU28" i="3" s="1"/>
  <c r="WUI28" i="3" a="1"/>
  <c r="WUI28" i="3" s="1"/>
  <c r="WTW28" i="3" a="1"/>
  <c r="WTW28" i="3" s="1"/>
  <c r="WTK28" i="3" a="1"/>
  <c r="WTK28" i="3" s="1"/>
  <c r="WQF28" i="3" a="1"/>
  <c r="WQF28" i="3" s="1"/>
  <c r="WPH28" i="3" a="1"/>
  <c r="WPH28" i="3" s="1"/>
  <c r="WOJ28" i="3" a="1"/>
  <c r="WOJ28" i="3" s="1"/>
  <c r="WNL28" i="3" a="1"/>
  <c r="WNL28" i="3" s="1"/>
  <c r="WMN28" i="3" a="1"/>
  <c r="WMN28" i="3" s="1"/>
  <c r="WLZ28" i="3" a="1"/>
  <c r="WLZ28" i="3" s="1"/>
  <c r="WLT28" i="3" a="1"/>
  <c r="WLT28" i="3" s="1"/>
  <c r="WLN28" i="3" a="1"/>
  <c r="WLN28" i="3" s="1"/>
  <c r="WLH28" i="3" a="1"/>
  <c r="WLH28" i="3" s="1"/>
  <c r="WLB28" i="3" a="1"/>
  <c r="WLB28" i="3" s="1"/>
  <c r="WKV28" i="3" a="1"/>
  <c r="WKV28" i="3" s="1"/>
  <c r="WKP28" i="3" a="1"/>
  <c r="WKP28" i="3" s="1"/>
  <c r="WKJ28" i="3" a="1"/>
  <c r="WKJ28" i="3" s="1"/>
  <c r="WKD28" i="3" a="1"/>
  <c r="WKD28" i="3" s="1"/>
  <c r="WJX28" i="3" a="1"/>
  <c r="WJX28" i="3" s="1"/>
  <c r="WJR28" i="3" a="1"/>
  <c r="WJR28" i="3" s="1"/>
  <c r="XCJ28" i="3" a="1"/>
  <c r="XCJ28" i="3" s="1"/>
  <c r="XBO28" i="3" a="1"/>
  <c r="XBO28" i="3" s="1"/>
  <c r="WZZ28" i="3" a="1"/>
  <c r="WZZ28" i="3" s="1"/>
  <c r="WZD28" i="3" a="1"/>
  <c r="WZD28" i="3" s="1"/>
  <c r="WSY28" i="3" a="1"/>
  <c r="WSY28" i="3" s="1"/>
  <c r="WSG28" i="3" a="1"/>
  <c r="WSG28" i="3" s="1"/>
  <c r="WRO28" i="3" a="1"/>
  <c r="WRO28" i="3" s="1"/>
  <c r="WQW28" i="3" a="1"/>
  <c r="WQW28" i="3" s="1"/>
  <c r="WPW28" i="3" a="1"/>
  <c r="WPW28" i="3" s="1"/>
  <c r="WPO28" i="3" a="1"/>
  <c r="WPO28" i="3" s="1"/>
  <c r="WOY28" i="3" a="1"/>
  <c r="WOY28" i="3" s="1"/>
  <c r="WOQ28" i="3" a="1"/>
  <c r="WOQ28" i="3" s="1"/>
  <c r="WOA28" i="3" a="1"/>
  <c r="WOA28" i="3" s="1"/>
  <c r="WNS28" i="3" a="1"/>
  <c r="WNS28" i="3" s="1"/>
  <c r="WNC28" i="3" a="1"/>
  <c r="WNC28" i="3" s="1"/>
  <c r="WMU28" i="3" a="1"/>
  <c r="WMU28" i="3" s="1"/>
  <c r="WMF28" i="3" a="1"/>
  <c r="WMF28" i="3" s="1"/>
  <c r="XEO28" i="3" a="1"/>
  <c r="XEO28" i="3" s="1"/>
  <c r="WYI28" i="3" a="1"/>
  <c r="WYI28" i="3" s="1"/>
  <c r="WXI28" i="3" a="1"/>
  <c r="WXI28" i="3" s="1"/>
  <c r="WRD28" i="3" a="1"/>
  <c r="WRD28" i="3" s="1"/>
  <c r="WQK28" i="3" a="1"/>
  <c r="WQK28" i="3" s="1"/>
  <c r="WOW28" i="3" a="1"/>
  <c r="WOW28" i="3" s="1"/>
  <c r="WMS28" i="3" a="1"/>
  <c r="WMS28" i="3" s="1"/>
  <c r="WLY28" i="3" a="1"/>
  <c r="WLY28" i="3" s="1"/>
  <c r="WLL28" i="3" a="1"/>
  <c r="WLL28" i="3" s="1"/>
  <c r="WKY28" i="3" a="1"/>
  <c r="WKY28" i="3" s="1"/>
  <c r="WJI28" i="3" a="1"/>
  <c r="WJI28" i="3" s="1"/>
  <c r="WIX28" i="3" a="1"/>
  <c r="WIX28" i="3" s="1"/>
  <c r="WIM28" i="3" a="1"/>
  <c r="WIM28" i="3" s="1"/>
  <c r="WGX28" i="3" a="1"/>
  <c r="WGX28" i="3" s="1"/>
  <c r="WGO28" i="3" a="1"/>
  <c r="WGO28" i="3" s="1"/>
  <c r="WGE28" i="3" a="1"/>
  <c r="WGE28" i="3" s="1"/>
  <c r="WFW28" i="3" a="1"/>
  <c r="WFW28" i="3" s="1"/>
  <c r="WFM28" i="3" a="1"/>
  <c r="WFM28" i="3" s="1"/>
  <c r="WFE28" i="3" a="1"/>
  <c r="WFE28" i="3" s="1"/>
  <c r="WEU28" i="3" a="1"/>
  <c r="WEU28" i="3" s="1"/>
  <c r="WEM28" i="3" a="1"/>
  <c r="WEM28" i="3" s="1"/>
  <c r="WEC28" i="3" a="1"/>
  <c r="WEC28" i="3" s="1"/>
  <c r="XCA28" i="3" a="1"/>
  <c r="XCA28" i="3" s="1"/>
  <c r="WZT28" i="3" a="1"/>
  <c r="WZT28" i="3" s="1"/>
  <c r="WVZ28" i="3" a="1"/>
  <c r="WVZ28" i="3" s="1"/>
  <c r="WVA28" i="3" a="1"/>
  <c r="WVA28" i="3" s="1"/>
  <c r="WPN28" i="3" a="1"/>
  <c r="WPN28" i="3" s="1"/>
  <c r="WNI28" i="3" a="1"/>
  <c r="WNI28" i="3" s="1"/>
  <c r="WKU28" i="3" a="1"/>
  <c r="WKU28" i="3" s="1"/>
  <c r="WKH28" i="3" a="1"/>
  <c r="WKH28" i="3" s="1"/>
  <c r="WJU28" i="3" a="1"/>
  <c r="WJU28" i="3" s="1"/>
  <c r="WIB28" i="3" a="1"/>
  <c r="WIB28" i="3" s="1"/>
  <c r="WHS28" i="3" a="1"/>
  <c r="WHS28" i="3" s="1"/>
  <c r="WHH28" i="3" a="1"/>
  <c r="WHH28" i="3" s="1"/>
  <c r="WGW28" i="3" a="1"/>
  <c r="WGW28" i="3" s="1"/>
  <c r="WGN28" i="3" a="1"/>
  <c r="WGN28" i="3" s="1"/>
  <c r="WFV28" i="3" a="1"/>
  <c r="WFV28" i="3" s="1"/>
  <c r="WFD28" i="3" a="1"/>
  <c r="WFD28" i="3" s="1"/>
  <c r="WEL28" i="3" a="1"/>
  <c r="WEL28" i="3" s="1"/>
  <c r="WDU28" i="3" a="1"/>
  <c r="WDU28" i="3" s="1"/>
  <c r="WDM28" i="3" a="1"/>
  <c r="WDM28" i="3" s="1"/>
  <c r="WDE28" i="3" a="1"/>
  <c r="WDE28" i="3" s="1"/>
  <c r="WCY28" i="3" a="1"/>
  <c r="WCY28" i="3" s="1"/>
  <c r="WCS28" i="3" a="1"/>
  <c r="WCS28" i="3" s="1"/>
  <c r="WCM28" i="3" a="1"/>
  <c r="WCM28" i="3" s="1"/>
  <c r="WCG28" i="3" a="1"/>
  <c r="WCG28" i="3" s="1"/>
  <c r="WCA28" i="3" a="1"/>
  <c r="WCA28" i="3" s="1"/>
  <c r="WBU28" i="3" a="1"/>
  <c r="WBU28" i="3" s="1"/>
  <c r="WBO28" i="3" a="1"/>
  <c r="WBO28" i="3" s="1"/>
  <c r="WBI28" i="3" a="1"/>
  <c r="WBI28" i="3" s="1"/>
  <c r="WBC28" i="3" a="1"/>
  <c r="WBC28" i="3" s="1"/>
  <c r="WAW28" i="3" a="1"/>
  <c r="WAW28" i="3" s="1"/>
  <c r="WAQ28" i="3" a="1"/>
  <c r="WAQ28" i="3" s="1"/>
  <c r="WAK28" i="3" a="1"/>
  <c r="WAK28" i="3" s="1"/>
  <c r="WAE28" i="3" a="1"/>
  <c r="WAE28" i="3" s="1"/>
  <c r="VZY28" i="3" a="1"/>
  <c r="VZY28" i="3" s="1"/>
  <c r="VZS28" i="3" a="1"/>
  <c r="VZS28" i="3" s="1"/>
  <c r="VZM28" i="3" a="1"/>
  <c r="VZM28" i="3" s="1"/>
  <c r="VZG28" i="3" a="1"/>
  <c r="VZG28" i="3" s="1"/>
  <c r="VZA28" i="3" a="1"/>
  <c r="VZA28" i="3" s="1"/>
  <c r="VYU28" i="3" a="1"/>
  <c r="VYU28" i="3" s="1"/>
  <c r="VYO28" i="3" a="1"/>
  <c r="VYO28" i="3" s="1"/>
  <c r="VYI28" i="3" a="1"/>
  <c r="VYI28" i="3" s="1"/>
  <c r="VYC28" i="3" a="1"/>
  <c r="VYC28" i="3" s="1"/>
  <c r="VXW28" i="3" a="1"/>
  <c r="VXW28" i="3" s="1"/>
  <c r="VXQ28" i="3" a="1"/>
  <c r="VXQ28" i="3" s="1"/>
  <c r="VXK28" i="3" a="1"/>
  <c r="VXK28" i="3" s="1"/>
  <c r="VXE28" i="3" a="1"/>
  <c r="VXE28" i="3" s="1"/>
  <c r="VWY28" i="3" a="1"/>
  <c r="VWY28" i="3" s="1"/>
  <c r="VWS28" i="3" a="1"/>
  <c r="VWS28" i="3" s="1"/>
  <c r="VWM28" i="3" a="1"/>
  <c r="VWM28" i="3" s="1"/>
  <c r="VWG28" i="3" a="1"/>
  <c r="VWG28" i="3" s="1"/>
  <c r="VWA28" i="3" a="1"/>
  <c r="VWA28" i="3" s="1"/>
  <c r="VVU28" i="3" a="1"/>
  <c r="VVU28" i="3" s="1"/>
  <c r="VVO28" i="3" a="1"/>
  <c r="VVO28" i="3" s="1"/>
  <c r="VVI28" i="3" a="1"/>
  <c r="VVI28" i="3" s="1"/>
  <c r="VVC28" i="3" a="1"/>
  <c r="VVC28" i="3" s="1"/>
  <c r="VUW28" i="3" a="1"/>
  <c r="VUW28" i="3" s="1"/>
  <c r="VUQ28" i="3" a="1"/>
  <c r="VUQ28" i="3" s="1"/>
  <c r="VUK28" i="3" a="1"/>
  <c r="VUK28" i="3" s="1"/>
  <c r="VUE28" i="3" a="1"/>
  <c r="VUE28" i="3" s="1"/>
  <c r="VTY28" i="3" a="1"/>
  <c r="VTY28" i="3" s="1"/>
  <c r="VTS28" i="3" a="1"/>
  <c r="VTS28" i="3" s="1"/>
  <c r="VTM28" i="3" a="1"/>
  <c r="VTM28" i="3" s="1"/>
  <c r="VTG28" i="3" a="1"/>
  <c r="VTG28" i="3" s="1"/>
  <c r="VTA28" i="3" a="1"/>
  <c r="VTA28" i="3" s="1"/>
  <c r="VSU28" i="3" a="1"/>
  <c r="VSU28" i="3" s="1"/>
  <c r="VSO28" i="3" a="1"/>
  <c r="VSO28" i="3" s="1"/>
  <c r="VSI28" i="3" a="1"/>
  <c r="VSI28" i="3" s="1"/>
  <c r="VSC28" i="3" a="1"/>
  <c r="VSC28" i="3" s="1"/>
  <c r="VRW28" i="3" a="1"/>
  <c r="VRW28" i="3" s="1"/>
  <c r="VRQ28" i="3" a="1"/>
  <c r="VRQ28" i="3" s="1"/>
  <c r="WYH28" i="3" a="1"/>
  <c r="WYH28" i="3" s="1"/>
  <c r="WTR28" i="3" a="1"/>
  <c r="WTR28" i="3" s="1"/>
  <c r="WRV28" i="3" a="1"/>
  <c r="WRV28" i="3" s="1"/>
  <c r="WRC28" i="3" a="1"/>
  <c r="WRC28" i="3" s="1"/>
  <c r="WQE28" i="3" a="1"/>
  <c r="WQE28" i="3" s="1"/>
  <c r="WOV28" i="3" a="1"/>
  <c r="WOV28" i="3" s="1"/>
  <c r="WMM28" i="3" a="1"/>
  <c r="WMM28" i="3" s="1"/>
  <c r="WLX28" i="3" a="1"/>
  <c r="WLX28" i="3" s="1"/>
  <c r="WLK28" i="3" a="1"/>
  <c r="WLK28" i="3" s="1"/>
  <c r="WJQ28" i="3" a="1"/>
  <c r="WJQ28" i="3" s="1"/>
  <c r="WJF28" i="3" a="1"/>
  <c r="WJF28" i="3" s="1"/>
  <c r="WIW28" i="3" a="1"/>
  <c r="WIW28" i="3" s="1"/>
  <c r="WIL28" i="3" a="1"/>
  <c r="WIL28" i="3" s="1"/>
  <c r="WIA28" i="3" a="1"/>
  <c r="WIA28" i="3" s="1"/>
  <c r="WGD28" i="3" a="1"/>
  <c r="WGD28" i="3" s="1"/>
  <c r="WFL28" i="3" a="1"/>
  <c r="WFL28" i="3" s="1"/>
  <c r="WET28" i="3" a="1"/>
  <c r="WET28" i="3" s="1"/>
  <c r="WEB28" i="3" a="1"/>
  <c r="WEB28" i="3" s="1"/>
  <c r="WDT28" i="3" a="1"/>
  <c r="WDT28" i="3" s="1"/>
  <c r="WDL28" i="3" a="1"/>
  <c r="WDL28" i="3" s="1"/>
  <c r="XBH28" i="3" a="1"/>
  <c r="XBH28" i="3" s="1"/>
  <c r="WZS28" i="3" a="1"/>
  <c r="WZS28" i="3" s="1"/>
  <c r="WWX28" i="3" a="1"/>
  <c r="WWX28" i="3" s="1"/>
  <c r="WVY28" i="3" a="1"/>
  <c r="WVY28" i="3" s="1"/>
  <c r="WPM28" i="3" a="1"/>
  <c r="WPM28" i="3" s="1"/>
  <c r="WNY28" i="3" a="1"/>
  <c r="WNY28" i="3" s="1"/>
  <c r="WLG28" i="3" a="1"/>
  <c r="WLG28" i="3" s="1"/>
  <c r="WKT28" i="3" a="1"/>
  <c r="WKT28" i="3" s="1"/>
  <c r="WKG28" i="3" a="1"/>
  <c r="WKG28" i="3" s="1"/>
  <c r="WJE28" i="3" a="1"/>
  <c r="WJE28" i="3" s="1"/>
  <c r="WHP28" i="3" a="1"/>
  <c r="WHP28" i="3" s="1"/>
  <c r="WHG28" i="3" a="1"/>
  <c r="WHG28" i="3" s="1"/>
  <c r="WGV28" i="3" a="1"/>
  <c r="WGV28" i="3" s="1"/>
  <c r="WGL28" i="3" a="1"/>
  <c r="WGL28" i="3" s="1"/>
  <c r="WFT28" i="3" a="1"/>
  <c r="WFT28" i="3" s="1"/>
  <c r="WFB28" i="3" a="1"/>
  <c r="WFB28" i="3" s="1"/>
  <c r="WEJ28" i="3" a="1"/>
  <c r="WEJ28" i="3" s="1"/>
  <c r="WDK28" i="3" a="1"/>
  <c r="WDK28" i="3" s="1"/>
  <c r="WDD28" i="3" a="1"/>
  <c r="WDD28" i="3" s="1"/>
  <c r="WCX28" i="3" a="1"/>
  <c r="WCX28" i="3" s="1"/>
  <c r="WCR28" i="3" a="1"/>
  <c r="WCR28" i="3" s="1"/>
  <c r="WCL28" i="3" a="1"/>
  <c r="WCL28" i="3" s="1"/>
  <c r="WCF28" i="3" a="1"/>
  <c r="WCF28" i="3" s="1"/>
  <c r="WBZ28" i="3" a="1"/>
  <c r="WBZ28" i="3" s="1"/>
  <c r="WBT28" i="3" a="1"/>
  <c r="WBT28" i="3" s="1"/>
  <c r="WBN28" i="3" a="1"/>
  <c r="WBN28" i="3" s="1"/>
  <c r="WBH28" i="3" a="1"/>
  <c r="WBH28" i="3" s="1"/>
  <c r="WBB28" i="3" a="1"/>
  <c r="WBB28" i="3" s="1"/>
  <c r="WAV28" i="3" a="1"/>
  <c r="WAV28" i="3" s="1"/>
  <c r="WAP28" i="3" a="1"/>
  <c r="WAP28" i="3" s="1"/>
  <c r="WAJ28" i="3" a="1"/>
  <c r="WAJ28" i="3" s="1"/>
  <c r="WAD28" i="3" a="1"/>
  <c r="WAD28" i="3" s="1"/>
  <c r="VZX28" i="3" a="1"/>
  <c r="VZX28" i="3" s="1"/>
  <c r="VZR28" i="3" a="1"/>
  <c r="VZR28" i="3" s="1"/>
  <c r="VZL28" i="3" a="1"/>
  <c r="VZL28" i="3" s="1"/>
  <c r="VZF28" i="3" a="1"/>
  <c r="VZF28" i="3" s="1"/>
  <c r="VYZ28" i="3" a="1"/>
  <c r="VYZ28" i="3" s="1"/>
  <c r="VYT28" i="3" a="1"/>
  <c r="VYT28" i="3" s="1"/>
  <c r="VYN28" i="3" a="1"/>
  <c r="VYN28" i="3" s="1"/>
  <c r="VYH28" i="3" a="1"/>
  <c r="VYH28" i="3" s="1"/>
  <c r="VYB28" i="3" a="1"/>
  <c r="VYB28" i="3" s="1"/>
  <c r="VXV28" i="3" a="1"/>
  <c r="VXV28" i="3" s="1"/>
  <c r="VXP28" i="3" a="1"/>
  <c r="VXP28" i="3" s="1"/>
  <c r="XBF28" i="3" a="1"/>
  <c r="XBF28" i="3" s="1"/>
  <c r="WZC28" i="3" a="1"/>
  <c r="WZC28" i="3" s="1"/>
  <c r="WXV28" i="3" a="1"/>
  <c r="WXV28" i="3" s="1"/>
  <c r="WWW28" i="3" a="1"/>
  <c r="WWW28" i="3" s="1"/>
  <c r="WQU28" i="3" a="1"/>
  <c r="WQU28" i="3" s="1"/>
  <c r="WPG28" i="3" a="1"/>
  <c r="WPG28" i="3" s="1"/>
  <c r="WNX28" i="3" a="1"/>
  <c r="WNX28" i="3" s="1"/>
  <c r="WLS28" i="3" a="1"/>
  <c r="WLS28" i="3" s="1"/>
  <c r="WLF28" i="3" a="1"/>
  <c r="WLF28" i="3" s="1"/>
  <c r="WKS28" i="3" a="1"/>
  <c r="WKS28" i="3" s="1"/>
  <c r="WJD28" i="3" a="1"/>
  <c r="WJD28" i="3" s="1"/>
  <c r="WIS28" i="3" a="1"/>
  <c r="WIS28" i="3" s="1"/>
  <c r="WHD28" i="3" a="1"/>
  <c r="WHD28" i="3" s="1"/>
  <c r="WGU28" i="3" a="1"/>
  <c r="WGU28" i="3" s="1"/>
  <c r="WGB28" i="3" a="1"/>
  <c r="WGB28" i="3" s="1"/>
  <c r="WFJ28" i="3" a="1"/>
  <c r="WFJ28" i="3" s="1"/>
  <c r="WER28" i="3" a="1"/>
  <c r="WER28" i="3" s="1"/>
  <c r="WDZ28" i="3" a="1"/>
  <c r="WDZ28" i="3" s="1"/>
  <c r="WDR28" i="3" a="1"/>
  <c r="WDR28" i="3" s="1"/>
  <c r="WDJ28" i="3" a="1"/>
  <c r="WDJ28" i="3" s="1"/>
  <c r="WDC28" i="3" a="1"/>
  <c r="WDC28" i="3" s="1"/>
  <c r="WCW28" i="3" a="1"/>
  <c r="WCW28" i="3" s="1"/>
  <c r="WCQ28" i="3" a="1"/>
  <c r="WCQ28" i="3" s="1"/>
  <c r="WWL28" i="3" a="1"/>
  <c r="WWL28" i="3" s="1"/>
  <c r="WVM28" i="3" a="1"/>
  <c r="WVM28" i="3" s="1"/>
  <c r="WOI28" i="3" a="1"/>
  <c r="WOI28" i="3" s="1"/>
  <c r="WMZ28" i="3" a="1"/>
  <c r="WMZ28" i="3" s="1"/>
  <c r="WLA28" i="3" a="1"/>
  <c r="WLA28" i="3" s="1"/>
  <c r="WKN28" i="3" a="1"/>
  <c r="WKN28" i="3" s="1"/>
  <c r="WKA28" i="3" a="1"/>
  <c r="WKA28" i="3" s="1"/>
  <c r="WJK28" i="3" a="1"/>
  <c r="WJK28" i="3" s="1"/>
  <c r="WHV28" i="3" a="1"/>
  <c r="WHV28" i="3" s="1"/>
  <c r="WHM28" i="3" a="1"/>
  <c r="WHM28" i="3" s="1"/>
  <c r="WHB28" i="3" a="1"/>
  <c r="WHB28" i="3" s="1"/>
  <c r="WGQ28" i="3" a="1"/>
  <c r="WGQ28" i="3" s="1"/>
  <c r="WGI28" i="3" a="1"/>
  <c r="WGI28" i="3" s="1"/>
  <c r="WFY28" i="3" a="1"/>
  <c r="WFY28" i="3" s="1"/>
  <c r="WFQ28" i="3" a="1"/>
  <c r="WFQ28" i="3" s="1"/>
  <c r="WFG28" i="3" a="1"/>
  <c r="WFG28" i="3" s="1"/>
  <c r="WEY28" i="3" a="1"/>
  <c r="WEY28" i="3" s="1"/>
  <c r="WEO28" i="3" a="1"/>
  <c r="WEO28" i="3" s="1"/>
  <c r="WEG28" i="3" a="1"/>
  <c r="WEG28" i="3" s="1"/>
  <c r="WDX28" i="3" a="1"/>
  <c r="WDX28" i="3" s="1"/>
  <c r="WDP28" i="3" a="1"/>
  <c r="WDP28" i="3" s="1"/>
  <c r="WDH28" i="3" a="1"/>
  <c r="WDH28" i="3" s="1"/>
  <c r="WZB28" i="3" a="1"/>
  <c r="WZB28" i="3" s="1"/>
  <c r="WPE28" i="3" a="1"/>
  <c r="WPE28" i="3" s="1"/>
  <c r="WNR28" i="3" a="1"/>
  <c r="WNR28" i="3" s="1"/>
  <c r="WME28" i="3" a="1"/>
  <c r="WME28" i="3" s="1"/>
  <c r="WLE28" i="3" a="1"/>
  <c r="WLE28" i="3" s="1"/>
  <c r="WJC28" i="3" a="1"/>
  <c r="WJC28" i="3" s="1"/>
  <c r="WIG28" i="3" a="1"/>
  <c r="WIG28" i="3" s="1"/>
  <c r="WGR28" i="3" a="1"/>
  <c r="WGR28" i="3" s="1"/>
  <c r="WFZ28" i="3" a="1"/>
  <c r="WFZ28" i="3" s="1"/>
  <c r="WFH28" i="3" a="1"/>
  <c r="WFH28" i="3" s="1"/>
  <c r="WEP28" i="3" a="1"/>
  <c r="WEP28" i="3" s="1"/>
  <c r="WDY28" i="3" a="1"/>
  <c r="WDY28" i="3" s="1"/>
  <c r="WDI28" i="3" a="1"/>
  <c r="WDI28" i="3" s="1"/>
  <c r="WCV28" i="3" a="1"/>
  <c r="WCV28" i="3" s="1"/>
  <c r="WCB28" i="3" a="1"/>
  <c r="WCB28" i="3" s="1"/>
  <c r="WBJ28" i="3" a="1"/>
  <c r="WBJ28" i="3" s="1"/>
  <c r="WAR28" i="3" a="1"/>
  <c r="WAR28" i="3" s="1"/>
  <c r="VZZ28" i="3" a="1"/>
  <c r="VZZ28" i="3" s="1"/>
  <c r="VZH28" i="3" a="1"/>
  <c r="VZH28" i="3" s="1"/>
  <c r="VYP28" i="3" a="1"/>
  <c r="VYP28" i="3" s="1"/>
  <c r="VXX28" i="3" a="1"/>
  <c r="VXX28" i="3" s="1"/>
  <c r="VWX28" i="3" a="1"/>
  <c r="VWX28" i="3" s="1"/>
  <c r="VVZ28" i="3" a="1"/>
  <c r="VVZ28" i="3" s="1"/>
  <c r="VVB28" i="3" a="1"/>
  <c r="VVB28" i="3" s="1"/>
  <c r="VUD28" i="3" a="1"/>
  <c r="VUD28" i="3" s="1"/>
  <c r="VTF28" i="3" a="1"/>
  <c r="VTF28" i="3" s="1"/>
  <c r="VRH28" i="3" a="1"/>
  <c r="VRH28" i="3" s="1"/>
  <c r="VQU28" i="3" a="1"/>
  <c r="VQU28" i="3" s="1"/>
  <c r="VQH28" i="3" a="1"/>
  <c r="VQH28" i="3" s="1"/>
  <c r="XCI28" i="3" a="1"/>
  <c r="XCI28" i="3" s="1"/>
  <c r="WYV28" i="3" a="1"/>
  <c r="WYV28" i="3" s="1"/>
  <c r="WUD28" i="3" a="1"/>
  <c r="WUD28" i="3" s="1"/>
  <c r="WSE28" i="3" a="1"/>
  <c r="WSE28" i="3" s="1"/>
  <c r="WNQ28" i="3" a="1"/>
  <c r="WNQ28" i="3" s="1"/>
  <c r="WMD28" i="3" a="1"/>
  <c r="WMD28" i="3" s="1"/>
  <c r="WJW28" i="3" a="1"/>
  <c r="WJW28" i="3" s="1"/>
  <c r="WIZ28" i="3" a="1"/>
  <c r="WIZ28" i="3" s="1"/>
  <c r="WIF28" i="3" a="1"/>
  <c r="WIF28" i="3" s="1"/>
  <c r="WDW28" i="3" a="1"/>
  <c r="WDW28" i="3" s="1"/>
  <c r="WCU28" i="3" a="1"/>
  <c r="WCU28" i="3" s="1"/>
  <c r="WCJ28" i="3" a="1"/>
  <c r="WCJ28" i="3" s="1"/>
  <c r="WBR28" i="3" a="1"/>
  <c r="WBR28" i="3" s="1"/>
  <c r="WAZ28" i="3" a="1"/>
  <c r="WAZ28" i="3" s="1"/>
  <c r="WAH28" i="3" a="1"/>
  <c r="WAH28" i="3" s="1"/>
  <c r="VZP28" i="3" a="1"/>
  <c r="VZP28" i="3" s="1"/>
  <c r="VYX28" i="3" a="1"/>
  <c r="VYX28" i="3" s="1"/>
  <c r="VYF28" i="3" a="1"/>
  <c r="VYF28" i="3" s="1"/>
  <c r="VXN28" i="3" a="1"/>
  <c r="VXN28" i="3" s="1"/>
  <c r="VXF28" i="3" a="1"/>
  <c r="VXF28" i="3" s="1"/>
  <c r="VWP28" i="3" a="1"/>
  <c r="VWP28" i="3" s="1"/>
  <c r="VWH28" i="3" a="1"/>
  <c r="VWH28" i="3" s="1"/>
  <c r="VVR28" i="3" a="1"/>
  <c r="VVR28" i="3" s="1"/>
  <c r="VVJ28" i="3" a="1"/>
  <c r="VVJ28" i="3" s="1"/>
  <c r="VUT28" i="3" a="1"/>
  <c r="VUT28" i="3" s="1"/>
  <c r="VUL28" i="3" a="1"/>
  <c r="VUL28" i="3" s="1"/>
  <c r="VTV28" i="3" a="1"/>
  <c r="VTV28" i="3" s="1"/>
  <c r="VTN28" i="3" a="1"/>
  <c r="VTN28" i="3" s="1"/>
  <c r="VSX28" i="3" a="1"/>
  <c r="VSX28" i="3" s="1"/>
  <c r="VSQ28" i="3" a="1"/>
  <c r="VSQ28" i="3" s="1"/>
  <c r="VSJ28" i="3" a="1"/>
  <c r="VSJ28" i="3" s="1"/>
  <c r="VSB28" i="3" a="1"/>
  <c r="VSB28" i="3" s="1"/>
  <c r="VRU28" i="3" a="1"/>
  <c r="VRU28" i="3" s="1"/>
  <c r="VRN28" i="3" a="1"/>
  <c r="VRN28" i="3" s="1"/>
  <c r="VRA28" i="3" a="1"/>
  <c r="VRA28" i="3" s="1"/>
  <c r="VQN28" i="3" a="1"/>
  <c r="VQN28" i="3" s="1"/>
  <c r="VQG28" i="3" a="1"/>
  <c r="VQG28" i="3" s="1"/>
  <c r="VQA28" i="3" a="1"/>
  <c r="VQA28" i="3" s="1"/>
  <c r="VPU28" i="3" a="1"/>
  <c r="VPU28" i="3" s="1"/>
  <c r="VPO28" i="3" a="1"/>
  <c r="VPO28" i="3" s="1"/>
  <c r="VPI28" i="3" a="1"/>
  <c r="VPI28" i="3" s="1"/>
  <c r="VPC28" i="3" a="1"/>
  <c r="VPC28" i="3" s="1"/>
  <c r="VOW28" i="3" a="1"/>
  <c r="VOW28" i="3" s="1"/>
  <c r="VOQ28" i="3" a="1"/>
  <c r="VOQ28" i="3" s="1"/>
  <c r="VOK28" i="3" a="1"/>
  <c r="VOK28" i="3" s="1"/>
  <c r="VOE28" i="3" a="1"/>
  <c r="VOE28" i="3" s="1"/>
  <c r="VNY28" i="3" a="1"/>
  <c r="VNY28" i="3" s="1"/>
  <c r="VNS28" i="3" a="1"/>
  <c r="VNS28" i="3" s="1"/>
  <c r="VNM28" i="3" a="1"/>
  <c r="VNM28" i="3" s="1"/>
  <c r="VNG28" i="3" a="1"/>
  <c r="VNG28" i="3" s="1"/>
  <c r="VNA28" i="3" a="1"/>
  <c r="VNA28" i="3" s="1"/>
  <c r="VMU28" i="3" a="1"/>
  <c r="VMU28" i="3" s="1"/>
  <c r="VMO28" i="3" a="1"/>
  <c r="VMO28" i="3" s="1"/>
  <c r="VMI28" i="3" a="1"/>
  <c r="VMI28" i="3" s="1"/>
  <c r="VMC28" i="3" a="1"/>
  <c r="VMC28" i="3" s="1"/>
  <c r="VLW28" i="3" a="1"/>
  <c r="VLW28" i="3" s="1"/>
  <c r="VLQ28" i="3" a="1"/>
  <c r="VLQ28" i="3" s="1"/>
  <c r="VLK28" i="3" a="1"/>
  <c r="VLK28" i="3" s="1"/>
  <c r="VLE28" i="3" a="1"/>
  <c r="VLE28" i="3" s="1"/>
  <c r="VKY28" i="3" a="1"/>
  <c r="VKY28" i="3" s="1"/>
  <c r="VKS28" i="3" a="1"/>
  <c r="VKS28" i="3" s="1"/>
  <c r="VKM28" i="3" a="1"/>
  <c r="VKM28" i="3" s="1"/>
  <c r="VKG28" i="3" a="1"/>
  <c r="VKG28" i="3" s="1"/>
  <c r="VKA28" i="3" a="1"/>
  <c r="VKA28" i="3" s="1"/>
  <c r="VJU28" i="3" a="1"/>
  <c r="VJU28" i="3" s="1"/>
  <c r="WYN28" i="3" a="1"/>
  <c r="WYN28" i="3" s="1"/>
  <c r="WWK28" i="3" a="1"/>
  <c r="WWK28" i="3" s="1"/>
  <c r="WQL28" i="3" a="1"/>
  <c r="WQL28" i="3" s="1"/>
  <c r="WKZ28" i="3" a="1"/>
  <c r="WKZ28" i="3" s="1"/>
  <c r="WIY28" i="3" a="1"/>
  <c r="WIY28" i="3" s="1"/>
  <c r="WHJ28" i="3" a="1"/>
  <c r="WHJ28" i="3" s="1"/>
  <c r="WGP28" i="3" a="1"/>
  <c r="WGP28" i="3" s="1"/>
  <c r="WFX28" i="3" a="1"/>
  <c r="WFX28" i="3" s="1"/>
  <c r="WFF28" i="3" a="1"/>
  <c r="WFF28" i="3" s="1"/>
  <c r="WEN28" i="3" a="1"/>
  <c r="WEN28" i="3" s="1"/>
  <c r="WDG28" i="3" a="1"/>
  <c r="WDG28" i="3" s="1"/>
  <c r="WCI28" i="3" a="1"/>
  <c r="WCI28" i="3" s="1"/>
  <c r="WBQ28" i="3" a="1"/>
  <c r="WBQ28" i="3" s="1"/>
  <c r="WAY28" i="3" a="1"/>
  <c r="WAY28" i="3" s="1"/>
  <c r="WAG28" i="3" a="1"/>
  <c r="WAG28" i="3" s="1"/>
  <c r="VZO28" i="3" a="1"/>
  <c r="VZO28" i="3" s="1"/>
  <c r="VYW28" i="3" a="1"/>
  <c r="VYW28" i="3" s="1"/>
  <c r="VYE28" i="3" a="1"/>
  <c r="VYE28" i="3" s="1"/>
  <c r="VXM28" i="3" a="1"/>
  <c r="VXM28" i="3" s="1"/>
  <c r="VWW28" i="3" a="1"/>
  <c r="VWW28" i="3" s="1"/>
  <c r="VWO28" i="3" a="1"/>
  <c r="VWO28" i="3" s="1"/>
  <c r="VVY28" i="3" a="1"/>
  <c r="VVY28" i="3" s="1"/>
  <c r="VVQ28" i="3" a="1"/>
  <c r="VVQ28" i="3" s="1"/>
  <c r="VVA28" i="3" a="1"/>
  <c r="VVA28" i="3" s="1"/>
  <c r="VUS28" i="3" a="1"/>
  <c r="VUS28" i="3" s="1"/>
  <c r="XCB28" i="3" a="1"/>
  <c r="XCB28" i="3" s="1"/>
  <c r="WYM28" i="3" a="1"/>
  <c r="WYM28" i="3" s="1"/>
  <c r="WUC28" i="3" a="1"/>
  <c r="WUC28" i="3" s="1"/>
  <c r="WNK28" i="3" a="1"/>
  <c r="WNK28" i="3" s="1"/>
  <c r="WMC28" i="3" a="1"/>
  <c r="WMC28" i="3" s="1"/>
  <c r="WJV28" i="3" a="1"/>
  <c r="WJV28" i="3" s="1"/>
  <c r="WIE28" i="3" a="1"/>
  <c r="WIE28" i="3" s="1"/>
  <c r="WHI28" i="3" a="1"/>
  <c r="WHI28" i="3" s="1"/>
  <c r="WDV28" i="3" a="1"/>
  <c r="WDV28" i="3" s="1"/>
  <c r="WDF28" i="3" a="1"/>
  <c r="WDF28" i="3" s="1"/>
  <c r="WCT28" i="3" a="1"/>
  <c r="WCT28" i="3" s="1"/>
  <c r="WBY28" i="3" a="1"/>
  <c r="WBY28" i="3" s="1"/>
  <c r="WBG28" i="3" a="1"/>
  <c r="WBG28" i="3" s="1"/>
  <c r="WAO28" i="3" a="1"/>
  <c r="WAO28" i="3" s="1"/>
  <c r="VZW28" i="3" a="1"/>
  <c r="VZW28" i="3" s="1"/>
  <c r="VZE28" i="3" a="1"/>
  <c r="VZE28" i="3" s="1"/>
  <c r="VYM28" i="3" a="1"/>
  <c r="VYM28" i="3" s="1"/>
  <c r="VXU28" i="3" a="1"/>
  <c r="VXU28" i="3" s="1"/>
  <c r="VXD28" i="3" a="1"/>
  <c r="VXD28" i="3" s="1"/>
  <c r="VWF28" i="3" a="1"/>
  <c r="VWF28" i="3" s="1"/>
  <c r="VVH28" i="3" a="1"/>
  <c r="VVH28" i="3" s="1"/>
  <c r="VUJ28" i="3" a="1"/>
  <c r="VUJ28" i="3" s="1"/>
  <c r="VTL28" i="3" a="1"/>
  <c r="VTL28" i="3" s="1"/>
  <c r="VSW28" i="3" a="1"/>
  <c r="VSW28" i="3" s="1"/>
  <c r="VSP28" i="3" a="1"/>
  <c r="VSP28" i="3" s="1"/>
  <c r="VSH28" i="3" a="1"/>
  <c r="VSH28" i="3" s="1"/>
  <c r="VSA28" i="3" a="1"/>
  <c r="VSA28" i="3" s="1"/>
  <c r="VRT28" i="3" a="1"/>
  <c r="VRT28" i="3" s="1"/>
  <c r="VRM28" i="3" a="1"/>
  <c r="VRM28" i="3" s="1"/>
  <c r="VQZ28" i="3" a="1"/>
  <c r="VQZ28" i="3" s="1"/>
  <c r="VQS28" i="3" a="1"/>
  <c r="VQS28" i="3" s="1"/>
  <c r="VQF28" i="3" a="1"/>
  <c r="VQF28" i="3" s="1"/>
  <c r="VPZ28" i="3" a="1"/>
  <c r="VPZ28" i="3" s="1"/>
  <c r="VPT28" i="3" a="1"/>
  <c r="VPT28" i="3" s="1"/>
  <c r="VPN28" i="3" a="1"/>
  <c r="VPN28" i="3" s="1"/>
  <c r="VPH28" i="3" a="1"/>
  <c r="VPH28" i="3" s="1"/>
  <c r="VPB28" i="3" a="1"/>
  <c r="VPB28" i="3" s="1"/>
  <c r="VOV28" i="3" a="1"/>
  <c r="VOV28" i="3" s="1"/>
  <c r="VOP28" i="3" a="1"/>
  <c r="VOP28" i="3" s="1"/>
  <c r="VOJ28" i="3" a="1"/>
  <c r="VOJ28" i="3" s="1"/>
  <c r="VOD28" i="3" a="1"/>
  <c r="VOD28" i="3" s="1"/>
  <c r="VNX28" i="3" a="1"/>
  <c r="VNX28" i="3" s="1"/>
  <c r="VNR28" i="3" a="1"/>
  <c r="VNR28" i="3" s="1"/>
  <c r="VNL28" i="3" a="1"/>
  <c r="VNL28" i="3" s="1"/>
  <c r="VNF28" i="3" a="1"/>
  <c r="VNF28" i="3" s="1"/>
  <c r="VMZ28" i="3" a="1"/>
  <c r="VMZ28" i="3" s="1"/>
  <c r="VMT28" i="3" a="1"/>
  <c r="VMT28" i="3" s="1"/>
  <c r="VMN28" i="3" a="1"/>
  <c r="VMN28" i="3" s="1"/>
  <c r="VMH28" i="3" a="1"/>
  <c r="VMH28" i="3" s="1"/>
  <c r="VMB28" i="3" a="1"/>
  <c r="VMB28" i="3" s="1"/>
  <c r="VLV28" i="3" a="1"/>
  <c r="VLV28" i="3" s="1"/>
  <c r="VLP28" i="3" a="1"/>
  <c r="VLP28" i="3" s="1"/>
  <c r="VLJ28" i="3" a="1"/>
  <c r="VLJ28" i="3" s="1"/>
  <c r="VLD28" i="3" a="1"/>
  <c r="VLD28" i="3" s="1"/>
  <c r="XBG28" i="3" a="1"/>
  <c r="XBG28" i="3" s="1"/>
  <c r="WTQ28" i="3" a="1"/>
  <c r="WTQ28" i="3" s="1"/>
  <c r="WRU28" i="3" a="1"/>
  <c r="WRU28" i="3" s="1"/>
  <c r="WQC28" i="3" a="1"/>
  <c r="WQC28" i="3" s="1"/>
  <c r="WOP28" i="3" a="1"/>
  <c r="WOP28" i="3" s="1"/>
  <c r="WLW28" i="3" a="1"/>
  <c r="WLW28" i="3" s="1"/>
  <c r="WJP28" i="3" a="1"/>
  <c r="WJP28" i="3" s="1"/>
  <c r="WIT28" i="3" a="1"/>
  <c r="WIT28" i="3" s="1"/>
  <c r="WHZ28" i="3" a="1"/>
  <c r="WHZ28" i="3" s="1"/>
  <c r="WGK28" i="3" a="1"/>
  <c r="WGK28" i="3" s="1"/>
  <c r="WFS28" i="3" a="1"/>
  <c r="WFS28" i="3" s="1"/>
  <c r="WFA28" i="3" a="1"/>
  <c r="WFA28" i="3" s="1"/>
  <c r="WEI28" i="3" a="1"/>
  <c r="WEI28" i="3" s="1"/>
  <c r="WDS28" i="3" a="1"/>
  <c r="WDS28" i="3" s="1"/>
  <c r="WCH28" i="3" a="1"/>
  <c r="WCH28" i="3" s="1"/>
  <c r="WBP28" i="3" a="1"/>
  <c r="WBP28" i="3" s="1"/>
  <c r="WAX28" i="3" a="1"/>
  <c r="WAX28" i="3" s="1"/>
  <c r="WAF28" i="3" a="1"/>
  <c r="WAF28" i="3" s="1"/>
  <c r="VZN28" i="3" a="1"/>
  <c r="VZN28" i="3" s="1"/>
  <c r="VYV28" i="3" a="1"/>
  <c r="VYV28" i="3" s="1"/>
  <c r="VYD28" i="3" a="1"/>
  <c r="VYD28" i="3" s="1"/>
  <c r="VXL28" i="3" a="1"/>
  <c r="VXL28" i="3" s="1"/>
  <c r="VWV28" i="3" a="1"/>
  <c r="VWV28" i="3" s="1"/>
  <c r="VWN28" i="3" a="1"/>
  <c r="VWN28" i="3" s="1"/>
  <c r="VVX28" i="3" a="1"/>
  <c r="VVX28" i="3" s="1"/>
  <c r="VVP28" i="3" a="1"/>
  <c r="VVP28" i="3" s="1"/>
  <c r="VUZ28" i="3" a="1"/>
  <c r="VUZ28" i="3" s="1"/>
  <c r="VUR28" i="3" a="1"/>
  <c r="VUR28" i="3" s="1"/>
  <c r="VUB28" i="3" a="1"/>
  <c r="VUB28" i="3" s="1"/>
  <c r="VTT28" i="3" a="1"/>
  <c r="VTT28" i="3" s="1"/>
  <c r="VTD28" i="3" a="1"/>
  <c r="VTD28" i="3" s="1"/>
  <c r="VRF28" i="3" a="1"/>
  <c r="VRF28" i="3" s="1"/>
  <c r="VQY28" i="3" a="1"/>
  <c r="VQY28" i="3" s="1"/>
  <c r="VQL28" i="3" a="1"/>
  <c r="VQL28" i="3" s="1"/>
  <c r="XBE28" i="3" a="1"/>
  <c r="XBE28" i="3" s="1"/>
  <c r="WVN28" i="3" a="1"/>
  <c r="WVN28" i="3" s="1"/>
  <c r="WOO28" i="3" a="1"/>
  <c r="WOO28" i="3" s="1"/>
  <c r="WNA28" i="3" a="1"/>
  <c r="WNA28" i="3" s="1"/>
  <c r="WKO28" i="3" a="1"/>
  <c r="WKO28" i="3" s="1"/>
  <c r="WJO28" i="3" a="1"/>
  <c r="WJO28" i="3" s="1"/>
  <c r="WHY28" i="3" a="1"/>
  <c r="WHY28" i="3" s="1"/>
  <c r="WHC28" i="3" a="1"/>
  <c r="WHC28" i="3" s="1"/>
  <c r="WGJ28" i="3" a="1"/>
  <c r="WGJ28" i="3" s="1"/>
  <c r="WFR28" i="3" a="1"/>
  <c r="WFR28" i="3" s="1"/>
  <c r="WEZ28" i="3" a="1"/>
  <c r="WEZ28" i="3" s="1"/>
  <c r="WEH28" i="3" a="1"/>
  <c r="WEH28" i="3" s="1"/>
  <c r="WDQ28" i="3" a="1"/>
  <c r="WDQ28" i="3" s="1"/>
  <c r="WBX28" i="3" a="1"/>
  <c r="WBX28" i="3" s="1"/>
  <c r="WBF28" i="3" a="1"/>
  <c r="WBF28" i="3" s="1"/>
  <c r="WAN28" i="3" a="1"/>
  <c r="WAN28" i="3" s="1"/>
  <c r="VZV28" i="3" a="1"/>
  <c r="VZV28" i="3" s="1"/>
  <c r="VZD28" i="3" a="1"/>
  <c r="VZD28" i="3" s="1"/>
  <c r="VYL28" i="3" a="1"/>
  <c r="VYL28" i="3" s="1"/>
  <c r="VXT28" i="3" a="1"/>
  <c r="VXT28" i="3" s="1"/>
  <c r="VXC28" i="3" a="1"/>
  <c r="VXC28" i="3" s="1"/>
  <c r="VWU28" i="3" a="1"/>
  <c r="VWU28" i="3" s="1"/>
  <c r="VWE28" i="3" a="1"/>
  <c r="VWE28" i="3" s="1"/>
  <c r="VVW28" i="3" a="1"/>
  <c r="VVW28" i="3" s="1"/>
  <c r="VVG28" i="3" a="1"/>
  <c r="VVG28" i="3" s="1"/>
  <c r="VUY28" i="3" a="1"/>
  <c r="VUY28" i="3" s="1"/>
  <c r="WTE28" i="3" a="1"/>
  <c r="WTE28" i="3" s="1"/>
  <c r="WPU28" i="3" a="1"/>
  <c r="WPU28" i="3" s="1"/>
  <c r="WIQ28" i="3" a="1"/>
  <c r="WIQ28" i="3" s="1"/>
  <c r="WFP28" i="3" a="1"/>
  <c r="WFP28" i="3" s="1"/>
  <c r="WEF28" i="3" a="1"/>
  <c r="WEF28" i="3" s="1"/>
  <c r="WDA28" i="3" a="1"/>
  <c r="WDA28" i="3" s="1"/>
  <c r="WCE28" i="3" a="1"/>
  <c r="WCE28" i="3" s="1"/>
  <c r="WBM28" i="3" a="1"/>
  <c r="WBM28" i="3" s="1"/>
  <c r="WAU28" i="3" a="1"/>
  <c r="WAU28" i="3" s="1"/>
  <c r="WAC28" i="3" a="1"/>
  <c r="WAC28" i="3" s="1"/>
  <c r="VZK28" i="3" a="1"/>
  <c r="VZK28" i="3" s="1"/>
  <c r="VYS28" i="3" a="1"/>
  <c r="VYS28" i="3" s="1"/>
  <c r="VYA28" i="3" a="1"/>
  <c r="VYA28" i="3" s="1"/>
  <c r="VWT28" i="3" a="1"/>
  <c r="VWT28" i="3" s="1"/>
  <c r="VWD28" i="3" a="1"/>
  <c r="VWD28" i="3" s="1"/>
  <c r="VUX28" i="3" a="1"/>
  <c r="VUX28" i="3" s="1"/>
  <c r="VRJ28" i="3" a="1"/>
  <c r="VRJ28" i="3" s="1"/>
  <c r="VKT28" i="3" a="1"/>
  <c r="VKT28" i="3" s="1"/>
  <c r="VKK28" i="3" a="1"/>
  <c r="VKK28" i="3" s="1"/>
  <c r="VJV28" i="3" a="1"/>
  <c r="VJV28" i="3" s="1"/>
  <c r="VJO28" i="3" a="1"/>
  <c r="VJO28" i="3" s="1"/>
  <c r="VJI28" i="3" a="1"/>
  <c r="VJI28" i="3" s="1"/>
  <c r="VJC28" i="3" a="1"/>
  <c r="VJC28" i="3" s="1"/>
  <c r="VIW28" i="3" a="1"/>
  <c r="VIW28" i="3" s="1"/>
  <c r="VIQ28" i="3" a="1"/>
  <c r="VIQ28" i="3" s="1"/>
  <c r="VIK28" i="3" a="1"/>
  <c r="VIK28" i="3" s="1"/>
  <c r="VIE28" i="3" a="1"/>
  <c r="VIE28" i="3" s="1"/>
  <c r="VHY28" i="3" a="1"/>
  <c r="VHY28" i="3" s="1"/>
  <c r="VHS28" i="3" a="1"/>
  <c r="VHS28" i="3" s="1"/>
  <c r="VHM28" i="3" a="1"/>
  <c r="VHM28" i="3" s="1"/>
  <c r="VHG28" i="3" a="1"/>
  <c r="VHG28" i="3" s="1"/>
  <c r="VHA28" i="3" a="1"/>
  <c r="VHA28" i="3" s="1"/>
  <c r="VGU28" i="3" a="1"/>
  <c r="VGU28" i="3" s="1"/>
  <c r="VGO28" i="3" a="1"/>
  <c r="VGO28" i="3" s="1"/>
  <c r="VGI28" i="3" a="1"/>
  <c r="VGI28" i="3" s="1"/>
  <c r="VGC28" i="3" a="1"/>
  <c r="VGC28" i="3" s="1"/>
  <c r="VFW28" i="3" a="1"/>
  <c r="VFW28" i="3" s="1"/>
  <c r="VFQ28" i="3" a="1"/>
  <c r="VFQ28" i="3" s="1"/>
  <c r="VFK28" i="3" a="1"/>
  <c r="VFK28" i="3" s="1"/>
  <c r="VFE28" i="3" a="1"/>
  <c r="VFE28" i="3" s="1"/>
  <c r="VEY28" i="3" a="1"/>
  <c r="VEY28" i="3" s="1"/>
  <c r="VES28" i="3" a="1"/>
  <c r="VES28" i="3" s="1"/>
  <c r="VEM28" i="3" a="1"/>
  <c r="VEM28" i="3" s="1"/>
  <c r="VEG28" i="3" a="1"/>
  <c r="VEG28" i="3" s="1"/>
  <c r="VEA28" i="3" a="1"/>
  <c r="VEA28" i="3" s="1"/>
  <c r="VDU28" i="3" a="1"/>
  <c r="VDU28" i="3" s="1"/>
  <c r="VDO28" i="3" a="1"/>
  <c r="VDO28" i="3" s="1"/>
  <c r="VDI28" i="3" a="1"/>
  <c r="VDI28" i="3" s="1"/>
  <c r="VDC28" i="3" a="1"/>
  <c r="VDC28" i="3" s="1"/>
  <c r="VCW28" i="3" a="1"/>
  <c r="VCW28" i="3" s="1"/>
  <c r="WXJ28" i="3" a="1"/>
  <c r="WXJ28" i="3" s="1"/>
  <c r="WMT28" i="3" a="1"/>
  <c r="WMT28" i="3" s="1"/>
  <c r="WKM28" i="3" a="1"/>
  <c r="WKM28" i="3" s="1"/>
  <c r="WHA28" i="3" a="1"/>
  <c r="WHA28" i="3" s="1"/>
  <c r="VXI28" i="3" a="1"/>
  <c r="VXI28" i="3" s="1"/>
  <c r="VWC28" i="3" a="1"/>
  <c r="VWC28" i="3" s="1"/>
  <c r="VVM28" i="3" a="1"/>
  <c r="VVM28" i="3" s="1"/>
  <c r="VUI28" i="3" a="1"/>
  <c r="VUI28" i="3" s="1"/>
  <c r="VTX28" i="3" a="1"/>
  <c r="VTX28" i="3" s="1"/>
  <c r="VTK28" i="3" a="1"/>
  <c r="VTK28" i="3" s="1"/>
  <c r="VSZ28" i="3" a="1"/>
  <c r="VSZ28" i="3" s="1"/>
  <c r="VSN28" i="3" a="1"/>
  <c r="VSN28" i="3" s="1"/>
  <c r="VSE28" i="3" a="1"/>
  <c r="VSE28" i="3" s="1"/>
  <c r="VRS28" i="3" a="1"/>
  <c r="VRS28" i="3" s="1"/>
  <c r="VQP28" i="3" a="1"/>
  <c r="VQP28" i="3" s="1"/>
  <c r="VQE28" i="3" a="1"/>
  <c r="VQE28" i="3" s="1"/>
  <c r="VPW28" i="3" a="1"/>
  <c r="VPW28" i="3" s="1"/>
  <c r="VPM28" i="3" a="1"/>
  <c r="VPM28" i="3" s="1"/>
  <c r="VPE28" i="3" a="1"/>
  <c r="VPE28" i="3" s="1"/>
  <c r="VOU28" i="3" a="1"/>
  <c r="VOU28" i="3" s="1"/>
  <c r="VOM28" i="3" a="1"/>
  <c r="VOM28" i="3" s="1"/>
  <c r="VOC28" i="3" a="1"/>
  <c r="VOC28" i="3" s="1"/>
  <c r="VNU28" i="3" a="1"/>
  <c r="VNU28" i="3" s="1"/>
  <c r="VNK28" i="3" a="1"/>
  <c r="VNK28" i="3" s="1"/>
  <c r="VNC28" i="3" a="1"/>
  <c r="VNC28" i="3" s="1"/>
  <c r="VMS28" i="3" a="1"/>
  <c r="VMS28" i="3" s="1"/>
  <c r="VMK28" i="3" a="1"/>
  <c r="VMK28" i="3" s="1"/>
  <c r="VMA28" i="3" a="1"/>
  <c r="VMA28" i="3" s="1"/>
  <c r="VLS28" i="3" a="1"/>
  <c r="VLS28" i="3" s="1"/>
  <c r="VLI28" i="3" a="1"/>
  <c r="VLI28" i="3" s="1"/>
  <c r="VLA28" i="3" a="1"/>
  <c r="VLA28" i="3" s="1"/>
  <c r="VKC28" i="3" a="1"/>
  <c r="VKC28" i="3" s="1"/>
  <c r="XFA28" i="3" a="1"/>
  <c r="XFA28" i="3" s="1"/>
  <c r="WSW28" i="3" a="1"/>
  <c r="WSW28" i="3" s="1"/>
  <c r="WPT28" i="3" a="1"/>
  <c r="WPT28" i="3" s="1"/>
  <c r="WKI28" i="3" a="1"/>
  <c r="WKI28" i="3" s="1"/>
  <c r="WIN28" i="3" a="1"/>
  <c r="WIN28" i="3" s="1"/>
  <c r="WFN28" i="3" a="1"/>
  <c r="WFN28" i="3" s="1"/>
  <c r="WED28" i="3" a="1"/>
  <c r="WED28" i="3" s="1"/>
  <c r="WCZ28" i="3" a="1"/>
  <c r="WCZ28" i="3" s="1"/>
  <c r="WCD28" i="3" a="1"/>
  <c r="WCD28" i="3" s="1"/>
  <c r="WBL28" i="3" a="1"/>
  <c r="WBL28" i="3" s="1"/>
  <c r="WAT28" i="3" a="1"/>
  <c r="WAT28" i="3" s="1"/>
  <c r="WAB28" i="3" a="1"/>
  <c r="WAB28" i="3" s="1"/>
  <c r="VZJ28" i="3" a="1"/>
  <c r="VZJ28" i="3" s="1"/>
  <c r="VYR28" i="3" a="1"/>
  <c r="VYR28" i="3" s="1"/>
  <c r="VXZ28" i="3" a="1"/>
  <c r="VXZ28" i="3" s="1"/>
  <c r="VWR28" i="3" a="1"/>
  <c r="VWR28" i="3" s="1"/>
  <c r="VUV28" i="3" a="1"/>
  <c r="VUV28" i="3" s="1"/>
  <c r="VRI28" i="3" a="1"/>
  <c r="VRI28" i="3" s="1"/>
  <c r="VQX28" i="3" a="1"/>
  <c r="VQX28" i="3" s="1"/>
  <c r="VKR28" i="3" a="1"/>
  <c r="VKR28" i="3" s="1"/>
  <c r="VKJ28" i="3" a="1"/>
  <c r="VKJ28" i="3" s="1"/>
  <c r="VJT28" i="3" a="1"/>
  <c r="VJT28" i="3" s="1"/>
  <c r="VJN28" i="3" a="1"/>
  <c r="VJN28" i="3" s="1"/>
  <c r="VJH28" i="3" a="1"/>
  <c r="VJH28" i="3" s="1"/>
  <c r="VJB28" i="3" a="1"/>
  <c r="VJB28" i="3" s="1"/>
  <c r="VIV28" i="3" a="1"/>
  <c r="VIV28" i="3" s="1"/>
  <c r="VIP28" i="3" a="1"/>
  <c r="VIP28" i="3" s="1"/>
  <c r="VIJ28" i="3" a="1"/>
  <c r="VIJ28" i="3" s="1"/>
  <c r="VID28" i="3" a="1"/>
  <c r="VID28" i="3" s="1"/>
  <c r="VHX28" i="3" a="1"/>
  <c r="VHX28" i="3" s="1"/>
  <c r="VHR28" i="3" a="1"/>
  <c r="VHR28" i="3" s="1"/>
  <c r="VHL28" i="3" a="1"/>
  <c r="VHL28" i="3" s="1"/>
  <c r="VHF28" i="3" a="1"/>
  <c r="VHF28" i="3" s="1"/>
  <c r="VGZ28" i="3" a="1"/>
  <c r="VGZ28" i="3" s="1"/>
  <c r="VGT28" i="3" a="1"/>
  <c r="VGT28" i="3" s="1"/>
  <c r="VGN28" i="3" a="1"/>
  <c r="VGN28" i="3" s="1"/>
  <c r="VGH28" i="3" a="1"/>
  <c r="VGH28" i="3" s="1"/>
  <c r="VGB28" i="3" a="1"/>
  <c r="VGB28" i="3" s="1"/>
  <c r="VFV28" i="3" a="1"/>
  <c r="VFV28" i="3" s="1"/>
  <c r="VFP28" i="3" a="1"/>
  <c r="VFP28" i="3" s="1"/>
  <c r="VFJ28" i="3" a="1"/>
  <c r="VFJ28" i="3" s="1"/>
  <c r="VFD28" i="3" a="1"/>
  <c r="VFD28" i="3" s="1"/>
  <c r="VEX28" i="3" a="1"/>
  <c r="VEX28" i="3" s="1"/>
  <c r="VER28" i="3" a="1"/>
  <c r="VER28" i="3" s="1"/>
  <c r="VEL28" i="3" a="1"/>
  <c r="VEL28" i="3" s="1"/>
  <c r="VEF28" i="3" a="1"/>
  <c r="VEF28" i="3" s="1"/>
  <c r="VDZ28" i="3" a="1"/>
  <c r="VDZ28" i="3" s="1"/>
  <c r="VDT28" i="3" a="1"/>
  <c r="VDT28" i="3" s="1"/>
  <c r="VDN28" i="3" a="1"/>
  <c r="VDN28" i="3" s="1"/>
  <c r="VDH28" i="3" a="1"/>
  <c r="VDH28" i="3" s="1"/>
  <c r="VDB28" i="3" a="1"/>
  <c r="VDB28" i="3" s="1"/>
  <c r="VCV28" i="3" a="1"/>
  <c r="VCV28" i="3" s="1"/>
  <c r="VCP28" i="3" a="1"/>
  <c r="VCP28" i="3" s="1"/>
  <c r="VCJ28" i="3" a="1"/>
  <c r="VCJ28" i="3" s="1"/>
  <c r="XDH28" i="3" a="1"/>
  <c r="XDH28" i="3" s="1"/>
  <c r="WSN28" i="3" a="1"/>
  <c r="WSN28" i="3" s="1"/>
  <c r="WMK28" i="3" a="1"/>
  <c r="WMK28" i="3" s="1"/>
  <c r="WKC28" i="3" a="1"/>
  <c r="WKC28" i="3" s="1"/>
  <c r="WIK28" i="3" a="1"/>
  <c r="WIK28" i="3" s="1"/>
  <c r="WFK28" i="3" a="1"/>
  <c r="WFK28" i="3" s="1"/>
  <c r="WEA28" i="3" a="1"/>
  <c r="WEA28" i="3" s="1"/>
  <c r="WCC28" i="3" a="1"/>
  <c r="WCC28" i="3" s="1"/>
  <c r="WBK28" i="3" a="1"/>
  <c r="WBK28" i="3" s="1"/>
  <c r="WAS28" i="3" a="1"/>
  <c r="WAS28" i="3" s="1"/>
  <c r="WAA28" i="3" a="1"/>
  <c r="WAA28" i="3" s="1"/>
  <c r="VZI28" i="3" a="1"/>
  <c r="VZI28" i="3" s="1"/>
  <c r="VYQ28" i="3" a="1"/>
  <c r="VYQ28" i="3" s="1"/>
  <c r="VXY28" i="3" a="1"/>
  <c r="VXY28" i="3" s="1"/>
  <c r="VXH28" i="3" a="1"/>
  <c r="VXH28" i="3" s="1"/>
  <c r="VWB28" i="3" a="1"/>
  <c r="VWB28" i="3" s="1"/>
  <c r="VVL28" i="3" a="1"/>
  <c r="VVL28" i="3" s="1"/>
  <c r="VUH28" i="3" a="1"/>
  <c r="VUH28" i="3" s="1"/>
  <c r="VTW28" i="3" a="1"/>
  <c r="VTW28" i="3" s="1"/>
  <c r="VTJ28" i="3" a="1"/>
  <c r="VTJ28" i="3" s="1"/>
  <c r="VSY28" i="3" a="1"/>
  <c r="VSY28" i="3" s="1"/>
  <c r="VSM28" i="3" a="1"/>
  <c r="VSM28" i="3" s="1"/>
  <c r="VSD28" i="3" a="1"/>
  <c r="VSD28" i="3" s="1"/>
  <c r="VRR28" i="3" a="1"/>
  <c r="VRR28" i="3" s="1"/>
  <c r="VQO28" i="3" a="1"/>
  <c r="VQO28" i="3" s="1"/>
  <c r="VQD28" i="3" a="1"/>
  <c r="VQD28" i="3" s="1"/>
  <c r="VPV28" i="3" a="1"/>
  <c r="VPV28" i="3" s="1"/>
  <c r="VPL28" i="3" a="1"/>
  <c r="VPL28" i="3" s="1"/>
  <c r="VPD28" i="3" a="1"/>
  <c r="VPD28" i="3" s="1"/>
  <c r="VOT28" i="3" a="1"/>
  <c r="VOT28" i="3" s="1"/>
  <c r="VOL28" i="3" a="1"/>
  <c r="VOL28" i="3" s="1"/>
  <c r="VOB28" i="3" a="1"/>
  <c r="VOB28" i="3" s="1"/>
  <c r="VNT28" i="3" a="1"/>
  <c r="VNT28" i="3" s="1"/>
  <c r="VNJ28" i="3" a="1"/>
  <c r="VNJ28" i="3" s="1"/>
  <c r="VNB28" i="3" a="1"/>
  <c r="VNB28" i="3" s="1"/>
  <c r="VMR28" i="3" a="1"/>
  <c r="VMR28" i="3" s="1"/>
  <c r="VMJ28" i="3" a="1"/>
  <c r="VMJ28" i="3" s="1"/>
  <c r="VLZ28" i="3" a="1"/>
  <c r="VLZ28" i="3" s="1"/>
  <c r="VLR28" i="3" a="1"/>
  <c r="VLR28" i="3" s="1"/>
  <c r="VLH28" i="3" a="1"/>
  <c r="VLH28" i="3" s="1"/>
  <c r="VKZ28" i="3" a="1"/>
  <c r="VKZ28" i="3" s="1"/>
  <c r="VKQ28" i="3" a="1"/>
  <c r="VKQ28" i="3" s="1"/>
  <c r="VKB28" i="3" a="1"/>
  <c r="VKB28" i="3" s="1"/>
  <c r="XDF28" i="3" a="1"/>
  <c r="XDF28" i="3" s="1"/>
  <c r="WSM28" i="3" a="1"/>
  <c r="WSM28" i="3" s="1"/>
  <c r="WKB28" i="3" a="1"/>
  <c r="WKB28" i="3" s="1"/>
  <c r="WIH28" i="3" a="1"/>
  <c r="WIH28" i="3" s="1"/>
  <c r="VXG28" i="3" a="1"/>
  <c r="VXG28" i="3" s="1"/>
  <c r="VWQ28" i="3" a="1"/>
  <c r="VWQ28" i="3" s="1"/>
  <c r="VVK28" i="3" a="1"/>
  <c r="VVK28" i="3" s="1"/>
  <c r="VUU28" i="3" a="1"/>
  <c r="VUU28" i="3" s="1"/>
  <c r="VUG28" i="3" a="1"/>
  <c r="VUG28" i="3" s="1"/>
  <c r="VTU28" i="3" a="1"/>
  <c r="VTU28" i="3" s="1"/>
  <c r="VTI28" i="3" a="1"/>
  <c r="VTI28" i="3" s="1"/>
  <c r="VRG28" i="3" a="1"/>
  <c r="VRG28" i="3" s="1"/>
  <c r="VQW28" i="3" a="1"/>
  <c r="VQW28" i="3" s="1"/>
  <c r="VQM28" i="3" a="1"/>
  <c r="VQM28" i="3" s="1"/>
  <c r="VKI28" i="3" a="1"/>
  <c r="VKI28" i="3" s="1"/>
  <c r="VJS28" i="3" a="1"/>
  <c r="VJS28" i="3" s="1"/>
  <c r="VJM28" i="3" a="1"/>
  <c r="VJM28" i="3" s="1"/>
  <c r="VJG28" i="3" a="1"/>
  <c r="VJG28" i="3" s="1"/>
  <c r="VJA28" i="3" a="1"/>
  <c r="VJA28" i="3" s="1"/>
  <c r="VIU28" i="3" a="1"/>
  <c r="VIU28" i="3" s="1"/>
  <c r="VIO28" i="3" a="1"/>
  <c r="VIO28" i="3" s="1"/>
  <c r="VII28" i="3" a="1"/>
  <c r="VII28" i="3" s="1"/>
  <c r="VIC28" i="3" a="1"/>
  <c r="VIC28" i="3" s="1"/>
  <c r="VHW28" i="3" a="1"/>
  <c r="VHW28" i="3" s="1"/>
  <c r="VHQ28" i="3" a="1"/>
  <c r="VHQ28" i="3" s="1"/>
  <c r="VHK28" i="3" a="1"/>
  <c r="VHK28" i="3" s="1"/>
  <c r="VHE28" i="3" a="1"/>
  <c r="VHE28" i="3" s="1"/>
  <c r="VGY28" i="3" a="1"/>
  <c r="VGY28" i="3" s="1"/>
  <c r="VGS28" i="3" a="1"/>
  <c r="VGS28" i="3" s="1"/>
  <c r="VGM28" i="3" a="1"/>
  <c r="VGM28" i="3" s="1"/>
  <c r="VGG28" i="3" a="1"/>
  <c r="VGG28" i="3" s="1"/>
  <c r="VGA28" i="3" a="1"/>
  <c r="VGA28" i="3" s="1"/>
  <c r="VFU28" i="3" a="1"/>
  <c r="VFU28" i="3" s="1"/>
  <c r="VFO28" i="3" a="1"/>
  <c r="VFO28" i="3" s="1"/>
  <c r="VFI28" i="3" a="1"/>
  <c r="VFI28" i="3" s="1"/>
  <c r="VFC28" i="3" a="1"/>
  <c r="VFC28" i="3" s="1"/>
  <c r="VEW28" i="3" a="1"/>
  <c r="VEW28" i="3" s="1"/>
  <c r="VEQ28" i="3" a="1"/>
  <c r="VEQ28" i="3" s="1"/>
  <c r="VEK28" i="3" a="1"/>
  <c r="VEK28" i="3" s="1"/>
  <c r="VEE28" i="3" a="1"/>
  <c r="VEE28" i="3" s="1"/>
  <c r="VDY28" i="3" a="1"/>
  <c r="VDY28" i="3" s="1"/>
  <c r="VDS28" i="3" a="1"/>
  <c r="VDS28" i="3" s="1"/>
  <c r="VDM28" i="3" a="1"/>
  <c r="VDM28" i="3" s="1"/>
  <c r="VDG28" i="3" a="1"/>
  <c r="VDG28" i="3" s="1"/>
  <c r="VDA28" i="3" a="1"/>
  <c r="VDA28" i="3" s="1"/>
  <c r="VCU28" i="3" a="1"/>
  <c r="VCU28" i="3" s="1"/>
  <c r="VCO28" i="3" a="1"/>
  <c r="VCO28" i="3" s="1"/>
  <c r="VCI28" i="3" a="1"/>
  <c r="VCI28" i="3" s="1"/>
  <c r="VCC28" i="3" a="1"/>
  <c r="VCC28" i="3" s="1"/>
  <c r="VBW28" i="3" a="1"/>
  <c r="VBW28" i="3" s="1"/>
  <c r="VBQ28" i="3" a="1"/>
  <c r="VBQ28" i="3" s="1"/>
  <c r="VBK28" i="3" a="1"/>
  <c r="VBK28" i="3" s="1"/>
  <c r="VBE28" i="3" a="1"/>
  <c r="VBE28" i="3" s="1"/>
  <c r="VAY28" i="3" a="1"/>
  <c r="VAY28" i="3" s="1"/>
  <c r="VAS28" i="3" a="1"/>
  <c r="VAS28" i="3" s="1"/>
  <c r="VAM28" i="3" a="1"/>
  <c r="VAM28" i="3" s="1"/>
  <c r="XAQ28" i="3" a="1"/>
  <c r="XAQ28" i="3" s="1"/>
  <c r="WRM28" i="3" a="1"/>
  <c r="WRM28" i="3" s="1"/>
  <c r="WLR28" i="3" a="1"/>
  <c r="WLR28" i="3" s="1"/>
  <c r="WJL28" i="3" a="1"/>
  <c r="WJL28" i="3" s="1"/>
  <c r="WCP28" i="3" a="1"/>
  <c r="WCP28" i="3" s="1"/>
  <c r="WBW28" i="3" a="1"/>
  <c r="WBW28" i="3" s="1"/>
  <c r="WBE28" i="3" a="1"/>
  <c r="WBE28" i="3" s="1"/>
  <c r="WAM28" i="3" a="1"/>
  <c r="WAM28" i="3" s="1"/>
  <c r="VZU28" i="3" a="1"/>
  <c r="VZU28" i="3" s="1"/>
  <c r="VZC28" i="3" a="1"/>
  <c r="VZC28" i="3" s="1"/>
  <c r="VYK28" i="3" a="1"/>
  <c r="VYK28" i="3" s="1"/>
  <c r="VXS28" i="3" a="1"/>
  <c r="VXS28" i="3" s="1"/>
  <c r="VWL28" i="3" a="1"/>
  <c r="VWL28" i="3" s="1"/>
  <c r="VSV28" i="3" a="1"/>
  <c r="VSV28" i="3" s="1"/>
  <c r="VSL28" i="3" a="1"/>
  <c r="VSL28" i="3" s="1"/>
  <c r="VRZ28" i="3" a="1"/>
  <c r="VRZ28" i="3" s="1"/>
  <c r="VRP28" i="3" a="1"/>
  <c r="VRP28" i="3" s="1"/>
  <c r="VRE28" i="3" a="1"/>
  <c r="VRE28" i="3" s="1"/>
  <c r="VQC28" i="3" a="1"/>
  <c r="VQC28" i="3" s="1"/>
  <c r="VPS28" i="3" a="1"/>
  <c r="VPS28" i="3" s="1"/>
  <c r="VPK28" i="3" a="1"/>
  <c r="VPK28" i="3" s="1"/>
  <c r="VPA28" i="3" a="1"/>
  <c r="VPA28" i="3" s="1"/>
  <c r="VOS28" i="3" a="1"/>
  <c r="VOS28" i="3" s="1"/>
  <c r="VOI28" i="3" a="1"/>
  <c r="VOI28" i="3" s="1"/>
  <c r="VOA28" i="3" a="1"/>
  <c r="VOA28" i="3" s="1"/>
  <c r="VNQ28" i="3" a="1"/>
  <c r="VNQ28" i="3" s="1"/>
  <c r="VNI28" i="3" a="1"/>
  <c r="VNI28" i="3" s="1"/>
  <c r="VMY28" i="3" a="1"/>
  <c r="VMY28" i="3" s="1"/>
  <c r="VMQ28" i="3" a="1"/>
  <c r="VMQ28" i="3" s="1"/>
  <c r="VMG28" i="3" a="1"/>
  <c r="VMG28" i="3" s="1"/>
  <c r="VLY28" i="3" a="1"/>
  <c r="VLY28" i="3" s="1"/>
  <c r="VLO28" i="3" a="1"/>
  <c r="VLO28" i="3" s="1"/>
  <c r="VLG28" i="3" a="1"/>
  <c r="VLG28" i="3" s="1"/>
  <c r="VKX28" i="3" a="1"/>
  <c r="VKX28" i="3" s="1"/>
  <c r="VKP28" i="3" a="1"/>
  <c r="VKP28" i="3" s="1"/>
  <c r="VJZ28" i="3" a="1"/>
  <c r="VJZ28" i="3" s="1"/>
  <c r="XAJ28" i="3" a="1"/>
  <c r="XAJ28" i="3" s="1"/>
  <c r="WVB28" i="3" a="1"/>
  <c r="WVB28" i="3" s="1"/>
  <c r="WHT28" i="3" a="1"/>
  <c r="WHT28" i="3" s="1"/>
  <c r="WGF28" i="3" a="1"/>
  <c r="WGF28" i="3" s="1"/>
  <c r="WEV28" i="3" a="1"/>
  <c r="WEV28" i="3" s="1"/>
  <c r="WDN28" i="3" a="1"/>
  <c r="WDN28" i="3" s="1"/>
  <c r="WCN28" i="3" a="1"/>
  <c r="WCN28" i="3" s="1"/>
  <c r="VVT28" i="3" a="1"/>
  <c r="VVT28" i="3" s="1"/>
  <c r="VUO28" i="3" a="1"/>
  <c r="VUO28" i="3" s="1"/>
  <c r="VUC28" i="3" a="1"/>
  <c r="VUC28" i="3" s="1"/>
  <c r="VTQ28" i="3" a="1"/>
  <c r="VTQ28" i="3" s="1"/>
  <c r="VTE28" i="3" a="1"/>
  <c r="VTE28" i="3" s="1"/>
  <c r="VQT28" i="3" a="1"/>
  <c r="VQT28" i="3" s="1"/>
  <c r="VQJ28" i="3" a="1"/>
  <c r="VQJ28" i="3" s="1"/>
  <c r="VKV28" i="3" a="1"/>
  <c r="VKV28" i="3" s="1"/>
  <c r="VKF28" i="3" a="1"/>
  <c r="VKF28" i="3" s="1"/>
  <c r="VJX28" i="3" a="1"/>
  <c r="VJX28" i="3" s="1"/>
  <c r="VJQ28" i="3" a="1"/>
  <c r="VJQ28" i="3" s="1"/>
  <c r="VJK28" i="3" a="1"/>
  <c r="VJK28" i="3" s="1"/>
  <c r="VJE28" i="3" a="1"/>
  <c r="VJE28" i="3" s="1"/>
  <c r="VIY28" i="3" a="1"/>
  <c r="VIY28" i="3" s="1"/>
  <c r="VIS28" i="3" a="1"/>
  <c r="VIS28" i="3" s="1"/>
  <c r="VIM28" i="3" a="1"/>
  <c r="VIM28" i="3" s="1"/>
  <c r="VIG28" i="3" a="1"/>
  <c r="VIG28" i="3" s="1"/>
  <c r="VIA28" i="3" a="1"/>
  <c r="VIA28" i="3" s="1"/>
  <c r="VHU28" i="3" a="1"/>
  <c r="VHU28" i="3" s="1"/>
  <c r="VHO28" i="3" a="1"/>
  <c r="VHO28" i="3" s="1"/>
  <c r="VHI28" i="3" a="1"/>
  <c r="VHI28" i="3" s="1"/>
  <c r="VHC28" i="3" a="1"/>
  <c r="VHC28" i="3" s="1"/>
  <c r="VGW28" i="3" a="1"/>
  <c r="VGW28" i="3" s="1"/>
  <c r="VGQ28" i="3" a="1"/>
  <c r="VGQ28" i="3" s="1"/>
  <c r="VGK28" i="3" a="1"/>
  <c r="VGK28" i="3" s="1"/>
  <c r="VGE28" i="3" a="1"/>
  <c r="VGE28" i="3" s="1"/>
  <c r="VFY28" i="3" a="1"/>
  <c r="VFY28" i="3" s="1"/>
  <c r="VFS28" i="3" a="1"/>
  <c r="VFS28" i="3" s="1"/>
  <c r="VFM28" i="3" a="1"/>
  <c r="VFM28" i="3" s="1"/>
  <c r="VFG28" i="3" a="1"/>
  <c r="VFG28" i="3" s="1"/>
  <c r="VFA28" i="3" a="1"/>
  <c r="VFA28" i="3" s="1"/>
  <c r="VEU28" i="3" a="1"/>
  <c r="VEU28" i="3" s="1"/>
  <c r="VEO28" i="3" a="1"/>
  <c r="VEO28" i="3" s="1"/>
  <c r="VEI28" i="3" a="1"/>
  <c r="VEI28" i="3" s="1"/>
  <c r="VEC28" i="3" a="1"/>
  <c r="VEC28" i="3" s="1"/>
  <c r="VDW28" i="3" a="1"/>
  <c r="VDW28" i="3" s="1"/>
  <c r="VDQ28" i="3" a="1"/>
  <c r="VDQ28" i="3" s="1"/>
  <c r="VDK28" i="3" a="1"/>
  <c r="VDK28" i="3" s="1"/>
  <c r="VDE28" i="3" a="1"/>
  <c r="VDE28" i="3" s="1"/>
  <c r="VCY28" i="3" a="1"/>
  <c r="VCY28" i="3" s="1"/>
  <c r="WJJ28" i="3" a="1"/>
  <c r="WJJ28" i="3" s="1"/>
  <c r="WCO28" i="3" a="1"/>
  <c r="WCO28" i="3" s="1"/>
  <c r="VXR28" i="3" a="1"/>
  <c r="VXR28" i="3" s="1"/>
  <c r="VWI28" i="3" a="1"/>
  <c r="VWI28" i="3" s="1"/>
  <c r="VUP28" i="3" a="1"/>
  <c r="VUP28" i="3" s="1"/>
  <c r="VSR28" i="3" a="1"/>
  <c r="VSR28" i="3" s="1"/>
  <c r="VRO28" i="3" a="1"/>
  <c r="VRO28" i="3" s="1"/>
  <c r="VOY28" i="3" a="1"/>
  <c r="VOY28" i="3" s="1"/>
  <c r="VOF28" i="3" a="1"/>
  <c r="VOF28" i="3" s="1"/>
  <c r="VNH28" i="3" a="1"/>
  <c r="VNH28" i="3" s="1"/>
  <c r="VKD28" i="3" a="1"/>
  <c r="VKD28" i="3" s="1"/>
  <c r="VIX28" i="3" a="1"/>
  <c r="VIX28" i="3" s="1"/>
  <c r="VIH28" i="3" a="1"/>
  <c r="VIH28" i="3" s="1"/>
  <c r="VGD28" i="3" a="1"/>
  <c r="VGD28" i="3" s="1"/>
  <c r="VFN28" i="3" a="1"/>
  <c r="VFN28" i="3" s="1"/>
  <c r="VDJ28" i="3" a="1"/>
  <c r="VDJ28" i="3" s="1"/>
  <c r="VCT28" i="3" a="1"/>
  <c r="VCT28" i="3" s="1"/>
  <c r="VCA28" i="3" a="1"/>
  <c r="VCA28" i="3" s="1"/>
  <c r="VBL28" i="3" a="1"/>
  <c r="VBL28" i="3" s="1"/>
  <c r="VBC28" i="3" a="1"/>
  <c r="VBC28" i="3" s="1"/>
  <c r="VAN28" i="3" a="1"/>
  <c r="VAN28" i="3" s="1"/>
  <c r="UZC28" i="3" a="1"/>
  <c r="UZC28" i="3" s="1"/>
  <c r="UXS28" i="3" a="1"/>
  <c r="UXS28" i="3" s="1"/>
  <c r="UXL28" i="3" a="1"/>
  <c r="UXL28" i="3" s="1"/>
  <c r="UXF28" i="3" a="1"/>
  <c r="UXF28" i="3" s="1"/>
  <c r="UWZ28" i="3" a="1"/>
  <c r="UWZ28" i="3" s="1"/>
  <c r="UWT28" i="3" a="1"/>
  <c r="UWT28" i="3" s="1"/>
  <c r="UWN28" i="3" a="1"/>
  <c r="UWN28" i="3" s="1"/>
  <c r="UWH28" i="3" a="1"/>
  <c r="UWH28" i="3" s="1"/>
  <c r="UWB28" i="3" a="1"/>
  <c r="UWB28" i="3" s="1"/>
  <c r="UVV28" i="3" a="1"/>
  <c r="UVV28" i="3" s="1"/>
  <c r="UVP28" i="3" a="1"/>
  <c r="UVP28" i="3" s="1"/>
  <c r="UVJ28" i="3" a="1"/>
  <c r="UVJ28" i="3" s="1"/>
  <c r="UVD28" i="3" a="1"/>
  <c r="UVD28" i="3" s="1"/>
  <c r="UUX28" i="3" a="1"/>
  <c r="UUX28" i="3" s="1"/>
  <c r="UUR28" i="3" a="1"/>
  <c r="UUR28" i="3" s="1"/>
  <c r="UUL28" i="3" a="1"/>
  <c r="UUL28" i="3" s="1"/>
  <c r="UUF28" i="3" a="1"/>
  <c r="UUF28" i="3" s="1"/>
  <c r="UTZ28" i="3" a="1"/>
  <c r="UTZ28" i="3" s="1"/>
  <c r="UTT28" i="3" a="1"/>
  <c r="UTT28" i="3" s="1"/>
  <c r="UTN28" i="3" a="1"/>
  <c r="UTN28" i="3" s="1"/>
  <c r="UTH28" i="3" a="1"/>
  <c r="UTH28" i="3" s="1"/>
  <c r="UTB28" i="3" a="1"/>
  <c r="UTB28" i="3" s="1"/>
  <c r="USV28" i="3" a="1"/>
  <c r="USV28" i="3" s="1"/>
  <c r="USP28" i="3" a="1"/>
  <c r="USP28" i="3" s="1"/>
  <c r="USJ28" i="3" a="1"/>
  <c r="USJ28" i="3" s="1"/>
  <c r="USD28" i="3" a="1"/>
  <c r="USD28" i="3" s="1"/>
  <c r="URX28" i="3" a="1"/>
  <c r="URX28" i="3" s="1"/>
  <c r="URR28" i="3" a="1"/>
  <c r="URR28" i="3" s="1"/>
  <c r="URL28" i="3" a="1"/>
  <c r="URL28" i="3" s="1"/>
  <c r="URF28" i="3" a="1"/>
  <c r="URF28" i="3" s="1"/>
  <c r="UQZ28" i="3" a="1"/>
  <c r="UQZ28" i="3" s="1"/>
  <c r="UQT28" i="3" a="1"/>
  <c r="UQT28" i="3" s="1"/>
  <c r="UQN28" i="3" a="1"/>
  <c r="UQN28" i="3" s="1"/>
  <c r="UQH28" i="3" a="1"/>
  <c r="UQH28" i="3" s="1"/>
  <c r="UQB28" i="3" a="1"/>
  <c r="UQB28" i="3" s="1"/>
  <c r="UPV28" i="3" a="1"/>
  <c r="UPV28" i="3" s="1"/>
  <c r="UPP28" i="3" a="1"/>
  <c r="UPP28" i="3" s="1"/>
  <c r="UPJ28" i="3" a="1"/>
  <c r="UPJ28" i="3" s="1"/>
  <c r="UPD28" i="3" a="1"/>
  <c r="UPD28" i="3" s="1"/>
  <c r="UOX28" i="3" a="1"/>
  <c r="UOX28" i="3" s="1"/>
  <c r="UOR28" i="3" a="1"/>
  <c r="UOR28" i="3" s="1"/>
  <c r="UOL28" i="3" a="1"/>
  <c r="UOL28" i="3" s="1"/>
  <c r="UOF28" i="3" a="1"/>
  <c r="UOF28" i="3" s="1"/>
  <c r="UNZ28" i="3" a="1"/>
  <c r="UNZ28" i="3" s="1"/>
  <c r="UNT28" i="3" a="1"/>
  <c r="UNT28" i="3" s="1"/>
  <c r="UNN28" i="3" a="1"/>
  <c r="UNN28" i="3" s="1"/>
  <c r="UNH28" i="3" a="1"/>
  <c r="UNH28" i="3" s="1"/>
  <c r="UNB28" i="3" a="1"/>
  <c r="UNB28" i="3" s="1"/>
  <c r="UMV28" i="3" a="1"/>
  <c r="UMV28" i="3" s="1"/>
  <c r="UMP28" i="3" a="1"/>
  <c r="UMP28" i="3" s="1"/>
  <c r="UMJ28" i="3" a="1"/>
  <c r="UMJ28" i="3" s="1"/>
  <c r="UMD28" i="3" a="1"/>
  <c r="UMD28" i="3" s="1"/>
  <c r="ULX28" i="3" a="1"/>
  <c r="ULX28" i="3" s="1"/>
  <c r="ULR28" i="3" a="1"/>
  <c r="ULR28" i="3" s="1"/>
  <c r="ULL28" i="3" a="1"/>
  <c r="ULL28" i="3" s="1"/>
  <c r="ULF28" i="3" a="1"/>
  <c r="ULF28" i="3" s="1"/>
  <c r="UKZ28" i="3" a="1"/>
  <c r="UKZ28" i="3" s="1"/>
  <c r="UKT28" i="3" a="1"/>
  <c r="UKT28" i="3" s="1"/>
  <c r="UKN28" i="3" a="1"/>
  <c r="UKN28" i="3" s="1"/>
  <c r="UKH28" i="3" a="1"/>
  <c r="UKH28" i="3" s="1"/>
  <c r="UKB28" i="3" a="1"/>
  <c r="UKB28" i="3" s="1"/>
  <c r="UJV28" i="3" a="1"/>
  <c r="UJV28" i="3" s="1"/>
  <c r="UJP28" i="3" a="1"/>
  <c r="UJP28" i="3" s="1"/>
  <c r="UJJ28" i="3" a="1"/>
  <c r="UJJ28" i="3" s="1"/>
  <c r="UJD28" i="3" a="1"/>
  <c r="UJD28" i="3" s="1"/>
  <c r="UIX28" i="3" a="1"/>
  <c r="UIX28" i="3" s="1"/>
  <c r="UIR28" i="3" a="1"/>
  <c r="UIR28" i="3" s="1"/>
  <c r="UIL28" i="3" a="1"/>
  <c r="UIL28" i="3" s="1"/>
  <c r="UIF28" i="3" a="1"/>
  <c r="UIF28" i="3" s="1"/>
  <c r="UHZ28" i="3" a="1"/>
  <c r="UHZ28" i="3" s="1"/>
  <c r="UHT28" i="3" a="1"/>
  <c r="UHT28" i="3" s="1"/>
  <c r="UHN28" i="3" a="1"/>
  <c r="UHN28" i="3" s="1"/>
  <c r="UHH28" i="3" a="1"/>
  <c r="UHH28" i="3" s="1"/>
  <c r="UHB28" i="3" a="1"/>
  <c r="UHB28" i="3" s="1"/>
  <c r="UGV28" i="3" a="1"/>
  <c r="UGV28" i="3" s="1"/>
  <c r="WBA28" i="3" a="1"/>
  <c r="WBA28" i="3" s="1"/>
  <c r="VTP28" i="3" a="1"/>
  <c r="VTP28" i="3" s="1"/>
  <c r="VRL28" i="3" a="1"/>
  <c r="VRL28" i="3" s="1"/>
  <c r="VQQ28" i="3" a="1"/>
  <c r="VQQ28" i="3" s="1"/>
  <c r="VPR28" i="3" a="1"/>
  <c r="VPR28" i="3" s="1"/>
  <c r="VNE28" i="3" a="1"/>
  <c r="VNE28" i="3" s="1"/>
  <c r="VML28" i="3" a="1"/>
  <c r="VML28" i="3" s="1"/>
  <c r="VLN28" i="3" a="1"/>
  <c r="VLN28" i="3" s="1"/>
  <c r="VKU28" i="3" a="1"/>
  <c r="VKU28" i="3" s="1"/>
  <c r="VJY28" i="3" a="1"/>
  <c r="VJY28" i="3" s="1"/>
  <c r="VHT28" i="3" a="1"/>
  <c r="VHT28" i="3" s="1"/>
  <c r="VHD28" i="3" a="1"/>
  <c r="VHD28" i="3" s="1"/>
  <c r="VEZ28" i="3" a="1"/>
  <c r="VEZ28" i="3" s="1"/>
  <c r="VEJ28" i="3" a="1"/>
  <c r="VEJ28" i="3" s="1"/>
  <c r="VCK28" i="3" a="1"/>
  <c r="VCK28" i="3" s="1"/>
  <c r="VBS28" i="3" a="1"/>
  <c r="VBS28" i="3" s="1"/>
  <c r="VBJ28" i="3" a="1"/>
  <c r="VBJ28" i="3" s="1"/>
  <c r="VAU28" i="3" a="1"/>
  <c r="VAU28" i="3" s="1"/>
  <c r="VAL28" i="3" a="1"/>
  <c r="VAL28" i="3" s="1"/>
  <c r="VAE28" i="3" a="1"/>
  <c r="VAE28" i="3" s="1"/>
  <c r="UZX28" i="3" a="1"/>
  <c r="UZX28" i="3" s="1"/>
  <c r="UZQ28" i="3" a="1"/>
  <c r="UZQ28" i="3" s="1"/>
  <c r="UZJ28" i="3" a="1"/>
  <c r="UZJ28" i="3" s="1"/>
  <c r="UZB28" i="3" a="1"/>
  <c r="UZB28" i="3" s="1"/>
  <c r="UYU28" i="3" a="1"/>
  <c r="UYU28" i="3" s="1"/>
  <c r="UYN28" i="3" a="1"/>
  <c r="UYN28" i="3" s="1"/>
  <c r="UYG28" i="3" a="1"/>
  <c r="UYG28" i="3" s="1"/>
  <c r="UXZ28" i="3" a="1"/>
  <c r="UXZ28" i="3" s="1"/>
  <c r="UXR28" i="3" a="1"/>
  <c r="UXR28" i="3" s="1"/>
  <c r="WXU28" i="3" a="1"/>
  <c r="WXU28" i="3" s="1"/>
  <c r="WOG28" i="3" a="1"/>
  <c r="WOG28" i="3" s="1"/>
  <c r="WEX28" i="3" a="1"/>
  <c r="WEX28" i="3" s="1"/>
  <c r="VZB28" i="3" a="1"/>
  <c r="VZB28" i="3" s="1"/>
  <c r="VXO28" i="3" a="1"/>
  <c r="VXO28" i="3" s="1"/>
  <c r="VVV28" i="3" a="1"/>
  <c r="VVV28" i="3" s="1"/>
  <c r="VTO28" i="3" a="1"/>
  <c r="VTO28" i="3" s="1"/>
  <c r="VSK28" i="3" a="1"/>
  <c r="VSK28" i="3" s="1"/>
  <c r="VRK28" i="3" a="1"/>
  <c r="VRK28" i="3" s="1"/>
  <c r="VQK28" i="3" a="1"/>
  <c r="VQK28" i="3" s="1"/>
  <c r="VPQ28" i="3" a="1"/>
  <c r="VPQ28" i="3" s="1"/>
  <c r="VOX28" i="3" a="1"/>
  <c r="VOX28" i="3" s="1"/>
  <c r="VNZ28" i="3" a="1"/>
  <c r="VNZ28" i="3" s="1"/>
  <c r="VLM28" i="3" a="1"/>
  <c r="VLM28" i="3" s="1"/>
  <c r="VJJ28" i="3" a="1"/>
  <c r="VJJ28" i="3" s="1"/>
  <c r="VIT28" i="3" a="1"/>
  <c r="VIT28" i="3" s="1"/>
  <c r="VGP28" i="3" a="1"/>
  <c r="VGP28" i="3" s="1"/>
  <c r="VFZ28" i="3" a="1"/>
  <c r="VFZ28" i="3" s="1"/>
  <c r="VDV28" i="3" a="1"/>
  <c r="VDV28" i="3" s="1"/>
  <c r="VDF28" i="3" a="1"/>
  <c r="VDF28" i="3" s="1"/>
  <c r="VCS28" i="3" a="1"/>
  <c r="VCS28" i="3" s="1"/>
  <c r="VCH28" i="3" a="1"/>
  <c r="VCH28" i="3" s="1"/>
  <c r="VBZ28" i="3" a="1"/>
  <c r="VBZ28" i="3" s="1"/>
  <c r="VBB28" i="3" a="1"/>
  <c r="VBB28" i="3" s="1"/>
  <c r="UZI28" i="3" a="1"/>
  <c r="UZI28" i="3" s="1"/>
  <c r="UXY28" i="3" a="1"/>
  <c r="UXY28" i="3" s="1"/>
  <c r="UXK28" i="3" a="1"/>
  <c r="UXK28" i="3" s="1"/>
  <c r="UXE28" i="3" a="1"/>
  <c r="UXE28" i="3" s="1"/>
  <c r="UWY28" i="3" a="1"/>
  <c r="UWY28" i="3" s="1"/>
  <c r="UWS28" i="3" a="1"/>
  <c r="UWS28" i="3" s="1"/>
  <c r="UWM28" i="3" a="1"/>
  <c r="UWM28" i="3" s="1"/>
  <c r="UWG28" i="3" a="1"/>
  <c r="UWG28" i="3" s="1"/>
  <c r="UWA28" i="3" a="1"/>
  <c r="UWA28" i="3" s="1"/>
  <c r="UVU28" i="3" a="1"/>
  <c r="UVU28" i="3" s="1"/>
  <c r="UVO28" i="3" a="1"/>
  <c r="UVO28" i="3" s="1"/>
  <c r="UVI28" i="3" a="1"/>
  <c r="UVI28" i="3" s="1"/>
  <c r="UVC28" i="3" a="1"/>
  <c r="UVC28" i="3" s="1"/>
  <c r="UUW28" i="3" a="1"/>
  <c r="UUW28" i="3" s="1"/>
  <c r="UUQ28" i="3" a="1"/>
  <c r="UUQ28" i="3" s="1"/>
  <c r="UUK28" i="3" a="1"/>
  <c r="UUK28" i="3" s="1"/>
  <c r="UUE28" i="3" a="1"/>
  <c r="UUE28" i="3" s="1"/>
  <c r="UTY28" i="3" a="1"/>
  <c r="UTY28" i="3" s="1"/>
  <c r="UTS28" i="3" a="1"/>
  <c r="UTS28" i="3" s="1"/>
  <c r="UTM28" i="3" a="1"/>
  <c r="UTM28" i="3" s="1"/>
  <c r="UTG28" i="3" a="1"/>
  <c r="UTG28" i="3" s="1"/>
  <c r="UTA28" i="3" a="1"/>
  <c r="UTA28" i="3" s="1"/>
  <c r="USU28" i="3" a="1"/>
  <c r="USU28" i="3" s="1"/>
  <c r="USO28" i="3" a="1"/>
  <c r="USO28" i="3" s="1"/>
  <c r="USI28" i="3" a="1"/>
  <c r="USI28" i="3" s="1"/>
  <c r="USC28" i="3" a="1"/>
  <c r="USC28" i="3" s="1"/>
  <c r="URW28" i="3" a="1"/>
  <c r="URW28" i="3" s="1"/>
  <c r="URQ28" i="3" a="1"/>
  <c r="URQ28" i="3" s="1"/>
  <c r="URK28" i="3" a="1"/>
  <c r="URK28" i="3" s="1"/>
  <c r="URE28" i="3" a="1"/>
  <c r="URE28" i="3" s="1"/>
  <c r="UQY28" i="3" a="1"/>
  <c r="UQY28" i="3" s="1"/>
  <c r="UQS28" i="3" a="1"/>
  <c r="UQS28" i="3" s="1"/>
  <c r="UQM28" i="3" a="1"/>
  <c r="UQM28" i="3" s="1"/>
  <c r="UQG28" i="3" a="1"/>
  <c r="UQG28" i="3" s="1"/>
  <c r="UQA28" i="3" a="1"/>
  <c r="UQA28" i="3" s="1"/>
  <c r="UPU28" i="3" a="1"/>
  <c r="UPU28" i="3" s="1"/>
  <c r="UPO28" i="3" a="1"/>
  <c r="UPO28" i="3" s="1"/>
  <c r="UPI28" i="3" a="1"/>
  <c r="UPI28" i="3" s="1"/>
  <c r="UPC28" i="3" a="1"/>
  <c r="UPC28" i="3" s="1"/>
  <c r="UOW28" i="3" a="1"/>
  <c r="UOW28" i="3" s="1"/>
  <c r="UOQ28" i="3" a="1"/>
  <c r="UOQ28" i="3" s="1"/>
  <c r="UOK28" i="3" a="1"/>
  <c r="UOK28" i="3" s="1"/>
  <c r="UOE28" i="3" a="1"/>
  <c r="UOE28" i="3" s="1"/>
  <c r="UNY28" i="3" a="1"/>
  <c r="UNY28" i="3" s="1"/>
  <c r="UNS28" i="3" a="1"/>
  <c r="UNS28" i="3" s="1"/>
  <c r="UNM28" i="3" a="1"/>
  <c r="UNM28" i="3" s="1"/>
  <c r="UNG28" i="3" a="1"/>
  <c r="UNG28" i="3" s="1"/>
  <c r="UNA28" i="3" a="1"/>
  <c r="UNA28" i="3" s="1"/>
  <c r="UMU28" i="3" a="1"/>
  <c r="UMU28" i="3" s="1"/>
  <c r="UMO28" i="3" a="1"/>
  <c r="UMO28" i="3" s="1"/>
  <c r="UMI28" i="3" a="1"/>
  <c r="UMI28" i="3" s="1"/>
  <c r="UMC28" i="3" a="1"/>
  <c r="UMC28" i="3" s="1"/>
  <c r="ULW28" i="3" a="1"/>
  <c r="ULW28" i="3" s="1"/>
  <c r="ULQ28" i="3" a="1"/>
  <c r="ULQ28" i="3" s="1"/>
  <c r="ULK28" i="3" a="1"/>
  <c r="ULK28" i="3" s="1"/>
  <c r="ULE28" i="3" a="1"/>
  <c r="ULE28" i="3" s="1"/>
  <c r="UKY28" i="3" a="1"/>
  <c r="UKY28" i="3" s="1"/>
  <c r="UKS28" i="3" a="1"/>
  <c r="UKS28" i="3" s="1"/>
  <c r="UKM28" i="3" a="1"/>
  <c r="UKM28" i="3" s="1"/>
  <c r="UKG28" i="3" a="1"/>
  <c r="UKG28" i="3" s="1"/>
  <c r="UKA28" i="3" a="1"/>
  <c r="UKA28" i="3" s="1"/>
  <c r="UJU28" i="3" a="1"/>
  <c r="UJU28" i="3" s="1"/>
  <c r="UJO28" i="3" a="1"/>
  <c r="UJO28" i="3" s="1"/>
  <c r="UJI28" i="3" a="1"/>
  <c r="UJI28" i="3" s="1"/>
  <c r="UJC28" i="3" a="1"/>
  <c r="UJC28" i="3" s="1"/>
  <c r="UIW28" i="3" a="1"/>
  <c r="UIW28" i="3" s="1"/>
  <c r="UIQ28" i="3" a="1"/>
  <c r="UIQ28" i="3" s="1"/>
  <c r="UIK28" i="3" a="1"/>
  <c r="UIK28" i="3" s="1"/>
  <c r="UIE28" i="3" a="1"/>
  <c r="UIE28" i="3" s="1"/>
  <c r="UHY28" i="3" a="1"/>
  <c r="UHY28" i="3" s="1"/>
  <c r="UHS28" i="3" a="1"/>
  <c r="UHS28" i="3" s="1"/>
  <c r="UHM28" i="3" a="1"/>
  <c r="UHM28" i="3" s="1"/>
  <c r="UHG28" i="3" a="1"/>
  <c r="UHG28" i="3" s="1"/>
  <c r="UHA28" i="3" a="1"/>
  <c r="UHA28" i="3" s="1"/>
  <c r="UGU28" i="3" a="1"/>
  <c r="UGU28" i="3" s="1"/>
  <c r="UGO28" i="3" a="1"/>
  <c r="UGO28" i="3" s="1"/>
  <c r="UGI28" i="3" a="1"/>
  <c r="UGI28" i="3" s="1"/>
  <c r="UGC28" i="3" a="1"/>
  <c r="UGC28" i="3" s="1"/>
  <c r="UFW28" i="3" a="1"/>
  <c r="UFW28" i="3" s="1"/>
  <c r="UFQ28" i="3" a="1"/>
  <c r="UFQ28" i="3" s="1"/>
  <c r="UFK28" i="3" a="1"/>
  <c r="UFK28" i="3" s="1"/>
  <c r="WIR28" i="3" a="1"/>
  <c r="WIR28" i="3" s="1"/>
  <c r="WCK28" i="3" a="1"/>
  <c r="WCK28" i="3" s="1"/>
  <c r="VXJ28" i="3" a="1"/>
  <c r="VXJ28" i="3" s="1"/>
  <c r="VUN28" i="3" a="1"/>
  <c r="VUN28" i="3" s="1"/>
  <c r="VTH28" i="3" a="1"/>
  <c r="VTH28" i="3" s="1"/>
  <c r="VSG28" i="3" a="1"/>
  <c r="VSG28" i="3" s="1"/>
  <c r="VNW28" i="3" a="1"/>
  <c r="VNW28" i="3" s="1"/>
  <c r="VND28" i="3" a="1"/>
  <c r="VND28" i="3" s="1"/>
  <c r="VMF28" i="3" a="1"/>
  <c r="VMF28" i="3" s="1"/>
  <c r="VIF28" i="3" a="1"/>
  <c r="VIF28" i="3" s="1"/>
  <c r="VHP28" i="3" a="1"/>
  <c r="VHP28" i="3" s="1"/>
  <c r="VFL28" i="3" a="1"/>
  <c r="VFL28" i="3" s="1"/>
  <c r="VEV28" i="3" a="1"/>
  <c r="VEV28" i="3" s="1"/>
  <c r="VBR28" i="3" a="1"/>
  <c r="VBR28" i="3" s="1"/>
  <c r="VBI28" i="3" a="1"/>
  <c r="VBI28" i="3" s="1"/>
  <c r="VAT28" i="3" a="1"/>
  <c r="VAT28" i="3" s="1"/>
  <c r="VAK28" i="3" a="1"/>
  <c r="VAK28" i="3" s="1"/>
  <c r="VAD28" i="3" a="1"/>
  <c r="VAD28" i="3" s="1"/>
  <c r="UZW28" i="3" a="1"/>
  <c r="UZW28" i="3" s="1"/>
  <c r="UZP28" i="3" a="1"/>
  <c r="UZP28" i="3" s="1"/>
  <c r="UZH28" i="3" a="1"/>
  <c r="UZH28" i="3" s="1"/>
  <c r="UZA28" i="3" a="1"/>
  <c r="UZA28" i="3" s="1"/>
  <c r="UYT28" i="3" a="1"/>
  <c r="UYT28" i="3" s="1"/>
  <c r="UYM28" i="3" a="1"/>
  <c r="UYM28" i="3" s="1"/>
  <c r="UYF28" i="3" a="1"/>
  <c r="UYF28" i="3" s="1"/>
  <c r="UXX28" i="3" a="1"/>
  <c r="UXX28" i="3" s="1"/>
  <c r="UXQ28" i="3" a="1"/>
  <c r="UXQ28" i="3" s="1"/>
  <c r="WHU28" i="3" a="1"/>
  <c r="WHU28" i="3" s="1"/>
  <c r="WES28" i="3" a="1"/>
  <c r="WES28" i="3" s="1"/>
  <c r="WAL28" i="3" a="1"/>
  <c r="WAL28" i="3" s="1"/>
  <c r="VYY28" i="3" a="1"/>
  <c r="VYY28" i="3" s="1"/>
  <c r="VXB28" i="3" a="1"/>
  <c r="VXB28" i="3" s="1"/>
  <c r="VUM28" i="3" a="1"/>
  <c r="VUM28" i="3" s="1"/>
  <c r="VPP28" i="3" a="1"/>
  <c r="VPP28" i="3" s="1"/>
  <c r="VOR28" i="3" a="1"/>
  <c r="VOR28" i="3" s="1"/>
  <c r="VME28" i="3" a="1"/>
  <c r="VME28" i="3" s="1"/>
  <c r="VLL28" i="3" a="1"/>
  <c r="VLL28" i="3" s="1"/>
  <c r="VKO28" i="3" a="1"/>
  <c r="VKO28" i="3" s="1"/>
  <c r="VJW28" i="3" a="1"/>
  <c r="VJW28" i="3" s="1"/>
  <c r="VJF28" i="3" a="1"/>
  <c r="VJF28" i="3" s="1"/>
  <c r="VHB28" i="3" a="1"/>
  <c r="VHB28" i="3" s="1"/>
  <c r="VGL28" i="3" a="1"/>
  <c r="VGL28" i="3" s="1"/>
  <c r="VEH28" i="3" a="1"/>
  <c r="VEH28" i="3" s="1"/>
  <c r="VDR28" i="3" a="1"/>
  <c r="VDR28" i="3" s="1"/>
  <c r="VCR28" i="3" a="1"/>
  <c r="VCR28" i="3" s="1"/>
  <c r="VCG28" i="3" a="1"/>
  <c r="VCG28" i="3" s="1"/>
  <c r="VBY28" i="3" a="1"/>
  <c r="VBY28" i="3" s="1"/>
  <c r="VBP28" i="3" a="1"/>
  <c r="VBP28" i="3" s="1"/>
  <c r="VBA28" i="3" a="1"/>
  <c r="VBA28" i="3" s="1"/>
  <c r="VAR28" i="3" a="1"/>
  <c r="VAR28" i="3" s="1"/>
  <c r="UZO28" i="3" a="1"/>
  <c r="UZO28" i="3" s="1"/>
  <c r="UYE28" i="3" a="1"/>
  <c r="UYE28" i="3" s="1"/>
  <c r="UXJ28" i="3" a="1"/>
  <c r="UXJ28" i="3" s="1"/>
  <c r="UXD28" i="3" a="1"/>
  <c r="UXD28" i="3" s="1"/>
  <c r="UWX28" i="3" a="1"/>
  <c r="UWX28" i="3" s="1"/>
  <c r="UWR28" i="3" a="1"/>
  <c r="UWR28" i="3" s="1"/>
  <c r="UWL28" i="3" a="1"/>
  <c r="UWL28" i="3" s="1"/>
  <c r="UWF28" i="3" a="1"/>
  <c r="UWF28" i="3" s="1"/>
  <c r="UVZ28" i="3" a="1"/>
  <c r="UVZ28" i="3" s="1"/>
  <c r="UVT28" i="3" a="1"/>
  <c r="UVT28" i="3" s="1"/>
  <c r="UVN28" i="3" a="1"/>
  <c r="UVN28" i="3" s="1"/>
  <c r="UVH28" i="3" a="1"/>
  <c r="UVH28" i="3" s="1"/>
  <c r="UVB28" i="3" a="1"/>
  <c r="UVB28" i="3" s="1"/>
  <c r="UUV28" i="3" a="1"/>
  <c r="UUV28" i="3" s="1"/>
  <c r="UUP28" i="3" a="1"/>
  <c r="UUP28" i="3" s="1"/>
  <c r="UUJ28" i="3" a="1"/>
  <c r="UUJ28" i="3" s="1"/>
  <c r="UUD28" i="3" a="1"/>
  <c r="UUD28" i="3" s="1"/>
  <c r="UTX28" i="3" a="1"/>
  <c r="UTX28" i="3" s="1"/>
  <c r="UTR28" i="3" a="1"/>
  <c r="UTR28" i="3" s="1"/>
  <c r="UTL28" i="3" a="1"/>
  <c r="UTL28" i="3" s="1"/>
  <c r="UTF28" i="3" a="1"/>
  <c r="UTF28" i="3" s="1"/>
  <c r="USZ28" i="3" a="1"/>
  <c r="USZ28" i="3" s="1"/>
  <c r="UST28" i="3" a="1"/>
  <c r="UST28" i="3" s="1"/>
  <c r="USN28" i="3" a="1"/>
  <c r="USN28" i="3" s="1"/>
  <c r="USH28" i="3" a="1"/>
  <c r="USH28" i="3" s="1"/>
  <c r="USB28" i="3" a="1"/>
  <c r="USB28" i="3" s="1"/>
  <c r="URV28" i="3" a="1"/>
  <c r="URV28" i="3" s="1"/>
  <c r="URP28" i="3" a="1"/>
  <c r="URP28" i="3" s="1"/>
  <c r="URJ28" i="3" a="1"/>
  <c r="URJ28" i="3" s="1"/>
  <c r="URD28" i="3" a="1"/>
  <c r="URD28" i="3" s="1"/>
  <c r="UQX28" i="3" a="1"/>
  <c r="UQX28" i="3" s="1"/>
  <c r="UQR28" i="3" a="1"/>
  <c r="UQR28" i="3" s="1"/>
  <c r="UQL28" i="3" a="1"/>
  <c r="UQL28" i="3" s="1"/>
  <c r="UQF28" i="3" a="1"/>
  <c r="UQF28" i="3" s="1"/>
  <c r="UPZ28" i="3" a="1"/>
  <c r="UPZ28" i="3" s="1"/>
  <c r="UPT28" i="3" a="1"/>
  <c r="UPT28" i="3" s="1"/>
  <c r="UPN28" i="3" a="1"/>
  <c r="UPN28" i="3" s="1"/>
  <c r="UPH28" i="3" a="1"/>
  <c r="UPH28" i="3" s="1"/>
  <c r="UPB28" i="3" a="1"/>
  <c r="UPB28" i="3" s="1"/>
  <c r="UOV28" i="3" a="1"/>
  <c r="UOV28" i="3" s="1"/>
  <c r="UOP28" i="3" a="1"/>
  <c r="UOP28" i="3" s="1"/>
  <c r="UOJ28" i="3" a="1"/>
  <c r="UOJ28" i="3" s="1"/>
  <c r="UOD28" i="3" a="1"/>
  <c r="UOD28" i="3" s="1"/>
  <c r="UNX28" i="3" a="1"/>
  <c r="UNX28" i="3" s="1"/>
  <c r="UNR28" i="3" a="1"/>
  <c r="UNR28" i="3" s="1"/>
  <c r="UNL28" i="3" a="1"/>
  <c r="UNL28" i="3" s="1"/>
  <c r="UNF28" i="3" a="1"/>
  <c r="UNF28" i="3" s="1"/>
  <c r="UMZ28" i="3" a="1"/>
  <c r="UMZ28" i="3" s="1"/>
  <c r="UMT28" i="3" a="1"/>
  <c r="UMT28" i="3" s="1"/>
  <c r="UMN28" i="3" a="1"/>
  <c r="UMN28" i="3" s="1"/>
  <c r="UMH28" i="3" a="1"/>
  <c r="UMH28" i="3" s="1"/>
  <c r="UMB28" i="3" a="1"/>
  <c r="UMB28" i="3" s="1"/>
  <c r="ULV28" i="3" a="1"/>
  <c r="ULV28" i="3" s="1"/>
  <c r="ULP28" i="3" a="1"/>
  <c r="ULP28" i="3" s="1"/>
  <c r="ULJ28" i="3" a="1"/>
  <c r="ULJ28" i="3" s="1"/>
  <c r="ULD28" i="3" a="1"/>
  <c r="ULD28" i="3" s="1"/>
  <c r="UKX28" i="3" a="1"/>
  <c r="UKX28" i="3" s="1"/>
  <c r="UKR28" i="3" a="1"/>
  <c r="UKR28" i="3" s="1"/>
  <c r="UKL28" i="3" a="1"/>
  <c r="UKL28" i="3" s="1"/>
  <c r="UKF28" i="3" a="1"/>
  <c r="UKF28" i="3" s="1"/>
  <c r="UJZ28" i="3" a="1"/>
  <c r="UJZ28" i="3" s="1"/>
  <c r="UJT28" i="3" a="1"/>
  <c r="UJT28" i="3" s="1"/>
  <c r="WUP28" i="3" a="1"/>
  <c r="WUP28" i="3" s="1"/>
  <c r="VXA28" i="3" a="1"/>
  <c r="VXA28" i="3" s="1"/>
  <c r="VVS28" i="3" a="1"/>
  <c r="VVS28" i="3" s="1"/>
  <c r="VUF28" i="3" a="1"/>
  <c r="VUF28" i="3" s="1"/>
  <c r="VTC28" i="3" a="1"/>
  <c r="VTC28" i="3" s="1"/>
  <c r="VSF28" i="3" a="1"/>
  <c r="VSF28" i="3" s="1"/>
  <c r="VRD28" i="3" a="1"/>
  <c r="VRD28" i="3" s="1"/>
  <c r="VQI28" i="3" a="1"/>
  <c r="VQI28" i="3" s="1"/>
  <c r="VOO28" i="3" a="1"/>
  <c r="VOO28" i="3" s="1"/>
  <c r="VNV28" i="3" a="1"/>
  <c r="VNV28" i="3" s="1"/>
  <c r="VMX28" i="3" a="1"/>
  <c r="VMX28" i="3" s="1"/>
  <c r="VKN28" i="3" a="1"/>
  <c r="VKN28" i="3" s="1"/>
  <c r="VIR28" i="3" a="1"/>
  <c r="VIR28" i="3" s="1"/>
  <c r="VIB28" i="3" a="1"/>
  <c r="VIB28" i="3" s="1"/>
  <c r="VFX28" i="3" a="1"/>
  <c r="VFX28" i="3" s="1"/>
  <c r="VFH28" i="3" a="1"/>
  <c r="VFH28" i="3" s="1"/>
  <c r="VDD28" i="3" a="1"/>
  <c r="VDD28" i="3" s="1"/>
  <c r="VBH28" i="3" a="1"/>
  <c r="VBH28" i="3" s="1"/>
  <c r="VAJ28" i="3" a="1"/>
  <c r="VAJ28" i="3" s="1"/>
  <c r="VAC28" i="3" a="1"/>
  <c r="VAC28" i="3" s="1"/>
  <c r="UZV28" i="3" a="1"/>
  <c r="UZV28" i="3" s="1"/>
  <c r="UZN28" i="3" a="1"/>
  <c r="UZN28" i="3" s="1"/>
  <c r="UZG28" i="3" a="1"/>
  <c r="UZG28" i="3" s="1"/>
  <c r="UYZ28" i="3" a="1"/>
  <c r="UYZ28" i="3" s="1"/>
  <c r="UYS28" i="3" a="1"/>
  <c r="UYS28" i="3" s="1"/>
  <c r="UYL28" i="3" a="1"/>
  <c r="UYL28" i="3" s="1"/>
  <c r="UYD28" i="3" a="1"/>
  <c r="UYD28" i="3" s="1"/>
  <c r="UXW28" i="3" a="1"/>
  <c r="UXW28" i="3" s="1"/>
  <c r="UXP28" i="3" a="1"/>
  <c r="UXP28" i="3" s="1"/>
  <c r="WDO28" i="3" a="1"/>
  <c r="WDO28" i="3" s="1"/>
  <c r="WBS28" i="3" a="1"/>
  <c r="WBS28" i="3" s="1"/>
  <c r="VVE28" i="3" a="1"/>
  <c r="VVE28" i="3" s="1"/>
  <c r="VRX28" i="3" a="1"/>
  <c r="VRX28" i="3" s="1"/>
  <c r="VRB28" i="3" a="1"/>
  <c r="VRB28" i="3" s="1"/>
  <c r="VQB28" i="3" a="1"/>
  <c r="VQB28" i="3" s="1"/>
  <c r="VNO28" i="3" a="1"/>
  <c r="VNO28" i="3" s="1"/>
  <c r="VMV28" i="3" a="1"/>
  <c r="VMV28" i="3" s="1"/>
  <c r="VLX28" i="3" a="1"/>
  <c r="VLX28" i="3" s="1"/>
  <c r="VKH28" i="3" a="1"/>
  <c r="VKH28" i="3" s="1"/>
  <c r="VHZ28" i="3" a="1"/>
  <c r="VHZ28" i="3" s="1"/>
  <c r="VHJ28" i="3" a="1"/>
  <c r="VHJ28" i="3" s="1"/>
  <c r="VFF28" i="3" a="1"/>
  <c r="VFF28" i="3" s="1"/>
  <c r="VEP28" i="3" a="1"/>
  <c r="VEP28" i="3" s="1"/>
  <c r="VCE28" i="3" a="1"/>
  <c r="VCE28" i="3" s="1"/>
  <c r="VBN28" i="3" a="1"/>
  <c r="VBN28" i="3" s="1"/>
  <c r="VAP28" i="3" a="1"/>
  <c r="VAP28" i="3" s="1"/>
  <c r="VAA28" i="3" a="1"/>
  <c r="VAA28" i="3" s="1"/>
  <c r="UYQ28" i="3" a="1"/>
  <c r="UYQ28" i="3" s="1"/>
  <c r="UXH28" i="3" a="1"/>
  <c r="UXH28" i="3" s="1"/>
  <c r="UXB28" i="3" a="1"/>
  <c r="UXB28" i="3" s="1"/>
  <c r="UWV28" i="3" a="1"/>
  <c r="UWV28" i="3" s="1"/>
  <c r="UWP28" i="3" a="1"/>
  <c r="UWP28" i="3" s="1"/>
  <c r="UWJ28" i="3" a="1"/>
  <c r="UWJ28" i="3" s="1"/>
  <c r="UWD28" i="3" a="1"/>
  <c r="UWD28" i="3" s="1"/>
  <c r="UVX28" i="3" a="1"/>
  <c r="UVX28" i="3" s="1"/>
  <c r="UVR28" i="3" a="1"/>
  <c r="UVR28" i="3" s="1"/>
  <c r="UVL28" i="3" a="1"/>
  <c r="UVL28" i="3" s="1"/>
  <c r="UVF28" i="3" a="1"/>
  <c r="UVF28" i="3" s="1"/>
  <c r="UUZ28" i="3" a="1"/>
  <c r="UUZ28" i="3" s="1"/>
  <c r="UUT28" i="3" a="1"/>
  <c r="UUT28" i="3" s="1"/>
  <c r="UUN28" i="3" a="1"/>
  <c r="UUN28" i="3" s="1"/>
  <c r="UUH28" i="3" a="1"/>
  <c r="UUH28" i="3" s="1"/>
  <c r="UUB28" i="3" a="1"/>
  <c r="UUB28" i="3" s="1"/>
  <c r="UTV28" i="3" a="1"/>
  <c r="UTV28" i="3" s="1"/>
  <c r="UTP28" i="3" a="1"/>
  <c r="UTP28" i="3" s="1"/>
  <c r="UTJ28" i="3" a="1"/>
  <c r="UTJ28" i="3" s="1"/>
  <c r="UTD28" i="3" a="1"/>
  <c r="UTD28" i="3" s="1"/>
  <c r="USX28" i="3" a="1"/>
  <c r="USX28" i="3" s="1"/>
  <c r="USR28" i="3" a="1"/>
  <c r="USR28" i="3" s="1"/>
  <c r="USL28" i="3" a="1"/>
  <c r="USL28" i="3" s="1"/>
  <c r="USF28" i="3" a="1"/>
  <c r="USF28" i="3" s="1"/>
  <c r="URZ28" i="3" a="1"/>
  <c r="URZ28" i="3" s="1"/>
  <c r="URT28" i="3" a="1"/>
  <c r="URT28" i="3" s="1"/>
  <c r="URN28" i="3" a="1"/>
  <c r="URN28" i="3" s="1"/>
  <c r="URH28" i="3" a="1"/>
  <c r="URH28" i="3" s="1"/>
  <c r="URB28" i="3" a="1"/>
  <c r="URB28" i="3" s="1"/>
  <c r="UQV28" i="3" a="1"/>
  <c r="UQV28" i="3" s="1"/>
  <c r="UQP28" i="3" a="1"/>
  <c r="UQP28" i="3" s="1"/>
  <c r="UQJ28" i="3" a="1"/>
  <c r="UQJ28" i="3" s="1"/>
  <c r="UQD28" i="3" a="1"/>
  <c r="UQD28" i="3" s="1"/>
  <c r="UPX28" i="3" a="1"/>
  <c r="UPX28" i="3" s="1"/>
  <c r="UPR28" i="3" a="1"/>
  <c r="UPR28" i="3" s="1"/>
  <c r="UPL28" i="3" a="1"/>
  <c r="UPL28" i="3" s="1"/>
  <c r="UPF28" i="3" a="1"/>
  <c r="UPF28" i="3" s="1"/>
  <c r="UOZ28" i="3" a="1"/>
  <c r="UOZ28" i="3" s="1"/>
  <c r="UOT28" i="3" a="1"/>
  <c r="UOT28" i="3" s="1"/>
  <c r="UON28" i="3" a="1"/>
  <c r="UON28" i="3" s="1"/>
  <c r="UOH28" i="3" a="1"/>
  <c r="UOH28" i="3" s="1"/>
  <c r="UOB28" i="3" a="1"/>
  <c r="UOB28" i="3" s="1"/>
  <c r="UNV28" i="3" a="1"/>
  <c r="UNV28" i="3" s="1"/>
  <c r="UNP28" i="3" a="1"/>
  <c r="UNP28" i="3" s="1"/>
  <c r="UNJ28" i="3" a="1"/>
  <c r="UNJ28" i="3" s="1"/>
  <c r="UND28" i="3" a="1"/>
  <c r="UND28" i="3" s="1"/>
  <c r="UMX28" i="3" a="1"/>
  <c r="UMX28" i="3" s="1"/>
  <c r="UMR28" i="3" a="1"/>
  <c r="UMR28" i="3" s="1"/>
  <c r="UML28" i="3" a="1"/>
  <c r="UML28" i="3" s="1"/>
  <c r="UMF28" i="3" a="1"/>
  <c r="UMF28" i="3" s="1"/>
  <c r="ULZ28" i="3" a="1"/>
  <c r="ULZ28" i="3" s="1"/>
  <c r="ULT28" i="3" a="1"/>
  <c r="ULT28" i="3" s="1"/>
  <c r="ULN28" i="3" a="1"/>
  <c r="ULN28" i="3" s="1"/>
  <c r="ULH28" i="3" a="1"/>
  <c r="ULH28" i="3" s="1"/>
  <c r="ULB28" i="3" a="1"/>
  <c r="ULB28" i="3" s="1"/>
  <c r="UKV28" i="3" a="1"/>
  <c r="UKV28" i="3" s="1"/>
  <c r="UKP28" i="3" a="1"/>
  <c r="UKP28" i="3" s="1"/>
  <c r="UKJ28" i="3" a="1"/>
  <c r="UKJ28" i="3" s="1"/>
  <c r="UKD28" i="3" a="1"/>
  <c r="UKD28" i="3" s="1"/>
  <c r="UJX28" i="3" a="1"/>
  <c r="UJX28" i="3" s="1"/>
  <c r="UJR28" i="3" a="1"/>
  <c r="UJR28" i="3" s="1"/>
  <c r="UJL28" i="3" a="1"/>
  <c r="UJL28" i="3" s="1"/>
  <c r="UJF28" i="3" a="1"/>
  <c r="UJF28" i="3" s="1"/>
  <c r="UIZ28" i="3" a="1"/>
  <c r="UIZ28" i="3" s="1"/>
  <c r="UIT28" i="3" a="1"/>
  <c r="UIT28" i="3" s="1"/>
  <c r="UIN28" i="3" a="1"/>
  <c r="UIN28" i="3" s="1"/>
  <c r="UIH28" i="3" a="1"/>
  <c r="UIH28" i="3" s="1"/>
  <c r="UIB28" i="3" a="1"/>
  <c r="UIB28" i="3" s="1"/>
  <c r="UHV28" i="3" a="1"/>
  <c r="UHV28" i="3" s="1"/>
  <c r="UHP28" i="3" a="1"/>
  <c r="UHP28" i="3" s="1"/>
  <c r="UHJ28" i="3" a="1"/>
  <c r="UHJ28" i="3" s="1"/>
  <c r="UHD28" i="3" a="1"/>
  <c r="UHD28" i="3" s="1"/>
  <c r="UGX28" i="3" a="1"/>
  <c r="UGX28" i="3" s="1"/>
  <c r="UGR28" i="3" a="1"/>
  <c r="UGR28" i="3" s="1"/>
  <c r="UGL28" i="3" a="1"/>
  <c r="UGL28" i="3" s="1"/>
  <c r="UGF28" i="3" a="1"/>
  <c r="UGF28" i="3" s="1"/>
  <c r="UFZ28" i="3" a="1"/>
  <c r="UFZ28" i="3" s="1"/>
  <c r="UFT28" i="3" a="1"/>
  <c r="UFT28" i="3" s="1"/>
  <c r="UFN28" i="3" a="1"/>
  <c r="UFN28" i="3" s="1"/>
  <c r="UFH28" i="3" a="1"/>
  <c r="UFH28" i="3" s="1"/>
  <c r="UFB28" i="3" a="1"/>
  <c r="UFB28" i="3" s="1"/>
  <c r="UEV28" i="3" a="1"/>
  <c r="UEV28" i="3" s="1"/>
  <c r="WGC28" i="3" a="1"/>
  <c r="WGC28" i="3" s="1"/>
  <c r="VWK28" i="3" a="1"/>
  <c r="VWK28" i="3" s="1"/>
  <c r="VQV28" i="3" a="1"/>
  <c r="VQV28" i="3" s="1"/>
  <c r="VOZ28" i="3" a="1"/>
  <c r="VOZ28" i="3" s="1"/>
  <c r="VKW28" i="3" a="1"/>
  <c r="VKW28" i="3" s="1"/>
  <c r="VGR28" i="3" a="1"/>
  <c r="VGR28" i="3" s="1"/>
  <c r="VCQ28" i="3" a="1"/>
  <c r="VCQ28" i="3" s="1"/>
  <c r="VBU28" i="3" a="1"/>
  <c r="VBU28" i="3" s="1"/>
  <c r="VAI28" i="3" a="1"/>
  <c r="VAI28" i="3" s="1"/>
  <c r="UYI28" i="3" a="1"/>
  <c r="UYI28" i="3" s="1"/>
  <c r="UXT28" i="3" a="1"/>
  <c r="UXT28" i="3" s="1"/>
  <c r="UWO28" i="3" a="1"/>
  <c r="UWO28" i="3" s="1"/>
  <c r="UVY28" i="3" a="1"/>
  <c r="UVY28" i="3" s="1"/>
  <c r="UTU28" i="3" a="1"/>
  <c r="UTU28" i="3" s="1"/>
  <c r="UTE28" i="3" a="1"/>
  <c r="UTE28" i="3" s="1"/>
  <c r="URA28" i="3" a="1"/>
  <c r="URA28" i="3" s="1"/>
  <c r="UQK28" i="3" a="1"/>
  <c r="UQK28" i="3" s="1"/>
  <c r="UOG28" i="3" a="1"/>
  <c r="UOG28" i="3" s="1"/>
  <c r="UNQ28" i="3" a="1"/>
  <c r="UNQ28" i="3" s="1"/>
  <c r="ULM28" i="3" a="1"/>
  <c r="ULM28" i="3" s="1"/>
  <c r="UKW28" i="3" a="1"/>
  <c r="UKW28" i="3" s="1"/>
  <c r="UJH28" i="3" a="1"/>
  <c r="UJH28" i="3" s="1"/>
  <c r="UIV28" i="3" a="1"/>
  <c r="UIV28" i="3" s="1"/>
  <c r="UIJ28" i="3" a="1"/>
  <c r="UIJ28" i="3" s="1"/>
  <c r="UHX28" i="3" a="1"/>
  <c r="UHX28" i="3" s="1"/>
  <c r="UHL28" i="3" a="1"/>
  <c r="UHL28" i="3" s="1"/>
  <c r="UGZ28" i="3" a="1"/>
  <c r="UGZ28" i="3" s="1"/>
  <c r="UGP28" i="3" a="1"/>
  <c r="UGP28" i="3" s="1"/>
  <c r="UGE28" i="3" a="1"/>
  <c r="UGE28" i="3" s="1"/>
  <c r="UFJ28" i="3" a="1"/>
  <c r="UFJ28" i="3" s="1"/>
  <c r="UFA28" i="3" a="1"/>
  <c r="UFA28" i="3" s="1"/>
  <c r="UER28" i="3" a="1"/>
  <c r="UER28" i="3" s="1"/>
  <c r="UEJ28" i="3" a="1"/>
  <c r="UEJ28" i="3" s="1"/>
  <c r="UDT28" i="3" a="1"/>
  <c r="UDT28" i="3" s="1"/>
  <c r="UDL28" i="3" a="1"/>
  <c r="UDL28" i="3" s="1"/>
  <c r="UCV28" i="3" a="1"/>
  <c r="UCV28" i="3" s="1"/>
  <c r="UCN28" i="3" a="1"/>
  <c r="UCN28" i="3" s="1"/>
  <c r="UBX28" i="3" a="1"/>
  <c r="UBX28" i="3" s="1"/>
  <c r="UBP28" i="3" a="1"/>
  <c r="UBP28" i="3" s="1"/>
  <c r="UAZ28" i="3" a="1"/>
  <c r="UAZ28" i="3" s="1"/>
  <c r="UAR28" i="3" a="1"/>
  <c r="UAR28" i="3" s="1"/>
  <c r="UAB28" i="3" a="1"/>
  <c r="UAB28" i="3" s="1"/>
  <c r="TZT28" i="3" a="1"/>
  <c r="TZT28" i="3" s="1"/>
  <c r="TZD28" i="3" a="1"/>
  <c r="TZD28" i="3" s="1"/>
  <c r="TYV28" i="3" a="1"/>
  <c r="TYV28" i="3" s="1"/>
  <c r="TYF28" i="3" a="1"/>
  <c r="TYF28" i="3" s="1"/>
  <c r="TXX28" i="3" a="1"/>
  <c r="TXX28" i="3" s="1"/>
  <c r="TXH28" i="3" a="1"/>
  <c r="TXH28" i="3" s="1"/>
  <c r="TWZ28" i="3" a="1"/>
  <c r="TWZ28" i="3" s="1"/>
  <c r="TWJ28" i="3" a="1"/>
  <c r="TWJ28" i="3" s="1"/>
  <c r="VZT28" i="3" a="1"/>
  <c r="VZT28" i="3" s="1"/>
  <c r="VWJ28" i="3" a="1"/>
  <c r="VWJ28" i="3" s="1"/>
  <c r="VTB28" i="3" a="1"/>
  <c r="VTB28" i="3" s="1"/>
  <c r="VJD28" i="3" a="1"/>
  <c r="VJD28" i="3" s="1"/>
  <c r="VHV28" i="3" a="1"/>
  <c r="VHV28" i="3" s="1"/>
  <c r="VDX28" i="3" a="1"/>
  <c r="VDX28" i="3" s="1"/>
  <c r="VCN28" i="3" a="1"/>
  <c r="VCN28" i="3" s="1"/>
  <c r="VAZ28" i="3" a="1"/>
  <c r="VAZ28" i="3" s="1"/>
  <c r="VAH28" i="3" a="1"/>
  <c r="VAH28" i="3" s="1"/>
  <c r="UZR28" i="3" a="1"/>
  <c r="UZR28" i="3" s="1"/>
  <c r="UYY28" i="3" a="1"/>
  <c r="UYY28" i="3" s="1"/>
  <c r="UVK28" i="3" a="1"/>
  <c r="UVK28" i="3" s="1"/>
  <c r="UUU28" i="3" a="1"/>
  <c r="UUU28" i="3" s="1"/>
  <c r="USQ28" i="3" a="1"/>
  <c r="USQ28" i="3" s="1"/>
  <c r="USA28" i="3" a="1"/>
  <c r="USA28" i="3" s="1"/>
  <c r="UPW28" i="3" a="1"/>
  <c r="UPW28" i="3" s="1"/>
  <c r="UPG28" i="3" a="1"/>
  <c r="UPG28" i="3" s="1"/>
  <c r="UNC28" i="3" a="1"/>
  <c r="UNC28" i="3" s="1"/>
  <c r="UMM28" i="3" a="1"/>
  <c r="UMM28" i="3" s="1"/>
  <c r="UKI28" i="3" a="1"/>
  <c r="UKI28" i="3" s="1"/>
  <c r="UJS28" i="3" a="1"/>
  <c r="UJS28" i="3" s="1"/>
  <c r="UJG28" i="3" a="1"/>
  <c r="UJG28" i="3" s="1"/>
  <c r="UIU28" i="3" a="1"/>
  <c r="UIU28" i="3" s="1"/>
  <c r="UII28" i="3" a="1"/>
  <c r="UII28" i="3" s="1"/>
  <c r="UHW28" i="3" a="1"/>
  <c r="UHW28" i="3" s="1"/>
  <c r="UHK28" i="3" a="1"/>
  <c r="UHK28" i="3" s="1"/>
  <c r="UGY28" i="3" a="1"/>
  <c r="UGY28" i="3" s="1"/>
  <c r="UGN28" i="3" a="1"/>
  <c r="UGN28" i="3" s="1"/>
  <c r="UFI28" i="3" a="1"/>
  <c r="UFI28" i="3" s="1"/>
  <c r="UEQ28" i="3" a="1"/>
  <c r="UEQ28" i="3" s="1"/>
  <c r="UEB28" i="3" a="1"/>
  <c r="UEB28" i="3" s="1"/>
  <c r="UDS28" i="3" a="1"/>
  <c r="UDS28" i="3" s="1"/>
  <c r="UDD28" i="3" a="1"/>
  <c r="UDD28" i="3" s="1"/>
  <c r="UCU28" i="3" a="1"/>
  <c r="UCU28" i="3" s="1"/>
  <c r="UCF28" i="3" a="1"/>
  <c r="UCF28" i="3" s="1"/>
  <c r="UBW28" i="3" a="1"/>
  <c r="UBW28" i="3" s="1"/>
  <c r="UBH28" i="3" a="1"/>
  <c r="UBH28" i="3" s="1"/>
  <c r="UAY28" i="3" a="1"/>
  <c r="UAY28" i="3" s="1"/>
  <c r="UAJ28" i="3" a="1"/>
  <c r="UAJ28" i="3" s="1"/>
  <c r="UAA28" i="3" a="1"/>
  <c r="UAA28" i="3" s="1"/>
  <c r="TZL28" i="3" a="1"/>
  <c r="TZL28" i="3" s="1"/>
  <c r="TZC28" i="3" a="1"/>
  <c r="TZC28" i="3" s="1"/>
  <c r="TYN28" i="3" a="1"/>
  <c r="TYN28" i="3" s="1"/>
  <c r="TYE28" i="3" a="1"/>
  <c r="TYE28" i="3" s="1"/>
  <c r="TXP28" i="3" a="1"/>
  <c r="TXP28" i="3" s="1"/>
  <c r="TXG28" i="3" a="1"/>
  <c r="TXG28" i="3" s="1"/>
  <c r="TWR28" i="3" a="1"/>
  <c r="TWR28" i="3" s="1"/>
  <c r="TWI28" i="3" a="1"/>
  <c r="TWI28" i="3" s="1"/>
  <c r="TWC28" i="3" a="1"/>
  <c r="TWC28" i="3" s="1"/>
  <c r="TVW28" i="3" a="1"/>
  <c r="TVW28" i="3" s="1"/>
  <c r="TVQ28" i="3" a="1"/>
  <c r="TVQ28" i="3" s="1"/>
  <c r="TVK28" i="3" a="1"/>
  <c r="TVK28" i="3" s="1"/>
  <c r="TVE28" i="3" a="1"/>
  <c r="TVE28" i="3" s="1"/>
  <c r="TUY28" i="3" a="1"/>
  <c r="TUY28" i="3" s="1"/>
  <c r="TUS28" i="3" a="1"/>
  <c r="TUS28" i="3" s="1"/>
  <c r="TUM28" i="3" a="1"/>
  <c r="TUM28" i="3" s="1"/>
  <c r="TUG28" i="3" a="1"/>
  <c r="TUG28" i="3" s="1"/>
  <c r="TUA28" i="3" a="1"/>
  <c r="TUA28" i="3" s="1"/>
  <c r="TTU28" i="3" a="1"/>
  <c r="TTU28" i="3" s="1"/>
  <c r="TTO28" i="3" a="1"/>
  <c r="TTO28" i="3" s="1"/>
  <c r="TTI28" i="3" a="1"/>
  <c r="TTI28" i="3" s="1"/>
  <c r="TTC28" i="3" a="1"/>
  <c r="TTC28" i="3" s="1"/>
  <c r="TSW28" i="3" a="1"/>
  <c r="TSW28" i="3" s="1"/>
  <c r="TSQ28" i="3" a="1"/>
  <c r="TSQ28" i="3" s="1"/>
  <c r="TSK28" i="3" a="1"/>
  <c r="TSK28" i="3" s="1"/>
  <c r="TSE28" i="3" a="1"/>
  <c r="TSE28" i="3" s="1"/>
  <c r="TRY28" i="3" a="1"/>
  <c r="TRY28" i="3" s="1"/>
  <c r="TRS28" i="3" a="1"/>
  <c r="TRS28" i="3" s="1"/>
  <c r="TRM28" i="3" a="1"/>
  <c r="TRM28" i="3" s="1"/>
  <c r="TRG28" i="3" a="1"/>
  <c r="TRG28" i="3" s="1"/>
  <c r="TRA28" i="3" a="1"/>
  <c r="TRA28" i="3" s="1"/>
  <c r="TQU28" i="3" a="1"/>
  <c r="TQU28" i="3" s="1"/>
  <c r="TQO28" i="3" a="1"/>
  <c r="TQO28" i="3" s="1"/>
  <c r="VVN28" i="3" a="1"/>
  <c r="VVN28" i="3" s="1"/>
  <c r="VST28" i="3" a="1"/>
  <c r="VST28" i="3" s="1"/>
  <c r="VQR28" i="3" a="1"/>
  <c r="VQR28" i="3" s="1"/>
  <c r="VON28" i="3" a="1"/>
  <c r="VON28" i="3" s="1"/>
  <c r="VMP28" i="3" a="1"/>
  <c r="VMP28" i="3" s="1"/>
  <c r="VIZ28" i="3" a="1"/>
  <c r="VIZ28" i="3" s="1"/>
  <c r="VGJ28" i="3" a="1"/>
  <c r="VGJ28" i="3" s="1"/>
  <c r="VFB28" i="3" a="1"/>
  <c r="VFB28" i="3" s="1"/>
  <c r="VCM28" i="3" a="1"/>
  <c r="VCM28" i="3" s="1"/>
  <c r="VBT28" i="3" a="1"/>
  <c r="VBT28" i="3" s="1"/>
  <c r="VAX28" i="3" a="1"/>
  <c r="VAX28" i="3" s="1"/>
  <c r="VAG28" i="3" a="1"/>
  <c r="VAG28" i="3" s="1"/>
  <c r="UYX28" i="3" a="1"/>
  <c r="UYX28" i="3" s="1"/>
  <c r="UYH28" i="3" a="1"/>
  <c r="UYH28" i="3" s="1"/>
  <c r="UXO28" i="3" a="1"/>
  <c r="UXO28" i="3" s="1"/>
  <c r="UXA28" i="3" a="1"/>
  <c r="UXA28" i="3" s="1"/>
  <c r="UWK28" i="3" a="1"/>
  <c r="UWK28" i="3" s="1"/>
  <c r="UUG28" i="3" a="1"/>
  <c r="UUG28" i="3" s="1"/>
  <c r="UTQ28" i="3" a="1"/>
  <c r="UTQ28" i="3" s="1"/>
  <c r="URM28" i="3" a="1"/>
  <c r="URM28" i="3" s="1"/>
  <c r="UQW28" i="3" a="1"/>
  <c r="UQW28" i="3" s="1"/>
  <c r="UOS28" i="3" a="1"/>
  <c r="UOS28" i="3" s="1"/>
  <c r="UOC28" i="3" a="1"/>
  <c r="UOC28" i="3" s="1"/>
  <c r="ULY28" i="3" a="1"/>
  <c r="ULY28" i="3" s="1"/>
  <c r="ULI28" i="3" a="1"/>
  <c r="ULI28" i="3" s="1"/>
  <c r="UGM28" i="3" a="1"/>
  <c r="UGM28" i="3" s="1"/>
  <c r="UGD28" i="3" a="1"/>
  <c r="UGD28" i="3" s="1"/>
  <c r="UFS28" i="3" a="1"/>
  <c r="UFS28" i="3" s="1"/>
  <c r="UEZ28" i="3" a="1"/>
  <c r="UEZ28" i="3" s="1"/>
  <c r="UEI28" i="3" a="1"/>
  <c r="UEI28" i="3" s="1"/>
  <c r="UEA28" i="3" a="1"/>
  <c r="UEA28" i="3" s="1"/>
  <c r="UDK28" i="3" a="1"/>
  <c r="UDK28" i="3" s="1"/>
  <c r="UDC28" i="3" a="1"/>
  <c r="UDC28" i="3" s="1"/>
  <c r="UCM28" i="3" a="1"/>
  <c r="UCM28" i="3" s="1"/>
  <c r="UCE28" i="3" a="1"/>
  <c r="UCE28" i="3" s="1"/>
  <c r="UBO28" i="3" a="1"/>
  <c r="UBO28" i="3" s="1"/>
  <c r="UBG28" i="3" a="1"/>
  <c r="UBG28" i="3" s="1"/>
  <c r="UAQ28" i="3" a="1"/>
  <c r="UAQ28" i="3" s="1"/>
  <c r="UAI28" i="3" a="1"/>
  <c r="UAI28" i="3" s="1"/>
  <c r="TZS28" i="3" a="1"/>
  <c r="TZS28" i="3" s="1"/>
  <c r="TZK28" i="3" a="1"/>
  <c r="TZK28" i="3" s="1"/>
  <c r="TYU28" i="3" a="1"/>
  <c r="TYU28" i="3" s="1"/>
  <c r="TYM28" i="3" a="1"/>
  <c r="TYM28" i="3" s="1"/>
  <c r="TXW28" i="3" a="1"/>
  <c r="TXW28" i="3" s="1"/>
  <c r="TXO28" i="3" a="1"/>
  <c r="TXO28" i="3" s="1"/>
  <c r="TWY28" i="3" a="1"/>
  <c r="TWY28" i="3" s="1"/>
  <c r="TWQ28" i="3" a="1"/>
  <c r="TWQ28" i="3" s="1"/>
  <c r="WLQ28" i="3" a="1"/>
  <c r="WLQ28" i="3" s="1"/>
  <c r="VZQ28" i="3" a="1"/>
  <c r="VZQ28" i="3" s="1"/>
  <c r="VVF28" i="3" a="1"/>
  <c r="VVF28" i="3" s="1"/>
  <c r="VSS28" i="3" a="1"/>
  <c r="VSS28" i="3" s="1"/>
  <c r="VOH28" i="3" a="1"/>
  <c r="VOH28" i="3" s="1"/>
  <c r="VMM28" i="3" a="1"/>
  <c r="VMM28" i="3" s="1"/>
  <c r="VKL28" i="3" a="1"/>
  <c r="VKL28" i="3" s="1"/>
  <c r="VHN28" i="3" a="1"/>
  <c r="VHN28" i="3" s="1"/>
  <c r="VGF28" i="3" a="1"/>
  <c r="VGF28" i="3" s="1"/>
  <c r="VDP28" i="3" a="1"/>
  <c r="VDP28" i="3" s="1"/>
  <c r="VBO28" i="3" a="1"/>
  <c r="VBO28" i="3" s="1"/>
  <c r="VAW28" i="3" a="1"/>
  <c r="VAW28" i="3" s="1"/>
  <c r="VAF28" i="3" a="1"/>
  <c r="VAF28" i="3" s="1"/>
  <c r="UZM28" i="3" a="1"/>
  <c r="UZM28" i="3" s="1"/>
  <c r="UYW28" i="3" a="1"/>
  <c r="UYW28" i="3" s="1"/>
  <c r="UXN28" i="3" a="1"/>
  <c r="UXN28" i="3" s="1"/>
  <c r="UVW28" i="3" a="1"/>
  <c r="UVW28" i="3" s="1"/>
  <c r="UVG28" i="3" a="1"/>
  <c r="UVG28" i="3" s="1"/>
  <c r="UTC28" i="3" a="1"/>
  <c r="UTC28" i="3" s="1"/>
  <c r="USM28" i="3" a="1"/>
  <c r="USM28" i="3" s="1"/>
  <c r="UQI28" i="3" a="1"/>
  <c r="UQI28" i="3" s="1"/>
  <c r="UPS28" i="3" a="1"/>
  <c r="UPS28" i="3" s="1"/>
  <c r="UNO28" i="3" a="1"/>
  <c r="UNO28" i="3" s="1"/>
  <c r="UMY28" i="3" a="1"/>
  <c r="UMY28" i="3" s="1"/>
  <c r="UKU28" i="3" a="1"/>
  <c r="UKU28" i="3" s="1"/>
  <c r="UKE28" i="3" a="1"/>
  <c r="UKE28" i="3" s="1"/>
  <c r="UGB28" i="3" a="1"/>
  <c r="UGB28" i="3" s="1"/>
  <c r="UEY28" i="3" a="1"/>
  <c r="UEY28" i="3" s="1"/>
  <c r="UEP28" i="3" a="1"/>
  <c r="UEP28" i="3" s="1"/>
  <c r="UDZ28" i="3" a="1"/>
  <c r="UDZ28" i="3" s="1"/>
  <c r="UDR28" i="3" a="1"/>
  <c r="UDR28" i="3" s="1"/>
  <c r="UDB28" i="3" a="1"/>
  <c r="UDB28" i="3" s="1"/>
  <c r="UCT28" i="3" a="1"/>
  <c r="UCT28" i="3" s="1"/>
  <c r="UCD28" i="3" a="1"/>
  <c r="UCD28" i="3" s="1"/>
  <c r="UBV28" i="3" a="1"/>
  <c r="UBV28" i="3" s="1"/>
  <c r="UBF28" i="3" a="1"/>
  <c r="UBF28" i="3" s="1"/>
  <c r="UAX28" i="3" a="1"/>
  <c r="UAX28" i="3" s="1"/>
  <c r="UAH28" i="3" a="1"/>
  <c r="UAH28" i="3" s="1"/>
  <c r="TZZ28" i="3" a="1"/>
  <c r="TZZ28" i="3" s="1"/>
  <c r="TZJ28" i="3" a="1"/>
  <c r="TZJ28" i="3" s="1"/>
  <c r="TZB28" i="3" a="1"/>
  <c r="TZB28" i="3" s="1"/>
  <c r="TYL28" i="3" a="1"/>
  <c r="TYL28" i="3" s="1"/>
  <c r="TYD28" i="3" a="1"/>
  <c r="TYD28" i="3" s="1"/>
  <c r="TXN28" i="3" a="1"/>
  <c r="TXN28" i="3" s="1"/>
  <c r="TXF28" i="3" a="1"/>
  <c r="TXF28" i="3" s="1"/>
  <c r="TWP28" i="3" a="1"/>
  <c r="TWP28" i="3" s="1"/>
  <c r="TWH28" i="3" a="1"/>
  <c r="TWH28" i="3" s="1"/>
  <c r="TWB28" i="3" a="1"/>
  <c r="TWB28" i="3" s="1"/>
  <c r="TVV28" i="3" a="1"/>
  <c r="TVV28" i="3" s="1"/>
  <c r="TVP28" i="3" a="1"/>
  <c r="TVP28" i="3" s="1"/>
  <c r="TVJ28" i="3" a="1"/>
  <c r="TVJ28" i="3" s="1"/>
  <c r="TVD28" i="3" a="1"/>
  <c r="TVD28" i="3" s="1"/>
  <c r="TUX28" i="3" a="1"/>
  <c r="TUX28" i="3" s="1"/>
  <c r="TUR28" i="3" a="1"/>
  <c r="TUR28" i="3" s="1"/>
  <c r="TUL28" i="3" a="1"/>
  <c r="TUL28" i="3" s="1"/>
  <c r="TUF28" i="3" a="1"/>
  <c r="TUF28" i="3" s="1"/>
  <c r="TTZ28" i="3" a="1"/>
  <c r="TTZ28" i="3" s="1"/>
  <c r="TTT28" i="3" a="1"/>
  <c r="TTT28" i="3" s="1"/>
  <c r="TTN28" i="3" a="1"/>
  <c r="TTN28" i="3" s="1"/>
  <c r="TTH28" i="3" a="1"/>
  <c r="TTH28" i="3" s="1"/>
  <c r="TTB28" i="3" a="1"/>
  <c r="TTB28" i="3" s="1"/>
  <c r="TSV28" i="3" a="1"/>
  <c r="TSV28" i="3" s="1"/>
  <c r="TSP28" i="3" a="1"/>
  <c r="TSP28" i="3" s="1"/>
  <c r="TSJ28" i="3" a="1"/>
  <c r="TSJ28" i="3" s="1"/>
  <c r="TSD28" i="3" a="1"/>
  <c r="TSD28" i="3" s="1"/>
  <c r="TRX28" i="3" a="1"/>
  <c r="TRX28" i="3" s="1"/>
  <c r="TRR28" i="3" a="1"/>
  <c r="TRR28" i="3" s="1"/>
  <c r="TRL28" i="3" a="1"/>
  <c r="TRL28" i="3" s="1"/>
  <c r="TRF28" i="3" a="1"/>
  <c r="TRF28" i="3" s="1"/>
  <c r="TQZ28" i="3" a="1"/>
  <c r="TQZ28" i="3" s="1"/>
  <c r="TQT28" i="3" a="1"/>
  <c r="TQT28" i="3" s="1"/>
  <c r="TQN28" i="3" a="1"/>
  <c r="TQN28" i="3" s="1"/>
  <c r="TQH28" i="3" a="1"/>
  <c r="TQH28" i="3" s="1"/>
  <c r="WLM28" i="3" a="1"/>
  <c r="WLM28" i="3" s="1"/>
  <c r="VVD28" i="3" a="1"/>
  <c r="VVD28" i="3" s="1"/>
  <c r="VOG28" i="3" a="1"/>
  <c r="VOG28" i="3" s="1"/>
  <c r="VMD28" i="3" a="1"/>
  <c r="VMD28" i="3" s="1"/>
  <c r="VET28" i="3" a="1"/>
  <c r="VET28" i="3" s="1"/>
  <c r="VDL28" i="3" a="1"/>
  <c r="VDL28" i="3" s="1"/>
  <c r="VCL28" i="3" a="1"/>
  <c r="VCL28" i="3" s="1"/>
  <c r="UZL28" i="3" a="1"/>
  <c r="UZL28" i="3" s="1"/>
  <c r="UYV28" i="3" a="1"/>
  <c r="UYV28" i="3" s="1"/>
  <c r="UYC28" i="3" a="1"/>
  <c r="UYC28" i="3" s="1"/>
  <c r="UXM28" i="3" a="1"/>
  <c r="UXM28" i="3" s="1"/>
  <c r="UWW28" i="3" a="1"/>
  <c r="UWW28" i="3" s="1"/>
  <c r="UUS28" i="3" a="1"/>
  <c r="UUS28" i="3" s="1"/>
  <c r="UUC28" i="3" a="1"/>
  <c r="UUC28" i="3" s="1"/>
  <c r="URY28" i="3" a="1"/>
  <c r="URY28" i="3" s="1"/>
  <c r="URI28" i="3" a="1"/>
  <c r="URI28" i="3" s="1"/>
  <c r="UPE28" i="3" a="1"/>
  <c r="UPE28" i="3" s="1"/>
  <c r="UOO28" i="3" a="1"/>
  <c r="UOO28" i="3" s="1"/>
  <c r="UMK28" i="3" a="1"/>
  <c r="UMK28" i="3" s="1"/>
  <c r="ULU28" i="3" a="1"/>
  <c r="ULU28" i="3" s="1"/>
  <c r="UJQ28" i="3" a="1"/>
  <c r="UJQ28" i="3" s="1"/>
  <c r="UJE28" i="3" a="1"/>
  <c r="UJE28" i="3" s="1"/>
  <c r="UIS28" i="3" a="1"/>
  <c r="UIS28" i="3" s="1"/>
  <c r="UIG28" i="3" a="1"/>
  <c r="UIG28" i="3" s="1"/>
  <c r="UHU28" i="3" a="1"/>
  <c r="UHU28" i="3" s="1"/>
  <c r="UHI28" i="3" a="1"/>
  <c r="UHI28" i="3" s="1"/>
  <c r="UGW28" i="3" a="1"/>
  <c r="UGW28" i="3" s="1"/>
  <c r="UGA28" i="3" a="1"/>
  <c r="UGA28" i="3" s="1"/>
  <c r="UFR28" i="3" a="1"/>
  <c r="UFR28" i="3" s="1"/>
  <c r="UFG28" i="3" a="1"/>
  <c r="UFG28" i="3" s="1"/>
  <c r="UEX28" i="3" a="1"/>
  <c r="UEX28" i="3" s="1"/>
  <c r="UEH28" i="3" a="1"/>
  <c r="UEH28" i="3" s="1"/>
  <c r="UDY28" i="3" a="1"/>
  <c r="UDY28" i="3" s="1"/>
  <c r="UDJ28" i="3" a="1"/>
  <c r="UDJ28" i="3" s="1"/>
  <c r="UDA28" i="3" a="1"/>
  <c r="UDA28" i="3" s="1"/>
  <c r="UCL28" i="3" a="1"/>
  <c r="UCL28" i="3" s="1"/>
  <c r="UCC28" i="3" a="1"/>
  <c r="UCC28" i="3" s="1"/>
  <c r="UBN28" i="3" a="1"/>
  <c r="UBN28" i="3" s="1"/>
  <c r="UBE28" i="3" a="1"/>
  <c r="UBE28" i="3" s="1"/>
  <c r="UAP28" i="3" a="1"/>
  <c r="UAP28" i="3" s="1"/>
  <c r="UAG28" i="3" a="1"/>
  <c r="UAG28" i="3" s="1"/>
  <c r="TZR28" i="3" a="1"/>
  <c r="TZR28" i="3" s="1"/>
  <c r="TZI28" i="3" a="1"/>
  <c r="TZI28" i="3" s="1"/>
  <c r="TYT28" i="3" a="1"/>
  <c r="TYT28" i="3" s="1"/>
  <c r="TYK28" i="3" a="1"/>
  <c r="TYK28" i="3" s="1"/>
  <c r="TXV28" i="3" a="1"/>
  <c r="TXV28" i="3" s="1"/>
  <c r="TXM28" i="3" a="1"/>
  <c r="TXM28" i="3" s="1"/>
  <c r="TWX28" i="3" a="1"/>
  <c r="TWX28" i="3" s="1"/>
  <c r="TWO28" i="3" a="1"/>
  <c r="TWO28" i="3" s="1"/>
  <c r="WDB28" i="3" a="1"/>
  <c r="WDB28" i="3" s="1"/>
  <c r="VYJ28" i="3" a="1"/>
  <c r="VYJ28" i="3" s="1"/>
  <c r="VPY28" i="3" a="1"/>
  <c r="VPY28" i="3" s="1"/>
  <c r="VKE28" i="3" a="1"/>
  <c r="VKE28" i="3" s="1"/>
  <c r="VCF28" i="3" a="1"/>
  <c r="VCF28" i="3" s="1"/>
  <c r="VAV28" i="3" a="1"/>
  <c r="VAV28" i="3" s="1"/>
  <c r="VAB28" i="3" a="1"/>
  <c r="VAB28" i="3" s="1"/>
  <c r="UYB28" i="3" a="1"/>
  <c r="UYB28" i="3" s="1"/>
  <c r="UWI28" i="3" a="1"/>
  <c r="UWI28" i="3" s="1"/>
  <c r="UVS28" i="3" a="1"/>
  <c r="UVS28" i="3" s="1"/>
  <c r="UTO28" i="3" a="1"/>
  <c r="UTO28" i="3" s="1"/>
  <c r="USY28" i="3" a="1"/>
  <c r="USY28" i="3" s="1"/>
  <c r="UQU28" i="3" a="1"/>
  <c r="UQU28" i="3" s="1"/>
  <c r="UQE28" i="3" a="1"/>
  <c r="UQE28" i="3" s="1"/>
  <c r="UOA28" i="3" a="1"/>
  <c r="UOA28" i="3" s="1"/>
  <c r="UNK28" i="3" a="1"/>
  <c r="UNK28" i="3" s="1"/>
  <c r="ULG28" i="3" a="1"/>
  <c r="ULG28" i="3" s="1"/>
  <c r="UKQ28" i="3" a="1"/>
  <c r="UKQ28" i="3" s="1"/>
  <c r="UGK28" i="3" a="1"/>
  <c r="UGK28" i="3" s="1"/>
  <c r="UFP28" i="3" a="1"/>
  <c r="UFP28" i="3" s="1"/>
  <c r="UEW28" i="3" a="1"/>
  <c r="UEW28" i="3" s="1"/>
  <c r="UEO28" i="3" a="1"/>
  <c r="UEO28" i="3" s="1"/>
  <c r="UEG28" i="3" a="1"/>
  <c r="UEG28" i="3" s="1"/>
  <c r="UDQ28" i="3" a="1"/>
  <c r="UDQ28" i="3" s="1"/>
  <c r="UDI28" i="3" a="1"/>
  <c r="UDI28" i="3" s="1"/>
  <c r="UCS28" i="3" a="1"/>
  <c r="UCS28" i="3" s="1"/>
  <c r="UCK28" i="3" a="1"/>
  <c r="UCK28" i="3" s="1"/>
  <c r="UBU28" i="3" a="1"/>
  <c r="UBU28" i="3" s="1"/>
  <c r="UBM28" i="3" a="1"/>
  <c r="UBM28" i="3" s="1"/>
  <c r="UAW28" i="3" a="1"/>
  <c r="UAW28" i="3" s="1"/>
  <c r="UAO28" i="3" a="1"/>
  <c r="UAO28" i="3" s="1"/>
  <c r="TZY28" i="3" a="1"/>
  <c r="TZY28" i="3" s="1"/>
  <c r="TZQ28" i="3" a="1"/>
  <c r="TZQ28" i="3" s="1"/>
  <c r="TZA28" i="3" a="1"/>
  <c r="TZA28" i="3" s="1"/>
  <c r="TYS28" i="3" a="1"/>
  <c r="TYS28" i="3" s="1"/>
  <c r="TYC28" i="3" a="1"/>
  <c r="TYC28" i="3" s="1"/>
  <c r="TXU28" i="3" a="1"/>
  <c r="TXU28" i="3" s="1"/>
  <c r="TXE28" i="3" a="1"/>
  <c r="TXE28" i="3" s="1"/>
  <c r="TWW28" i="3" a="1"/>
  <c r="TWW28" i="3" s="1"/>
  <c r="TWG28" i="3" a="1"/>
  <c r="TWG28" i="3" s="1"/>
  <c r="TWA28" i="3" a="1"/>
  <c r="TWA28" i="3" s="1"/>
  <c r="TVU28" i="3" a="1"/>
  <c r="TVU28" i="3" s="1"/>
  <c r="TVO28" i="3" a="1"/>
  <c r="TVO28" i="3" s="1"/>
  <c r="TVI28" i="3" a="1"/>
  <c r="TVI28" i="3" s="1"/>
  <c r="TVC28" i="3" a="1"/>
  <c r="TVC28" i="3" s="1"/>
  <c r="TUW28" i="3" a="1"/>
  <c r="TUW28" i="3" s="1"/>
  <c r="TUQ28" i="3" a="1"/>
  <c r="TUQ28" i="3" s="1"/>
  <c r="TUK28" i="3" a="1"/>
  <c r="TUK28" i="3" s="1"/>
  <c r="TUE28" i="3" a="1"/>
  <c r="TUE28" i="3" s="1"/>
  <c r="TTY28" i="3" a="1"/>
  <c r="TTY28" i="3" s="1"/>
  <c r="TTS28" i="3" a="1"/>
  <c r="TTS28" i="3" s="1"/>
  <c r="TTM28" i="3" a="1"/>
  <c r="TTM28" i="3" s="1"/>
  <c r="TTG28" i="3" a="1"/>
  <c r="TTG28" i="3" s="1"/>
  <c r="TTA28" i="3" a="1"/>
  <c r="TTA28" i="3" s="1"/>
  <c r="TSU28" i="3" a="1"/>
  <c r="TSU28" i="3" s="1"/>
  <c r="TSO28" i="3" a="1"/>
  <c r="TSO28" i="3" s="1"/>
  <c r="TSI28" i="3" a="1"/>
  <c r="TSI28" i="3" s="1"/>
  <c r="TSC28" i="3" a="1"/>
  <c r="TSC28" i="3" s="1"/>
  <c r="TRW28" i="3" a="1"/>
  <c r="TRW28" i="3" s="1"/>
  <c r="TRQ28" i="3" a="1"/>
  <c r="TRQ28" i="3" s="1"/>
  <c r="TRK28" i="3" a="1"/>
  <c r="TRK28" i="3" s="1"/>
  <c r="TRE28" i="3" a="1"/>
  <c r="TRE28" i="3" s="1"/>
  <c r="TQY28" i="3" a="1"/>
  <c r="TQY28" i="3" s="1"/>
  <c r="TQS28" i="3" a="1"/>
  <c r="TQS28" i="3" s="1"/>
  <c r="TQM28" i="3" a="1"/>
  <c r="TQM28" i="3" s="1"/>
  <c r="TQG28" i="3" a="1"/>
  <c r="TQG28" i="3" s="1"/>
  <c r="TQA28" i="3" a="1"/>
  <c r="TQA28" i="3" s="1"/>
  <c r="TPU28" i="3" a="1"/>
  <c r="TPU28" i="3" s="1"/>
  <c r="TPO28" i="3" a="1"/>
  <c r="TPO28" i="3" s="1"/>
  <c r="TPI28" i="3" a="1"/>
  <c r="TPI28" i="3" s="1"/>
  <c r="TPC28" i="3" a="1"/>
  <c r="TPC28" i="3" s="1"/>
  <c r="TOW28" i="3" a="1"/>
  <c r="TOW28" i="3" s="1"/>
  <c r="TOQ28" i="3" a="1"/>
  <c r="TOQ28" i="3" s="1"/>
  <c r="TOK28" i="3" a="1"/>
  <c r="TOK28" i="3" s="1"/>
  <c r="TOE28" i="3" a="1"/>
  <c r="TOE28" i="3" s="1"/>
  <c r="TNY28" i="3" a="1"/>
  <c r="TNY28" i="3" s="1"/>
  <c r="TNS28" i="3" a="1"/>
  <c r="TNS28" i="3" s="1"/>
  <c r="TNM28" i="3" a="1"/>
  <c r="TNM28" i="3" s="1"/>
  <c r="TNG28" i="3" a="1"/>
  <c r="TNG28" i="3" s="1"/>
  <c r="TNA28" i="3" a="1"/>
  <c r="TNA28" i="3" s="1"/>
  <c r="TMU28" i="3" a="1"/>
  <c r="TMU28" i="3" s="1"/>
  <c r="TMO28" i="3" a="1"/>
  <c r="TMO28" i="3" s="1"/>
  <c r="TMI28" i="3" a="1"/>
  <c r="TMI28" i="3" s="1"/>
  <c r="TMC28" i="3" a="1"/>
  <c r="TMC28" i="3" s="1"/>
  <c r="TLW28" i="3" a="1"/>
  <c r="TLW28" i="3" s="1"/>
  <c r="TLQ28" i="3" a="1"/>
  <c r="TLQ28" i="3" s="1"/>
  <c r="TLK28" i="3" a="1"/>
  <c r="TLK28" i="3" s="1"/>
  <c r="TLE28" i="3" a="1"/>
  <c r="TLE28" i="3" s="1"/>
  <c r="TKY28" i="3" a="1"/>
  <c r="TKY28" i="3" s="1"/>
  <c r="TKS28" i="3" a="1"/>
  <c r="TKS28" i="3" s="1"/>
  <c r="WBV28" i="3" a="1"/>
  <c r="WBV28" i="3" s="1"/>
  <c r="VYG28" i="3" a="1"/>
  <c r="VYG28" i="3" s="1"/>
  <c r="VRY28" i="3" a="1"/>
  <c r="VRY28" i="3" s="1"/>
  <c r="VLU28" i="3" a="1"/>
  <c r="VLU28" i="3" s="1"/>
  <c r="VIN28" i="3" a="1"/>
  <c r="VIN28" i="3" s="1"/>
  <c r="VBM28" i="3" a="1"/>
  <c r="VBM28" i="3" s="1"/>
  <c r="VAQ28" i="3" a="1"/>
  <c r="VAQ28" i="3" s="1"/>
  <c r="UZZ28" i="3" a="1"/>
  <c r="UZZ28" i="3" s="1"/>
  <c r="UZK28" i="3" a="1"/>
  <c r="UZK28" i="3" s="1"/>
  <c r="UYR28" i="3" a="1"/>
  <c r="UYR28" i="3" s="1"/>
  <c r="UXI28" i="3" a="1"/>
  <c r="UXI28" i="3" s="1"/>
  <c r="UVE28" i="3" a="1"/>
  <c r="UVE28" i="3" s="1"/>
  <c r="UUO28" i="3" a="1"/>
  <c r="UUO28" i="3" s="1"/>
  <c r="USK28" i="3" a="1"/>
  <c r="USK28" i="3" s="1"/>
  <c r="URU28" i="3" a="1"/>
  <c r="URU28" i="3" s="1"/>
  <c r="UPQ28" i="3" a="1"/>
  <c r="UPQ28" i="3" s="1"/>
  <c r="UPA28" i="3" a="1"/>
  <c r="UPA28" i="3" s="1"/>
  <c r="UMW28" i="3" a="1"/>
  <c r="UMW28" i="3" s="1"/>
  <c r="UMG28" i="3" a="1"/>
  <c r="UMG28" i="3" s="1"/>
  <c r="UKC28" i="3" a="1"/>
  <c r="UKC28" i="3" s="1"/>
  <c r="UJN28" i="3" a="1"/>
  <c r="UJN28" i="3" s="1"/>
  <c r="UJB28" i="3" a="1"/>
  <c r="UJB28" i="3" s="1"/>
  <c r="UIP28" i="3" a="1"/>
  <c r="UIP28" i="3" s="1"/>
  <c r="UID28" i="3" a="1"/>
  <c r="UID28" i="3" s="1"/>
  <c r="UHR28" i="3" a="1"/>
  <c r="UHR28" i="3" s="1"/>
  <c r="UHF28" i="3" a="1"/>
  <c r="UHF28" i="3" s="1"/>
  <c r="UGT28" i="3" a="1"/>
  <c r="UGT28" i="3" s="1"/>
  <c r="UFO28" i="3" a="1"/>
  <c r="UFO28" i="3" s="1"/>
  <c r="UFF28" i="3" a="1"/>
  <c r="UFF28" i="3" s="1"/>
  <c r="UEF28" i="3" a="1"/>
  <c r="UEF28" i="3" s="1"/>
  <c r="UDX28" i="3" a="1"/>
  <c r="UDX28" i="3" s="1"/>
  <c r="UDH28" i="3" a="1"/>
  <c r="UDH28" i="3" s="1"/>
  <c r="UCZ28" i="3" a="1"/>
  <c r="UCZ28" i="3" s="1"/>
  <c r="UCJ28" i="3" a="1"/>
  <c r="UCJ28" i="3" s="1"/>
  <c r="UCB28" i="3" a="1"/>
  <c r="UCB28" i="3" s="1"/>
  <c r="UBL28" i="3" a="1"/>
  <c r="UBL28" i="3" s="1"/>
  <c r="UBD28" i="3" a="1"/>
  <c r="UBD28" i="3" s="1"/>
  <c r="UAN28" i="3" a="1"/>
  <c r="UAN28" i="3" s="1"/>
  <c r="UAF28" i="3" a="1"/>
  <c r="UAF28" i="3" s="1"/>
  <c r="TZP28" i="3" a="1"/>
  <c r="TZP28" i="3" s="1"/>
  <c r="TZH28" i="3" a="1"/>
  <c r="TZH28" i="3" s="1"/>
  <c r="TYR28" i="3" a="1"/>
  <c r="TYR28" i="3" s="1"/>
  <c r="TYJ28" i="3" a="1"/>
  <c r="TYJ28" i="3" s="1"/>
  <c r="TXT28" i="3" a="1"/>
  <c r="TXT28" i="3" s="1"/>
  <c r="TXL28" i="3" a="1"/>
  <c r="TXL28" i="3" s="1"/>
  <c r="TWV28" i="3" a="1"/>
  <c r="TWV28" i="3" s="1"/>
  <c r="TWN28" i="3" a="1"/>
  <c r="TWN28" i="3" s="1"/>
  <c r="XAP28" i="3" a="1"/>
  <c r="XAP28" i="3" s="1"/>
  <c r="WHO28" i="3" a="1"/>
  <c r="WHO28" i="3" s="1"/>
  <c r="VUA28" i="3" a="1"/>
  <c r="VUA28" i="3" s="1"/>
  <c r="VRV28" i="3" a="1"/>
  <c r="VRV28" i="3" s="1"/>
  <c r="VPJ28" i="3" a="1"/>
  <c r="VPJ28" i="3" s="1"/>
  <c r="VLT28" i="3" a="1"/>
  <c r="VLT28" i="3" s="1"/>
  <c r="VIL28" i="3" a="1"/>
  <c r="VIL28" i="3" s="1"/>
  <c r="VGX28" i="3" a="1"/>
  <c r="VGX28" i="3" s="1"/>
  <c r="VEN28" i="3" a="1"/>
  <c r="VEN28" i="3" s="1"/>
  <c r="VCZ28" i="3" a="1"/>
  <c r="VCZ28" i="3" s="1"/>
  <c r="VCB28" i="3" a="1"/>
  <c r="VCB28" i="3" s="1"/>
  <c r="UZY28" i="3" a="1"/>
  <c r="UZY28" i="3" s="1"/>
  <c r="UZF28" i="3" a="1"/>
  <c r="UZF28" i="3" s="1"/>
  <c r="UVQ28" i="3" a="1"/>
  <c r="UVQ28" i="3" s="1"/>
  <c r="UVA28" i="3" a="1"/>
  <c r="UVA28" i="3" s="1"/>
  <c r="USW28" i="3" a="1"/>
  <c r="USW28" i="3" s="1"/>
  <c r="USG28" i="3" a="1"/>
  <c r="USG28" i="3" s="1"/>
  <c r="UQC28" i="3" a="1"/>
  <c r="UQC28" i="3" s="1"/>
  <c r="UPM28" i="3" a="1"/>
  <c r="UPM28" i="3" s="1"/>
  <c r="UNI28" i="3" a="1"/>
  <c r="UNI28" i="3" s="1"/>
  <c r="UMS28" i="3" a="1"/>
  <c r="UMS28" i="3" s="1"/>
  <c r="UKO28" i="3" a="1"/>
  <c r="UKO28" i="3" s="1"/>
  <c r="UJY28" i="3" a="1"/>
  <c r="UJY28" i="3" s="1"/>
  <c r="UGH28" i="3" a="1"/>
  <c r="UGH28" i="3" s="1"/>
  <c r="UFD28" i="3" a="1"/>
  <c r="UFD28" i="3" s="1"/>
  <c r="UEU28" i="3" a="1"/>
  <c r="UEU28" i="3" s="1"/>
  <c r="UEM28" i="3" a="1"/>
  <c r="UEM28" i="3" s="1"/>
  <c r="UDW28" i="3" a="1"/>
  <c r="UDW28" i="3" s="1"/>
  <c r="UDO28" i="3" a="1"/>
  <c r="UDO28" i="3" s="1"/>
  <c r="UCY28" i="3" a="1"/>
  <c r="UCY28" i="3" s="1"/>
  <c r="UCQ28" i="3" a="1"/>
  <c r="UCQ28" i="3" s="1"/>
  <c r="UCA28" i="3" a="1"/>
  <c r="UCA28" i="3" s="1"/>
  <c r="UBS28" i="3" a="1"/>
  <c r="UBS28" i="3" s="1"/>
  <c r="UBC28" i="3" a="1"/>
  <c r="UBC28" i="3" s="1"/>
  <c r="UAU28" i="3" a="1"/>
  <c r="UAU28" i="3" s="1"/>
  <c r="UAE28" i="3" a="1"/>
  <c r="UAE28" i="3" s="1"/>
  <c r="TZW28" i="3" a="1"/>
  <c r="TZW28" i="3" s="1"/>
  <c r="TZG28" i="3" a="1"/>
  <c r="TZG28" i="3" s="1"/>
  <c r="TYY28" i="3" a="1"/>
  <c r="TYY28" i="3" s="1"/>
  <c r="TYI28" i="3" a="1"/>
  <c r="TYI28" i="3" s="1"/>
  <c r="TYA28" i="3" a="1"/>
  <c r="TYA28" i="3" s="1"/>
  <c r="TXK28" i="3" a="1"/>
  <c r="TXK28" i="3" s="1"/>
  <c r="TXC28" i="3" a="1"/>
  <c r="TXC28" i="3" s="1"/>
  <c r="TWM28" i="3" a="1"/>
  <c r="TWM28" i="3" s="1"/>
  <c r="WHN28" i="3" a="1"/>
  <c r="WHN28" i="3" s="1"/>
  <c r="VTZ28" i="3" a="1"/>
  <c r="VTZ28" i="3" s="1"/>
  <c r="VNN28" i="3" a="1"/>
  <c r="VNN28" i="3" s="1"/>
  <c r="VED28" i="3" a="1"/>
  <c r="VED28" i="3" s="1"/>
  <c r="VBG28" i="3" a="1"/>
  <c r="VBG28" i="3" s="1"/>
  <c r="UZE28" i="3" a="1"/>
  <c r="UZE28" i="3" s="1"/>
  <c r="UXG28" i="3" a="1"/>
  <c r="UXG28" i="3" s="1"/>
  <c r="UTW28" i="3" a="1"/>
  <c r="UTW28" i="3" s="1"/>
  <c r="UOY28" i="3" a="1"/>
  <c r="UOY28" i="3" s="1"/>
  <c r="ULO28" i="3" a="1"/>
  <c r="ULO28" i="3" s="1"/>
  <c r="UFX28" i="3" a="1"/>
  <c r="UFX28" i="3" s="1"/>
  <c r="TVS28" i="3" a="1"/>
  <c r="TVS28" i="3" s="1"/>
  <c r="TVA28" i="3" a="1"/>
  <c r="TVA28" i="3" s="1"/>
  <c r="TUI28" i="3" a="1"/>
  <c r="TUI28" i="3" s="1"/>
  <c r="TTQ28" i="3" a="1"/>
  <c r="TTQ28" i="3" s="1"/>
  <c r="TSY28" i="3" a="1"/>
  <c r="TSY28" i="3" s="1"/>
  <c r="TSG28" i="3" a="1"/>
  <c r="TSG28" i="3" s="1"/>
  <c r="TRO28" i="3" a="1"/>
  <c r="TRO28" i="3" s="1"/>
  <c r="TQW28" i="3" a="1"/>
  <c r="TQW28" i="3" s="1"/>
  <c r="TQF28" i="3" a="1"/>
  <c r="TQF28" i="3" s="1"/>
  <c r="TPT28" i="3" a="1"/>
  <c r="TPT28" i="3" s="1"/>
  <c r="TPH28" i="3" a="1"/>
  <c r="TPH28" i="3" s="1"/>
  <c r="TOV28" i="3" a="1"/>
  <c r="TOV28" i="3" s="1"/>
  <c r="TOJ28" i="3" a="1"/>
  <c r="TOJ28" i="3" s="1"/>
  <c r="TNX28" i="3" a="1"/>
  <c r="TNX28" i="3" s="1"/>
  <c r="TNL28" i="3" a="1"/>
  <c r="TNL28" i="3" s="1"/>
  <c r="TMZ28" i="3" a="1"/>
  <c r="TMZ28" i="3" s="1"/>
  <c r="TMN28" i="3" a="1"/>
  <c r="TMN28" i="3" s="1"/>
  <c r="TMB28" i="3" a="1"/>
  <c r="TMB28" i="3" s="1"/>
  <c r="TKH28" i="3" a="1"/>
  <c r="TKH28" i="3" s="1"/>
  <c r="TJJ28" i="3" a="1"/>
  <c r="TJJ28" i="3" s="1"/>
  <c r="TIL28" i="3" a="1"/>
  <c r="TIL28" i="3" s="1"/>
  <c r="THN28" i="3" a="1"/>
  <c r="THN28" i="3" s="1"/>
  <c r="TGP28" i="3" a="1"/>
  <c r="TGP28" i="3" s="1"/>
  <c r="TEW28" i="3" a="1"/>
  <c r="TEW28" i="3" s="1"/>
  <c r="TEP28" i="3" a="1"/>
  <c r="TEP28" i="3" s="1"/>
  <c r="TDM28" i="3" a="1"/>
  <c r="TDM28" i="3" s="1"/>
  <c r="TDF28" i="3" a="1"/>
  <c r="TDF28" i="3" s="1"/>
  <c r="TCY28" i="3" a="1"/>
  <c r="TCY28" i="3" s="1"/>
  <c r="TCS28" i="3" a="1"/>
  <c r="TCS28" i="3" s="1"/>
  <c r="TCM28" i="3" a="1"/>
  <c r="TCM28" i="3" s="1"/>
  <c r="TCG28" i="3" a="1"/>
  <c r="TCG28" i="3" s="1"/>
  <c r="TCA28" i="3" a="1"/>
  <c r="TCA28" i="3" s="1"/>
  <c r="TBU28" i="3" a="1"/>
  <c r="TBU28" i="3" s="1"/>
  <c r="TBO28" i="3" a="1"/>
  <c r="TBO28" i="3" s="1"/>
  <c r="TBI28" i="3" a="1"/>
  <c r="TBI28" i="3" s="1"/>
  <c r="TBC28" i="3" a="1"/>
  <c r="TBC28" i="3" s="1"/>
  <c r="TAW28" i="3" a="1"/>
  <c r="TAW28" i="3" s="1"/>
  <c r="TAQ28" i="3" a="1"/>
  <c r="TAQ28" i="3" s="1"/>
  <c r="TAK28" i="3" a="1"/>
  <c r="TAK28" i="3" s="1"/>
  <c r="TAE28" i="3" a="1"/>
  <c r="TAE28" i="3" s="1"/>
  <c r="SZY28" i="3" a="1"/>
  <c r="SZY28" i="3" s="1"/>
  <c r="SZS28" i="3" a="1"/>
  <c r="SZS28" i="3" s="1"/>
  <c r="SZM28" i="3" a="1"/>
  <c r="SZM28" i="3" s="1"/>
  <c r="SZG28" i="3" a="1"/>
  <c r="SZG28" i="3" s="1"/>
  <c r="SZA28" i="3" a="1"/>
  <c r="SZA28" i="3" s="1"/>
  <c r="SYU28" i="3" a="1"/>
  <c r="SYU28" i="3" s="1"/>
  <c r="SYO28" i="3" a="1"/>
  <c r="SYO28" i="3" s="1"/>
  <c r="SYI28" i="3" a="1"/>
  <c r="SYI28" i="3" s="1"/>
  <c r="SYC28" i="3" a="1"/>
  <c r="SYC28" i="3" s="1"/>
  <c r="SXW28" i="3" a="1"/>
  <c r="SXW28" i="3" s="1"/>
  <c r="SXQ28" i="3" a="1"/>
  <c r="SXQ28" i="3" s="1"/>
  <c r="SXK28" i="3" a="1"/>
  <c r="SXK28" i="3" s="1"/>
  <c r="SXE28" i="3" a="1"/>
  <c r="SXE28" i="3" s="1"/>
  <c r="SWY28" i="3" a="1"/>
  <c r="SWY28" i="3" s="1"/>
  <c r="SWS28" i="3" a="1"/>
  <c r="SWS28" i="3" s="1"/>
  <c r="SWM28" i="3" a="1"/>
  <c r="SWM28" i="3" s="1"/>
  <c r="SWG28" i="3" a="1"/>
  <c r="SWG28" i="3" s="1"/>
  <c r="SWA28" i="3" a="1"/>
  <c r="SWA28" i="3" s="1"/>
  <c r="SVU28" i="3" a="1"/>
  <c r="SVU28" i="3" s="1"/>
  <c r="SVO28" i="3" a="1"/>
  <c r="SVO28" i="3" s="1"/>
  <c r="SVI28" i="3" a="1"/>
  <c r="SVI28" i="3" s="1"/>
  <c r="SVC28" i="3" a="1"/>
  <c r="SVC28" i="3" s="1"/>
  <c r="SUW28" i="3" a="1"/>
  <c r="SUW28" i="3" s="1"/>
  <c r="SUQ28" i="3" a="1"/>
  <c r="SUQ28" i="3" s="1"/>
  <c r="SUK28" i="3" a="1"/>
  <c r="SUK28" i="3" s="1"/>
  <c r="SUE28" i="3" a="1"/>
  <c r="SUE28" i="3" s="1"/>
  <c r="STY28" i="3" a="1"/>
  <c r="STY28" i="3" s="1"/>
  <c r="STS28" i="3" a="1"/>
  <c r="STS28" i="3" s="1"/>
  <c r="STM28" i="3" a="1"/>
  <c r="STM28" i="3" s="1"/>
  <c r="STG28" i="3" a="1"/>
  <c r="STG28" i="3" s="1"/>
  <c r="STA28" i="3" a="1"/>
  <c r="STA28" i="3" s="1"/>
  <c r="SSU28" i="3" a="1"/>
  <c r="SSU28" i="3" s="1"/>
  <c r="SSO28" i="3" a="1"/>
  <c r="SSO28" i="3" s="1"/>
  <c r="SSI28" i="3" a="1"/>
  <c r="SSI28" i="3" s="1"/>
  <c r="SSC28" i="3" a="1"/>
  <c r="SSC28" i="3" s="1"/>
  <c r="SRW28" i="3" a="1"/>
  <c r="SRW28" i="3" s="1"/>
  <c r="SRQ28" i="3" a="1"/>
  <c r="SRQ28" i="3" s="1"/>
  <c r="SRK28" i="3" a="1"/>
  <c r="SRK28" i="3" s="1"/>
  <c r="SRE28" i="3" a="1"/>
  <c r="SRE28" i="3" s="1"/>
  <c r="SQY28" i="3" a="1"/>
  <c r="SQY28" i="3" s="1"/>
  <c r="SQS28" i="3" a="1"/>
  <c r="SQS28" i="3" s="1"/>
  <c r="SQM28" i="3" a="1"/>
  <c r="SQM28" i="3" s="1"/>
  <c r="SQG28" i="3" a="1"/>
  <c r="SQG28" i="3" s="1"/>
  <c r="SQA28" i="3" a="1"/>
  <c r="SQA28" i="3" s="1"/>
  <c r="SPU28" i="3" a="1"/>
  <c r="SPU28" i="3" s="1"/>
  <c r="SPO28" i="3" a="1"/>
  <c r="SPO28" i="3" s="1"/>
  <c r="SPI28" i="3" a="1"/>
  <c r="SPI28" i="3" s="1"/>
  <c r="SPC28" i="3" a="1"/>
  <c r="SPC28" i="3" s="1"/>
  <c r="SOW28" i="3" a="1"/>
  <c r="SOW28" i="3" s="1"/>
  <c r="SOQ28" i="3" a="1"/>
  <c r="SOQ28" i="3" s="1"/>
  <c r="SOK28" i="3" a="1"/>
  <c r="SOK28" i="3" s="1"/>
  <c r="SOE28" i="3" a="1"/>
  <c r="SOE28" i="3" s="1"/>
  <c r="WGH28" i="3" a="1"/>
  <c r="WGH28" i="3" s="1"/>
  <c r="VTR28" i="3" a="1"/>
  <c r="VTR28" i="3" s="1"/>
  <c r="VBF28" i="3" a="1"/>
  <c r="VBF28" i="3" s="1"/>
  <c r="UVM28" i="3" a="1"/>
  <c r="UVM28" i="3" s="1"/>
  <c r="UQO28" i="3" a="1"/>
  <c r="UQO28" i="3" s="1"/>
  <c r="UNE28" i="3" a="1"/>
  <c r="UNE28" i="3" s="1"/>
  <c r="UIM28" i="3" a="1"/>
  <c r="UIM28" i="3" s="1"/>
  <c r="UHC28" i="3" a="1"/>
  <c r="UHC28" i="3" s="1"/>
  <c r="UFV28" i="3" a="1"/>
  <c r="UFV28" i="3" s="1"/>
  <c r="UET28" i="3" a="1"/>
  <c r="UET28" i="3" s="1"/>
  <c r="UDV28" i="3" a="1"/>
  <c r="UDV28" i="3" s="1"/>
  <c r="UCX28" i="3" a="1"/>
  <c r="UCX28" i="3" s="1"/>
  <c r="UBZ28" i="3" a="1"/>
  <c r="UBZ28" i="3" s="1"/>
  <c r="UBB28" i="3" a="1"/>
  <c r="UBB28" i="3" s="1"/>
  <c r="UAD28" i="3" a="1"/>
  <c r="UAD28" i="3" s="1"/>
  <c r="TZF28" i="3" a="1"/>
  <c r="TZF28" i="3" s="1"/>
  <c r="TYH28" i="3" a="1"/>
  <c r="TYH28" i="3" s="1"/>
  <c r="TXJ28" i="3" a="1"/>
  <c r="TXJ28" i="3" s="1"/>
  <c r="TWL28" i="3" a="1"/>
  <c r="TWL28" i="3" s="1"/>
  <c r="TQE28" i="3" a="1"/>
  <c r="TQE28" i="3" s="1"/>
  <c r="TPS28" i="3" a="1"/>
  <c r="TPS28" i="3" s="1"/>
  <c r="TPG28" i="3" a="1"/>
  <c r="TPG28" i="3" s="1"/>
  <c r="TOU28" i="3" a="1"/>
  <c r="TOU28" i="3" s="1"/>
  <c r="TOI28" i="3" a="1"/>
  <c r="TOI28" i="3" s="1"/>
  <c r="TNW28" i="3" a="1"/>
  <c r="TNW28" i="3" s="1"/>
  <c r="TNK28" i="3" a="1"/>
  <c r="TNK28" i="3" s="1"/>
  <c r="TMY28" i="3" a="1"/>
  <c r="TMY28" i="3" s="1"/>
  <c r="TMM28" i="3" a="1"/>
  <c r="TMM28" i="3" s="1"/>
  <c r="TMA28" i="3" a="1"/>
  <c r="TMA28" i="3" s="1"/>
  <c r="TLH28" i="3" a="1"/>
  <c r="TLH28" i="3" s="1"/>
  <c r="TKP28" i="3" a="1"/>
  <c r="TKP28" i="3" s="1"/>
  <c r="TJZ28" i="3" a="1"/>
  <c r="TJZ28" i="3" s="1"/>
  <c r="TJR28" i="3" a="1"/>
  <c r="TJR28" i="3" s="1"/>
  <c r="TJB28" i="3" a="1"/>
  <c r="TJB28" i="3" s="1"/>
  <c r="TIT28" i="3" a="1"/>
  <c r="TIT28" i="3" s="1"/>
  <c r="TID28" i="3" a="1"/>
  <c r="TID28" i="3" s="1"/>
  <c r="THV28" i="3" a="1"/>
  <c r="THV28" i="3" s="1"/>
  <c r="THF28" i="3" a="1"/>
  <c r="THF28" i="3" s="1"/>
  <c r="TGX28" i="3" a="1"/>
  <c r="TGX28" i="3" s="1"/>
  <c r="TGH28" i="3" a="1"/>
  <c r="TGH28" i="3" s="1"/>
  <c r="TFZ28" i="3" a="1"/>
  <c r="TFZ28" i="3" s="1"/>
  <c r="TFR28" i="3" a="1"/>
  <c r="TFR28" i="3" s="1"/>
  <c r="TFK28" i="3" a="1"/>
  <c r="TFK28" i="3" s="1"/>
  <c r="TFD28" i="3" a="1"/>
  <c r="TFD28" i="3" s="1"/>
  <c r="TEO28" i="3" a="1"/>
  <c r="TEO28" i="3" s="1"/>
  <c r="TEH28" i="3" a="1"/>
  <c r="TEH28" i="3" s="1"/>
  <c r="TEA28" i="3" a="1"/>
  <c r="TEA28" i="3" s="1"/>
  <c r="TDT28" i="3" a="1"/>
  <c r="TDT28" i="3" s="1"/>
  <c r="TDE28" i="3" a="1"/>
  <c r="TDE28" i="3" s="1"/>
  <c r="VMW28" i="3" a="1"/>
  <c r="VMW28" i="3" s="1"/>
  <c r="VEB28" i="3" a="1"/>
  <c r="VEB28" i="3" s="1"/>
  <c r="VBD28" i="3" a="1"/>
  <c r="VBD28" i="3" s="1"/>
  <c r="UZD28" i="3" a="1"/>
  <c r="UZD28" i="3" s="1"/>
  <c r="UXC28" i="3" a="1"/>
  <c r="UXC28" i="3" s="1"/>
  <c r="USE28" i="3" a="1"/>
  <c r="USE28" i="3" s="1"/>
  <c r="UOU28" i="3" a="1"/>
  <c r="UOU28" i="3" s="1"/>
  <c r="UJW28" i="3" a="1"/>
  <c r="UJW28" i="3" s="1"/>
  <c r="UFU28" i="3" a="1"/>
  <c r="UFU28" i="3" s="1"/>
  <c r="UES28" i="3" a="1"/>
  <c r="UES28" i="3" s="1"/>
  <c r="UDU28" i="3" a="1"/>
  <c r="UDU28" i="3" s="1"/>
  <c r="UCW28" i="3" a="1"/>
  <c r="UCW28" i="3" s="1"/>
  <c r="UBY28" i="3" a="1"/>
  <c r="UBY28" i="3" s="1"/>
  <c r="UBA28" i="3" a="1"/>
  <c r="UBA28" i="3" s="1"/>
  <c r="UAC28" i="3" a="1"/>
  <c r="UAC28" i="3" s="1"/>
  <c r="TZE28" i="3" a="1"/>
  <c r="TZE28" i="3" s="1"/>
  <c r="TYG28" i="3" a="1"/>
  <c r="TYG28" i="3" s="1"/>
  <c r="TXI28" i="3" a="1"/>
  <c r="TXI28" i="3" s="1"/>
  <c r="TWK28" i="3" a="1"/>
  <c r="TWK28" i="3" s="1"/>
  <c r="TVR28" i="3" a="1"/>
  <c r="TVR28" i="3" s="1"/>
  <c r="TUZ28" i="3" a="1"/>
  <c r="TUZ28" i="3" s="1"/>
  <c r="TUH28" i="3" a="1"/>
  <c r="TUH28" i="3" s="1"/>
  <c r="TTP28" i="3" a="1"/>
  <c r="TTP28" i="3" s="1"/>
  <c r="TSX28" i="3" a="1"/>
  <c r="TSX28" i="3" s="1"/>
  <c r="TSF28" i="3" a="1"/>
  <c r="TSF28" i="3" s="1"/>
  <c r="TRN28" i="3" a="1"/>
  <c r="TRN28" i="3" s="1"/>
  <c r="TQV28" i="3" a="1"/>
  <c r="TQV28" i="3" s="1"/>
  <c r="TLP28" i="3" a="1"/>
  <c r="TLP28" i="3" s="1"/>
  <c r="TLG28" i="3" a="1"/>
  <c r="TLG28" i="3" s="1"/>
  <c r="TKX28" i="3" a="1"/>
  <c r="TKX28" i="3" s="1"/>
  <c r="TKO28" i="3" a="1"/>
  <c r="TKO28" i="3" s="1"/>
  <c r="TKG28" i="3" a="1"/>
  <c r="TKG28" i="3" s="1"/>
  <c r="TJY28" i="3" a="1"/>
  <c r="TJY28" i="3" s="1"/>
  <c r="TJQ28" i="3" a="1"/>
  <c r="TJQ28" i="3" s="1"/>
  <c r="TJI28" i="3" a="1"/>
  <c r="TJI28" i="3" s="1"/>
  <c r="TJA28" i="3" a="1"/>
  <c r="TJA28" i="3" s="1"/>
  <c r="TIS28" i="3" a="1"/>
  <c r="TIS28" i="3" s="1"/>
  <c r="TIK28" i="3" a="1"/>
  <c r="TIK28" i="3" s="1"/>
  <c r="TIC28" i="3" a="1"/>
  <c r="TIC28" i="3" s="1"/>
  <c r="THU28" i="3" a="1"/>
  <c r="THU28" i="3" s="1"/>
  <c r="THM28" i="3" a="1"/>
  <c r="THM28" i="3" s="1"/>
  <c r="THE28" i="3" a="1"/>
  <c r="THE28" i="3" s="1"/>
  <c r="TGW28" i="3" a="1"/>
  <c r="TGW28" i="3" s="1"/>
  <c r="TGO28" i="3" a="1"/>
  <c r="TGO28" i="3" s="1"/>
  <c r="TGG28" i="3" a="1"/>
  <c r="TGG28" i="3" s="1"/>
  <c r="TFY28" i="3" a="1"/>
  <c r="TFY28" i="3" s="1"/>
  <c r="TFC28" i="3" a="1"/>
  <c r="TFC28" i="3" s="1"/>
  <c r="TEV28" i="3" a="1"/>
  <c r="TEV28" i="3" s="1"/>
  <c r="TDS28" i="3" a="1"/>
  <c r="TDS28" i="3" s="1"/>
  <c r="TDL28" i="3" a="1"/>
  <c r="TDL28" i="3" s="1"/>
  <c r="TCX28" i="3" a="1"/>
  <c r="TCX28" i="3" s="1"/>
  <c r="TCR28" i="3" a="1"/>
  <c r="TCR28" i="3" s="1"/>
  <c r="TCL28" i="3" a="1"/>
  <c r="TCL28" i="3" s="1"/>
  <c r="TCF28" i="3" a="1"/>
  <c r="TCF28" i="3" s="1"/>
  <c r="TBZ28" i="3" a="1"/>
  <c r="TBZ28" i="3" s="1"/>
  <c r="TBT28" i="3" a="1"/>
  <c r="TBT28" i="3" s="1"/>
  <c r="TBN28" i="3" a="1"/>
  <c r="TBN28" i="3" s="1"/>
  <c r="TBH28" i="3" a="1"/>
  <c r="TBH28" i="3" s="1"/>
  <c r="TBB28" i="3" a="1"/>
  <c r="TBB28" i="3" s="1"/>
  <c r="TAV28" i="3" a="1"/>
  <c r="TAV28" i="3" s="1"/>
  <c r="TAP28" i="3" a="1"/>
  <c r="TAP28" i="3" s="1"/>
  <c r="TAJ28" i="3" a="1"/>
  <c r="TAJ28" i="3" s="1"/>
  <c r="TAD28" i="3" a="1"/>
  <c r="TAD28" i="3" s="1"/>
  <c r="SZX28" i="3" a="1"/>
  <c r="SZX28" i="3" s="1"/>
  <c r="SZR28" i="3" a="1"/>
  <c r="SZR28" i="3" s="1"/>
  <c r="SZL28" i="3" a="1"/>
  <c r="SZL28" i="3" s="1"/>
  <c r="SZF28" i="3" a="1"/>
  <c r="SZF28" i="3" s="1"/>
  <c r="SYZ28" i="3" a="1"/>
  <c r="SYZ28" i="3" s="1"/>
  <c r="SYT28" i="3" a="1"/>
  <c r="SYT28" i="3" s="1"/>
  <c r="SYN28" i="3" a="1"/>
  <c r="SYN28" i="3" s="1"/>
  <c r="SYH28" i="3" a="1"/>
  <c r="SYH28" i="3" s="1"/>
  <c r="SYB28" i="3" a="1"/>
  <c r="SYB28" i="3" s="1"/>
  <c r="SXV28" i="3" a="1"/>
  <c r="SXV28" i="3" s="1"/>
  <c r="SXP28" i="3" a="1"/>
  <c r="SXP28" i="3" s="1"/>
  <c r="SXJ28" i="3" a="1"/>
  <c r="SXJ28" i="3" s="1"/>
  <c r="SXD28" i="3" a="1"/>
  <c r="SXD28" i="3" s="1"/>
  <c r="SWX28" i="3" a="1"/>
  <c r="SWX28" i="3" s="1"/>
  <c r="SWR28" i="3" a="1"/>
  <c r="SWR28" i="3" s="1"/>
  <c r="SWL28" i="3" a="1"/>
  <c r="SWL28" i="3" s="1"/>
  <c r="SWF28" i="3" a="1"/>
  <c r="SWF28" i="3" s="1"/>
  <c r="SVZ28" i="3" a="1"/>
  <c r="SVZ28" i="3" s="1"/>
  <c r="SVT28" i="3" a="1"/>
  <c r="SVT28" i="3" s="1"/>
  <c r="SVN28" i="3" a="1"/>
  <c r="SVN28" i="3" s="1"/>
  <c r="SVH28" i="3" a="1"/>
  <c r="SVH28" i="3" s="1"/>
  <c r="SVB28" i="3" a="1"/>
  <c r="SVB28" i="3" s="1"/>
  <c r="SUV28" i="3" a="1"/>
  <c r="SUV28" i="3" s="1"/>
  <c r="SUP28" i="3" a="1"/>
  <c r="SUP28" i="3" s="1"/>
  <c r="SUJ28" i="3" a="1"/>
  <c r="SUJ28" i="3" s="1"/>
  <c r="SUD28" i="3" a="1"/>
  <c r="SUD28" i="3" s="1"/>
  <c r="STX28" i="3" a="1"/>
  <c r="STX28" i="3" s="1"/>
  <c r="STR28" i="3" a="1"/>
  <c r="STR28" i="3" s="1"/>
  <c r="STL28" i="3" a="1"/>
  <c r="STL28" i="3" s="1"/>
  <c r="STF28" i="3" a="1"/>
  <c r="STF28" i="3" s="1"/>
  <c r="SSZ28" i="3" a="1"/>
  <c r="SSZ28" i="3" s="1"/>
  <c r="SST28" i="3" a="1"/>
  <c r="SST28" i="3" s="1"/>
  <c r="SSN28" i="3" a="1"/>
  <c r="SSN28" i="3" s="1"/>
  <c r="SSH28" i="3" a="1"/>
  <c r="SSH28" i="3" s="1"/>
  <c r="SSB28" i="3" a="1"/>
  <c r="SSB28" i="3" s="1"/>
  <c r="SRV28" i="3" a="1"/>
  <c r="SRV28" i="3" s="1"/>
  <c r="SRP28" i="3" a="1"/>
  <c r="SRP28" i="3" s="1"/>
  <c r="SRJ28" i="3" a="1"/>
  <c r="SRJ28" i="3" s="1"/>
  <c r="SRD28" i="3" a="1"/>
  <c r="SRD28" i="3" s="1"/>
  <c r="SQX28" i="3" a="1"/>
  <c r="SQX28" i="3" s="1"/>
  <c r="SQR28" i="3" a="1"/>
  <c r="SQR28" i="3" s="1"/>
  <c r="SQL28" i="3" a="1"/>
  <c r="SQL28" i="3" s="1"/>
  <c r="SQF28" i="3" a="1"/>
  <c r="SQF28" i="3" s="1"/>
  <c r="SPZ28" i="3" a="1"/>
  <c r="SPZ28" i="3" s="1"/>
  <c r="SPT28" i="3" a="1"/>
  <c r="SPT28" i="3" s="1"/>
  <c r="SPN28" i="3" a="1"/>
  <c r="SPN28" i="3" s="1"/>
  <c r="SPH28" i="3" a="1"/>
  <c r="SPH28" i="3" s="1"/>
  <c r="SPB28" i="3" a="1"/>
  <c r="SPB28" i="3" s="1"/>
  <c r="SOV28" i="3" a="1"/>
  <c r="SOV28" i="3" s="1"/>
  <c r="SOP28" i="3" a="1"/>
  <c r="SOP28" i="3" s="1"/>
  <c r="SOJ28" i="3" a="1"/>
  <c r="SOJ28" i="3" s="1"/>
  <c r="SOD28" i="3" a="1"/>
  <c r="SOD28" i="3" s="1"/>
  <c r="SNX28" i="3" a="1"/>
  <c r="SNX28" i="3" s="1"/>
  <c r="SNR28" i="3" a="1"/>
  <c r="SNR28" i="3" s="1"/>
  <c r="SNL28" i="3" a="1"/>
  <c r="SNL28" i="3" s="1"/>
  <c r="VHH28" i="3" a="1"/>
  <c r="VHH28" i="3" s="1"/>
  <c r="UYP28" i="3" a="1"/>
  <c r="UYP28" i="3" s="1"/>
  <c r="UWU28" i="3" a="1"/>
  <c r="UWU28" i="3" s="1"/>
  <c r="UTK28" i="3" a="1"/>
  <c r="UTK28" i="3" s="1"/>
  <c r="UOM28" i="3" a="1"/>
  <c r="UOM28" i="3" s="1"/>
  <c r="ULC28" i="3" a="1"/>
  <c r="ULC28" i="3" s="1"/>
  <c r="UJM28" i="3" a="1"/>
  <c r="UJM28" i="3" s="1"/>
  <c r="UIC28" i="3" a="1"/>
  <c r="UIC28" i="3" s="1"/>
  <c r="UGS28" i="3" a="1"/>
  <c r="UGS28" i="3" s="1"/>
  <c r="UEN28" i="3" a="1"/>
  <c r="UEN28" i="3" s="1"/>
  <c r="UDP28" i="3" a="1"/>
  <c r="UDP28" i="3" s="1"/>
  <c r="UCR28" i="3" a="1"/>
  <c r="UCR28" i="3" s="1"/>
  <c r="UBT28" i="3" a="1"/>
  <c r="UBT28" i="3" s="1"/>
  <c r="UAV28" i="3" a="1"/>
  <c r="UAV28" i="3" s="1"/>
  <c r="TZX28" i="3" a="1"/>
  <c r="TZX28" i="3" s="1"/>
  <c r="TYZ28" i="3" a="1"/>
  <c r="TYZ28" i="3" s="1"/>
  <c r="TYB28" i="3" a="1"/>
  <c r="TYB28" i="3" s="1"/>
  <c r="TXD28" i="3" a="1"/>
  <c r="TXD28" i="3" s="1"/>
  <c r="TWF28" i="3" a="1"/>
  <c r="TWF28" i="3" s="1"/>
  <c r="TVN28" i="3" a="1"/>
  <c r="TVN28" i="3" s="1"/>
  <c r="TUV28" i="3" a="1"/>
  <c r="TUV28" i="3" s="1"/>
  <c r="TUD28" i="3" a="1"/>
  <c r="TUD28" i="3" s="1"/>
  <c r="TTL28" i="3" a="1"/>
  <c r="TTL28" i="3" s="1"/>
  <c r="TST28" i="3" a="1"/>
  <c r="TST28" i="3" s="1"/>
  <c r="TSB28" i="3" a="1"/>
  <c r="TSB28" i="3" s="1"/>
  <c r="TRJ28" i="3" a="1"/>
  <c r="TRJ28" i="3" s="1"/>
  <c r="TQR28" i="3" a="1"/>
  <c r="TQR28" i="3" s="1"/>
  <c r="TQD28" i="3" a="1"/>
  <c r="TQD28" i="3" s="1"/>
  <c r="TPR28" i="3" a="1"/>
  <c r="TPR28" i="3" s="1"/>
  <c r="TPF28" i="3" a="1"/>
  <c r="TPF28" i="3" s="1"/>
  <c r="TOT28" i="3" a="1"/>
  <c r="TOT28" i="3" s="1"/>
  <c r="TOH28" i="3" a="1"/>
  <c r="TOH28" i="3" s="1"/>
  <c r="TNV28" i="3" a="1"/>
  <c r="TNV28" i="3" s="1"/>
  <c r="TNJ28" i="3" a="1"/>
  <c r="TNJ28" i="3" s="1"/>
  <c r="TMX28" i="3" a="1"/>
  <c r="TMX28" i="3" s="1"/>
  <c r="TML28" i="3" a="1"/>
  <c r="TML28" i="3" s="1"/>
  <c r="TLZ28" i="3" a="1"/>
  <c r="TLZ28" i="3" s="1"/>
  <c r="TLO28" i="3" a="1"/>
  <c r="TLO28" i="3" s="1"/>
  <c r="TLF28" i="3" a="1"/>
  <c r="TLF28" i="3" s="1"/>
  <c r="TKW28" i="3" a="1"/>
  <c r="TKW28" i="3" s="1"/>
  <c r="TKN28" i="3" a="1"/>
  <c r="TKN28" i="3" s="1"/>
  <c r="TJP28" i="3" a="1"/>
  <c r="TJP28" i="3" s="1"/>
  <c r="TIR28" i="3" a="1"/>
  <c r="TIR28" i="3" s="1"/>
  <c r="THT28" i="3" a="1"/>
  <c r="THT28" i="3" s="1"/>
  <c r="TGV28" i="3" a="1"/>
  <c r="TGV28" i="3" s="1"/>
  <c r="TFX28" i="3" a="1"/>
  <c r="TFX28" i="3" s="1"/>
  <c r="TFQ28" i="3" a="1"/>
  <c r="TFQ28" i="3" s="1"/>
  <c r="TFJ28" i="3" a="1"/>
  <c r="TFJ28" i="3" s="1"/>
  <c r="TEU28" i="3" a="1"/>
  <c r="TEU28" i="3" s="1"/>
  <c r="TEN28" i="3" a="1"/>
  <c r="TEN28" i="3" s="1"/>
  <c r="TEG28" i="3" a="1"/>
  <c r="TEG28" i="3" s="1"/>
  <c r="TDZ28" i="3" a="1"/>
  <c r="TDZ28" i="3" s="1"/>
  <c r="TDK28" i="3" a="1"/>
  <c r="TDK28" i="3" s="1"/>
  <c r="TDD28" i="3" a="1"/>
  <c r="TDD28" i="3" s="1"/>
  <c r="VLF28" i="3" a="1"/>
  <c r="VLF28" i="3" s="1"/>
  <c r="VAO28" i="3" a="1"/>
  <c r="VAO28" i="3" s="1"/>
  <c r="UYO28" i="3" a="1"/>
  <c r="UYO28" i="3" s="1"/>
  <c r="UWQ28" i="3" a="1"/>
  <c r="UWQ28" i="3" s="1"/>
  <c r="URS28" i="3" a="1"/>
  <c r="URS28" i="3" s="1"/>
  <c r="UOI28" i="3" a="1"/>
  <c r="UOI28" i="3" s="1"/>
  <c r="UFM28" i="3" a="1"/>
  <c r="UFM28" i="3" s="1"/>
  <c r="UEL28" i="3" a="1"/>
  <c r="UEL28" i="3" s="1"/>
  <c r="UDN28" i="3" a="1"/>
  <c r="UDN28" i="3" s="1"/>
  <c r="UCP28" i="3" a="1"/>
  <c r="UCP28" i="3" s="1"/>
  <c r="UBR28" i="3" a="1"/>
  <c r="UBR28" i="3" s="1"/>
  <c r="UAT28" i="3" a="1"/>
  <c r="UAT28" i="3" s="1"/>
  <c r="TZV28" i="3" a="1"/>
  <c r="TZV28" i="3" s="1"/>
  <c r="TYX28" i="3" a="1"/>
  <c r="TYX28" i="3" s="1"/>
  <c r="TXZ28" i="3" a="1"/>
  <c r="TXZ28" i="3" s="1"/>
  <c r="TXB28" i="3" a="1"/>
  <c r="TXB28" i="3" s="1"/>
  <c r="TWE28" i="3" a="1"/>
  <c r="TWE28" i="3" s="1"/>
  <c r="TVM28" i="3" a="1"/>
  <c r="TVM28" i="3" s="1"/>
  <c r="TUU28" i="3" a="1"/>
  <c r="TUU28" i="3" s="1"/>
  <c r="TUC28" i="3" a="1"/>
  <c r="TUC28" i="3" s="1"/>
  <c r="TTK28" i="3" a="1"/>
  <c r="TTK28" i="3" s="1"/>
  <c r="TSS28" i="3" a="1"/>
  <c r="TSS28" i="3" s="1"/>
  <c r="TSA28" i="3" a="1"/>
  <c r="TSA28" i="3" s="1"/>
  <c r="TRI28" i="3" a="1"/>
  <c r="TRI28" i="3" s="1"/>
  <c r="TQQ28" i="3" a="1"/>
  <c r="TQQ28" i="3" s="1"/>
  <c r="TQC28" i="3" a="1"/>
  <c r="TQC28" i="3" s="1"/>
  <c r="TPQ28" i="3" a="1"/>
  <c r="TPQ28" i="3" s="1"/>
  <c r="TPE28" i="3" a="1"/>
  <c r="TPE28" i="3" s="1"/>
  <c r="TOS28" i="3" a="1"/>
  <c r="TOS28" i="3" s="1"/>
  <c r="TOG28" i="3" a="1"/>
  <c r="TOG28" i="3" s="1"/>
  <c r="TNU28" i="3" a="1"/>
  <c r="TNU28" i="3" s="1"/>
  <c r="TNI28" i="3" a="1"/>
  <c r="TNI28" i="3" s="1"/>
  <c r="TMW28" i="3" a="1"/>
  <c r="TMW28" i="3" s="1"/>
  <c r="TMK28" i="3" a="1"/>
  <c r="TMK28" i="3" s="1"/>
  <c r="TLY28" i="3" a="1"/>
  <c r="TLY28" i="3" s="1"/>
  <c r="TKF28" i="3" a="1"/>
  <c r="TKF28" i="3" s="1"/>
  <c r="TJX28" i="3" a="1"/>
  <c r="TJX28" i="3" s="1"/>
  <c r="TJH28" i="3" a="1"/>
  <c r="TJH28" i="3" s="1"/>
  <c r="TIZ28" i="3" a="1"/>
  <c r="TIZ28" i="3" s="1"/>
  <c r="TIJ28" i="3" a="1"/>
  <c r="TIJ28" i="3" s="1"/>
  <c r="TIB28" i="3" a="1"/>
  <c r="TIB28" i="3" s="1"/>
  <c r="THL28" i="3" a="1"/>
  <c r="THL28" i="3" s="1"/>
  <c r="THD28" i="3" a="1"/>
  <c r="THD28" i="3" s="1"/>
  <c r="TGN28" i="3" a="1"/>
  <c r="TGN28" i="3" s="1"/>
  <c r="TGF28" i="3" a="1"/>
  <c r="TGF28" i="3" s="1"/>
  <c r="TFI28" i="3" a="1"/>
  <c r="TFI28" i="3" s="1"/>
  <c r="TFB28" i="3" a="1"/>
  <c r="TFB28" i="3" s="1"/>
  <c r="TDY28" i="3" a="1"/>
  <c r="TDY28" i="3" s="1"/>
  <c r="TDR28" i="3" a="1"/>
  <c r="TDR28" i="3" s="1"/>
  <c r="TCW28" i="3" a="1"/>
  <c r="TCW28" i="3" s="1"/>
  <c r="TCQ28" i="3" a="1"/>
  <c r="TCQ28" i="3" s="1"/>
  <c r="TCK28" i="3" a="1"/>
  <c r="TCK28" i="3" s="1"/>
  <c r="TCE28" i="3" a="1"/>
  <c r="TCE28" i="3" s="1"/>
  <c r="TBY28" i="3" a="1"/>
  <c r="TBY28" i="3" s="1"/>
  <c r="TBS28" i="3" a="1"/>
  <c r="TBS28" i="3" s="1"/>
  <c r="TBM28" i="3" a="1"/>
  <c r="TBM28" i="3" s="1"/>
  <c r="TBG28" i="3" a="1"/>
  <c r="TBG28" i="3" s="1"/>
  <c r="TBA28" i="3" a="1"/>
  <c r="TBA28" i="3" s="1"/>
  <c r="TAU28" i="3" a="1"/>
  <c r="TAU28" i="3" s="1"/>
  <c r="TAO28" i="3" a="1"/>
  <c r="TAO28" i="3" s="1"/>
  <c r="TAI28" i="3" a="1"/>
  <c r="TAI28" i="3" s="1"/>
  <c r="TAC28" i="3" a="1"/>
  <c r="TAC28" i="3" s="1"/>
  <c r="SZW28" i="3" a="1"/>
  <c r="SZW28" i="3" s="1"/>
  <c r="SZQ28" i="3" a="1"/>
  <c r="SZQ28" i="3" s="1"/>
  <c r="SZK28" i="3" a="1"/>
  <c r="SZK28" i="3" s="1"/>
  <c r="SZE28" i="3" a="1"/>
  <c r="SZE28" i="3" s="1"/>
  <c r="SYY28" i="3" a="1"/>
  <c r="SYY28" i="3" s="1"/>
  <c r="SYS28" i="3" a="1"/>
  <c r="SYS28" i="3" s="1"/>
  <c r="SYM28" i="3" a="1"/>
  <c r="SYM28" i="3" s="1"/>
  <c r="SYG28" i="3" a="1"/>
  <c r="SYG28" i="3" s="1"/>
  <c r="SYA28" i="3" a="1"/>
  <c r="SYA28" i="3" s="1"/>
  <c r="SXU28" i="3" a="1"/>
  <c r="SXU28" i="3" s="1"/>
  <c r="SXO28" i="3" a="1"/>
  <c r="SXO28" i="3" s="1"/>
  <c r="SXI28" i="3" a="1"/>
  <c r="SXI28" i="3" s="1"/>
  <c r="WBD28" i="3" a="1"/>
  <c r="WBD28" i="3" s="1"/>
  <c r="VRC28" i="3" a="1"/>
  <c r="VRC28" i="3" s="1"/>
  <c r="VLC28" i="3" a="1"/>
  <c r="VLC28" i="3" s="1"/>
  <c r="VGV28" i="3" a="1"/>
  <c r="VGV28" i="3" s="1"/>
  <c r="VCX28" i="3" a="1"/>
  <c r="VCX28" i="3" s="1"/>
  <c r="UYK28" i="3" a="1"/>
  <c r="UYK28" i="3" s="1"/>
  <c r="UTI28" i="3" a="1"/>
  <c r="UTI28" i="3" s="1"/>
  <c r="UPY28" i="3" a="1"/>
  <c r="UPY28" i="3" s="1"/>
  <c r="ULA28" i="3" a="1"/>
  <c r="ULA28" i="3" s="1"/>
  <c r="UJK28" i="3" a="1"/>
  <c r="UJK28" i="3" s="1"/>
  <c r="UIA28" i="3" a="1"/>
  <c r="UIA28" i="3" s="1"/>
  <c r="UGQ28" i="3" a="1"/>
  <c r="UGQ28" i="3" s="1"/>
  <c r="UEK28" i="3" a="1"/>
  <c r="UEK28" i="3" s="1"/>
  <c r="UDM28" i="3" a="1"/>
  <c r="UDM28" i="3" s="1"/>
  <c r="UCO28" i="3" a="1"/>
  <c r="UCO28" i="3" s="1"/>
  <c r="UBQ28" i="3" a="1"/>
  <c r="UBQ28" i="3" s="1"/>
  <c r="UAS28" i="3" a="1"/>
  <c r="UAS28" i="3" s="1"/>
  <c r="TZU28" i="3" a="1"/>
  <c r="TZU28" i="3" s="1"/>
  <c r="TYW28" i="3" a="1"/>
  <c r="TYW28" i="3" s="1"/>
  <c r="TXY28" i="3" a="1"/>
  <c r="TXY28" i="3" s="1"/>
  <c r="TXA28" i="3" a="1"/>
  <c r="TXA28" i="3" s="1"/>
  <c r="TQB28" i="3" a="1"/>
  <c r="TQB28" i="3" s="1"/>
  <c r="TPP28" i="3" a="1"/>
  <c r="TPP28" i="3" s="1"/>
  <c r="TPD28" i="3" a="1"/>
  <c r="TPD28" i="3" s="1"/>
  <c r="TOR28" i="3" a="1"/>
  <c r="TOR28" i="3" s="1"/>
  <c r="TOF28" i="3" a="1"/>
  <c r="TOF28" i="3" s="1"/>
  <c r="TNT28" i="3" a="1"/>
  <c r="TNT28" i="3" s="1"/>
  <c r="TNH28" i="3" a="1"/>
  <c r="TNH28" i="3" s="1"/>
  <c r="TMV28" i="3" a="1"/>
  <c r="TMV28" i="3" s="1"/>
  <c r="TMJ28" i="3" a="1"/>
  <c r="TMJ28" i="3" s="1"/>
  <c r="TLX28" i="3" a="1"/>
  <c r="TLX28" i="3" s="1"/>
  <c r="TLN28" i="3" a="1"/>
  <c r="TLN28" i="3" s="1"/>
  <c r="TKV28" i="3" a="1"/>
  <c r="TKV28" i="3" s="1"/>
  <c r="TKM28" i="3" a="1"/>
  <c r="TKM28" i="3" s="1"/>
  <c r="TKE28" i="3" a="1"/>
  <c r="TKE28" i="3" s="1"/>
  <c r="TJW28" i="3" a="1"/>
  <c r="TJW28" i="3" s="1"/>
  <c r="TJO28" i="3" a="1"/>
  <c r="TJO28" i="3" s="1"/>
  <c r="TJG28" i="3" a="1"/>
  <c r="TJG28" i="3" s="1"/>
  <c r="TIY28" i="3" a="1"/>
  <c r="TIY28" i="3" s="1"/>
  <c r="TIQ28" i="3" a="1"/>
  <c r="TIQ28" i="3" s="1"/>
  <c r="TII28" i="3" a="1"/>
  <c r="TII28" i="3" s="1"/>
  <c r="TIA28" i="3" a="1"/>
  <c r="TIA28" i="3" s="1"/>
  <c r="THS28" i="3" a="1"/>
  <c r="THS28" i="3" s="1"/>
  <c r="THK28" i="3" a="1"/>
  <c r="THK28" i="3" s="1"/>
  <c r="THC28" i="3" a="1"/>
  <c r="THC28" i="3" s="1"/>
  <c r="TGU28" i="3" a="1"/>
  <c r="TGU28" i="3" s="1"/>
  <c r="TGM28" i="3" a="1"/>
  <c r="TGM28" i="3" s="1"/>
  <c r="TGE28" i="3" a="1"/>
  <c r="TGE28" i="3" s="1"/>
  <c r="TFW28" i="3" a="1"/>
  <c r="TFW28" i="3" s="1"/>
  <c r="TFP28" i="3" a="1"/>
  <c r="TFP28" i="3" s="1"/>
  <c r="TFA28" i="3" a="1"/>
  <c r="TFA28" i="3" s="1"/>
  <c r="TET28" i="3" a="1"/>
  <c r="TET28" i="3" s="1"/>
  <c r="TEM28" i="3" a="1"/>
  <c r="TEM28" i="3" s="1"/>
  <c r="TEF28" i="3" a="1"/>
  <c r="TEF28" i="3" s="1"/>
  <c r="TDQ28" i="3" a="1"/>
  <c r="TDQ28" i="3" s="1"/>
  <c r="TDJ28" i="3" a="1"/>
  <c r="TDJ28" i="3" s="1"/>
  <c r="TDC28" i="3" a="1"/>
  <c r="TDC28" i="3" s="1"/>
  <c r="WAI28" i="3" a="1"/>
  <c r="WAI28" i="3" s="1"/>
  <c r="VLB28" i="3" a="1"/>
  <c r="VLB28" i="3" s="1"/>
  <c r="UYJ28" i="3" a="1"/>
  <c r="UYJ28" i="3" s="1"/>
  <c r="UUY28" i="3" a="1"/>
  <c r="UUY28" i="3" s="1"/>
  <c r="URO28" i="3" a="1"/>
  <c r="URO28" i="3" s="1"/>
  <c r="UMQ28" i="3" a="1"/>
  <c r="UMQ28" i="3" s="1"/>
  <c r="UFL28" i="3" a="1"/>
  <c r="UFL28" i="3" s="1"/>
  <c r="TWD28" i="3" a="1"/>
  <c r="TWD28" i="3" s="1"/>
  <c r="TVL28" i="3" a="1"/>
  <c r="TVL28" i="3" s="1"/>
  <c r="TUT28" i="3" a="1"/>
  <c r="TUT28" i="3" s="1"/>
  <c r="TUB28" i="3" a="1"/>
  <c r="TUB28" i="3" s="1"/>
  <c r="TTJ28" i="3" a="1"/>
  <c r="TTJ28" i="3" s="1"/>
  <c r="TSR28" i="3" a="1"/>
  <c r="TSR28" i="3" s="1"/>
  <c r="TRZ28" i="3" a="1"/>
  <c r="TRZ28" i="3" s="1"/>
  <c r="TRH28" i="3" a="1"/>
  <c r="TRH28" i="3" s="1"/>
  <c r="TQP28" i="3" a="1"/>
  <c r="TQP28" i="3" s="1"/>
  <c r="TPZ28" i="3" a="1"/>
  <c r="TPZ28" i="3" s="1"/>
  <c r="TPN28" i="3" a="1"/>
  <c r="TPN28" i="3" s="1"/>
  <c r="TPB28" i="3" a="1"/>
  <c r="TPB28" i="3" s="1"/>
  <c r="TOP28" i="3" a="1"/>
  <c r="TOP28" i="3" s="1"/>
  <c r="TOD28" i="3" a="1"/>
  <c r="TOD28" i="3" s="1"/>
  <c r="TNR28" i="3" a="1"/>
  <c r="TNR28" i="3" s="1"/>
  <c r="TNF28" i="3" a="1"/>
  <c r="TNF28" i="3" s="1"/>
  <c r="TMT28" i="3" a="1"/>
  <c r="TMT28" i="3" s="1"/>
  <c r="TMH28" i="3" a="1"/>
  <c r="TMH28" i="3" s="1"/>
  <c r="TLV28" i="3" a="1"/>
  <c r="TLV28" i="3" s="1"/>
  <c r="TLM28" i="3" a="1"/>
  <c r="TLM28" i="3" s="1"/>
  <c r="TLD28" i="3" a="1"/>
  <c r="TLD28" i="3" s="1"/>
  <c r="TKU28" i="3" a="1"/>
  <c r="TKU28" i="3" s="1"/>
  <c r="TJV28" i="3" a="1"/>
  <c r="TJV28" i="3" s="1"/>
  <c r="TIX28" i="3" a="1"/>
  <c r="TIX28" i="3" s="1"/>
  <c r="THZ28" i="3" a="1"/>
  <c r="THZ28" i="3" s="1"/>
  <c r="THB28" i="3" a="1"/>
  <c r="THB28" i="3" s="1"/>
  <c r="TGD28" i="3" a="1"/>
  <c r="TGD28" i="3" s="1"/>
  <c r="TFO28" i="3" a="1"/>
  <c r="TFO28" i="3" s="1"/>
  <c r="TFH28" i="3" a="1"/>
  <c r="TFH28" i="3" s="1"/>
  <c r="TEE28" i="3" a="1"/>
  <c r="TEE28" i="3" s="1"/>
  <c r="TDX28" i="3" a="1"/>
  <c r="TDX28" i="3" s="1"/>
  <c r="TCV28" i="3" a="1"/>
  <c r="TCV28" i="3" s="1"/>
  <c r="TCP28" i="3" a="1"/>
  <c r="TCP28" i="3" s="1"/>
  <c r="TCJ28" i="3" a="1"/>
  <c r="TCJ28" i="3" s="1"/>
  <c r="TCD28" i="3" a="1"/>
  <c r="TCD28" i="3" s="1"/>
  <c r="TBX28" i="3" a="1"/>
  <c r="TBX28" i="3" s="1"/>
  <c r="TBR28" i="3" a="1"/>
  <c r="TBR28" i="3" s="1"/>
  <c r="TBL28" i="3" a="1"/>
  <c r="TBL28" i="3" s="1"/>
  <c r="TBF28" i="3" a="1"/>
  <c r="TBF28" i="3" s="1"/>
  <c r="TAZ28" i="3" a="1"/>
  <c r="TAZ28" i="3" s="1"/>
  <c r="TAT28" i="3" a="1"/>
  <c r="TAT28" i="3" s="1"/>
  <c r="TAN28" i="3" a="1"/>
  <c r="TAN28" i="3" s="1"/>
  <c r="TAH28" i="3" a="1"/>
  <c r="TAH28" i="3" s="1"/>
  <c r="TAB28" i="3" a="1"/>
  <c r="TAB28" i="3" s="1"/>
  <c r="SZV28" i="3" a="1"/>
  <c r="SZV28" i="3" s="1"/>
  <c r="SZP28" i="3" a="1"/>
  <c r="SZP28" i="3" s="1"/>
  <c r="SZJ28" i="3" a="1"/>
  <c r="SZJ28" i="3" s="1"/>
  <c r="SZD28" i="3" a="1"/>
  <c r="SZD28" i="3" s="1"/>
  <c r="SYX28" i="3" a="1"/>
  <c r="SYX28" i="3" s="1"/>
  <c r="SYR28" i="3" a="1"/>
  <c r="SYR28" i="3" s="1"/>
  <c r="SYL28" i="3" a="1"/>
  <c r="SYL28" i="3" s="1"/>
  <c r="SYF28" i="3" a="1"/>
  <c r="SYF28" i="3" s="1"/>
  <c r="SXZ28" i="3" a="1"/>
  <c r="SXZ28" i="3" s="1"/>
  <c r="SXT28" i="3" a="1"/>
  <c r="SXT28" i="3" s="1"/>
  <c r="SXN28" i="3" a="1"/>
  <c r="SXN28" i="3" s="1"/>
  <c r="SXH28" i="3" a="1"/>
  <c r="SXH28" i="3" s="1"/>
  <c r="SXB28" i="3" a="1"/>
  <c r="SXB28" i="3" s="1"/>
  <c r="SWV28" i="3" a="1"/>
  <c r="SWV28" i="3" s="1"/>
  <c r="SWP28" i="3" a="1"/>
  <c r="SWP28" i="3" s="1"/>
  <c r="SWJ28" i="3" a="1"/>
  <c r="SWJ28" i="3" s="1"/>
  <c r="SWD28" i="3" a="1"/>
  <c r="SWD28" i="3" s="1"/>
  <c r="SVX28" i="3" a="1"/>
  <c r="SVX28" i="3" s="1"/>
  <c r="SVR28" i="3" a="1"/>
  <c r="SVR28" i="3" s="1"/>
  <c r="SVL28" i="3" a="1"/>
  <c r="SVL28" i="3" s="1"/>
  <c r="SVF28" i="3" a="1"/>
  <c r="SVF28" i="3" s="1"/>
  <c r="SUZ28" i="3" a="1"/>
  <c r="SUZ28" i="3" s="1"/>
  <c r="SUT28" i="3" a="1"/>
  <c r="SUT28" i="3" s="1"/>
  <c r="SUN28" i="3" a="1"/>
  <c r="SUN28" i="3" s="1"/>
  <c r="SUH28" i="3" a="1"/>
  <c r="SUH28" i="3" s="1"/>
  <c r="SUB28" i="3" a="1"/>
  <c r="SUB28" i="3" s="1"/>
  <c r="VPX28" i="3" a="1"/>
  <c r="VPX28" i="3" s="1"/>
  <c r="VJR28" i="3" a="1"/>
  <c r="VJR28" i="3" s="1"/>
  <c r="VFT28" i="3" a="1"/>
  <c r="VFT28" i="3" s="1"/>
  <c r="VCD28" i="3" a="1"/>
  <c r="VCD28" i="3" s="1"/>
  <c r="UYA28" i="3" a="1"/>
  <c r="UYA28" i="3" s="1"/>
  <c r="UWE28" i="3" a="1"/>
  <c r="UWE28" i="3" s="1"/>
  <c r="URG28" i="3" a="1"/>
  <c r="URG28" i="3" s="1"/>
  <c r="UNW28" i="3" a="1"/>
  <c r="UNW28" i="3" s="1"/>
  <c r="UJA28" i="3" a="1"/>
  <c r="UJA28" i="3" s="1"/>
  <c r="UHQ28" i="3" a="1"/>
  <c r="UHQ28" i="3" s="1"/>
  <c r="UGJ28" i="3" a="1"/>
  <c r="UGJ28" i="3" s="1"/>
  <c r="UFE28" i="3" a="1"/>
  <c r="UFE28" i="3" s="1"/>
  <c r="UEE28" i="3" a="1"/>
  <c r="UEE28" i="3" s="1"/>
  <c r="UDG28" i="3" a="1"/>
  <c r="UDG28" i="3" s="1"/>
  <c r="UCI28" i="3" a="1"/>
  <c r="UCI28" i="3" s="1"/>
  <c r="UBK28" i="3" a="1"/>
  <c r="UBK28" i="3" s="1"/>
  <c r="UAM28" i="3" a="1"/>
  <c r="UAM28" i="3" s="1"/>
  <c r="TZO28" i="3" a="1"/>
  <c r="TZO28" i="3" s="1"/>
  <c r="TYQ28" i="3" a="1"/>
  <c r="TYQ28" i="3" s="1"/>
  <c r="TXS28" i="3" a="1"/>
  <c r="TXS28" i="3" s="1"/>
  <c r="TWU28" i="3" a="1"/>
  <c r="TWU28" i="3" s="1"/>
  <c r="TVZ28" i="3" a="1"/>
  <c r="TVZ28" i="3" s="1"/>
  <c r="TVH28" i="3" a="1"/>
  <c r="TVH28" i="3" s="1"/>
  <c r="TUP28" i="3" a="1"/>
  <c r="TUP28" i="3" s="1"/>
  <c r="TTX28" i="3" a="1"/>
  <c r="TTX28" i="3" s="1"/>
  <c r="TTF28" i="3" a="1"/>
  <c r="TTF28" i="3" s="1"/>
  <c r="TSN28" i="3" a="1"/>
  <c r="TSN28" i="3" s="1"/>
  <c r="TRV28" i="3" a="1"/>
  <c r="TRV28" i="3" s="1"/>
  <c r="TRD28" i="3" a="1"/>
  <c r="TRD28" i="3" s="1"/>
  <c r="TQL28" i="3" a="1"/>
  <c r="TQL28" i="3" s="1"/>
  <c r="TPY28" i="3" a="1"/>
  <c r="TPY28" i="3" s="1"/>
  <c r="TPM28" i="3" a="1"/>
  <c r="TPM28" i="3" s="1"/>
  <c r="TPA28" i="3" a="1"/>
  <c r="TPA28" i="3" s="1"/>
  <c r="TOO28" i="3" a="1"/>
  <c r="TOO28" i="3" s="1"/>
  <c r="TOC28" i="3" a="1"/>
  <c r="TOC28" i="3" s="1"/>
  <c r="TNQ28" i="3" a="1"/>
  <c r="TNQ28" i="3" s="1"/>
  <c r="TNE28" i="3" a="1"/>
  <c r="TNE28" i="3" s="1"/>
  <c r="TMS28" i="3" a="1"/>
  <c r="TMS28" i="3" s="1"/>
  <c r="TMG28" i="3" a="1"/>
  <c r="TMG28" i="3" s="1"/>
  <c r="TLU28" i="3" a="1"/>
  <c r="TLU28" i="3" s="1"/>
  <c r="TLL28" i="3" a="1"/>
  <c r="TLL28" i="3" s="1"/>
  <c r="TLC28" i="3" a="1"/>
  <c r="TLC28" i="3" s="1"/>
  <c r="TKT28" i="3" a="1"/>
  <c r="TKT28" i="3" s="1"/>
  <c r="TKL28" i="3" a="1"/>
  <c r="TKL28" i="3" s="1"/>
  <c r="TKD28" i="3" a="1"/>
  <c r="TKD28" i="3" s="1"/>
  <c r="TJN28" i="3" a="1"/>
  <c r="TJN28" i="3" s="1"/>
  <c r="TJF28" i="3" a="1"/>
  <c r="TJF28" i="3" s="1"/>
  <c r="TIP28" i="3" a="1"/>
  <c r="TIP28" i="3" s="1"/>
  <c r="TIH28" i="3" a="1"/>
  <c r="TIH28" i="3" s="1"/>
  <c r="THR28" i="3" a="1"/>
  <c r="THR28" i="3" s="1"/>
  <c r="THJ28" i="3" a="1"/>
  <c r="THJ28" i="3" s="1"/>
  <c r="TGT28" i="3" a="1"/>
  <c r="TGT28" i="3" s="1"/>
  <c r="TGL28" i="3" a="1"/>
  <c r="TGL28" i="3" s="1"/>
  <c r="TFV28" i="3" a="1"/>
  <c r="TFV28" i="3" s="1"/>
  <c r="TFG28" i="3" a="1"/>
  <c r="TFG28" i="3" s="1"/>
  <c r="TEZ28" i="3" a="1"/>
  <c r="TEZ28" i="3" s="1"/>
  <c r="TES28" i="3" a="1"/>
  <c r="TES28" i="3" s="1"/>
  <c r="TEL28" i="3" a="1"/>
  <c r="TEL28" i="3" s="1"/>
  <c r="TDW28" i="3" a="1"/>
  <c r="TDW28" i="3" s="1"/>
  <c r="TDP28" i="3" a="1"/>
  <c r="TDP28" i="3" s="1"/>
  <c r="TDI28" i="3" a="1"/>
  <c r="TDI28" i="3" s="1"/>
  <c r="TDB28" i="3" a="1"/>
  <c r="TDB28" i="3" s="1"/>
  <c r="VWZ28" i="3" a="1"/>
  <c r="VWZ28" i="3" s="1"/>
  <c r="VFR28" i="3" a="1"/>
  <c r="VFR28" i="3" s="1"/>
  <c r="UXV28" i="3" a="1"/>
  <c r="UXV28" i="3" s="1"/>
  <c r="UFC28" i="3" a="1"/>
  <c r="UFC28" i="3" s="1"/>
  <c r="UCH28" i="3" a="1"/>
  <c r="UCH28" i="3" s="1"/>
  <c r="TZN28" i="3" a="1"/>
  <c r="TZN28" i="3" s="1"/>
  <c r="TWT28" i="3" a="1"/>
  <c r="TWT28" i="3" s="1"/>
  <c r="TUO28" i="3" a="1"/>
  <c r="TUO28" i="3" s="1"/>
  <c r="TSM28" i="3" a="1"/>
  <c r="TSM28" i="3" s="1"/>
  <c r="TQK28" i="3" a="1"/>
  <c r="TQK28" i="3" s="1"/>
  <c r="TKC28" i="3" a="1"/>
  <c r="TKC28" i="3" s="1"/>
  <c r="TJE28" i="3" a="1"/>
  <c r="TJE28" i="3" s="1"/>
  <c r="TIG28" i="3" a="1"/>
  <c r="TIG28" i="3" s="1"/>
  <c r="THI28" i="3" a="1"/>
  <c r="THI28" i="3" s="1"/>
  <c r="TGK28" i="3" a="1"/>
  <c r="TGK28" i="3" s="1"/>
  <c r="TFN28" i="3" a="1"/>
  <c r="TFN28" i="3" s="1"/>
  <c r="TDA28" i="3" a="1"/>
  <c r="TDA28" i="3" s="1"/>
  <c r="TCI28" i="3" a="1"/>
  <c r="TCI28" i="3" s="1"/>
  <c r="TBE28" i="3" a="1"/>
  <c r="TBE28" i="3" s="1"/>
  <c r="TAR28" i="3" a="1"/>
  <c r="TAR28" i="3" s="1"/>
  <c r="SYK28" i="3" a="1"/>
  <c r="SYK28" i="3" s="1"/>
  <c r="SXX28" i="3" a="1"/>
  <c r="SXX28" i="3" s="1"/>
  <c r="STQ28" i="3" a="1"/>
  <c r="STQ28" i="3" s="1"/>
  <c r="STH28" i="3" a="1"/>
  <c r="STH28" i="3" s="1"/>
  <c r="SSW28" i="3" a="1"/>
  <c r="SSW28" i="3" s="1"/>
  <c r="SSL28" i="3" a="1"/>
  <c r="SSL28" i="3" s="1"/>
  <c r="SQW28" i="3" a="1"/>
  <c r="SQW28" i="3" s="1"/>
  <c r="SQN28" i="3" a="1"/>
  <c r="SQN28" i="3" s="1"/>
  <c r="SQC28" i="3" a="1"/>
  <c r="SQC28" i="3" s="1"/>
  <c r="SPR28" i="3" a="1"/>
  <c r="SPR28" i="3" s="1"/>
  <c r="SOC28" i="3" a="1"/>
  <c r="SOC28" i="3" s="1"/>
  <c r="SNK28" i="3" a="1"/>
  <c r="SNK28" i="3" s="1"/>
  <c r="SNC28" i="3" a="1"/>
  <c r="SNC28" i="3" s="1"/>
  <c r="SMV28" i="3" a="1"/>
  <c r="SMV28" i="3" s="1"/>
  <c r="SMO28" i="3" a="1"/>
  <c r="SMO28" i="3" s="1"/>
  <c r="SMG28" i="3" a="1"/>
  <c r="SMG28" i="3" s="1"/>
  <c r="SLZ28" i="3" a="1"/>
  <c r="SLZ28" i="3" s="1"/>
  <c r="SLS28" i="3" a="1"/>
  <c r="SLS28" i="3" s="1"/>
  <c r="SLL28" i="3" a="1"/>
  <c r="SLL28" i="3" s="1"/>
  <c r="SLE28" i="3" a="1"/>
  <c r="SLE28" i="3" s="1"/>
  <c r="SKW28" i="3" a="1"/>
  <c r="SKW28" i="3" s="1"/>
  <c r="SKP28" i="3" a="1"/>
  <c r="SKP28" i="3" s="1"/>
  <c r="SKI28" i="3" a="1"/>
  <c r="SKI28" i="3" s="1"/>
  <c r="SKB28" i="3" a="1"/>
  <c r="SKB28" i="3" s="1"/>
  <c r="SJU28" i="3" a="1"/>
  <c r="SJU28" i="3" s="1"/>
  <c r="SJM28" i="3" a="1"/>
  <c r="SJM28" i="3" s="1"/>
  <c r="SJF28" i="3" a="1"/>
  <c r="SJF28" i="3" s="1"/>
  <c r="SIY28" i="3" a="1"/>
  <c r="SIY28" i="3" s="1"/>
  <c r="SIR28" i="3" a="1"/>
  <c r="SIR28" i="3" s="1"/>
  <c r="SIK28" i="3" a="1"/>
  <c r="SIK28" i="3" s="1"/>
  <c r="SIC28" i="3" a="1"/>
  <c r="SIC28" i="3" s="1"/>
  <c r="SHV28" i="3" a="1"/>
  <c r="SHV28" i="3" s="1"/>
  <c r="SHO28" i="3" a="1"/>
  <c r="SHO28" i="3" s="1"/>
  <c r="SHH28" i="3" a="1"/>
  <c r="SHH28" i="3" s="1"/>
  <c r="UXU28" i="3" a="1"/>
  <c r="UXU28" i="3" s="1"/>
  <c r="USS28" i="3" a="1"/>
  <c r="USS28" i="3" s="1"/>
  <c r="UNU28" i="3" a="1"/>
  <c r="UNU28" i="3" s="1"/>
  <c r="UIY28" i="3" a="1"/>
  <c r="UIY28" i="3" s="1"/>
  <c r="TOZ28" i="3" a="1"/>
  <c r="TOZ28" i="3" s="1"/>
  <c r="TNP28" i="3" a="1"/>
  <c r="TNP28" i="3" s="1"/>
  <c r="TMF28" i="3" a="1"/>
  <c r="TMF28" i="3" s="1"/>
  <c r="TLB28" i="3" a="1"/>
  <c r="TLB28" i="3" s="1"/>
  <c r="TKB28" i="3" a="1"/>
  <c r="TKB28" i="3" s="1"/>
  <c r="TJD28" i="3" a="1"/>
  <c r="TJD28" i="3" s="1"/>
  <c r="TIF28" i="3" a="1"/>
  <c r="TIF28" i="3" s="1"/>
  <c r="THH28" i="3" a="1"/>
  <c r="THH28" i="3" s="1"/>
  <c r="TGJ28" i="3" a="1"/>
  <c r="TGJ28" i="3" s="1"/>
  <c r="TFM28" i="3" a="1"/>
  <c r="TFM28" i="3" s="1"/>
  <c r="TER28" i="3" a="1"/>
  <c r="TER28" i="3" s="1"/>
  <c r="TDV28" i="3" a="1"/>
  <c r="TDV28" i="3" s="1"/>
  <c r="TAA28" i="3" a="1"/>
  <c r="TAA28" i="3" s="1"/>
  <c r="SZN28" i="3" a="1"/>
  <c r="SZN28" i="3" s="1"/>
  <c r="SXG28" i="3" a="1"/>
  <c r="SXG28" i="3" s="1"/>
  <c r="SWU28" i="3" a="1"/>
  <c r="SWU28" i="3" s="1"/>
  <c r="SWI28" i="3" a="1"/>
  <c r="SWI28" i="3" s="1"/>
  <c r="SVW28" i="3" a="1"/>
  <c r="SVW28" i="3" s="1"/>
  <c r="SVK28" i="3" a="1"/>
  <c r="SVK28" i="3" s="1"/>
  <c r="SUY28" i="3" a="1"/>
  <c r="SUY28" i="3" s="1"/>
  <c r="SUM28" i="3" a="1"/>
  <c r="SUM28" i="3" s="1"/>
  <c r="SUA28" i="3" a="1"/>
  <c r="SUA28" i="3" s="1"/>
  <c r="STP28" i="3" a="1"/>
  <c r="STP28" i="3" s="1"/>
  <c r="SSA28" i="3" a="1"/>
  <c r="SSA28" i="3" s="1"/>
  <c r="SRR28" i="3" a="1"/>
  <c r="SRR28" i="3" s="1"/>
  <c r="SRG28" i="3" a="1"/>
  <c r="SRG28" i="3" s="1"/>
  <c r="SQV28" i="3" a="1"/>
  <c r="SQV28" i="3" s="1"/>
  <c r="SPG28" i="3" a="1"/>
  <c r="SPG28" i="3" s="1"/>
  <c r="SOX28" i="3" a="1"/>
  <c r="SOX28" i="3" s="1"/>
  <c r="SOM28" i="3" a="1"/>
  <c r="SOM28" i="3" s="1"/>
  <c r="SOB28" i="3" a="1"/>
  <c r="SOB28" i="3" s="1"/>
  <c r="SNT28" i="3" a="1"/>
  <c r="SNT28" i="3" s="1"/>
  <c r="SNJ28" i="3" a="1"/>
  <c r="SNJ28" i="3" s="1"/>
  <c r="SMN28" i="3" a="1"/>
  <c r="SMN28" i="3" s="1"/>
  <c r="SLD28" i="3" a="1"/>
  <c r="SLD28" i="3" s="1"/>
  <c r="SJT28" i="3" a="1"/>
  <c r="SJT28" i="3" s="1"/>
  <c r="SIJ28" i="3" a="1"/>
  <c r="SIJ28" i="3" s="1"/>
  <c r="SHA28" i="3" a="1"/>
  <c r="SHA28" i="3" s="1"/>
  <c r="SGU28" i="3" a="1"/>
  <c r="SGU28" i="3" s="1"/>
  <c r="SGO28" i="3" a="1"/>
  <c r="SGO28" i="3" s="1"/>
  <c r="SGI28" i="3" a="1"/>
  <c r="SGI28" i="3" s="1"/>
  <c r="SGC28" i="3" a="1"/>
  <c r="SGC28" i="3" s="1"/>
  <c r="SFW28" i="3" a="1"/>
  <c r="SFW28" i="3" s="1"/>
  <c r="SFQ28" i="3" a="1"/>
  <c r="SFQ28" i="3" s="1"/>
  <c r="SFK28" i="3" a="1"/>
  <c r="SFK28" i="3" s="1"/>
  <c r="SFE28" i="3" a="1"/>
  <c r="SFE28" i="3" s="1"/>
  <c r="SEY28" i="3" a="1"/>
  <c r="SEY28" i="3" s="1"/>
  <c r="SES28" i="3" a="1"/>
  <c r="SES28" i="3" s="1"/>
  <c r="SEM28" i="3" a="1"/>
  <c r="SEM28" i="3" s="1"/>
  <c r="SEG28" i="3" a="1"/>
  <c r="SEG28" i="3" s="1"/>
  <c r="SEA28" i="3" a="1"/>
  <c r="SEA28" i="3" s="1"/>
  <c r="SDU28" i="3" a="1"/>
  <c r="SDU28" i="3" s="1"/>
  <c r="SDO28" i="3" a="1"/>
  <c r="SDO28" i="3" s="1"/>
  <c r="SDI28" i="3" a="1"/>
  <c r="SDI28" i="3" s="1"/>
  <c r="SDC28" i="3" a="1"/>
  <c r="SDC28" i="3" s="1"/>
  <c r="SCW28" i="3" a="1"/>
  <c r="SCW28" i="3" s="1"/>
  <c r="SCQ28" i="3" a="1"/>
  <c r="SCQ28" i="3" s="1"/>
  <c r="SCK28" i="3" a="1"/>
  <c r="SCK28" i="3" s="1"/>
  <c r="SCE28" i="3" a="1"/>
  <c r="SCE28" i="3" s="1"/>
  <c r="SBY28" i="3" a="1"/>
  <c r="SBY28" i="3" s="1"/>
  <c r="SBS28" i="3" a="1"/>
  <c r="SBS28" i="3" s="1"/>
  <c r="SBM28" i="3" a="1"/>
  <c r="SBM28" i="3" s="1"/>
  <c r="SBG28" i="3" a="1"/>
  <c r="SBG28" i="3" s="1"/>
  <c r="SBA28" i="3" a="1"/>
  <c r="SBA28" i="3" s="1"/>
  <c r="SAU28" i="3" a="1"/>
  <c r="SAU28" i="3" s="1"/>
  <c r="SAO28" i="3" a="1"/>
  <c r="SAO28" i="3" s="1"/>
  <c r="SAI28" i="3" a="1"/>
  <c r="SAI28" i="3" s="1"/>
  <c r="SAC28" i="3" a="1"/>
  <c r="SAC28" i="3" s="1"/>
  <c r="RZW28" i="3" a="1"/>
  <c r="RZW28" i="3" s="1"/>
  <c r="RZQ28" i="3" a="1"/>
  <c r="RZQ28" i="3" s="1"/>
  <c r="RZK28" i="3" a="1"/>
  <c r="RZK28" i="3" s="1"/>
  <c r="RZE28" i="3" a="1"/>
  <c r="RZE28" i="3" s="1"/>
  <c r="RYY28" i="3" a="1"/>
  <c r="RYY28" i="3" s="1"/>
  <c r="RYS28" i="3" a="1"/>
  <c r="RYS28" i="3" s="1"/>
  <c r="RYM28" i="3" a="1"/>
  <c r="RYM28" i="3" s="1"/>
  <c r="RYG28" i="3" a="1"/>
  <c r="RYG28" i="3" s="1"/>
  <c r="RYA28" i="3" a="1"/>
  <c r="RYA28" i="3" s="1"/>
  <c r="RXU28" i="3" a="1"/>
  <c r="RXU28" i="3" s="1"/>
  <c r="RXO28" i="3" a="1"/>
  <c r="RXO28" i="3" s="1"/>
  <c r="RXI28" i="3" a="1"/>
  <c r="RXI28" i="3" s="1"/>
  <c r="RXC28" i="3" a="1"/>
  <c r="RXC28" i="3" s="1"/>
  <c r="RWW28" i="3" a="1"/>
  <c r="RWW28" i="3" s="1"/>
  <c r="RWQ28" i="3" a="1"/>
  <c r="RWQ28" i="3" s="1"/>
  <c r="RWK28" i="3" a="1"/>
  <c r="RWK28" i="3" s="1"/>
  <c r="RWE28" i="3" a="1"/>
  <c r="RWE28" i="3" s="1"/>
  <c r="RVY28" i="3" a="1"/>
  <c r="RVY28" i="3" s="1"/>
  <c r="RVS28" i="3" a="1"/>
  <c r="RVS28" i="3" s="1"/>
  <c r="RVM28" i="3" a="1"/>
  <c r="RVM28" i="3" s="1"/>
  <c r="RVG28" i="3" a="1"/>
  <c r="RVG28" i="3" s="1"/>
  <c r="RVA28" i="3" a="1"/>
  <c r="RVA28" i="3" s="1"/>
  <c r="RUU28" i="3" a="1"/>
  <c r="RUU28" i="3" s="1"/>
  <c r="RUO28" i="3" a="1"/>
  <c r="RUO28" i="3" s="1"/>
  <c r="RUI28" i="3" a="1"/>
  <c r="RUI28" i="3" s="1"/>
  <c r="RUC28" i="3" a="1"/>
  <c r="RUC28" i="3" s="1"/>
  <c r="RTW28" i="3" a="1"/>
  <c r="RTW28" i="3" s="1"/>
  <c r="RTQ28" i="3" a="1"/>
  <c r="RTQ28" i="3" s="1"/>
  <c r="RTK28" i="3" a="1"/>
  <c r="RTK28" i="3" s="1"/>
  <c r="RTE28" i="3" a="1"/>
  <c r="RTE28" i="3" s="1"/>
  <c r="RSY28" i="3" a="1"/>
  <c r="RSY28" i="3" s="1"/>
  <c r="RSS28" i="3" a="1"/>
  <c r="RSS28" i="3" s="1"/>
  <c r="RSM28" i="3" a="1"/>
  <c r="RSM28" i="3" s="1"/>
  <c r="RSG28" i="3" a="1"/>
  <c r="RSG28" i="3" s="1"/>
  <c r="RSA28" i="3" a="1"/>
  <c r="RSA28" i="3" s="1"/>
  <c r="RRU28" i="3" a="1"/>
  <c r="RRU28" i="3" s="1"/>
  <c r="RRO28" i="3" a="1"/>
  <c r="RRO28" i="3" s="1"/>
  <c r="RRI28" i="3" a="1"/>
  <c r="RRI28" i="3" s="1"/>
  <c r="RRC28" i="3" a="1"/>
  <c r="RRC28" i="3" s="1"/>
  <c r="RQW28" i="3" a="1"/>
  <c r="RQW28" i="3" s="1"/>
  <c r="RQQ28" i="3" a="1"/>
  <c r="RQQ28" i="3" s="1"/>
  <c r="RQK28" i="3" a="1"/>
  <c r="RQK28" i="3" s="1"/>
  <c r="UCG28" i="3" a="1"/>
  <c r="UCG28" i="3" s="1"/>
  <c r="TZM28" i="3" a="1"/>
  <c r="TZM28" i="3" s="1"/>
  <c r="TWS28" i="3" a="1"/>
  <c r="TWS28" i="3" s="1"/>
  <c r="TUN28" i="3" a="1"/>
  <c r="TUN28" i="3" s="1"/>
  <c r="TSL28" i="3" a="1"/>
  <c r="TSL28" i="3" s="1"/>
  <c r="TQJ28" i="3" a="1"/>
  <c r="TQJ28" i="3" s="1"/>
  <c r="TOY28" i="3" a="1"/>
  <c r="TOY28" i="3" s="1"/>
  <c r="TNO28" i="3" a="1"/>
  <c r="TNO28" i="3" s="1"/>
  <c r="TME28" i="3" a="1"/>
  <c r="TME28" i="3" s="1"/>
  <c r="TLA28" i="3" a="1"/>
  <c r="TLA28" i="3" s="1"/>
  <c r="TEQ28" i="3" a="1"/>
  <c r="TEQ28" i="3" s="1"/>
  <c r="TCZ28" i="3" a="1"/>
  <c r="TCZ28" i="3" s="1"/>
  <c r="TCH28" i="3" a="1"/>
  <c r="TCH28" i="3" s="1"/>
  <c r="TBQ28" i="3" a="1"/>
  <c r="TBQ28" i="3" s="1"/>
  <c r="TBD28" i="3" a="1"/>
  <c r="TBD28" i="3" s="1"/>
  <c r="SYW28" i="3" a="1"/>
  <c r="SYW28" i="3" s="1"/>
  <c r="SYJ28" i="3" a="1"/>
  <c r="SYJ28" i="3" s="1"/>
  <c r="STE28" i="3" a="1"/>
  <c r="STE28" i="3" s="1"/>
  <c r="SSV28" i="3" a="1"/>
  <c r="SSV28" i="3" s="1"/>
  <c r="SSK28" i="3" a="1"/>
  <c r="SSK28" i="3" s="1"/>
  <c r="SRZ28" i="3" a="1"/>
  <c r="SRZ28" i="3" s="1"/>
  <c r="SQK28" i="3" a="1"/>
  <c r="SQK28" i="3" s="1"/>
  <c r="SQB28" i="3" a="1"/>
  <c r="SQB28" i="3" s="1"/>
  <c r="SPQ28" i="3" a="1"/>
  <c r="SPQ28" i="3" s="1"/>
  <c r="SPF28" i="3" a="1"/>
  <c r="SPF28" i="3" s="1"/>
  <c r="SNB28" i="3" a="1"/>
  <c r="SNB28" i="3" s="1"/>
  <c r="SMU28" i="3" a="1"/>
  <c r="SMU28" i="3" s="1"/>
  <c r="SMM28" i="3" a="1"/>
  <c r="SMM28" i="3" s="1"/>
  <c r="SMF28" i="3" a="1"/>
  <c r="SMF28" i="3" s="1"/>
  <c r="SLY28" i="3" a="1"/>
  <c r="SLY28" i="3" s="1"/>
  <c r="SLR28" i="3" a="1"/>
  <c r="SLR28" i="3" s="1"/>
  <c r="SLK28" i="3" a="1"/>
  <c r="SLK28" i="3" s="1"/>
  <c r="SLC28" i="3" a="1"/>
  <c r="SLC28" i="3" s="1"/>
  <c r="SKV28" i="3" a="1"/>
  <c r="SKV28" i="3" s="1"/>
  <c r="SKO28" i="3" a="1"/>
  <c r="SKO28" i="3" s="1"/>
  <c r="SKH28" i="3" a="1"/>
  <c r="SKH28" i="3" s="1"/>
  <c r="SKA28" i="3" a="1"/>
  <c r="SKA28" i="3" s="1"/>
  <c r="SJS28" i="3" a="1"/>
  <c r="SJS28" i="3" s="1"/>
  <c r="SJL28" i="3" a="1"/>
  <c r="SJL28" i="3" s="1"/>
  <c r="SJE28" i="3" a="1"/>
  <c r="SJE28" i="3" s="1"/>
  <c r="SIX28" i="3" a="1"/>
  <c r="SIX28" i="3" s="1"/>
  <c r="SIQ28" i="3" a="1"/>
  <c r="SIQ28" i="3" s="1"/>
  <c r="SII28" i="3" a="1"/>
  <c r="SII28" i="3" s="1"/>
  <c r="SIB28" i="3" a="1"/>
  <c r="SIB28" i="3" s="1"/>
  <c r="SHU28" i="3" a="1"/>
  <c r="SHU28" i="3" s="1"/>
  <c r="SHN28" i="3" a="1"/>
  <c r="SHN28" i="3" s="1"/>
  <c r="SHG28" i="3" a="1"/>
  <c r="SHG28" i="3" s="1"/>
  <c r="VPF28" i="3" a="1"/>
  <c r="VPF28" i="3" s="1"/>
  <c r="VBX28" i="3" a="1"/>
  <c r="VBX28" i="3" s="1"/>
  <c r="UWC28" i="3" a="1"/>
  <c r="UWC28" i="3" s="1"/>
  <c r="UHO28" i="3" a="1"/>
  <c r="UHO28" i="3" s="1"/>
  <c r="TPX28" i="3" a="1"/>
  <c r="TPX28" i="3" s="1"/>
  <c r="TON28" i="3" a="1"/>
  <c r="TON28" i="3" s="1"/>
  <c r="TND28" i="3" a="1"/>
  <c r="TND28" i="3" s="1"/>
  <c r="TLT28" i="3" a="1"/>
  <c r="TLT28" i="3" s="1"/>
  <c r="TFF28" i="3" a="1"/>
  <c r="TFF28" i="3" s="1"/>
  <c r="TDO28" i="3" a="1"/>
  <c r="TDO28" i="3" s="1"/>
  <c r="TAY28" i="3" a="1"/>
  <c r="TAY28" i="3" s="1"/>
  <c r="TAL28" i="3" a="1"/>
  <c r="TAL28" i="3" s="1"/>
  <c r="SYE28" i="3" a="1"/>
  <c r="SYE28" i="3" s="1"/>
  <c r="SXR28" i="3" a="1"/>
  <c r="SXR28" i="3" s="1"/>
  <c r="SXC28" i="3" a="1"/>
  <c r="SXC28" i="3" s="1"/>
  <c r="SWQ28" i="3" a="1"/>
  <c r="SWQ28" i="3" s="1"/>
  <c r="SWE28" i="3" a="1"/>
  <c r="SWE28" i="3" s="1"/>
  <c r="SVS28" i="3" a="1"/>
  <c r="SVS28" i="3" s="1"/>
  <c r="SVG28" i="3" a="1"/>
  <c r="SVG28" i="3" s="1"/>
  <c r="SUU28" i="3" a="1"/>
  <c r="SUU28" i="3" s="1"/>
  <c r="SUI28" i="3" a="1"/>
  <c r="SUI28" i="3" s="1"/>
  <c r="STW28" i="3" a="1"/>
  <c r="STW28" i="3" s="1"/>
  <c r="STN28" i="3" a="1"/>
  <c r="STN28" i="3" s="1"/>
  <c r="STC28" i="3" a="1"/>
  <c r="STC28" i="3" s="1"/>
  <c r="SSR28" i="3" a="1"/>
  <c r="SSR28" i="3" s="1"/>
  <c r="SRC28" i="3" a="1"/>
  <c r="SRC28" i="3" s="1"/>
  <c r="SQT28" i="3" a="1"/>
  <c r="SQT28" i="3" s="1"/>
  <c r="SQI28" i="3" a="1"/>
  <c r="SQI28" i="3" s="1"/>
  <c r="SPX28" i="3" a="1"/>
  <c r="SPX28" i="3" s="1"/>
  <c r="SOI28" i="3" a="1"/>
  <c r="SOI28" i="3" s="1"/>
  <c r="SNZ28" i="3" a="1"/>
  <c r="SNZ28" i="3" s="1"/>
  <c r="SNP28" i="3" a="1"/>
  <c r="SNP28" i="3" s="1"/>
  <c r="SNH28" i="3" a="1"/>
  <c r="SNH28" i="3" s="1"/>
  <c r="SMZ28" i="3" a="1"/>
  <c r="SMZ28" i="3" s="1"/>
  <c r="SLP28" i="3" a="1"/>
  <c r="SLP28" i="3" s="1"/>
  <c r="SKF28" i="3" a="1"/>
  <c r="SKF28" i="3" s="1"/>
  <c r="SIV28" i="3" a="1"/>
  <c r="SIV28" i="3" s="1"/>
  <c r="SHL28" i="3" a="1"/>
  <c r="SHL28" i="3" s="1"/>
  <c r="SHE28" i="3" a="1"/>
  <c r="SHE28" i="3" s="1"/>
  <c r="SGY28" i="3" a="1"/>
  <c r="SGY28" i="3" s="1"/>
  <c r="SGS28" i="3" a="1"/>
  <c r="SGS28" i="3" s="1"/>
  <c r="SGM28" i="3" a="1"/>
  <c r="SGM28" i="3" s="1"/>
  <c r="SGG28" i="3" a="1"/>
  <c r="SGG28" i="3" s="1"/>
  <c r="SGA28" i="3" a="1"/>
  <c r="SGA28" i="3" s="1"/>
  <c r="SFU28" i="3" a="1"/>
  <c r="SFU28" i="3" s="1"/>
  <c r="SFO28" i="3" a="1"/>
  <c r="SFO28" i="3" s="1"/>
  <c r="SFI28" i="3" a="1"/>
  <c r="SFI28" i="3" s="1"/>
  <c r="SFC28" i="3" a="1"/>
  <c r="SFC28" i="3" s="1"/>
  <c r="SEW28" i="3" a="1"/>
  <c r="SEW28" i="3" s="1"/>
  <c r="SEQ28" i="3" a="1"/>
  <c r="SEQ28" i="3" s="1"/>
  <c r="SEK28" i="3" a="1"/>
  <c r="SEK28" i="3" s="1"/>
  <c r="SEE28" i="3" a="1"/>
  <c r="SEE28" i="3" s="1"/>
  <c r="SDY28" i="3" a="1"/>
  <c r="SDY28" i="3" s="1"/>
  <c r="SDS28" i="3" a="1"/>
  <c r="SDS28" i="3" s="1"/>
  <c r="SDM28" i="3" a="1"/>
  <c r="SDM28" i="3" s="1"/>
  <c r="SDG28" i="3" a="1"/>
  <c r="SDG28" i="3" s="1"/>
  <c r="SDA28" i="3" a="1"/>
  <c r="SDA28" i="3" s="1"/>
  <c r="SCU28" i="3" a="1"/>
  <c r="SCU28" i="3" s="1"/>
  <c r="SCO28" i="3" a="1"/>
  <c r="SCO28" i="3" s="1"/>
  <c r="SCI28" i="3" a="1"/>
  <c r="SCI28" i="3" s="1"/>
  <c r="SCC28" i="3" a="1"/>
  <c r="SCC28" i="3" s="1"/>
  <c r="SBW28" i="3" a="1"/>
  <c r="SBW28" i="3" s="1"/>
  <c r="SBQ28" i="3" a="1"/>
  <c r="SBQ28" i="3" s="1"/>
  <c r="SBK28" i="3" a="1"/>
  <c r="SBK28" i="3" s="1"/>
  <c r="SBE28" i="3" a="1"/>
  <c r="SBE28" i="3" s="1"/>
  <c r="SAY28" i="3" a="1"/>
  <c r="SAY28" i="3" s="1"/>
  <c r="SAS28" i="3" a="1"/>
  <c r="SAS28" i="3" s="1"/>
  <c r="SAM28" i="3" a="1"/>
  <c r="SAM28" i="3" s="1"/>
  <c r="SAG28" i="3" a="1"/>
  <c r="SAG28" i="3" s="1"/>
  <c r="SAA28" i="3" a="1"/>
  <c r="SAA28" i="3" s="1"/>
  <c r="RZU28" i="3" a="1"/>
  <c r="RZU28" i="3" s="1"/>
  <c r="RZO28" i="3" a="1"/>
  <c r="RZO28" i="3" s="1"/>
  <c r="RZI28" i="3" a="1"/>
  <c r="RZI28" i="3" s="1"/>
  <c r="RZC28" i="3" a="1"/>
  <c r="RZC28" i="3" s="1"/>
  <c r="RYW28" i="3" a="1"/>
  <c r="RYW28" i="3" s="1"/>
  <c r="RYQ28" i="3" a="1"/>
  <c r="RYQ28" i="3" s="1"/>
  <c r="RYK28" i="3" a="1"/>
  <c r="RYK28" i="3" s="1"/>
  <c r="RYE28" i="3" a="1"/>
  <c r="RYE28" i="3" s="1"/>
  <c r="RXY28" i="3" a="1"/>
  <c r="RXY28" i="3" s="1"/>
  <c r="RXS28" i="3" a="1"/>
  <c r="RXS28" i="3" s="1"/>
  <c r="RXM28" i="3" a="1"/>
  <c r="RXM28" i="3" s="1"/>
  <c r="RXG28" i="3" a="1"/>
  <c r="RXG28" i="3" s="1"/>
  <c r="RXA28" i="3" a="1"/>
  <c r="RXA28" i="3" s="1"/>
  <c r="RWU28" i="3" a="1"/>
  <c r="RWU28" i="3" s="1"/>
  <c r="RWO28" i="3" a="1"/>
  <c r="RWO28" i="3" s="1"/>
  <c r="RWI28" i="3" a="1"/>
  <c r="RWI28" i="3" s="1"/>
  <c r="RWC28" i="3" a="1"/>
  <c r="RWC28" i="3" s="1"/>
  <c r="RVW28" i="3" a="1"/>
  <c r="RVW28" i="3" s="1"/>
  <c r="RVQ28" i="3" a="1"/>
  <c r="RVQ28" i="3" s="1"/>
  <c r="RVK28" i="3" a="1"/>
  <c r="RVK28" i="3" s="1"/>
  <c r="RVE28" i="3" a="1"/>
  <c r="RVE28" i="3" s="1"/>
  <c r="RUY28" i="3" a="1"/>
  <c r="RUY28" i="3" s="1"/>
  <c r="RUS28" i="3" a="1"/>
  <c r="RUS28" i="3" s="1"/>
  <c r="RUM28" i="3" a="1"/>
  <c r="RUM28" i="3" s="1"/>
  <c r="RUG28" i="3" a="1"/>
  <c r="RUG28" i="3" s="1"/>
  <c r="RUA28" i="3" a="1"/>
  <c r="RUA28" i="3" s="1"/>
  <c r="RTU28" i="3" a="1"/>
  <c r="RTU28" i="3" s="1"/>
  <c r="RTO28" i="3" a="1"/>
  <c r="RTO28" i="3" s="1"/>
  <c r="RTI28" i="3" a="1"/>
  <c r="RTI28" i="3" s="1"/>
  <c r="RTC28" i="3" a="1"/>
  <c r="RTC28" i="3" s="1"/>
  <c r="RSW28" i="3" a="1"/>
  <c r="RSW28" i="3" s="1"/>
  <c r="RSQ28" i="3" a="1"/>
  <c r="RSQ28" i="3" s="1"/>
  <c r="RSK28" i="3" a="1"/>
  <c r="RSK28" i="3" s="1"/>
  <c r="VJP28" i="3" a="1"/>
  <c r="VJP28" i="3" s="1"/>
  <c r="UZU28" i="3" a="1"/>
  <c r="UZU28" i="3" s="1"/>
  <c r="UUM28" i="3" a="1"/>
  <c r="UUM28" i="3" s="1"/>
  <c r="UGG28" i="3" a="1"/>
  <c r="UGG28" i="3" s="1"/>
  <c r="UDF28" i="3" a="1"/>
  <c r="UDF28" i="3" s="1"/>
  <c r="UAL28" i="3" a="1"/>
  <c r="UAL28" i="3" s="1"/>
  <c r="TXR28" i="3" a="1"/>
  <c r="TXR28" i="3" s="1"/>
  <c r="TVG28" i="3" a="1"/>
  <c r="TVG28" i="3" s="1"/>
  <c r="TTE28" i="3" a="1"/>
  <c r="TTE28" i="3" s="1"/>
  <c r="TRC28" i="3" a="1"/>
  <c r="TRC28" i="3" s="1"/>
  <c r="TKK28" i="3" a="1"/>
  <c r="TKK28" i="3" s="1"/>
  <c r="TJM28" i="3" a="1"/>
  <c r="TJM28" i="3" s="1"/>
  <c r="TIO28" i="3" a="1"/>
  <c r="TIO28" i="3" s="1"/>
  <c r="THQ28" i="3" a="1"/>
  <c r="THQ28" i="3" s="1"/>
  <c r="TGS28" i="3" a="1"/>
  <c r="TGS28" i="3" s="1"/>
  <c r="TFU28" i="3" a="1"/>
  <c r="TFU28" i="3" s="1"/>
  <c r="TED28" i="3" a="1"/>
  <c r="TED28" i="3" s="1"/>
  <c r="TCO28" i="3" a="1"/>
  <c r="TCO28" i="3" s="1"/>
  <c r="TAG28" i="3" a="1"/>
  <c r="TAG28" i="3" s="1"/>
  <c r="SZT28" i="3" a="1"/>
  <c r="SZT28" i="3" s="1"/>
  <c r="SXM28" i="3" a="1"/>
  <c r="SXM28" i="3" s="1"/>
  <c r="STU28" i="3" a="1"/>
  <c r="STU28" i="3" s="1"/>
  <c r="STJ28" i="3" a="1"/>
  <c r="STJ28" i="3" s="1"/>
  <c r="SRU28" i="3" a="1"/>
  <c r="SRU28" i="3" s="1"/>
  <c r="SRL28" i="3" a="1"/>
  <c r="SRL28" i="3" s="1"/>
  <c r="SRA28" i="3" a="1"/>
  <c r="SRA28" i="3" s="1"/>
  <c r="SQP28" i="3" a="1"/>
  <c r="SQP28" i="3" s="1"/>
  <c r="SPA28" i="3" a="1"/>
  <c r="SPA28" i="3" s="1"/>
  <c r="SOR28" i="3" a="1"/>
  <c r="SOR28" i="3" s="1"/>
  <c r="SOG28" i="3" a="1"/>
  <c r="SOG28" i="3" s="1"/>
  <c r="SNW28" i="3" a="1"/>
  <c r="SNW28" i="3" s="1"/>
  <c r="SNF28" i="3" a="1"/>
  <c r="SNF28" i="3" s="1"/>
  <c r="SMX28" i="3" a="1"/>
  <c r="SMX28" i="3" s="1"/>
  <c r="SMQ28" i="3" a="1"/>
  <c r="SMQ28" i="3" s="1"/>
  <c r="SMJ28" i="3" a="1"/>
  <c r="SMJ28" i="3" s="1"/>
  <c r="SMC28" i="3" a="1"/>
  <c r="SMC28" i="3" s="1"/>
  <c r="SLU28" i="3" a="1"/>
  <c r="SLU28" i="3" s="1"/>
  <c r="SLN28" i="3" a="1"/>
  <c r="SLN28" i="3" s="1"/>
  <c r="SLG28" i="3" a="1"/>
  <c r="SLG28" i="3" s="1"/>
  <c r="SKZ28" i="3" a="1"/>
  <c r="SKZ28" i="3" s="1"/>
  <c r="SKS28" i="3" a="1"/>
  <c r="SKS28" i="3" s="1"/>
  <c r="SKK28" i="3" a="1"/>
  <c r="SKK28" i="3" s="1"/>
  <c r="SKD28" i="3" a="1"/>
  <c r="SKD28" i="3" s="1"/>
  <c r="SJW28" i="3" a="1"/>
  <c r="SJW28" i="3" s="1"/>
  <c r="SJP28" i="3" a="1"/>
  <c r="SJP28" i="3" s="1"/>
  <c r="SJI28" i="3" a="1"/>
  <c r="SJI28" i="3" s="1"/>
  <c r="SJA28" i="3" a="1"/>
  <c r="SJA28" i="3" s="1"/>
  <c r="SIT28" i="3" a="1"/>
  <c r="SIT28" i="3" s="1"/>
  <c r="SIM28" i="3" a="1"/>
  <c r="SIM28" i="3" s="1"/>
  <c r="SIF28" i="3" a="1"/>
  <c r="SIF28" i="3" s="1"/>
  <c r="SHY28" i="3" a="1"/>
  <c r="SHY28" i="3" s="1"/>
  <c r="SHQ28" i="3" a="1"/>
  <c r="SHQ28" i="3" s="1"/>
  <c r="SHJ28" i="3" a="1"/>
  <c r="SHJ28" i="3" s="1"/>
  <c r="VPG28" i="3" a="1"/>
  <c r="VPG28" i="3" s="1"/>
  <c r="TXQ28" i="3" a="1"/>
  <c r="TXQ28" i="3" s="1"/>
  <c r="TTR28" i="3" a="1"/>
  <c r="TTR28" i="3" s="1"/>
  <c r="TNZ28" i="3" a="1"/>
  <c r="TNZ28" i="3" s="1"/>
  <c r="TJT28" i="3" a="1"/>
  <c r="TJT28" i="3" s="1"/>
  <c r="TIE28" i="3" a="1"/>
  <c r="TIE28" i="3" s="1"/>
  <c r="TGR28" i="3" a="1"/>
  <c r="TGR28" i="3" s="1"/>
  <c r="TFE28" i="3" a="1"/>
  <c r="TFE28" i="3" s="1"/>
  <c r="TBJ28" i="3" a="1"/>
  <c r="TBJ28" i="3" s="1"/>
  <c r="SVY28" i="3" a="1"/>
  <c r="SVY28" i="3" s="1"/>
  <c r="SVD28" i="3" a="1"/>
  <c r="SVD28" i="3" s="1"/>
  <c r="STO28" i="3" a="1"/>
  <c r="STO28" i="3" s="1"/>
  <c r="SSX28" i="3" a="1"/>
  <c r="SSX28" i="3" s="1"/>
  <c r="SSF28" i="3" a="1"/>
  <c r="SSF28" i="3" s="1"/>
  <c r="SRN28" i="3" a="1"/>
  <c r="SRN28" i="3" s="1"/>
  <c r="SQE28" i="3" a="1"/>
  <c r="SQE28" i="3" s="1"/>
  <c r="SPM28" i="3" a="1"/>
  <c r="SPM28" i="3" s="1"/>
  <c r="SOU28" i="3" a="1"/>
  <c r="SOU28" i="3" s="1"/>
  <c r="SOF28" i="3" a="1"/>
  <c r="SOF28" i="3" s="1"/>
  <c r="SNO28" i="3" a="1"/>
  <c r="SNO28" i="3" s="1"/>
  <c r="SNA28" i="3" a="1"/>
  <c r="SNA28" i="3" s="1"/>
  <c r="SMB28" i="3" a="1"/>
  <c r="SMB28" i="3" s="1"/>
  <c r="SLO28" i="3" a="1"/>
  <c r="SLO28" i="3" s="1"/>
  <c r="SKQ28" i="3" a="1"/>
  <c r="SKQ28" i="3" s="1"/>
  <c r="SJR28" i="3" a="1"/>
  <c r="SJR28" i="3" s="1"/>
  <c r="SIG28" i="3" a="1"/>
  <c r="SIG28" i="3" s="1"/>
  <c r="SHI28" i="3" a="1"/>
  <c r="SHI28" i="3" s="1"/>
  <c r="SGX28" i="3" a="1"/>
  <c r="SGX28" i="3" s="1"/>
  <c r="SGD28" i="3" a="1"/>
  <c r="SGD28" i="3" s="1"/>
  <c r="SFS28" i="3" a="1"/>
  <c r="SFS28" i="3" s="1"/>
  <c r="SEX28" i="3" a="1"/>
  <c r="SEX28" i="3" s="1"/>
  <c r="SED28" i="3" a="1"/>
  <c r="SED28" i="3" s="1"/>
  <c r="SDJ28" i="3" a="1"/>
  <c r="SDJ28" i="3" s="1"/>
  <c r="SCY28" i="3" a="1"/>
  <c r="SCY28" i="3" s="1"/>
  <c r="SCD28" i="3" a="1"/>
  <c r="SCD28" i="3" s="1"/>
  <c r="SBJ28" i="3" a="1"/>
  <c r="SBJ28" i="3" s="1"/>
  <c r="SAP28" i="3" a="1"/>
  <c r="SAP28" i="3" s="1"/>
  <c r="SAE28" i="3" a="1"/>
  <c r="SAE28" i="3" s="1"/>
  <c r="RZJ28" i="3" a="1"/>
  <c r="RZJ28" i="3" s="1"/>
  <c r="RYP28" i="3" a="1"/>
  <c r="RYP28" i="3" s="1"/>
  <c r="RXV28" i="3" a="1"/>
  <c r="RXV28" i="3" s="1"/>
  <c r="RXK28" i="3" a="1"/>
  <c r="RXK28" i="3" s="1"/>
  <c r="RWP28" i="3" a="1"/>
  <c r="RWP28" i="3" s="1"/>
  <c r="RVV28" i="3" a="1"/>
  <c r="RVV28" i="3" s="1"/>
  <c r="RVB28" i="3" a="1"/>
  <c r="RVB28" i="3" s="1"/>
  <c r="RUQ28" i="3" a="1"/>
  <c r="RUQ28" i="3" s="1"/>
  <c r="RTV28" i="3" a="1"/>
  <c r="RTV28" i="3" s="1"/>
  <c r="RTB28" i="3" a="1"/>
  <c r="RTB28" i="3" s="1"/>
  <c r="RSH28" i="3" a="1"/>
  <c r="RSH28" i="3" s="1"/>
  <c r="RRP28" i="3" a="1"/>
  <c r="RRP28" i="3" s="1"/>
  <c r="RQX28" i="3" a="1"/>
  <c r="RQX28" i="3" s="1"/>
  <c r="RPY28" i="3" a="1"/>
  <c r="RPY28" i="3" s="1"/>
  <c r="RPL28" i="3" a="1"/>
  <c r="RPL28" i="3" s="1"/>
  <c r="ROY28" i="3" a="1"/>
  <c r="ROY28" i="3" s="1"/>
  <c r="ROL28" i="3" a="1"/>
  <c r="ROL28" i="3" s="1"/>
  <c r="RNY28" i="3" a="1"/>
  <c r="RNY28" i="3" s="1"/>
  <c r="RNL28" i="3" a="1"/>
  <c r="RNL28" i="3" s="1"/>
  <c r="RNE28" i="3" a="1"/>
  <c r="RNE28" i="3" s="1"/>
  <c r="UPK28" i="3" a="1"/>
  <c r="UPK28" i="3" s="1"/>
  <c r="UHE28" i="3" a="1"/>
  <c r="UHE28" i="3" s="1"/>
  <c r="UBJ28" i="3" a="1"/>
  <c r="UBJ28" i="3" s="1"/>
  <c r="TPW28" i="3" a="1"/>
  <c r="TPW28" i="3" s="1"/>
  <c r="TNN28" i="3" a="1"/>
  <c r="TNN28" i="3" s="1"/>
  <c r="TLJ28" i="3" a="1"/>
  <c r="TLJ28" i="3" s="1"/>
  <c r="TJS28" i="3" a="1"/>
  <c r="TJS28" i="3" s="1"/>
  <c r="THY28" i="3" a="1"/>
  <c r="THY28" i="3" s="1"/>
  <c r="TGQ28" i="3" a="1"/>
  <c r="TGQ28" i="3" s="1"/>
  <c r="TEY28" i="3" a="1"/>
  <c r="TEY28" i="3" s="1"/>
  <c r="SZI28" i="3" a="1"/>
  <c r="SZI28" i="3" s="1"/>
  <c r="SVV28" i="3" a="1"/>
  <c r="SVV28" i="3" s="1"/>
  <c r="SUG28" i="3" a="1"/>
  <c r="SUG28" i="3" s="1"/>
  <c r="SSE28" i="3" a="1"/>
  <c r="SSE28" i="3" s="1"/>
  <c r="SRM28" i="3" a="1"/>
  <c r="SRM28" i="3" s="1"/>
  <c r="SQU28" i="3" a="1"/>
  <c r="SQU28" i="3" s="1"/>
  <c r="SQD28" i="3" a="1"/>
  <c r="SQD28" i="3" s="1"/>
  <c r="SPL28" i="3" a="1"/>
  <c r="SPL28" i="3" s="1"/>
  <c r="SOT28" i="3" a="1"/>
  <c r="SOT28" i="3" s="1"/>
  <c r="SNN28" i="3" a="1"/>
  <c r="SNN28" i="3" s="1"/>
  <c r="SMY28" i="3" a="1"/>
  <c r="SMY28" i="3" s="1"/>
  <c r="SMA28" i="3" a="1"/>
  <c r="SMA28" i="3" s="1"/>
  <c r="SLB28" i="3" a="1"/>
  <c r="SLB28" i="3" s="1"/>
  <c r="SJQ28" i="3" a="1"/>
  <c r="SJQ28" i="3" s="1"/>
  <c r="SIS28" i="3" a="1"/>
  <c r="SIS28" i="3" s="1"/>
  <c r="SHT28" i="3" a="1"/>
  <c r="SHT28" i="3" s="1"/>
  <c r="SGW28" i="3" a="1"/>
  <c r="SGW28" i="3" s="1"/>
  <c r="SGB28" i="3" a="1"/>
  <c r="SGB28" i="3" s="1"/>
  <c r="SFH28" i="3" a="1"/>
  <c r="SFH28" i="3" s="1"/>
  <c r="SEN28" i="3" a="1"/>
  <c r="SEN28" i="3" s="1"/>
  <c r="SEC28" i="3" a="1"/>
  <c r="SEC28" i="3" s="1"/>
  <c r="SDH28" i="3" a="1"/>
  <c r="SDH28" i="3" s="1"/>
  <c r="SCN28" i="3" a="1"/>
  <c r="SCN28" i="3" s="1"/>
  <c r="SBT28" i="3" a="1"/>
  <c r="SBT28" i="3" s="1"/>
  <c r="SBI28" i="3" a="1"/>
  <c r="SBI28" i="3" s="1"/>
  <c r="SAN28" i="3" a="1"/>
  <c r="SAN28" i="3" s="1"/>
  <c r="RZT28" i="3" a="1"/>
  <c r="RZT28" i="3" s="1"/>
  <c r="RYZ28" i="3" a="1"/>
  <c r="RYZ28" i="3" s="1"/>
  <c r="RYO28" i="3" a="1"/>
  <c r="RYO28" i="3" s="1"/>
  <c r="RXT28" i="3" a="1"/>
  <c r="RXT28" i="3" s="1"/>
  <c r="RWZ28" i="3" a="1"/>
  <c r="RWZ28" i="3" s="1"/>
  <c r="RWF28" i="3" a="1"/>
  <c r="RWF28" i="3" s="1"/>
  <c r="RVU28" i="3" a="1"/>
  <c r="RVU28" i="3" s="1"/>
  <c r="RUZ28" i="3" a="1"/>
  <c r="RUZ28" i="3" s="1"/>
  <c r="RUF28" i="3" a="1"/>
  <c r="RUF28" i="3" s="1"/>
  <c r="RTL28" i="3" a="1"/>
  <c r="RTL28" i="3" s="1"/>
  <c r="RTA28" i="3" a="1"/>
  <c r="RTA28" i="3" s="1"/>
  <c r="RSF28" i="3" a="1"/>
  <c r="RSF28" i="3" s="1"/>
  <c r="RRX28" i="3" a="1"/>
  <c r="RRX28" i="3" s="1"/>
  <c r="RRN28" i="3" a="1"/>
  <c r="RRN28" i="3" s="1"/>
  <c r="RRF28" i="3" a="1"/>
  <c r="RRF28" i="3" s="1"/>
  <c r="RQV28" i="3" a="1"/>
  <c r="RQV28" i="3" s="1"/>
  <c r="RQN28" i="3" a="1"/>
  <c r="RQN28" i="3" s="1"/>
  <c r="RQF28" i="3" a="1"/>
  <c r="RQF28" i="3" s="1"/>
  <c r="RPR28" i="3" a="1"/>
  <c r="RPR28" i="3" s="1"/>
  <c r="RPE28" i="3" a="1"/>
  <c r="RPE28" i="3" s="1"/>
  <c r="ROR28" i="3" a="1"/>
  <c r="ROR28" i="3" s="1"/>
  <c r="ROE28" i="3" a="1"/>
  <c r="ROE28" i="3" s="1"/>
  <c r="RNR28" i="3" a="1"/>
  <c r="RNR28" i="3" s="1"/>
  <c r="RNK28" i="3" a="1"/>
  <c r="RNK28" i="3" s="1"/>
  <c r="RMX28" i="3" a="1"/>
  <c r="RMX28" i="3" s="1"/>
  <c r="RMR28" i="3" a="1"/>
  <c r="RMR28" i="3" s="1"/>
  <c r="RML28" i="3" a="1"/>
  <c r="RML28" i="3" s="1"/>
  <c r="RMF28" i="3" a="1"/>
  <c r="RMF28" i="3" s="1"/>
  <c r="RLZ28" i="3" a="1"/>
  <c r="RLZ28" i="3" s="1"/>
  <c r="RLT28" i="3" a="1"/>
  <c r="RLT28" i="3" s="1"/>
  <c r="RLN28" i="3" a="1"/>
  <c r="RLN28" i="3" s="1"/>
  <c r="RLH28" i="3" a="1"/>
  <c r="RLH28" i="3" s="1"/>
  <c r="RLB28" i="3" a="1"/>
  <c r="RLB28" i="3" s="1"/>
  <c r="RKV28" i="3" a="1"/>
  <c r="RKV28" i="3" s="1"/>
  <c r="RKP28" i="3" a="1"/>
  <c r="RKP28" i="3" s="1"/>
  <c r="RKJ28" i="3" a="1"/>
  <c r="RKJ28" i="3" s="1"/>
  <c r="RKD28" i="3" a="1"/>
  <c r="RKD28" i="3" s="1"/>
  <c r="RJX28" i="3" a="1"/>
  <c r="RJX28" i="3" s="1"/>
  <c r="RJR28" i="3" a="1"/>
  <c r="RJR28" i="3" s="1"/>
  <c r="RJL28" i="3" a="1"/>
  <c r="RJL28" i="3" s="1"/>
  <c r="VNP28" i="3" a="1"/>
  <c r="VNP28" i="3" s="1"/>
  <c r="UBI28" i="3" a="1"/>
  <c r="UBI28" i="3" s="1"/>
  <c r="TTD28" i="3" a="1"/>
  <c r="TTD28" i="3" s="1"/>
  <c r="TPV28" i="3" a="1"/>
  <c r="TPV28" i="3" s="1"/>
  <c r="TLI28" i="3" a="1"/>
  <c r="TLI28" i="3" s="1"/>
  <c r="THX28" i="3" a="1"/>
  <c r="THX28" i="3" s="1"/>
  <c r="TGI28" i="3" a="1"/>
  <c r="TGI28" i="3" s="1"/>
  <c r="TDN28" i="3" a="1"/>
  <c r="TDN28" i="3" s="1"/>
  <c r="TCC28" i="3" a="1"/>
  <c r="TCC28" i="3" s="1"/>
  <c r="SZH28" i="3" a="1"/>
  <c r="SZH28" i="3" s="1"/>
  <c r="SXL28" i="3" a="1"/>
  <c r="SXL28" i="3" s="1"/>
  <c r="SWO28" i="3" a="1"/>
  <c r="SWO28" i="3" s="1"/>
  <c r="SVA28" i="3" a="1"/>
  <c r="SVA28" i="3" s="1"/>
  <c r="SUF28" i="3" a="1"/>
  <c r="SUF28" i="3" s="1"/>
  <c r="SPK28" i="3" a="1"/>
  <c r="SPK28" i="3" s="1"/>
  <c r="SOS28" i="3" a="1"/>
  <c r="SOS28" i="3" s="1"/>
  <c r="SOA28" i="3" a="1"/>
  <c r="SOA28" i="3" s="1"/>
  <c r="SML28" i="3" a="1"/>
  <c r="SML28" i="3" s="1"/>
  <c r="SLA28" i="3" a="1"/>
  <c r="SLA28" i="3" s="1"/>
  <c r="SKC28" i="3" a="1"/>
  <c r="SKC28" i="3" s="1"/>
  <c r="SJD28" i="3" a="1"/>
  <c r="SJD28" i="3" s="1"/>
  <c r="SHS28" i="3" a="1"/>
  <c r="SHS28" i="3" s="1"/>
  <c r="SHF28" i="3" a="1"/>
  <c r="SHF28" i="3" s="1"/>
  <c r="SGL28" i="3" a="1"/>
  <c r="SGL28" i="3" s="1"/>
  <c r="SFR28" i="3" a="1"/>
  <c r="SFR28" i="3" s="1"/>
  <c r="SFG28" i="3" a="1"/>
  <c r="SFG28" i="3" s="1"/>
  <c r="SEL28" i="3" a="1"/>
  <c r="SEL28" i="3" s="1"/>
  <c r="SDR28" i="3" a="1"/>
  <c r="SDR28" i="3" s="1"/>
  <c r="SCX28" i="3" a="1"/>
  <c r="SCX28" i="3" s="1"/>
  <c r="SCM28" i="3" a="1"/>
  <c r="SCM28" i="3" s="1"/>
  <c r="SBR28" i="3" a="1"/>
  <c r="SBR28" i="3" s="1"/>
  <c r="SAX28" i="3" a="1"/>
  <c r="SAX28" i="3" s="1"/>
  <c r="SAD28" i="3" a="1"/>
  <c r="SAD28" i="3" s="1"/>
  <c r="RZS28" i="3" a="1"/>
  <c r="RZS28" i="3" s="1"/>
  <c r="RYX28" i="3" a="1"/>
  <c r="RYX28" i="3" s="1"/>
  <c r="RYD28" i="3" a="1"/>
  <c r="RYD28" i="3" s="1"/>
  <c r="RXJ28" i="3" a="1"/>
  <c r="RXJ28" i="3" s="1"/>
  <c r="RWY28" i="3" a="1"/>
  <c r="RWY28" i="3" s="1"/>
  <c r="RWD28" i="3" a="1"/>
  <c r="RWD28" i="3" s="1"/>
  <c r="RVJ28" i="3" a="1"/>
  <c r="RVJ28" i="3" s="1"/>
  <c r="RUP28" i="3" a="1"/>
  <c r="RUP28" i="3" s="1"/>
  <c r="RUE28" i="3" a="1"/>
  <c r="RUE28" i="3" s="1"/>
  <c r="RTJ28" i="3" a="1"/>
  <c r="RTJ28" i="3" s="1"/>
  <c r="RSP28" i="3" a="1"/>
  <c r="RSP28" i="3" s="1"/>
  <c r="RRW28" i="3" a="1"/>
  <c r="RRW28" i="3" s="1"/>
  <c r="RRE28" i="3" a="1"/>
  <c r="RRE28" i="3" s="1"/>
  <c r="RQM28" i="3" a="1"/>
  <c r="RQM28" i="3" s="1"/>
  <c r="RQE28" i="3" a="1"/>
  <c r="RQE28" i="3" s="1"/>
  <c r="RPX28" i="3" a="1"/>
  <c r="RPX28" i="3" s="1"/>
  <c r="RPK28" i="3" a="1"/>
  <c r="RPK28" i="3" s="1"/>
  <c r="ROX28" i="3" a="1"/>
  <c r="ROX28" i="3" s="1"/>
  <c r="ROK28" i="3" a="1"/>
  <c r="ROK28" i="3" s="1"/>
  <c r="RNX28" i="3" a="1"/>
  <c r="RNX28" i="3" s="1"/>
  <c r="RNQ28" i="3" a="1"/>
  <c r="RNQ28" i="3" s="1"/>
  <c r="RND28" i="3" a="1"/>
  <c r="RND28" i="3" s="1"/>
  <c r="TVY28" i="3" a="1"/>
  <c r="TVY28" i="3" s="1"/>
  <c r="TSZ28" i="3" a="1"/>
  <c r="TSZ28" i="3" s="1"/>
  <c r="TPL28" i="3" a="1"/>
  <c r="TPL28" i="3" s="1"/>
  <c r="TNC28" i="3" a="1"/>
  <c r="TNC28" i="3" s="1"/>
  <c r="TKZ28" i="3" a="1"/>
  <c r="TKZ28" i="3" s="1"/>
  <c r="TJL28" i="3" a="1"/>
  <c r="TJL28" i="3" s="1"/>
  <c r="THW28" i="3" a="1"/>
  <c r="THW28" i="3" s="1"/>
  <c r="TGC28" i="3" a="1"/>
  <c r="TGC28" i="3" s="1"/>
  <c r="TEX28" i="3" a="1"/>
  <c r="TEX28" i="3" s="1"/>
  <c r="TDH28" i="3" a="1"/>
  <c r="TDH28" i="3" s="1"/>
  <c r="TCB28" i="3" a="1"/>
  <c r="TCB28" i="3" s="1"/>
  <c r="TAF28" i="3" a="1"/>
  <c r="TAF28" i="3" s="1"/>
  <c r="SWN28" i="3" a="1"/>
  <c r="SWN28" i="3" s="1"/>
  <c r="SUX28" i="3" a="1"/>
  <c r="SUX28" i="3" s="1"/>
  <c r="STK28" i="3" a="1"/>
  <c r="STK28" i="3" s="1"/>
  <c r="SSS28" i="3" a="1"/>
  <c r="SSS28" i="3" s="1"/>
  <c r="SSD28" i="3" a="1"/>
  <c r="SSD28" i="3" s="1"/>
  <c r="SNM28" i="3" a="1"/>
  <c r="SNM28" i="3" s="1"/>
  <c r="SMK28" i="3" a="1"/>
  <c r="SMK28" i="3" s="1"/>
  <c r="SLM28" i="3" a="1"/>
  <c r="SLM28" i="3" s="1"/>
  <c r="SKN28" i="3" a="1"/>
  <c r="SKN28" i="3" s="1"/>
  <c r="SJC28" i="3" a="1"/>
  <c r="SJC28" i="3" s="1"/>
  <c r="SIP28" i="3" a="1"/>
  <c r="SIP28" i="3" s="1"/>
  <c r="SIE28" i="3" a="1"/>
  <c r="SIE28" i="3" s="1"/>
  <c r="SHR28" i="3" a="1"/>
  <c r="SHR28" i="3" s="1"/>
  <c r="SGV28" i="3" a="1"/>
  <c r="SGV28" i="3" s="1"/>
  <c r="SGK28" i="3" a="1"/>
  <c r="SGK28" i="3" s="1"/>
  <c r="SFP28" i="3" a="1"/>
  <c r="SFP28" i="3" s="1"/>
  <c r="SEV28" i="3" a="1"/>
  <c r="SEV28" i="3" s="1"/>
  <c r="SEB28" i="3" a="1"/>
  <c r="SEB28" i="3" s="1"/>
  <c r="SDQ28" i="3" a="1"/>
  <c r="SDQ28" i="3" s="1"/>
  <c r="SCV28" i="3" a="1"/>
  <c r="SCV28" i="3" s="1"/>
  <c r="SCB28" i="3" a="1"/>
  <c r="SCB28" i="3" s="1"/>
  <c r="SBH28" i="3" a="1"/>
  <c r="SBH28" i="3" s="1"/>
  <c r="SAW28" i="3" a="1"/>
  <c r="SAW28" i="3" s="1"/>
  <c r="SAB28" i="3" a="1"/>
  <c r="SAB28" i="3" s="1"/>
  <c r="RZH28" i="3" a="1"/>
  <c r="RZH28" i="3" s="1"/>
  <c r="RYN28" i="3" a="1"/>
  <c r="RYN28" i="3" s="1"/>
  <c r="RYC28" i="3" a="1"/>
  <c r="RYC28" i="3" s="1"/>
  <c r="RXH28" i="3" a="1"/>
  <c r="RXH28" i="3" s="1"/>
  <c r="RWN28" i="3" a="1"/>
  <c r="RWN28" i="3" s="1"/>
  <c r="RVT28" i="3" a="1"/>
  <c r="RVT28" i="3" s="1"/>
  <c r="RVI28" i="3" a="1"/>
  <c r="RVI28" i="3" s="1"/>
  <c r="RUN28" i="3" a="1"/>
  <c r="RUN28" i="3" s="1"/>
  <c r="RTT28" i="3" a="1"/>
  <c r="RTT28" i="3" s="1"/>
  <c r="RSZ28" i="3" a="1"/>
  <c r="RSZ28" i="3" s="1"/>
  <c r="RSO28" i="3" a="1"/>
  <c r="RSO28" i="3" s="1"/>
  <c r="RSE28" i="3" a="1"/>
  <c r="RSE28" i="3" s="1"/>
  <c r="RRM28" i="3" a="1"/>
  <c r="RRM28" i="3" s="1"/>
  <c r="RQU28" i="3" a="1"/>
  <c r="RQU28" i="3" s="1"/>
  <c r="RQD28" i="3" a="1"/>
  <c r="RQD28" i="3" s="1"/>
  <c r="RPQ28" i="3" a="1"/>
  <c r="RPQ28" i="3" s="1"/>
  <c r="RPD28" i="3" a="1"/>
  <c r="RPD28" i="3" s="1"/>
  <c r="ROQ28" i="3" a="1"/>
  <c r="ROQ28" i="3" s="1"/>
  <c r="ROD28" i="3" a="1"/>
  <c r="ROD28" i="3" s="1"/>
  <c r="RNW28" i="3" a="1"/>
  <c r="RNW28" i="3" s="1"/>
  <c r="RNJ28" i="3" a="1"/>
  <c r="RNJ28" i="3" s="1"/>
  <c r="RMW28" i="3" a="1"/>
  <c r="RMW28" i="3" s="1"/>
  <c r="RMQ28" i="3" a="1"/>
  <c r="RMQ28" i="3" s="1"/>
  <c r="RMK28" i="3" a="1"/>
  <c r="RMK28" i="3" s="1"/>
  <c r="RME28" i="3" a="1"/>
  <c r="RME28" i="3" s="1"/>
  <c r="RLY28" i="3" a="1"/>
  <c r="RLY28" i="3" s="1"/>
  <c r="RLS28" i="3" a="1"/>
  <c r="RLS28" i="3" s="1"/>
  <c r="RLM28" i="3" a="1"/>
  <c r="RLM28" i="3" s="1"/>
  <c r="RLG28" i="3" a="1"/>
  <c r="RLG28" i="3" s="1"/>
  <c r="RLA28" i="3" a="1"/>
  <c r="RLA28" i="3" s="1"/>
  <c r="RKU28" i="3" a="1"/>
  <c r="RKU28" i="3" s="1"/>
  <c r="RKO28" i="3" a="1"/>
  <c r="RKO28" i="3" s="1"/>
  <c r="RKI28" i="3" a="1"/>
  <c r="RKI28" i="3" s="1"/>
  <c r="RKC28" i="3" a="1"/>
  <c r="RKC28" i="3" s="1"/>
  <c r="RJW28" i="3" a="1"/>
  <c r="RJW28" i="3" s="1"/>
  <c r="RJQ28" i="3" a="1"/>
  <c r="RJQ28" i="3" s="1"/>
  <c r="RJK28" i="3" a="1"/>
  <c r="RJK28" i="3" s="1"/>
  <c r="RJE28" i="3" a="1"/>
  <c r="RJE28" i="3" s="1"/>
  <c r="VJL28" i="3" a="1"/>
  <c r="VJL28" i="3" s="1"/>
  <c r="UME28" i="3" a="1"/>
  <c r="UME28" i="3" s="1"/>
  <c r="UFY28" i="3" a="1"/>
  <c r="UFY28" i="3" s="1"/>
  <c r="TVX28" i="3" a="1"/>
  <c r="TVX28" i="3" s="1"/>
  <c r="TSH28" i="3" a="1"/>
  <c r="TSH28" i="3" s="1"/>
  <c r="TPK28" i="3" a="1"/>
  <c r="TPK28" i="3" s="1"/>
  <c r="TNB28" i="3" a="1"/>
  <c r="TNB28" i="3" s="1"/>
  <c r="TJK28" i="3" a="1"/>
  <c r="TJK28" i="3" s="1"/>
  <c r="TGB28" i="3" a="1"/>
  <c r="TGB28" i="3" s="1"/>
  <c r="TDG28" i="3" a="1"/>
  <c r="TDG28" i="3" s="1"/>
  <c r="SZC28" i="3" a="1"/>
  <c r="SZC28" i="3" s="1"/>
  <c r="SXF28" i="3" a="1"/>
  <c r="SXF28" i="3" s="1"/>
  <c r="SVQ28" i="3" a="1"/>
  <c r="SVQ28" i="3" s="1"/>
  <c r="SUC28" i="3" a="1"/>
  <c r="SUC28" i="3" s="1"/>
  <c r="SRI28" i="3" a="1"/>
  <c r="SRI28" i="3" s="1"/>
  <c r="SQQ28" i="3" a="1"/>
  <c r="SQQ28" i="3" s="1"/>
  <c r="SPY28" i="3" a="1"/>
  <c r="SPY28" i="3" s="1"/>
  <c r="SPJ28" i="3" a="1"/>
  <c r="SPJ28" i="3" s="1"/>
  <c r="SNI28" i="3" a="1"/>
  <c r="SNI28" i="3" s="1"/>
  <c r="SMW28" i="3" a="1"/>
  <c r="SMW28" i="3" s="1"/>
  <c r="SLX28" i="3" a="1"/>
  <c r="SLX28" i="3" s="1"/>
  <c r="SKM28" i="3" a="1"/>
  <c r="SKM28" i="3" s="1"/>
  <c r="SJZ28" i="3" a="1"/>
  <c r="SJZ28" i="3" s="1"/>
  <c r="UMA28" i="3" a="1"/>
  <c r="UMA28" i="3" s="1"/>
  <c r="UAK28" i="3" a="1"/>
  <c r="UAK28" i="3" s="1"/>
  <c r="TVT28" i="3" a="1"/>
  <c r="TVT28" i="3" s="1"/>
  <c r="TRU28" i="3" a="1"/>
  <c r="TRU28" i="3" s="1"/>
  <c r="TPJ28" i="3" a="1"/>
  <c r="TPJ28" i="3" s="1"/>
  <c r="TMR28" i="3" a="1"/>
  <c r="TMR28" i="3" s="1"/>
  <c r="TKR28" i="3" a="1"/>
  <c r="TKR28" i="3" s="1"/>
  <c r="TJC28" i="3" a="1"/>
  <c r="TJC28" i="3" s="1"/>
  <c r="THP28" i="3" a="1"/>
  <c r="THP28" i="3" s="1"/>
  <c r="TGA28" i="3" a="1"/>
  <c r="TGA28" i="3" s="1"/>
  <c r="TEK28" i="3" a="1"/>
  <c r="TEK28" i="3" s="1"/>
  <c r="TBW28" i="3" a="1"/>
  <c r="TBW28" i="3" s="1"/>
  <c r="SZZ28" i="3" a="1"/>
  <c r="SZZ28" i="3" s="1"/>
  <c r="SYD28" i="3" a="1"/>
  <c r="SYD28" i="3" s="1"/>
  <c r="SWK28" i="3" a="1"/>
  <c r="SWK28" i="3" s="1"/>
  <c r="SVP28" i="3" a="1"/>
  <c r="SVP28" i="3" s="1"/>
  <c r="STZ28" i="3" a="1"/>
  <c r="STZ28" i="3" s="1"/>
  <c r="STI28" i="3" a="1"/>
  <c r="STI28" i="3" s="1"/>
  <c r="SSQ28" i="3" a="1"/>
  <c r="SSQ28" i="3" s="1"/>
  <c r="SRY28" i="3" a="1"/>
  <c r="SRY28" i="3" s="1"/>
  <c r="SRH28" i="3" a="1"/>
  <c r="SRH28" i="3" s="1"/>
  <c r="SOO28" i="3" a="1"/>
  <c r="SOO28" i="3" s="1"/>
  <c r="SNY28" i="3" a="1"/>
  <c r="SNY28" i="3" s="1"/>
  <c r="SLW28" i="3" a="1"/>
  <c r="SLW28" i="3" s="1"/>
  <c r="SLJ28" i="3" a="1"/>
  <c r="SLJ28" i="3" s="1"/>
  <c r="SKY28" i="3" a="1"/>
  <c r="SKY28" i="3" s="1"/>
  <c r="SKL28" i="3" a="1"/>
  <c r="SKL28" i="3" s="1"/>
  <c r="SJY28" i="3" a="1"/>
  <c r="SJY28" i="3" s="1"/>
  <c r="SJN28" i="3" a="1"/>
  <c r="SJN28" i="3" s="1"/>
  <c r="SIN28" i="3" a="1"/>
  <c r="SIN28" i="3" s="1"/>
  <c r="SHP28" i="3" a="1"/>
  <c r="SHP28" i="3" s="1"/>
  <c r="SHD28" i="3" a="1"/>
  <c r="SHD28" i="3" s="1"/>
  <c r="SGJ28" i="3" a="1"/>
  <c r="SGJ28" i="3" s="1"/>
  <c r="SFY28" i="3" a="1"/>
  <c r="SFY28" i="3" s="1"/>
  <c r="SFD28" i="3" a="1"/>
  <c r="SFD28" i="3" s="1"/>
  <c r="SEJ28" i="3" a="1"/>
  <c r="SEJ28" i="3" s="1"/>
  <c r="SDP28" i="3" a="1"/>
  <c r="SDP28" i="3" s="1"/>
  <c r="SDE28" i="3" a="1"/>
  <c r="SDE28" i="3" s="1"/>
  <c r="SCJ28" i="3" a="1"/>
  <c r="SCJ28" i="3" s="1"/>
  <c r="SBP28" i="3" a="1"/>
  <c r="SBP28" i="3" s="1"/>
  <c r="SAV28" i="3" a="1"/>
  <c r="SAV28" i="3" s="1"/>
  <c r="SAK28" i="3" a="1"/>
  <c r="SAK28" i="3" s="1"/>
  <c r="RZP28" i="3" a="1"/>
  <c r="RZP28" i="3" s="1"/>
  <c r="RYV28" i="3" a="1"/>
  <c r="RYV28" i="3" s="1"/>
  <c r="RYB28" i="3" a="1"/>
  <c r="RYB28" i="3" s="1"/>
  <c r="RXQ28" i="3" a="1"/>
  <c r="RXQ28" i="3" s="1"/>
  <c r="RWV28" i="3" a="1"/>
  <c r="RWV28" i="3" s="1"/>
  <c r="RWB28" i="3" a="1"/>
  <c r="RWB28" i="3" s="1"/>
  <c r="RVH28" i="3" a="1"/>
  <c r="RVH28" i="3" s="1"/>
  <c r="RUW28" i="3" a="1"/>
  <c r="RUW28" i="3" s="1"/>
  <c r="RUB28" i="3" a="1"/>
  <c r="RUB28" i="3" s="1"/>
  <c r="RTH28" i="3" a="1"/>
  <c r="RTH28" i="3" s="1"/>
  <c r="RSN28" i="3" a="1"/>
  <c r="RSN28" i="3" s="1"/>
  <c r="RSD28" i="3" a="1"/>
  <c r="RSD28" i="3" s="1"/>
  <c r="RRT28" i="3" a="1"/>
  <c r="RRT28" i="3" s="1"/>
  <c r="RRL28" i="3" a="1"/>
  <c r="RRL28" i="3" s="1"/>
  <c r="RRB28" i="3" a="1"/>
  <c r="RRB28" i="3" s="1"/>
  <c r="RQT28" i="3" a="1"/>
  <c r="RQT28" i="3" s="1"/>
  <c r="RQJ28" i="3" a="1"/>
  <c r="RQJ28" i="3" s="1"/>
  <c r="RQC28" i="3" a="1"/>
  <c r="RQC28" i="3" s="1"/>
  <c r="RPP28" i="3" a="1"/>
  <c r="RPP28" i="3" s="1"/>
  <c r="RPC28" i="3" a="1"/>
  <c r="RPC28" i="3" s="1"/>
  <c r="ROP28" i="3" a="1"/>
  <c r="ROP28" i="3" s="1"/>
  <c r="ROI28" i="3" a="1"/>
  <c r="ROI28" i="3" s="1"/>
  <c r="RNV28" i="3" a="1"/>
  <c r="RNV28" i="3" s="1"/>
  <c r="RNI28" i="3" a="1"/>
  <c r="RNI28" i="3" s="1"/>
  <c r="RMV28" i="3" a="1"/>
  <c r="RMV28" i="3" s="1"/>
  <c r="RMP28" i="3" a="1"/>
  <c r="RMP28" i="3" s="1"/>
  <c r="RMJ28" i="3" a="1"/>
  <c r="RMJ28" i="3" s="1"/>
  <c r="RMD28" i="3" a="1"/>
  <c r="RMD28" i="3" s="1"/>
  <c r="RLX28" i="3" a="1"/>
  <c r="RLX28" i="3" s="1"/>
  <c r="RLR28" i="3" a="1"/>
  <c r="RLR28" i="3" s="1"/>
  <c r="RLL28" i="3" a="1"/>
  <c r="RLL28" i="3" s="1"/>
  <c r="RLF28" i="3" a="1"/>
  <c r="RLF28" i="3" s="1"/>
  <c r="RKZ28" i="3" a="1"/>
  <c r="RKZ28" i="3" s="1"/>
  <c r="RKT28" i="3" a="1"/>
  <c r="RKT28" i="3" s="1"/>
  <c r="RKN28" i="3" a="1"/>
  <c r="RKN28" i="3" s="1"/>
  <c r="RKH28" i="3" a="1"/>
  <c r="RKH28" i="3" s="1"/>
  <c r="RKB28" i="3" a="1"/>
  <c r="RKB28" i="3" s="1"/>
  <c r="RJV28" i="3" a="1"/>
  <c r="RJV28" i="3" s="1"/>
  <c r="RJP28" i="3" a="1"/>
  <c r="RJP28" i="3" s="1"/>
  <c r="RJJ28" i="3" a="1"/>
  <c r="RJJ28" i="3" s="1"/>
  <c r="WUO28" i="3" a="1"/>
  <c r="WUO28" i="3" s="1"/>
  <c r="VBV28" i="3" a="1"/>
  <c r="VBV28" i="3" s="1"/>
  <c r="TYP28" i="3" a="1"/>
  <c r="TYP28" i="3" s="1"/>
  <c r="TVB28" i="3" a="1"/>
  <c r="TVB28" i="3" s="1"/>
  <c r="TOM28" i="3" a="1"/>
  <c r="TOM28" i="3" s="1"/>
  <c r="TMD28" i="3" a="1"/>
  <c r="TMD28" i="3" s="1"/>
  <c r="TKJ28" i="3" a="1"/>
  <c r="TKJ28" i="3" s="1"/>
  <c r="TIU28" i="3" a="1"/>
  <c r="TIU28" i="3" s="1"/>
  <c r="THA28" i="3" a="1"/>
  <c r="THA28" i="3" s="1"/>
  <c r="TFS28" i="3" a="1"/>
  <c r="TFS28" i="3" s="1"/>
  <c r="TEC28" i="3" a="1"/>
  <c r="TEC28" i="3" s="1"/>
  <c r="TCT28" i="3" a="1"/>
  <c r="TCT28" i="3" s="1"/>
  <c r="TAS28" i="3" a="1"/>
  <c r="TAS28" i="3" s="1"/>
  <c r="SYV28" i="3" a="1"/>
  <c r="SYV28" i="3" s="1"/>
  <c r="SWZ28" i="3" a="1"/>
  <c r="SWZ28" i="3" s="1"/>
  <c r="SVJ28" i="3" a="1"/>
  <c r="SVJ28" i="3" s="1"/>
  <c r="SSM28" i="3" a="1"/>
  <c r="SSM28" i="3" s="1"/>
  <c r="SRT28" i="3" a="1"/>
  <c r="SRT28" i="3" s="1"/>
  <c r="SRB28" i="3" a="1"/>
  <c r="SRB28" i="3" s="1"/>
  <c r="SQJ28" i="3" a="1"/>
  <c r="SQJ28" i="3" s="1"/>
  <c r="SNU28" i="3" a="1"/>
  <c r="SNU28" i="3" s="1"/>
  <c r="SNE28" i="3" a="1"/>
  <c r="SNE28" i="3" s="1"/>
  <c r="SMR28" i="3" a="1"/>
  <c r="SMR28" i="3" s="1"/>
  <c r="SLT28" i="3" a="1"/>
  <c r="SLT28" i="3" s="1"/>
  <c r="SKU28" i="3" a="1"/>
  <c r="SKU28" i="3" s="1"/>
  <c r="SJJ28" i="3" a="1"/>
  <c r="SJJ28" i="3" s="1"/>
  <c r="SIL28" i="3" a="1"/>
  <c r="SIL28" i="3" s="1"/>
  <c r="SHM28" i="3" a="1"/>
  <c r="SHM28" i="3" s="1"/>
  <c r="SHB28" i="3" a="1"/>
  <c r="SHB28" i="3" s="1"/>
  <c r="SGQ28" i="3" a="1"/>
  <c r="SGQ28" i="3" s="1"/>
  <c r="SFV28" i="3" a="1"/>
  <c r="SFV28" i="3" s="1"/>
  <c r="SFB28" i="3" a="1"/>
  <c r="SFB28" i="3" s="1"/>
  <c r="SEH28" i="3" a="1"/>
  <c r="SEH28" i="3" s="1"/>
  <c r="SDW28" i="3" a="1"/>
  <c r="SDW28" i="3" s="1"/>
  <c r="SDB28" i="3" a="1"/>
  <c r="SDB28" i="3" s="1"/>
  <c r="SCH28" i="3" a="1"/>
  <c r="SCH28" i="3" s="1"/>
  <c r="SBN28" i="3" a="1"/>
  <c r="SBN28" i="3" s="1"/>
  <c r="SBC28" i="3" a="1"/>
  <c r="SBC28" i="3" s="1"/>
  <c r="SAH28" i="3" a="1"/>
  <c r="SAH28" i="3" s="1"/>
  <c r="RZN28" i="3" a="1"/>
  <c r="RZN28" i="3" s="1"/>
  <c r="RYT28" i="3" a="1"/>
  <c r="RYT28" i="3" s="1"/>
  <c r="RYI28" i="3" a="1"/>
  <c r="RYI28" i="3" s="1"/>
  <c r="RXN28" i="3" a="1"/>
  <c r="RXN28" i="3" s="1"/>
  <c r="RWT28" i="3" a="1"/>
  <c r="RWT28" i="3" s="1"/>
  <c r="RVZ28" i="3" a="1"/>
  <c r="RVZ28" i="3" s="1"/>
  <c r="RVO28" i="3" a="1"/>
  <c r="RVO28" i="3" s="1"/>
  <c r="RUT28" i="3" a="1"/>
  <c r="RUT28" i="3" s="1"/>
  <c r="RTZ28" i="3" a="1"/>
  <c r="RTZ28" i="3" s="1"/>
  <c r="RTF28" i="3" a="1"/>
  <c r="RTF28" i="3" s="1"/>
  <c r="RSU28" i="3" a="1"/>
  <c r="RSU28" i="3" s="1"/>
  <c r="RSB28" i="3" a="1"/>
  <c r="RSB28" i="3" s="1"/>
  <c r="RRJ28" i="3" a="1"/>
  <c r="RRJ28" i="3" s="1"/>
  <c r="RQR28" i="3" a="1"/>
  <c r="RQR28" i="3" s="1"/>
  <c r="RPU28" i="3" a="1"/>
  <c r="RPU28" i="3" s="1"/>
  <c r="RPH28" i="3" a="1"/>
  <c r="RPH28" i="3" s="1"/>
  <c r="RPA28" i="3" a="1"/>
  <c r="RPA28" i="3" s="1"/>
  <c r="RON28" i="3" a="1"/>
  <c r="RON28" i="3" s="1"/>
  <c r="ROA28" i="3" a="1"/>
  <c r="ROA28" i="3" s="1"/>
  <c r="RNN28" i="3" a="1"/>
  <c r="RNN28" i="3" s="1"/>
  <c r="UZS28" i="3" a="1"/>
  <c r="UZS28" i="3" s="1"/>
  <c r="UQQ28" i="3" a="1"/>
  <c r="UQQ28" i="3" s="1"/>
  <c r="TTV28" i="3" a="1"/>
  <c r="TTV28" i="3" s="1"/>
  <c r="TQI28" i="3" a="1"/>
  <c r="TQI28" i="3" s="1"/>
  <c r="TOA28" i="3" a="1"/>
  <c r="TOA28" i="3" s="1"/>
  <c r="TLR28" i="3" a="1"/>
  <c r="TLR28" i="3" s="1"/>
  <c r="TJU28" i="3" a="1"/>
  <c r="TJU28" i="3" s="1"/>
  <c r="TIM28" i="3" a="1"/>
  <c r="TIM28" i="3" s="1"/>
  <c r="TDU28" i="3" a="1"/>
  <c r="TDU28" i="3" s="1"/>
  <c r="TCN28" i="3" a="1"/>
  <c r="TCN28" i="3" s="1"/>
  <c r="TBK28" i="3" a="1"/>
  <c r="TBK28" i="3" s="1"/>
  <c r="SZO28" i="3" a="1"/>
  <c r="SZO28" i="3" s="1"/>
  <c r="SYP28" i="3" a="1"/>
  <c r="SYP28" i="3" s="1"/>
  <c r="SWT28" i="3" a="1"/>
  <c r="SWT28" i="3" s="1"/>
  <c r="SVE28" i="3" a="1"/>
  <c r="SVE28" i="3" s="1"/>
  <c r="SSY28" i="3" a="1"/>
  <c r="SSY28" i="3" s="1"/>
  <c r="SSG28" i="3" a="1"/>
  <c r="SSG28" i="3" s="1"/>
  <c r="SRO28" i="3" a="1"/>
  <c r="SRO28" i="3" s="1"/>
  <c r="SQZ28" i="3" a="1"/>
  <c r="SQZ28" i="3" s="1"/>
  <c r="SQH28" i="3" a="1"/>
  <c r="SQH28" i="3" s="1"/>
  <c r="SPP28" i="3" a="1"/>
  <c r="SPP28" i="3" s="1"/>
  <c r="SOY28" i="3" a="1"/>
  <c r="SOY28" i="3" s="1"/>
  <c r="SMP28" i="3" a="1"/>
  <c r="SMP28" i="3" s="1"/>
  <c r="TRB28" i="3" a="1"/>
  <c r="TRB28" i="3" s="1"/>
  <c r="TKI28" i="3" a="1"/>
  <c r="TKI28" i="3" s="1"/>
  <c r="TFL28" i="3" a="1"/>
  <c r="TFL28" i="3" s="1"/>
  <c r="TBP28" i="3" a="1"/>
  <c r="TBP28" i="3" s="1"/>
  <c r="SWC28" i="3" a="1"/>
  <c r="SWC28" i="3" s="1"/>
  <c r="SPS28" i="3" a="1"/>
  <c r="SPS28" i="3" s="1"/>
  <c r="SNS28" i="3" a="1"/>
  <c r="SNS28" i="3" s="1"/>
  <c r="SME28" i="3" a="1"/>
  <c r="SME28" i="3" s="1"/>
  <c r="SHZ28" i="3" a="1"/>
  <c r="SHZ28" i="3" s="1"/>
  <c r="SFM28" i="3" a="1"/>
  <c r="SFM28" i="3" s="1"/>
  <c r="SER28" i="3" a="1"/>
  <c r="SER28" i="3" s="1"/>
  <c r="SDX28" i="3" a="1"/>
  <c r="SDX28" i="3" s="1"/>
  <c r="SDD28" i="3" a="1"/>
  <c r="SDD28" i="3" s="1"/>
  <c r="RZY28" i="3" a="1"/>
  <c r="RZY28" i="3" s="1"/>
  <c r="RZD28" i="3" a="1"/>
  <c r="RZD28" i="3" s="1"/>
  <c r="RYJ28" i="3" a="1"/>
  <c r="RYJ28" i="3" s="1"/>
  <c r="RXP28" i="3" a="1"/>
  <c r="RXP28" i="3" s="1"/>
  <c r="RUK28" i="3" a="1"/>
  <c r="RUK28" i="3" s="1"/>
  <c r="RTP28" i="3" a="1"/>
  <c r="RTP28" i="3" s="1"/>
  <c r="RSV28" i="3" a="1"/>
  <c r="RSV28" i="3" s="1"/>
  <c r="RQB28" i="3" a="1"/>
  <c r="RQB28" i="3" s="1"/>
  <c r="RPO28" i="3" a="1"/>
  <c r="RPO28" i="3" s="1"/>
  <c r="RPB28" i="3" a="1"/>
  <c r="RPB28" i="3" s="1"/>
  <c r="RNB28" i="3" a="1"/>
  <c r="RNB28" i="3" s="1"/>
  <c r="RMS28" i="3" a="1"/>
  <c r="RMS28" i="3" s="1"/>
  <c r="RMH28" i="3" a="1"/>
  <c r="RMH28" i="3" s="1"/>
  <c r="RLW28" i="3" a="1"/>
  <c r="RLW28" i="3" s="1"/>
  <c r="RJY28" i="3" a="1"/>
  <c r="RJY28" i="3" s="1"/>
  <c r="RJN28" i="3" a="1"/>
  <c r="RJN28" i="3" s="1"/>
  <c r="RJD28" i="3" a="1"/>
  <c r="RJD28" i="3" s="1"/>
  <c r="RIW28" i="3" a="1"/>
  <c r="RIW28" i="3" s="1"/>
  <c r="RIP28" i="3" a="1"/>
  <c r="RIP28" i="3" s="1"/>
  <c r="RII28" i="3" a="1"/>
  <c r="RII28" i="3" s="1"/>
  <c r="RIA28" i="3" a="1"/>
  <c r="RIA28" i="3" s="1"/>
  <c r="RHT28" i="3" a="1"/>
  <c r="RHT28" i="3" s="1"/>
  <c r="RHM28" i="3" a="1"/>
  <c r="RHM28" i="3" s="1"/>
  <c r="RHF28" i="3" a="1"/>
  <c r="RHF28" i="3" s="1"/>
  <c r="RGY28" i="3" a="1"/>
  <c r="RGY28" i="3" s="1"/>
  <c r="RGQ28" i="3" a="1"/>
  <c r="RGQ28" i="3" s="1"/>
  <c r="RGJ28" i="3" a="1"/>
  <c r="RGJ28" i="3" s="1"/>
  <c r="RGC28" i="3" a="1"/>
  <c r="RGC28" i="3" s="1"/>
  <c r="RFV28" i="3" a="1"/>
  <c r="RFV28" i="3" s="1"/>
  <c r="RFO28" i="3" a="1"/>
  <c r="RFO28" i="3" s="1"/>
  <c r="RFG28" i="3" a="1"/>
  <c r="RFG28" i="3" s="1"/>
  <c r="REZ28" i="3" a="1"/>
  <c r="REZ28" i="3" s="1"/>
  <c r="RES28" i="3" a="1"/>
  <c r="RES28" i="3" s="1"/>
  <c r="REL28" i="3" a="1"/>
  <c r="REL28" i="3" s="1"/>
  <c r="REE28" i="3" a="1"/>
  <c r="REE28" i="3" s="1"/>
  <c r="RDW28" i="3" a="1"/>
  <c r="RDW28" i="3" s="1"/>
  <c r="RDP28" i="3" a="1"/>
  <c r="RDP28" i="3" s="1"/>
  <c r="RDI28" i="3" a="1"/>
  <c r="RDI28" i="3" s="1"/>
  <c r="RDB28" i="3" a="1"/>
  <c r="RDB28" i="3" s="1"/>
  <c r="RCU28" i="3" a="1"/>
  <c r="RCU28" i="3" s="1"/>
  <c r="RCM28" i="3" a="1"/>
  <c r="RCM28" i="3" s="1"/>
  <c r="RCF28" i="3" a="1"/>
  <c r="RCF28" i="3" s="1"/>
  <c r="RBY28" i="3" a="1"/>
  <c r="RBY28" i="3" s="1"/>
  <c r="RBR28" i="3" a="1"/>
  <c r="RBR28" i="3" s="1"/>
  <c r="RBK28" i="3" a="1"/>
  <c r="RBK28" i="3" s="1"/>
  <c r="RBC28" i="3" a="1"/>
  <c r="RBC28" i="3" s="1"/>
  <c r="RAV28" i="3" a="1"/>
  <c r="RAV28" i="3" s="1"/>
  <c r="RAO28" i="3" a="1"/>
  <c r="RAO28" i="3" s="1"/>
  <c r="RAH28" i="3" a="1"/>
  <c r="RAH28" i="3" s="1"/>
  <c r="RAA28" i="3" a="1"/>
  <c r="RAA28" i="3" s="1"/>
  <c r="QZS28" i="3" a="1"/>
  <c r="QZS28" i="3" s="1"/>
  <c r="QZL28" i="3" a="1"/>
  <c r="QZL28" i="3" s="1"/>
  <c r="QZE28" i="3" a="1"/>
  <c r="QZE28" i="3" s="1"/>
  <c r="QYX28" i="3" a="1"/>
  <c r="QYX28" i="3" s="1"/>
  <c r="QYQ28" i="3" a="1"/>
  <c r="QYQ28" i="3" s="1"/>
  <c r="QYI28" i="3" a="1"/>
  <c r="QYI28" i="3" s="1"/>
  <c r="QYB28" i="3" a="1"/>
  <c r="QYB28" i="3" s="1"/>
  <c r="QXU28" i="3" a="1"/>
  <c r="QXU28" i="3" s="1"/>
  <c r="UZT28" i="3" a="1"/>
  <c r="UZT28" i="3" s="1"/>
  <c r="UDE28" i="3" a="1"/>
  <c r="UDE28" i="3" s="1"/>
  <c r="TQX28" i="3" a="1"/>
  <c r="TQX28" i="3" s="1"/>
  <c r="TKA28" i="3" a="1"/>
  <c r="TKA28" i="3" s="1"/>
  <c r="SYQ28" i="3" a="1"/>
  <c r="SYQ28" i="3" s="1"/>
  <c r="SWB28" i="3" a="1"/>
  <c r="SWB28" i="3" s="1"/>
  <c r="STT28" i="3" a="1"/>
  <c r="STT28" i="3" s="1"/>
  <c r="SRS28" i="3" a="1"/>
  <c r="SRS28" i="3" s="1"/>
  <c r="SNQ28" i="3" a="1"/>
  <c r="SNQ28" i="3" s="1"/>
  <c r="SMD28" i="3" a="1"/>
  <c r="SMD28" i="3" s="1"/>
  <c r="SKX28" i="3" a="1"/>
  <c r="SKX28" i="3" s="1"/>
  <c r="SJV28" i="3" a="1"/>
  <c r="SJV28" i="3" s="1"/>
  <c r="SIW28" i="3" a="1"/>
  <c r="SIW28" i="3" s="1"/>
  <c r="SHX28" i="3" a="1"/>
  <c r="SHX28" i="3" s="1"/>
  <c r="SGZ28" i="3" a="1"/>
  <c r="SGZ28" i="3" s="1"/>
  <c r="SGF28" i="3" a="1"/>
  <c r="SGF28" i="3" s="1"/>
  <c r="SFL28" i="3" a="1"/>
  <c r="SFL28" i="3" s="1"/>
  <c r="SCG28" i="3" a="1"/>
  <c r="SCG28" i="3" s="1"/>
  <c r="SBL28" i="3" a="1"/>
  <c r="SBL28" i="3" s="1"/>
  <c r="SAR28" i="3" a="1"/>
  <c r="SAR28" i="3" s="1"/>
  <c r="RZX28" i="3" a="1"/>
  <c r="RZX28" i="3" s="1"/>
  <c r="RWS28" i="3" a="1"/>
  <c r="RWS28" i="3" s="1"/>
  <c r="RVX28" i="3" a="1"/>
  <c r="RVX28" i="3" s="1"/>
  <c r="RVD28" i="3" a="1"/>
  <c r="RVD28" i="3" s="1"/>
  <c r="RUJ28" i="3" a="1"/>
  <c r="RUJ28" i="3" s="1"/>
  <c r="RRZ28" i="3" a="1"/>
  <c r="RRZ28" i="3" s="1"/>
  <c r="RRH28" i="3" a="1"/>
  <c r="RRH28" i="3" s="1"/>
  <c r="RQP28" i="3" a="1"/>
  <c r="RQP28" i="3" s="1"/>
  <c r="RQA28" i="3" a="1"/>
  <c r="RQA28" i="3" s="1"/>
  <c r="RPN28" i="3" a="1"/>
  <c r="RPN28" i="3" s="1"/>
  <c r="RLC28" i="3" a="1"/>
  <c r="RLC28" i="3" s="1"/>
  <c r="RKR28" i="3" a="1"/>
  <c r="RKR28" i="3" s="1"/>
  <c r="RKG28" i="3" a="1"/>
  <c r="RKG28" i="3" s="1"/>
  <c r="RIH28" i="3" a="1"/>
  <c r="RIH28" i="3" s="1"/>
  <c r="RGX28" i="3" a="1"/>
  <c r="RGX28" i="3" s="1"/>
  <c r="RFN28" i="3" a="1"/>
  <c r="RFN28" i="3" s="1"/>
  <c r="RED28" i="3" a="1"/>
  <c r="RED28" i="3" s="1"/>
  <c r="RCT28" i="3" a="1"/>
  <c r="RCT28" i="3" s="1"/>
  <c r="RBJ28" i="3" a="1"/>
  <c r="RBJ28" i="3" s="1"/>
  <c r="QZZ28" i="3" a="1"/>
  <c r="QZZ28" i="3" s="1"/>
  <c r="QYP28" i="3" a="1"/>
  <c r="QYP28" i="3" s="1"/>
  <c r="QXN28" i="3" a="1"/>
  <c r="QXN28" i="3" s="1"/>
  <c r="QXH28" i="3" a="1"/>
  <c r="QXH28" i="3" s="1"/>
  <c r="QXB28" i="3" a="1"/>
  <c r="QXB28" i="3" s="1"/>
  <c r="QWV28" i="3" a="1"/>
  <c r="QWV28" i="3" s="1"/>
  <c r="QWP28" i="3" a="1"/>
  <c r="QWP28" i="3" s="1"/>
  <c r="QWJ28" i="3" a="1"/>
  <c r="QWJ28" i="3" s="1"/>
  <c r="QWD28" i="3" a="1"/>
  <c r="QWD28" i="3" s="1"/>
  <c r="QVX28" i="3" a="1"/>
  <c r="QVX28" i="3" s="1"/>
  <c r="QVR28" i="3" a="1"/>
  <c r="QVR28" i="3" s="1"/>
  <c r="QVL28" i="3" a="1"/>
  <c r="QVL28" i="3" s="1"/>
  <c r="QVF28" i="3" a="1"/>
  <c r="QVF28" i="3" s="1"/>
  <c r="QUZ28" i="3" a="1"/>
  <c r="QUZ28" i="3" s="1"/>
  <c r="QUT28" i="3" a="1"/>
  <c r="QUT28" i="3" s="1"/>
  <c r="QUN28" i="3" a="1"/>
  <c r="QUN28" i="3" s="1"/>
  <c r="QUH28" i="3" a="1"/>
  <c r="QUH28" i="3" s="1"/>
  <c r="QUB28" i="3" a="1"/>
  <c r="QUB28" i="3" s="1"/>
  <c r="QTV28" i="3" a="1"/>
  <c r="QTV28" i="3" s="1"/>
  <c r="QTP28" i="3" a="1"/>
  <c r="QTP28" i="3" s="1"/>
  <c r="QTJ28" i="3" a="1"/>
  <c r="QTJ28" i="3" s="1"/>
  <c r="QTD28" i="3" a="1"/>
  <c r="QTD28" i="3" s="1"/>
  <c r="QSX28" i="3" a="1"/>
  <c r="QSX28" i="3" s="1"/>
  <c r="QSR28" i="3" a="1"/>
  <c r="QSR28" i="3" s="1"/>
  <c r="QSL28" i="3" a="1"/>
  <c r="QSL28" i="3" s="1"/>
  <c r="QSF28" i="3" a="1"/>
  <c r="QSF28" i="3" s="1"/>
  <c r="QRZ28" i="3" a="1"/>
  <c r="QRZ28" i="3" s="1"/>
  <c r="QRT28" i="3" a="1"/>
  <c r="QRT28" i="3" s="1"/>
  <c r="QRN28" i="3" a="1"/>
  <c r="QRN28" i="3" s="1"/>
  <c r="QRH28" i="3" a="1"/>
  <c r="QRH28" i="3" s="1"/>
  <c r="QRB28" i="3" a="1"/>
  <c r="QRB28" i="3" s="1"/>
  <c r="QQV28" i="3" a="1"/>
  <c r="QQV28" i="3" s="1"/>
  <c r="QQP28" i="3" a="1"/>
  <c r="QQP28" i="3" s="1"/>
  <c r="QQJ28" i="3" a="1"/>
  <c r="QQJ28" i="3" s="1"/>
  <c r="QQD28" i="3" a="1"/>
  <c r="QQD28" i="3" s="1"/>
  <c r="QPX28" i="3" a="1"/>
  <c r="QPX28" i="3" s="1"/>
  <c r="QPR28" i="3" a="1"/>
  <c r="QPR28" i="3" s="1"/>
  <c r="QPL28" i="3" a="1"/>
  <c r="QPL28" i="3" s="1"/>
  <c r="QPF28" i="3" a="1"/>
  <c r="QPF28" i="3" s="1"/>
  <c r="QOZ28" i="3" a="1"/>
  <c r="QOZ28" i="3" s="1"/>
  <c r="QOT28" i="3" a="1"/>
  <c r="QOT28" i="3" s="1"/>
  <c r="QON28" i="3" a="1"/>
  <c r="QON28" i="3" s="1"/>
  <c r="QOH28" i="3" a="1"/>
  <c r="QOH28" i="3" s="1"/>
  <c r="QOB28" i="3" a="1"/>
  <c r="QOB28" i="3" s="1"/>
  <c r="QNV28" i="3" a="1"/>
  <c r="QNV28" i="3" s="1"/>
  <c r="QNP28" i="3" a="1"/>
  <c r="QNP28" i="3" s="1"/>
  <c r="QNJ28" i="3" a="1"/>
  <c r="QNJ28" i="3" s="1"/>
  <c r="QND28" i="3" a="1"/>
  <c r="QND28" i="3" s="1"/>
  <c r="QMX28" i="3" a="1"/>
  <c r="QMX28" i="3" s="1"/>
  <c r="QMR28" i="3" a="1"/>
  <c r="QMR28" i="3" s="1"/>
  <c r="QML28" i="3" a="1"/>
  <c r="QML28" i="3" s="1"/>
  <c r="QMF28" i="3" a="1"/>
  <c r="QMF28" i="3" s="1"/>
  <c r="QLZ28" i="3" a="1"/>
  <c r="QLZ28" i="3" s="1"/>
  <c r="QLT28" i="3" a="1"/>
  <c r="QLT28" i="3" s="1"/>
  <c r="QLN28" i="3" a="1"/>
  <c r="QLN28" i="3" s="1"/>
  <c r="QLH28" i="3" a="1"/>
  <c r="QLH28" i="3" s="1"/>
  <c r="QLB28" i="3" a="1"/>
  <c r="QLB28" i="3" s="1"/>
  <c r="QKV28" i="3" a="1"/>
  <c r="QKV28" i="3" s="1"/>
  <c r="QKP28" i="3" a="1"/>
  <c r="QKP28" i="3" s="1"/>
  <c r="QKJ28" i="3" a="1"/>
  <c r="QKJ28" i="3" s="1"/>
  <c r="QKD28" i="3" a="1"/>
  <c r="QKD28" i="3" s="1"/>
  <c r="QJX28" i="3" a="1"/>
  <c r="QJX28" i="3" s="1"/>
  <c r="QJR28" i="3" a="1"/>
  <c r="QJR28" i="3" s="1"/>
  <c r="QJL28" i="3" a="1"/>
  <c r="QJL28" i="3" s="1"/>
  <c r="QJF28" i="3" a="1"/>
  <c r="QJF28" i="3" s="1"/>
  <c r="QIZ28" i="3" a="1"/>
  <c r="QIZ28" i="3" s="1"/>
  <c r="QIT28" i="3" a="1"/>
  <c r="QIT28" i="3" s="1"/>
  <c r="QIN28" i="3" a="1"/>
  <c r="QIN28" i="3" s="1"/>
  <c r="QIH28" i="3" a="1"/>
  <c r="QIH28" i="3" s="1"/>
  <c r="QIB28" i="3" a="1"/>
  <c r="QIB28" i="3" s="1"/>
  <c r="QHV28" i="3" a="1"/>
  <c r="QHV28" i="3" s="1"/>
  <c r="QHP28" i="3" a="1"/>
  <c r="QHP28" i="3" s="1"/>
  <c r="QHJ28" i="3" a="1"/>
  <c r="QHJ28" i="3" s="1"/>
  <c r="QHD28" i="3" a="1"/>
  <c r="QHD28" i="3" s="1"/>
  <c r="QGX28" i="3" a="1"/>
  <c r="QGX28" i="3" s="1"/>
  <c r="QGR28" i="3" a="1"/>
  <c r="QGR28" i="3" s="1"/>
  <c r="QGL28" i="3" a="1"/>
  <c r="QGL28" i="3" s="1"/>
  <c r="QGF28" i="3" a="1"/>
  <c r="QGF28" i="3" s="1"/>
  <c r="QFZ28" i="3" a="1"/>
  <c r="QFZ28" i="3" s="1"/>
  <c r="QFT28" i="3" a="1"/>
  <c r="QFT28" i="3" s="1"/>
  <c r="QFN28" i="3" a="1"/>
  <c r="QFN28" i="3" s="1"/>
  <c r="QFH28" i="3" a="1"/>
  <c r="QFH28" i="3" s="1"/>
  <c r="QFB28" i="3" a="1"/>
  <c r="QFB28" i="3" s="1"/>
  <c r="QEV28" i="3" a="1"/>
  <c r="QEV28" i="3" s="1"/>
  <c r="QEP28" i="3" a="1"/>
  <c r="QEP28" i="3" s="1"/>
  <c r="QEJ28" i="3" a="1"/>
  <c r="QEJ28" i="3" s="1"/>
  <c r="QED28" i="3" a="1"/>
  <c r="QED28" i="3" s="1"/>
  <c r="QDX28" i="3" a="1"/>
  <c r="QDX28" i="3" s="1"/>
  <c r="QDR28" i="3" a="1"/>
  <c r="QDR28" i="3" s="1"/>
  <c r="QDL28" i="3" a="1"/>
  <c r="QDL28" i="3" s="1"/>
  <c r="QDF28" i="3" a="1"/>
  <c r="QDF28" i="3" s="1"/>
  <c r="QCZ28" i="3" a="1"/>
  <c r="QCZ28" i="3" s="1"/>
  <c r="QCT28" i="3" a="1"/>
  <c r="QCT28" i="3" s="1"/>
  <c r="QCN28" i="3" a="1"/>
  <c r="QCN28" i="3" s="1"/>
  <c r="QCH28" i="3" a="1"/>
  <c r="QCH28" i="3" s="1"/>
  <c r="QCB28" i="3" a="1"/>
  <c r="QCB28" i="3" s="1"/>
  <c r="QBV28" i="3" a="1"/>
  <c r="QBV28" i="3" s="1"/>
  <c r="QBP28" i="3" a="1"/>
  <c r="QBP28" i="3" s="1"/>
  <c r="QBJ28" i="3" a="1"/>
  <c r="QBJ28" i="3" s="1"/>
  <c r="QBD28" i="3" a="1"/>
  <c r="QBD28" i="3" s="1"/>
  <c r="QAX28" i="3" a="1"/>
  <c r="QAX28" i="3" s="1"/>
  <c r="QAR28" i="3" a="1"/>
  <c r="QAR28" i="3" s="1"/>
  <c r="QAL28" i="3" a="1"/>
  <c r="QAL28" i="3" s="1"/>
  <c r="QAF28" i="3" a="1"/>
  <c r="QAF28" i="3" s="1"/>
  <c r="PZZ28" i="3" a="1"/>
  <c r="PZZ28" i="3" s="1"/>
  <c r="PZT28" i="3" a="1"/>
  <c r="PZT28" i="3" s="1"/>
  <c r="PZN28" i="3" a="1"/>
  <c r="PZN28" i="3" s="1"/>
  <c r="PZH28" i="3" a="1"/>
  <c r="PZH28" i="3" s="1"/>
  <c r="PZB28" i="3" a="1"/>
  <c r="PZB28" i="3" s="1"/>
  <c r="PYV28" i="3" a="1"/>
  <c r="PYV28" i="3" s="1"/>
  <c r="PYP28" i="3" a="1"/>
  <c r="PYP28" i="3" s="1"/>
  <c r="PYJ28" i="3" a="1"/>
  <c r="PYJ28" i="3" s="1"/>
  <c r="PYD28" i="3" a="1"/>
  <c r="PYD28" i="3" s="1"/>
  <c r="PXX28" i="3" a="1"/>
  <c r="PXX28" i="3" s="1"/>
  <c r="PXR28" i="3" a="1"/>
  <c r="PXR28" i="3" s="1"/>
  <c r="PXL28" i="3" a="1"/>
  <c r="PXL28" i="3" s="1"/>
  <c r="PXF28" i="3" a="1"/>
  <c r="PXF28" i="3" s="1"/>
  <c r="PWZ28" i="3" a="1"/>
  <c r="PWZ28" i="3" s="1"/>
  <c r="PWT28" i="3" a="1"/>
  <c r="PWT28" i="3" s="1"/>
  <c r="PWN28" i="3" a="1"/>
  <c r="PWN28" i="3" s="1"/>
  <c r="PWH28" i="3" a="1"/>
  <c r="PWH28" i="3" s="1"/>
  <c r="UUI28" i="3" a="1"/>
  <c r="UUI28" i="3" s="1"/>
  <c r="TOX28" i="3" a="1"/>
  <c r="TOX28" i="3" s="1"/>
  <c r="TIW28" i="3" a="1"/>
  <c r="TIW28" i="3" s="1"/>
  <c r="TEJ28" i="3" a="1"/>
  <c r="TEJ28" i="3" s="1"/>
  <c r="TAX28" i="3" a="1"/>
  <c r="TAX28" i="3" s="1"/>
  <c r="SRF28" i="3" a="1"/>
  <c r="SRF28" i="3" s="1"/>
  <c r="SPE28" i="3" a="1"/>
  <c r="SPE28" i="3" s="1"/>
  <c r="SIU28" i="3" a="1"/>
  <c r="SIU28" i="3" s="1"/>
  <c r="SHW28" i="3" a="1"/>
  <c r="SHW28" i="3" s="1"/>
  <c r="SGE28" i="3" a="1"/>
  <c r="SGE28" i="3" s="1"/>
  <c r="SFJ28" i="3" a="1"/>
  <c r="SFJ28" i="3" s="1"/>
  <c r="SEP28" i="3" a="1"/>
  <c r="SEP28" i="3" s="1"/>
  <c r="SDV28" i="3" a="1"/>
  <c r="SDV28" i="3" s="1"/>
  <c r="SAQ28" i="3" a="1"/>
  <c r="SAQ28" i="3" s="1"/>
  <c r="RZV28" i="3" a="1"/>
  <c r="RZV28" i="3" s="1"/>
  <c r="RZB28" i="3" a="1"/>
  <c r="RZB28" i="3" s="1"/>
  <c r="RYH28" i="3" a="1"/>
  <c r="RYH28" i="3" s="1"/>
  <c r="RVC28" i="3" a="1"/>
  <c r="RVC28" i="3" s="1"/>
  <c r="RUH28" i="3" a="1"/>
  <c r="RUH28" i="3" s="1"/>
  <c r="RTN28" i="3" a="1"/>
  <c r="RTN28" i="3" s="1"/>
  <c r="RST28" i="3" a="1"/>
  <c r="RST28" i="3" s="1"/>
  <c r="RPM28" i="3" a="1"/>
  <c r="RPM28" i="3" s="1"/>
  <c r="ROZ28" i="3" a="1"/>
  <c r="ROZ28" i="3" s="1"/>
  <c r="ROM28" i="3" a="1"/>
  <c r="ROM28" i="3" s="1"/>
  <c r="RNZ28" i="3" a="1"/>
  <c r="RNZ28" i="3" s="1"/>
  <c r="RNM28" i="3" a="1"/>
  <c r="RNM28" i="3" s="1"/>
  <c r="RNA28" i="3" a="1"/>
  <c r="RNA28" i="3" s="1"/>
  <c r="RMG28" i="3" a="1"/>
  <c r="RMG28" i="3" s="1"/>
  <c r="RLV28" i="3" a="1"/>
  <c r="RLV28" i="3" s="1"/>
  <c r="RLK28" i="3" a="1"/>
  <c r="RLK28" i="3" s="1"/>
  <c r="RJM28" i="3" a="1"/>
  <c r="RJM28" i="3" s="1"/>
  <c r="RJC28" i="3" a="1"/>
  <c r="RJC28" i="3" s="1"/>
  <c r="RIV28" i="3" a="1"/>
  <c r="RIV28" i="3" s="1"/>
  <c r="RIO28" i="3" a="1"/>
  <c r="RIO28" i="3" s="1"/>
  <c r="RIG28" i="3" a="1"/>
  <c r="RIG28" i="3" s="1"/>
  <c r="RHZ28" i="3" a="1"/>
  <c r="RHZ28" i="3" s="1"/>
  <c r="RHS28" i="3" a="1"/>
  <c r="RHS28" i="3" s="1"/>
  <c r="RHL28" i="3" a="1"/>
  <c r="RHL28" i="3" s="1"/>
  <c r="RHE28" i="3" a="1"/>
  <c r="RHE28" i="3" s="1"/>
  <c r="RGW28" i="3" a="1"/>
  <c r="RGW28" i="3" s="1"/>
  <c r="RGP28" i="3" a="1"/>
  <c r="RGP28" i="3" s="1"/>
  <c r="RGI28" i="3" a="1"/>
  <c r="RGI28" i="3" s="1"/>
  <c r="RGB28" i="3" a="1"/>
  <c r="RGB28" i="3" s="1"/>
  <c r="RFU28" i="3" a="1"/>
  <c r="RFU28" i="3" s="1"/>
  <c r="RFM28" i="3" a="1"/>
  <c r="RFM28" i="3" s="1"/>
  <c r="RFF28" i="3" a="1"/>
  <c r="RFF28" i="3" s="1"/>
  <c r="REY28" i="3" a="1"/>
  <c r="REY28" i="3" s="1"/>
  <c r="RER28" i="3" a="1"/>
  <c r="RER28" i="3" s="1"/>
  <c r="REK28" i="3" a="1"/>
  <c r="REK28" i="3" s="1"/>
  <c r="REC28" i="3" a="1"/>
  <c r="REC28" i="3" s="1"/>
  <c r="RDV28" i="3" a="1"/>
  <c r="RDV28" i="3" s="1"/>
  <c r="RDO28" i="3" a="1"/>
  <c r="RDO28" i="3" s="1"/>
  <c r="RDH28" i="3" a="1"/>
  <c r="RDH28" i="3" s="1"/>
  <c r="RDA28" i="3" a="1"/>
  <c r="RDA28" i="3" s="1"/>
  <c r="RCS28" i="3" a="1"/>
  <c r="RCS28" i="3" s="1"/>
  <c r="RCL28" i="3" a="1"/>
  <c r="RCL28" i="3" s="1"/>
  <c r="RCE28" i="3" a="1"/>
  <c r="RCE28" i="3" s="1"/>
  <c r="RBX28" i="3" a="1"/>
  <c r="RBX28" i="3" s="1"/>
  <c r="RBQ28" i="3" a="1"/>
  <c r="RBQ28" i="3" s="1"/>
  <c r="RBI28" i="3" a="1"/>
  <c r="RBI28" i="3" s="1"/>
  <c r="RBB28" i="3" a="1"/>
  <c r="RBB28" i="3" s="1"/>
  <c r="RAU28" i="3" a="1"/>
  <c r="RAU28" i="3" s="1"/>
  <c r="RAN28" i="3" a="1"/>
  <c r="RAN28" i="3" s="1"/>
  <c r="RAG28" i="3" a="1"/>
  <c r="RAG28" i="3" s="1"/>
  <c r="QZY28" i="3" a="1"/>
  <c r="QZY28" i="3" s="1"/>
  <c r="QZR28" i="3" a="1"/>
  <c r="QZR28" i="3" s="1"/>
  <c r="QZK28" i="3" a="1"/>
  <c r="QZK28" i="3" s="1"/>
  <c r="QZD28" i="3" a="1"/>
  <c r="QZD28" i="3" s="1"/>
  <c r="QYW28" i="3" a="1"/>
  <c r="QYW28" i="3" s="1"/>
  <c r="QYO28" i="3" a="1"/>
  <c r="QYO28" i="3" s="1"/>
  <c r="QYH28" i="3" a="1"/>
  <c r="QYH28" i="3" s="1"/>
  <c r="QYA28" i="3" a="1"/>
  <c r="QYA28" i="3" s="1"/>
  <c r="QXT28" i="3" a="1"/>
  <c r="QXT28" i="3" s="1"/>
  <c r="UUA28" i="3" a="1"/>
  <c r="UUA28" i="3" s="1"/>
  <c r="TIV28" i="3" a="1"/>
  <c r="TIV28" i="3" s="1"/>
  <c r="TEI28" i="3" a="1"/>
  <c r="TEI28" i="3" s="1"/>
  <c r="SXY28" i="3" a="1"/>
  <c r="SXY28" i="3" s="1"/>
  <c r="SVM28" i="3" a="1"/>
  <c r="SVM28" i="3" s="1"/>
  <c r="STD28" i="3" a="1"/>
  <c r="STD28" i="3" s="1"/>
  <c r="SPD28" i="3" a="1"/>
  <c r="SPD28" i="3" s="1"/>
  <c r="SNG28" i="3" a="1"/>
  <c r="SNG28" i="3" s="1"/>
  <c r="SLV28" i="3" a="1"/>
  <c r="SLV28" i="3" s="1"/>
  <c r="SKT28" i="3" a="1"/>
  <c r="SKT28" i="3" s="1"/>
  <c r="SEO28" i="3" a="1"/>
  <c r="SEO28" i="3" s="1"/>
  <c r="SDT28" i="3" a="1"/>
  <c r="SDT28" i="3" s="1"/>
  <c r="SCZ28" i="3" a="1"/>
  <c r="SCZ28" i="3" s="1"/>
  <c r="SCF28" i="3" a="1"/>
  <c r="SCF28" i="3" s="1"/>
  <c r="RZA28" i="3" a="1"/>
  <c r="RZA28" i="3" s="1"/>
  <c r="RYF28" i="3" a="1"/>
  <c r="RYF28" i="3" s="1"/>
  <c r="RXL28" i="3" a="1"/>
  <c r="RXL28" i="3" s="1"/>
  <c r="RWR28" i="3" a="1"/>
  <c r="RWR28" i="3" s="1"/>
  <c r="RTM28" i="3" a="1"/>
  <c r="RTM28" i="3" s="1"/>
  <c r="RSR28" i="3" a="1"/>
  <c r="RSR28" i="3" s="1"/>
  <c r="RRY28" i="3" a="1"/>
  <c r="RRY28" i="3" s="1"/>
  <c r="RRG28" i="3" a="1"/>
  <c r="RRG28" i="3" s="1"/>
  <c r="RQO28" i="3" a="1"/>
  <c r="RQO28" i="3" s="1"/>
  <c r="RPZ28" i="3" a="1"/>
  <c r="RPZ28" i="3" s="1"/>
  <c r="RMO28" i="3" a="1"/>
  <c r="RMO28" i="3" s="1"/>
  <c r="RKQ28" i="3" a="1"/>
  <c r="RKQ28" i="3" s="1"/>
  <c r="RKF28" i="3" a="1"/>
  <c r="RKF28" i="3" s="1"/>
  <c r="RJU28" i="3" a="1"/>
  <c r="RJU28" i="3" s="1"/>
  <c r="RIN28" i="3" a="1"/>
  <c r="RIN28" i="3" s="1"/>
  <c r="RHD28" i="3" a="1"/>
  <c r="RHD28" i="3" s="1"/>
  <c r="RFT28" i="3" a="1"/>
  <c r="RFT28" i="3" s="1"/>
  <c r="REJ28" i="3" a="1"/>
  <c r="REJ28" i="3" s="1"/>
  <c r="RCZ28" i="3" a="1"/>
  <c r="RCZ28" i="3" s="1"/>
  <c r="RBP28" i="3" a="1"/>
  <c r="RBP28" i="3" s="1"/>
  <c r="RAF28" i="3" a="1"/>
  <c r="RAF28" i="3" s="1"/>
  <c r="TOB28" i="3" a="1"/>
  <c r="TOB28" i="3" s="1"/>
  <c r="TIN28" i="3" a="1"/>
  <c r="TIN28" i="3" s="1"/>
  <c r="TEB28" i="3" a="1"/>
  <c r="TEB28" i="3" s="1"/>
  <c r="TAM28" i="3" a="1"/>
  <c r="TAM28" i="3" s="1"/>
  <c r="STB28" i="3" a="1"/>
  <c r="STB28" i="3" s="1"/>
  <c r="SKR28" i="3" a="1"/>
  <c r="SKR28" i="3" s="1"/>
  <c r="SEI28" i="3" a="1"/>
  <c r="SEI28" i="3" s="1"/>
  <c r="SDN28" i="3" a="1"/>
  <c r="SDN28" i="3" s="1"/>
  <c r="SCT28" i="3" a="1"/>
  <c r="SCT28" i="3" s="1"/>
  <c r="SBZ28" i="3" a="1"/>
  <c r="SBZ28" i="3" s="1"/>
  <c r="RYU28" i="3" a="1"/>
  <c r="RYU28" i="3" s="1"/>
  <c r="RXZ28" i="3" a="1"/>
  <c r="RXZ28" i="3" s="1"/>
  <c r="RXF28" i="3" a="1"/>
  <c r="RXF28" i="3" s="1"/>
  <c r="RWL28" i="3" a="1"/>
  <c r="RWL28" i="3" s="1"/>
  <c r="RTG28" i="3" a="1"/>
  <c r="RTG28" i="3" s="1"/>
  <c r="RSL28" i="3" a="1"/>
  <c r="RSL28" i="3" s="1"/>
  <c r="RPV28" i="3" a="1"/>
  <c r="RPV28" i="3" s="1"/>
  <c r="RPI28" i="3" a="1"/>
  <c r="RPI28" i="3" s="1"/>
  <c r="ROV28" i="3" a="1"/>
  <c r="ROV28" i="3" s="1"/>
  <c r="RMY28" i="3" a="1"/>
  <c r="RMY28" i="3" s="1"/>
  <c r="RMN28" i="3" a="1"/>
  <c r="RMN28" i="3" s="1"/>
  <c r="RMC28" i="3" a="1"/>
  <c r="RMC28" i="3" s="1"/>
  <c r="RKE28" i="3" a="1"/>
  <c r="RKE28" i="3" s="1"/>
  <c r="RJT28" i="3" a="1"/>
  <c r="RJT28" i="3" s="1"/>
  <c r="RJI28" i="3" a="1"/>
  <c r="RJI28" i="3" s="1"/>
  <c r="RIT28" i="3" a="1"/>
  <c r="RIT28" i="3" s="1"/>
  <c r="RHJ28" i="3" a="1"/>
  <c r="RHJ28" i="3" s="1"/>
  <c r="RFZ28" i="3" a="1"/>
  <c r="RFZ28" i="3" s="1"/>
  <c r="REP28" i="3" a="1"/>
  <c r="REP28" i="3" s="1"/>
  <c r="RDF28" i="3" a="1"/>
  <c r="RDF28" i="3" s="1"/>
  <c r="RBV28" i="3" a="1"/>
  <c r="RBV28" i="3" s="1"/>
  <c r="RAL28" i="3" a="1"/>
  <c r="RAL28" i="3" s="1"/>
  <c r="QZB28" i="3" a="1"/>
  <c r="QZB28" i="3" s="1"/>
  <c r="QXR28" i="3" a="1"/>
  <c r="QXR28" i="3" s="1"/>
  <c r="QXL28" i="3" a="1"/>
  <c r="QXL28" i="3" s="1"/>
  <c r="QXF28" i="3" a="1"/>
  <c r="QXF28" i="3" s="1"/>
  <c r="QWZ28" i="3" a="1"/>
  <c r="QWZ28" i="3" s="1"/>
  <c r="QWT28" i="3" a="1"/>
  <c r="QWT28" i="3" s="1"/>
  <c r="QWN28" i="3" a="1"/>
  <c r="QWN28" i="3" s="1"/>
  <c r="QWH28" i="3" a="1"/>
  <c r="QWH28" i="3" s="1"/>
  <c r="QWB28" i="3" a="1"/>
  <c r="QWB28" i="3" s="1"/>
  <c r="QVV28" i="3" a="1"/>
  <c r="QVV28" i="3" s="1"/>
  <c r="QVP28" i="3" a="1"/>
  <c r="QVP28" i="3" s="1"/>
  <c r="QVJ28" i="3" a="1"/>
  <c r="QVJ28" i="3" s="1"/>
  <c r="QVD28" i="3" a="1"/>
  <c r="QVD28" i="3" s="1"/>
  <c r="QUX28" i="3" a="1"/>
  <c r="QUX28" i="3" s="1"/>
  <c r="QUR28" i="3" a="1"/>
  <c r="QUR28" i="3" s="1"/>
  <c r="QUL28" i="3" a="1"/>
  <c r="QUL28" i="3" s="1"/>
  <c r="QUF28" i="3" a="1"/>
  <c r="QUF28" i="3" s="1"/>
  <c r="QTZ28" i="3" a="1"/>
  <c r="QTZ28" i="3" s="1"/>
  <c r="QTT28" i="3" a="1"/>
  <c r="QTT28" i="3" s="1"/>
  <c r="QTN28" i="3" a="1"/>
  <c r="QTN28" i="3" s="1"/>
  <c r="QTH28" i="3" a="1"/>
  <c r="QTH28" i="3" s="1"/>
  <c r="QTB28" i="3" a="1"/>
  <c r="QTB28" i="3" s="1"/>
  <c r="QSV28" i="3" a="1"/>
  <c r="QSV28" i="3" s="1"/>
  <c r="QSP28" i="3" a="1"/>
  <c r="QSP28" i="3" s="1"/>
  <c r="QSJ28" i="3" a="1"/>
  <c r="QSJ28" i="3" s="1"/>
  <c r="QSD28" i="3" a="1"/>
  <c r="QSD28" i="3" s="1"/>
  <c r="QRX28" i="3" a="1"/>
  <c r="QRX28" i="3" s="1"/>
  <c r="QRR28" i="3" a="1"/>
  <c r="QRR28" i="3" s="1"/>
  <c r="QRL28" i="3" a="1"/>
  <c r="QRL28" i="3" s="1"/>
  <c r="QRF28" i="3" a="1"/>
  <c r="QRF28" i="3" s="1"/>
  <c r="QQZ28" i="3" a="1"/>
  <c r="QQZ28" i="3" s="1"/>
  <c r="QQT28" i="3" a="1"/>
  <c r="QQT28" i="3" s="1"/>
  <c r="QQN28" i="3" a="1"/>
  <c r="QQN28" i="3" s="1"/>
  <c r="QQH28" i="3" a="1"/>
  <c r="QQH28" i="3" s="1"/>
  <c r="QQB28" i="3" a="1"/>
  <c r="QQB28" i="3" s="1"/>
  <c r="QPV28" i="3" a="1"/>
  <c r="QPV28" i="3" s="1"/>
  <c r="QPP28" i="3" a="1"/>
  <c r="QPP28" i="3" s="1"/>
  <c r="QPJ28" i="3" a="1"/>
  <c r="QPJ28" i="3" s="1"/>
  <c r="QPD28" i="3" a="1"/>
  <c r="QPD28" i="3" s="1"/>
  <c r="QOX28" i="3" a="1"/>
  <c r="QOX28" i="3" s="1"/>
  <c r="QOR28" i="3" a="1"/>
  <c r="QOR28" i="3" s="1"/>
  <c r="QOL28" i="3" a="1"/>
  <c r="QOL28" i="3" s="1"/>
  <c r="QOF28" i="3" a="1"/>
  <c r="QOF28" i="3" s="1"/>
  <c r="QNZ28" i="3" a="1"/>
  <c r="QNZ28" i="3" s="1"/>
  <c r="QNT28" i="3" a="1"/>
  <c r="QNT28" i="3" s="1"/>
  <c r="QNN28" i="3" a="1"/>
  <c r="QNN28" i="3" s="1"/>
  <c r="QNH28" i="3" a="1"/>
  <c r="QNH28" i="3" s="1"/>
  <c r="QNB28" i="3" a="1"/>
  <c r="QNB28" i="3" s="1"/>
  <c r="QMV28" i="3" a="1"/>
  <c r="QMV28" i="3" s="1"/>
  <c r="QMP28" i="3" a="1"/>
  <c r="QMP28" i="3" s="1"/>
  <c r="QMJ28" i="3" a="1"/>
  <c r="QMJ28" i="3" s="1"/>
  <c r="QMD28" i="3" a="1"/>
  <c r="QMD28" i="3" s="1"/>
  <c r="QLX28" i="3" a="1"/>
  <c r="QLX28" i="3" s="1"/>
  <c r="QLR28" i="3" a="1"/>
  <c r="QLR28" i="3" s="1"/>
  <c r="QLL28" i="3" a="1"/>
  <c r="QLL28" i="3" s="1"/>
  <c r="QLF28" i="3" a="1"/>
  <c r="QLF28" i="3" s="1"/>
  <c r="QKZ28" i="3" a="1"/>
  <c r="QKZ28" i="3" s="1"/>
  <c r="QKT28" i="3" a="1"/>
  <c r="QKT28" i="3" s="1"/>
  <c r="QKN28" i="3" a="1"/>
  <c r="QKN28" i="3" s="1"/>
  <c r="QKH28" i="3" a="1"/>
  <c r="QKH28" i="3" s="1"/>
  <c r="QKB28" i="3" a="1"/>
  <c r="QKB28" i="3" s="1"/>
  <c r="QJV28" i="3" a="1"/>
  <c r="QJV28" i="3" s="1"/>
  <c r="QJP28" i="3" a="1"/>
  <c r="QJP28" i="3" s="1"/>
  <c r="QJJ28" i="3" a="1"/>
  <c r="QJJ28" i="3" s="1"/>
  <c r="QJD28" i="3" a="1"/>
  <c r="QJD28" i="3" s="1"/>
  <c r="QIX28" i="3" a="1"/>
  <c r="QIX28" i="3" s="1"/>
  <c r="QIR28" i="3" a="1"/>
  <c r="QIR28" i="3" s="1"/>
  <c r="QIL28" i="3" a="1"/>
  <c r="QIL28" i="3" s="1"/>
  <c r="QIF28" i="3" a="1"/>
  <c r="QIF28" i="3" s="1"/>
  <c r="QHZ28" i="3" a="1"/>
  <c r="QHZ28" i="3" s="1"/>
  <c r="QHT28" i="3" a="1"/>
  <c r="QHT28" i="3" s="1"/>
  <c r="QHN28" i="3" a="1"/>
  <c r="QHN28" i="3" s="1"/>
  <c r="QHH28" i="3" a="1"/>
  <c r="QHH28" i="3" s="1"/>
  <c r="QHB28" i="3" a="1"/>
  <c r="QHB28" i="3" s="1"/>
  <c r="QGV28" i="3" a="1"/>
  <c r="QGV28" i="3" s="1"/>
  <c r="QGP28" i="3" a="1"/>
  <c r="QGP28" i="3" s="1"/>
  <c r="QGJ28" i="3" a="1"/>
  <c r="QGJ28" i="3" s="1"/>
  <c r="QGD28" i="3" a="1"/>
  <c r="QGD28" i="3" s="1"/>
  <c r="QFX28" i="3" a="1"/>
  <c r="QFX28" i="3" s="1"/>
  <c r="QFR28" i="3" a="1"/>
  <c r="QFR28" i="3" s="1"/>
  <c r="QFL28" i="3" a="1"/>
  <c r="QFL28" i="3" s="1"/>
  <c r="QFF28" i="3" a="1"/>
  <c r="QFF28" i="3" s="1"/>
  <c r="QEZ28" i="3" a="1"/>
  <c r="QEZ28" i="3" s="1"/>
  <c r="QET28" i="3" a="1"/>
  <c r="QET28" i="3" s="1"/>
  <c r="QEN28" i="3" a="1"/>
  <c r="QEN28" i="3" s="1"/>
  <c r="QEH28" i="3" a="1"/>
  <c r="QEH28" i="3" s="1"/>
  <c r="QEB28" i="3" a="1"/>
  <c r="QEB28" i="3" s="1"/>
  <c r="QDV28" i="3" a="1"/>
  <c r="QDV28" i="3" s="1"/>
  <c r="QDP28" i="3" a="1"/>
  <c r="QDP28" i="3" s="1"/>
  <c r="QDJ28" i="3" a="1"/>
  <c r="QDJ28" i="3" s="1"/>
  <c r="QDD28" i="3" a="1"/>
  <c r="QDD28" i="3" s="1"/>
  <c r="QCX28" i="3" a="1"/>
  <c r="QCX28" i="3" s="1"/>
  <c r="QCR28" i="3" a="1"/>
  <c r="QCR28" i="3" s="1"/>
  <c r="QCL28" i="3" a="1"/>
  <c r="QCL28" i="3" s="1"/>
  <c r="QCF28" i="3" a="1"/>
  <c r="QCF28" i="3" s="1"/>
  <c r="QBZ28" i="3" a="1"/>
  <c r="QBZ28" i="3" s="1"/>
  <c r="QBT28" i="3" a="1"/>
  <c r="QBT28" i="3" s="1"/>
  <c r="QBN28" i="3" a="1"/>
  <c r="QBN28" i="3" s="1"/>
  <c r="QBH28" i="3" a="1"/>
  <c r="QBH28" i="3" s="1"/>
  <c r="QBB28" i="3" a="1"/>
  <c r="QBB28" i="3" s="1"/>
  <c r="QAV28" i="3" a="1"/>
  <c r="QAV28" i="3" s="1"/>
  <c r="QAP28" i="3" a="1"/>
  <c r="QAP28" i="3" s="1"/>
  <c r="QAJ28" i="3" a="1"/>
  <c r="QAJ28" i="3" s="1"/>
  <c r="QAD28" i="3" a="1"/>
  <c r="QAD28" i="3" s="1"/>
  <c r="PZX28" i="3" a="1"/>
  <c r="PZX28" i="3" s="1"/>
  <c r="PZR28" i="3" a="1"/>
  <c r="PZR28" i="3" s="1"/>
  <c r="PZL28" i="3" a="1"/>
  <c r="PZL28" i="3" s="1"/>
  <c r="PZF28" i="3" a="1"/>
  <c r="PZF28" i="3" s="1"/>
  <c r="PYZ28" i="3" a="1"/>
  <c r="PYZ28" i="3" s="1"/>
  <c r="PYT28" i="3" a="1"/>
  <c r="PYT28" i="3" s="1"/>
  <c r="PYN28" i="3" a="1"/>
  <c r="PYN28" i="3" s="1"/>
  <c r="PYH28" i="3" a="1"/>
  <c r="PYH28" i="3" s="1"/>
  <c r="PYB28" i="3" a="1"/>
  <c r="PYB28" i="3" s="1"/>
  <c r="PXV28" i="3" a="1"/>
  <c r="PXV28" i="3" s="1"/>
  <c r="PXP28" i="3" a="1"/>
  <c r="PXP28" i="3" s="1"/>
  <c r="PXJ28" i="3" a="1"/>
  <c r="PXJ28" i="3" s="1"/>
  <c r="PXD28" i="3" a="1"/>
  <c r="PXD28" i="3" s="1"/>
  <c r="PWX28" i="3" a="1"/>
  <c r="PWX28" i="3" s="1"/>
  <c r="PWR28" i="3" a="1"/>
  <c r="PWR28" i="3" s="1"/>
  <c r="PWL28" i="3" a="1"/>
  <c r="PWL28" i="3" s="1"/>
  <c r="PWF28" i="3" a="1"/>
  <c r="PWF28" i="3" s="1"/>
  <c r="PVZ28" i="3" a="1"/>
  <c r="PVZ28" i="3" s="1"/>
  <c r="PVT28" i="3" a="1"/>
  <c r="PVT28" i="3" s="1"/>
  <c r="PVN28" i="3" a="1"/>
  <c r="PVN28" i="3" s="1"/>
  <c r="PVH28" i="3" a="1"/>
  <c r="PVH28" i="3" s="1"/>
  <c r="PVB28" i="3" a="1"/>
  <c r="PVB28" i="3" s="1"/>
  <c r="PUV28" i="3" a="1"/>
  <c r="PUV28" i="3" s="1"/>
  <c r="PUP28" i="3" a="1"/>
  <c r="PUP28" i="3" s="1"/>
  <c r="PUJ28" i="3" a="1"/>
  <c r="PUJ28" i="3" s="1"/>
  <c r="PUD28" i="3" a="1"/>
  <c r="PUD28" i="3" s="1"/>
  <c r="PTX28" i="3" a="1"/>
  <c r="PTX28" i="3" s="1"/>
  <c r="PTR28" i="3" a="1"/>
  <c r="PTR28" i="3" s="1"/>
  <c r="PTL28" i="3" a="1"/>
  <c r="PTL28" i="3" s="1"/>
  <c r="PTF28" i="3" a="1"/>
  <c r="PTF28" i="3" s="1"/>
  <c r="PSZ28" i="3" a="1"/>
  <c r="PSZ28" i="3" s="1"/>
  <c r="PST28" i="3" a="1"/>
  <c r="PST28" i="3" s="1"/>
  <c r="PSN28" i="3" a="1"/>
  <c r="PSN28" i="3" s="1"/>
  <c r="PSH28" i="3" a="1"/>
  <c r="PSH28" i="3" s="1"/>
  <c r="PSB28" i="3" a="1"/>
  <c r="PSB28" i="3" s="1"/>
  <c r="PRV28" i="3" a="1"/>
  <c r="PRV28" i="3" s="1"/>
  <c r="PRP28" i="3" a="1"/>
  <c r="PRP28" i="3" s="1"/>
  <c r="PRJ28" i="3" a="1"/>
  <c r="PRJ28" i="3" s="1"/>
  <c r="PRD28" i="3" a="1"/>
  <c r="PRD28" i="3" s="1"/>
  <c r="PQX28" i="3" a="1"/>
  <c r="PQX28" i="3" s="1"/>
  <c r="PQR28" i="3" a="1"/>
  <c r="PQR28" i="3" s="1"/>
  <c r="PQL28" i="3" a="1"/>
  <c r="PQL28" i="3" s="1"/>
  <c r="PQF28" i="3" a="1"/>
  <c r="PQF28" i="3" s="1"/>
  <c r="PPZ28" i="3" a="1"/>
  <c r="PPZ28" i="3" s="1"/>
  <c r="PPT28" i="3" a="1"/>
  <c r="PPT28" i="3" s="1"/>
  <c r="PPN28" i="3" a="1"/>
  <c r="PPN28" i="3" s="1"/>
  <c r="PPH28" i="3" a="1"/>
  <c r="PPH28" i="3" s="1"/>
  <c r="PPB28" i="3" a="1"/>
  <c r="PPB28" i="3" s="1"/>
  <c r="POV28" i="3" a="1"/>
  <c r="POV28" i="3" s="1"/>
  <c r="POP28" i="3" a="1"/>
  <c r="POP28" i="3" s="1"/>
  <c r="POJ28" i="3" a="1"/>
  <c r="POJ28" i="3" s="1"/>
  <c r="POD28" i="3" a="1"/>
  <c r="POD28" i="3" s="1"/>
  <c r="PNX28" i="3" a="1"/>
  <c r="PNX28" i="3" s="1"/>
  <c r="PNR28" i="3" a="1"/>
  <c r="PNR28" i="3" s="1"/>
  <c r="PNL28" i="3" a="1"/>
  <c r="PNL28" i="3" s="1"/>
  <c r="PNF28" i="3" a="1"/>
  <c r="PNF28" i="3" s="1"/>
  <c r="PMZ28" i="3" a="1"/>
  <c r="PMZ28" i="3" s="1"/>
  <c r="PMT28" i="3" a="1"/>
  <c r="PMT28" i="3" s="1"/>
  <c r="PMN28" i="3" a="1"/>
  <c r="PMN28" i="3" s="1"/>
  <c r="PMH28" i="3" a="1"/>
  <c r="PMH28" i="3" s="1"/>
  <c r="PMB28" i="3" a="1"/>
  <c r="PMB28" i="3" s="1"/>
  <c r="PLV28" i="3" a="1"/>
  <c r="PLV28" i="3" s="1"/>
  <c r="PLP28" i="3" a="1"/>
  <c r="PLP28" i="3" s="1"/>
  <c r="PLJ28" i="3" a="1"/>
  <c r="PLJ28" i="3" s="1"/>
  <c r="PLD28" i="3" a="1"/>
  <c r="PLD28" i="3" s="1"/>
  <c r="PKX28" i="3" a="1"/>
  <c r="PKX28" i="3" s="1"/>
  <c r="PKR28" i="3" a="1"/>
  <c r="PKR28" i="3" s="1"/>
  <c r="PKL28" i="3" a="1"/>
  <c r="PKL28" i="3" s="1"/>
  <c r="PKF28" i="3" a="1"/>
  <c r="PKF28" i="3" s="1"/>
  <c r="PJZ28" i="3" a="1"/>
  <c r="PJZ28" i="3" s="1"/>
  <c r="PJT28" i="3" a="1"/>
  <c r="PJT28" i="3" s="1"/>
  <c r="PJN28" i="3" a="1"/>
  <c r="PJN28" i="3" s="1"/>
  <c r="PJH28" i="3" a="1"/>
  <c r="PJH28" i="3" s="1"/>
  <c r="PJB28" i="3" a="1"/>
  <c r="PJB28" i="3" s="1"/>
  <c r="PIV28" i="3" a="1"/>
  <c r="PIV28" i="3" s="1"/>
  <c r="PIP28" i="3" a="1"/>
  <c r="PIP28" i="3" s="1"/>
  <c r="PIJ28" i="3" a="1"/>
  <c r="PIJ28" i="3" s="1"/>
  <c r="PID28" i="3" a="1"/>
  <c r="PID28" i="3" s="1"/>
  <c r="PHX28" i="3" a="1"/>
  <c r="PHX28" i="3" s="1"/>
  <c r="PHR28" i="3" a="1"/>
  <c r="PHR28" i="3" s="1"/>
  <c r="PHL28" i="3" a="1"/>
  <c r="PHL28" i="3" s="1"/>
  <c r="PHF28" i="3" a="1"/>
  <c r="PHF28" i="3" s="1"/>
  <c r="PGZ28" i="3" a="1"/>
  <c r="PGZ28" i="3" s="1"/>
  <c r="PGT28" i="3" a="1"/>
  <c r="PGT28" i="3" s="1"/>
  <c r="PGN28" i="3" a="1"/>
  <c r="PGN28" i="3" s="1"/>
  <c r="PGH28" i="3" a="1"/>
  <c r="PGH28" i="3" s="1"/>
  <c r="PGB28" i="3" a="1"/>
  <c r="PGB28" i="3" s="1"/>
  <c r="PFV28" i="3" a="1"/>
  <c r="PFV28" i="3" s="1"/>
  <c r="PFP28" i="3" a="1"/>
  <c r="PFP28" i="3" s="1"/>
  <c r="PFJ28" i="3" a="1"/>
  <c r="PFJ28" i="3" s="1"/>
  <c r="PFD28" i="3" a="1"/>
  <c r="PFD28" i="3" s="1"/>
  <c r="PEX28" i="3" a="1"/>
  <c r="PEX28" i="3" s="1"/>
  <c r="PER28" i="3" a="1"/>
  <c r="PER28" i="3" s="1"/>
  <c r="PEL28" i="3" a="1"/>
  <c r="PEL28" i="3" s="1"/>
  <c r="PEF28" i="3" a="1"/>
  <c r="PEF28" i="3" s="1"/>
  <c r="PDZ28" i="3" a="1"/>
  <c r="PDZ28" i="3" s="1"/>
  <c r="PDT28" i="3" a="1"/>
  <c r="PDT28" i="3" s="1"/>
  <c r="PDN28" i="3" a="1"/>
  <c r="PDN28" i="3" s="1"/>
  <c r="PDH28" i="3" a="1"/>
  <c r="PDH28" i="3" s="1"/>
  <c r="PDB28" i="3" a="1"/>
  <c r="PDB28" i="3" s="1"/>
  <c r="PCV28" i="3" a="1"/>
  <c r="PCV28" i="3" s="1"/>
  <c r="PCP28" i="3" a="1"/>
  <c r="PCP28" i="3" s="1"/>
  <c r="PCJ28" i="3" a="1"/>
  <c r="PCJ28" i="3" s="1"/>
  <c r="PCD28" i="3" a="1"/>
  <c r="PCD28" i="3" s="1"/>
  <c r="PBX28" i="3" a="1"/>
  <c r="PBX28" i="3" s="1"/>
  <c r="PBR28" i="3" a="1"/>
  <c r="PBR28" i="3" s="1"/>
  <c r="PBL28" i="3" a="1"/>
  <c r="PBL28" i="3" s="1"/>
  <c r="PBF28" i="3" a="1"/>
  <c r="PBF28" i="3" s="1"/>
  <c r="PAZ28" i="3" a="1"/>
  <c r="PAZ28" i="3" s="1"/>
  <c r="PAT28" i="3" a="1"/>
  <c r="PAT28" i="3" s="1"/>
  <c r="PAN28" i="3" a="1"/>
  <c r="PAN28" i="3" s="1"/>
  <c r="PAH28" i="3" a="1"/>
  <c r="PAH28" i="3" s="1"/>
  <c r="PAB28" i="3" a="1"/>
  <c r="PAB28" i="3" s="1"/>
  <c r="WTF28" i="3" a="1"/>
  <c r="WTF28" i="3" s="1"/>
  <c r="TUJ28" i="3" a="1"/>
  <c r="TUJ28" i="3" s="1"/>
  <c r="TGZ28" i="3" a="1"/>
  <c r="TGZ28" i="3" s="1"/>
  <c r="SUO28" i="3" a="1"/>
  <c r="SUO28" i="3" s="1"/>
  <c r="SOH28" i="3" a="1"/>
  <c r="SOH28" i="3" s="1"/>
  <c r="SLI28" i="3" a="1"/>
  <c r="SLI28" i="3" s="1"/>
  <c r="SJH28" i="3" a="1"/>
  <c r="SJH28" i="3" s="1"/>
  <c r="SGP28" i="3" a="1"/>
  <c r="SGP28" i="3" s="1"/>
  <c r="SDK28" i="3" a="1"/>
  <c r="SDK28" i="3" s="1"/>
  <c r="SCP28" i="3" a="1"/>
  <c r="SCP28" i="3" s="1"/>
  <c r="SBV28" i="3" a="1"/>
  <c r="SBV28" i="3" s="1"/>
  <c r="SBB28" i="3" a="1"/>
  <c r="SBB28" i="3" s="1"/>
  <c r="RXW28" i="3" a="1"/>
  <c r="RXW28" i="3" s="1"/>
  <c r="RXB28" i="3" a="1"/>
  <c r="RXB28" i="3" s="1"/>
  <c r="RWH28" i="3" a="1"/>
  <c r="RWH28" i="3" s="1"/>
  <c r="RVN28" i="3" a="1"/>
  <c r="RVN28" i="3" s="1"/>
  <c r="RSI28" i="3" a="1"/>
  <c r="RSI28" i="3" s="1"/>
  <c r="RRQ28" i="3" a="1"/>
  <c r="RRQ28" i="3" s="1"/>
  <c r="RQY28" i="3" a="1"/>
  <c r="RQY28" i="3" s="1"/>
  <c r="RPT28" i="3" a="1"/>
  <c r="RPT28" i="3" s="1"/>
  <c r="RNG28" i="3" a="1"/>
  <c r="RNG28" i="3" s="1"/>
  <c r="RMU28" i="3" a="1"/>
  <c r="RMU28" i="3" s="1"/>
  <c r="RKW28" i="3" a="1"/>
  <c r="RKW28" i="3" s="1"/>
  <c r="RKL28" i="3" a="1"/>
  <c r="RKL28" i="3" s="1"/>
  <c r="RKA28" i="3" a="1"/>
  <c r="RKA28" i="3" s="1"/>
  <c r="RIY28" i="3" a="1"/>
  <c r="RIY28" i="3" s="1"/>
  <c r="RIR28" i="3" a="1"/>
  <c r="RIR28" i="3" s="1"/>
  <c r="RIK28" i="3" a="1"/>
  <c r="RIK28" i="3" s="1"/>
  <c r="RID28" i="3" a="1"/>
  <c r="RID28" i="3" s="1"/>
  <c r="RHW28" i="3" a="1"/>
  <c r="RHW28" i="3" s="1"/>
  <c r="RHO28" i="3" a="1"/>
  <c r="RHO28" i="3" s="1"/>
  <c r="RHH28" i="3" a="1"/>
  <c r="RHH28" i="3" s="1"/>
  <c r="RHA28" i="3" a="1"/>
  <c r="RHA28" i="3" s="1"/>
  <c r="RGT28" i="3" a="1"/>
  <c r="RGT28" i="3" s="1"/>
  <c r="RGM28" i="3" a="1"/>
  <c r="RGM28" i="3" s="1"/>
  <c r="RGE28" i="3" a="1"/>
  <c r="RGE28" i="3" s="1"/>
  <c r="RFX28" i="3" a="1"/>
  <c r="RFX28" i="3" s="1"/>
  <c r="RFQ28" i="3" a="1"/>
  <c r="RFQ28" i="3" s="1"/>
  <c r="RFJ28" i="3" a="1"/>
  <c r="RFJ28" i="3" s="1"/>
  <c r="RFC28" i="3" a="1"/>
  <c r="RFC28" i="3" s="1"/>
  <c r="REU28" i="3" a="1"/>
  <c r="REU28" i="3" s="1"/>
  <c r="REN28" i="3" a="1"/>
  <c r="REN28" i="3" s="1"/>
  <c r="REG28" i="3" a="1"/>
  <c r="REG28" i="3" s="1"/>
  <c r="RDZ28" i="3" a="1"/>
  <c r="RDZ28" i="3" s="1"/>
  <c r="RDS28" i="3" a="1"/>
  <c r="RDS28" i="3" s="1"/>
  <c r="RDK28" i="3" a="1"/>
  <c r="RDK28" i="3" s="1"/>
  <c r="RDD28" i="3" a="1"/>
  <c r="RDD28" i="3" s="1"/>
  <c r="RCW28" i="3" a="1"/>
  <c r="RCW28" i="3" s="1"/>
  <c r="RCP28" i="3" a="1"/>
  <c r="RCP28" i="3" s="1"/>
  <c r="RCI28" i="3" a="1"/>
  <c r="RCI28" i="3" s="1"/>
  <c r="RCA28" i="3" a="1"/>
  <c r="RCA28" i="3" s="1"/>
  <c r="RBT28" i="3" a="1"/>
  <c r="RBT28" i="3" s="1"/>
  <c r="RBM28" i="3" a="1"/>
  <c r="RBM28" i="3" s="1"/>
  <c r="RBF28" i="3" a="1"/>
  <c r="RBF28" i="3" s="1"/>
  <c r="RAY28" i="3" a="1"/>
  <c r="RAY28" i="3" s="1"/>
  <c r="RAQ28" i="3" a="1"/>
  <c r="RAQ28" i="3" s="1"/>
  <c r="RAJ28" i="3" a="1"/>
  <c r="RAJ28" i="3" s="1"/>
  <c r="RAC28" i="3" a="1"/>
  <c r="RAC28" i="3" s="1"/>
  <c r="QZV28" i="3" a="1"/>
  <c r="QZV28" i="3" s="1"/>
  <c r="QZO28" i="3" a="1"/>
  <c r="QZO28" i="3" s="1"/>
  <c r="QZG28" i="3" a="1"/>
  <c r="QZG28" i="3" s="1"/>
  <c r="QYZ28" i="3" a="1"/>
  <c r="QYZ28" i="3" s="1"/>
  <c r="QYS28" i="3" a="1"/>
  <c r="QYS28" i="3" s="1"/>
  <c r="QYL28" i="3" a="1"/>
  <c r="QYL28" i="3" s="1"/>
  <c r="QYE28" i="3" a="1"/>
  <c r="QYE28" i="3" s="1"/>
  <c r="QXW28" i="3" a="1"/>
  <c r="QXW28" i="3" s="1"/>
  <c r="ULS28" i="3" a="1"/>
  <c r="ULS28" i="3" s="1"/>
  <c r="TMQ28" i="3" a="1"/>
  <c r="TMQ28" i="3" s="1"/>
  <c r="SSP28" i="3" a="1"/>
  <c r="SSP28" i="3" s="1"/>
  <c r="SON28" i="3" a="1"/>
  <c r="SON28" i="3" s="1"/>
  <c r="SJK28" i="3" a="1"/>
  <c r="SJK28" i="3" s="1"/>
  <c r="SFX28" i="3" a="1"/>
  <c r="SFX28" i="3" s="1"/>
  <c r="SCS28" i="3" a="1"/>
  <c r="SCS28" i="3" s="1"/>
  <c r="SBD28" i="3" a="1"/>
  <c r="SBD28" i="3" s="1"/>
  <c r="RWJ28" i="3" a="1"/>
  <c r="RWJ28" i="3" s="1"/>
  <c r="RUV28" i="3" a="1"/>
  <c r="RUV28" i="3" s="1"/>
  <c r="RRS28" i="3" a="1"/>
  <c r="RRS28" i="3" s="1"/>
  <c r="RQI28" i="3" a="1"/>
  <c r="RQI28" i="3" s="1"/>
  <c r="ROH28" i="3" a="1"/>
  <c r="ROH28" i="3" s="1"/>
  <c r="RNH28" i="3" a="1"/>
  <c r="RNH28" i="3" s="1"/>
  <c r="RKX28" i="3" a="1"/>
  <c r="RKX28" i="3" s="1"/>
  <c r="RIS28" i="3" a="1"/>
  <c r="RIS28" i="3" s="1"/>
  <c r="RIE28" i="3" a="1"/>
  <c r="RIE28" i="3" s="1"/>
  <c r="RHQ28" i="3" a="1"/>
  <c r="RHQ28" i="3" s="1"/>
  <c r="RHB28" i="3" a="1"/>
  <c r="RHB28" i="3" s="1"/>
  <c r="RGN28" i="3" a="1"/>
  <c r="RGN28" i="3" s="1"/>
  <c r="RFY28" i="3" a="1"/>
  <c r="RFY28" i="3" s="1"/>
  <c r="RFK28" i="3" a="1"/>
  <c r="RFK28" i="3" s="1"/>
  <c r="REW28" i="3" a="1"/>
  <c r="REW28" i="3" s="1"/>
  <c r="REH28" i="3" a="1"/>
  <c r="REH28" i="3" s="1"/>
  <c r="RDT28" i="3" a="1"/>
  <c r="RDT28" i="3" s="1"/>
  <c r="RDE28" i="3" a="1"/>
  <c r="RDE28" i="3" s="1"/>
  <c r="RCQ28" i="3" a="1"/>
  <c r="RCQ28" i="3" s="1"/>
  <c r="RCC28" i="3" a="1"/>
  <c r="RCC28" i="3" s="1"/>
  <c r="RBN28" i="3" a="1"/>
  <c r="RBN28" i="3" s="1"/>
  <c r="RAZ28" i="3" a="1"/>
  <c r="RAZ28" i="3" s="1"/>
  <c r="RAK28" i="3" a="1"/>
  <c r="RAK28" i="3" s="1"/>
  <c r="QZW28" i="3" a="1"/>
  <c r="QZW28" i="3" s="1"/>
  <c r="QZJ28" i="3" a="1"/>
  <c r="QZJ28" i="3" s="1"/>
  <c r="QXY28" i="3" a="1"/>
  <c r="QXY28" i="3" s="1"/>
  <c r="QXM28" i="3" a="1"/>
  <c r="QXM28" i="3" s="1"/>
  <c r="QWS28" i="3" a="1"/>
  <c r="QWS28" i="3" s="1"/>
  <c r="QVY28" i="3" a="1"/>
  <c r="QVY28" i="3" s="1"/>
  <c r="QVN28" i="3" a="1"/>
  <c r="QVN28" i="3" s="1"/>
  <c r="QUS28" i="3" a="1"/>
  <c r="QUS28" i="3" s="1"/>
  <c r="QTY28" i="3" a="1"/>
  <c r="QTY28" i="3" s="1"/>
  <c r="QTE28" i="3" a="1"/>
  <c r="QTE28" i="3" s="1"/>
  <c r="QST28" i="3" a="1"/>
  <c r="QST28" i="3" s="1"/>
  <c r="QRY28" i="3" a="1"/>
  <c r="QRY28" i="3" s="1"/>
  <c r="QRE28" i="3" a="1"/>
  <c r="QRE28" i="3" s="1"/>
  <c r="QQK28" i="3" a="1"/>
  <c r="QQK28" i="3" s="1"/>
  <c r="QPZ28" i="3" a="1"/>
  <c r="QPZ28" i="3" s="1"/>
  <c r="QPE28" i="3" a="1"/>
  <c r="QPE28" i="3" s="1"/>
  <c r="QOK28" i="3" a="1"/>
  <c r="QOK28" i="3" s="1"/>
  <c r="QNQ28" i="3" a="1"/>
  <c r="QNQ28" i="3" s="1"/>
  <c r="QNF28" i="3" a="1"/>
  <c r="QNF28" i="3" s="1"/>
  <c r="QMK28" i="3" a="1"/>
  <c r="QMK28" i="3" s="1"/>
  <c r="QLQ28" i="3" a="1"/>
  <c r="QLQ28" i="3" s="1"/>
  <c r="QKW28" i="3" a="1"/>
  <c r="QKW28" i="3" s="1"/>
  <c r="QKL28" i="3" a="1"/>
  <c r="QKL28" i="3" s="1"/>
  <c r="QJQ28" i="3" a="1"/>
  <c r="QJQ28" i="3" s="1"/>
  <c r="QIW28" i="3" a="1"/>
  <c r="QIW28" i="3" s="1"/>
  <c r="QIC28" i="3" a="1"/>
  <c r="QIC28" i="3" s="1"/>
  <c r="QHR28" i="3" a="1"/>
  <c r="QHR28" i="3" s="1"/>
  <c r="QGW28" i="3" a="1"/>
  <c r="QGW28" i="3" s="1"/>
  <c r="QGC28" i="3" a="1"/>
  <c r="QGC28" i="3" s="1"/>
  <c r="QFI28" i="3" a="1"/>
  <c r="QFI28" i="3" s="1"/>
  <c r="QEX28" i="3" a="1"/>
  <c r="QEX28" i="3" s="1"/>
  <c r="QEC28" i="3" a="1"/>
  <c r="QEC28" i="3" s="1"/>
  <c r="QDI28" i="3" a="1"/>
  <c r="QDI28" i="3" s="1"/>
  <c r="QCO28" i="3" a="1"/>
  <c r="QCO28" i="3" s="1"/>
  <c r="QCD28" i="3" a="1"/>
  <c r="QCD28" i="3" s="1"/>
  <c r="QBI28" i="3" a="1"/>
  <c r="QBI28" i="3" s="1"/>
  <c r="QAO28" i="3" a="1"/>
  <c r="QAO28" i="3" s="1"/>
  <c r="PZU28" i="3" a="1"/>
  <c r="PZU28" i="3" s="1"/>
  <c r="PZJ28" i="3" a="1"/>
  <c r="PZJ28" i="3" s="1"/>
  <c r="PYO28" i="3" a="1"/>
  <c r="PYO28" i="3" s="1"/>
  <c r="PXU28" i="3" a="1"/>
  <c r="PXU28" i="3" s="1"/>
  <c r="PXA28" i="3" a="1"/>
  <c r="PXA28" i="3" s="1"/>
  <c r="PWP28" i="3" a="1"/>
  <c r="PWP28" i="3" s="1"/>
  <c r="PVW28" i="3" a="1"/>
  <c r="PVW28" i="3" s="1"/>
  <c r="PVE28" i="3" a="1"/>
  <c r="PVE28" i="3" s="1"/>
  <c r="PUM28" i="3" a="1"/>
  <c r="PUM28" i="3" s="1"/>
  <c r="PTU28" i="3" a="1"/>
  <c r="PTU28" i="3" s="1"/>
  <c r="PTC28" i="3" a="1"/>
  <c r="PTC28" i="3" s="1"/>
  <c r="PSK28" i="3" a="1"/>
  <c r="PSK28" i="3" s="1"/>
  <c r="PRS28" i="3" a="1"/>
  <c r="PRS28" i="3" s="1"/>
  <c r="PRA28" i="3" a="1"/>
  <c r="PRA28" i="3" s="1"/>
  <c r="PQI28" i="3" a="1"/>
  <c r="PQI28" i="3" s="1"/>
  <c r="PPQ28" i="3" a="1"/>
  <c r="PPQ28" i="3" s="1"/>
  <c r="POY28" i="3" a="1"/>
  <c r="POY28" i="3" s="1"/>
  <c r="POG28" i="3" a="1"/>
  <c r="POG28" i="3" s="1"/>
  <c r="PNO28" i="3" a="1"/>
  <c r="PNO28" i="3" s="1"/>
  <c r="PMW28" i="3" a="1"/>
  <c r="PMW28" i="3" s="1"/>
  <c r="PME28" i="3" a="1"/>
  <c r="PME28" i="3" s="1"/>
  <c r="PLM28" i="3" a="1"/>
  <c r="PLM28" i="3" s="1"/>
  <c r="PKU28" i="3" a="1"/>
  <c r="PKU28" i="3" s="1"/>
  <c r="PKC28" i="3" a="1"/>
  <c r="PKC28" i="3" s="1"/>
  <c r="PJK28" i="3" a="1"/>
  <c r="PJK28" i="3" s="1"/>
  <c r="PIS28" i="3" a="1"/>
  <c r="PIS28" i="3" s="1"/>
  <c r="PIA28" i="3" a="1"/>
  <c r="PIA28" i="3" s="1"/>
  <c r="PHI28" i="3" a="1"/>
  <c r="PHI28" i="3" s="1"/>
  <c r="PGI28" i="3" a="1"/>
  <c r="PGI28" i="3" s="1"/>
  <c r="PGA28" i="3" a="1"/>
  <c r="PGA28" i="3" s="1"/>
  <c r="PFK28" i="3" a="1"/>
  <c r="PFK28" i="3" s="1"/>
  <c r="PFC28" i="3" a="1"/>
  <c r="PFC28" i="3" s="1"/>
  <c r="PEM28" i="3" a="1"/>
  <c r="PEM28" i="3" s="1"/>
  <c r="PEE28" i="3" a="1"/>
  <c r="PEE28" i="3" s="1"/>
  <c r="PDO28" i="3" a="1"/>
  <c r="PDO28" i="3" s="1"/>
  <c r="PDG28" i="3" a="1"/>
  <c r="PDG28" i="3" s="1"/>
  <c r="PCQ28" i="3" a="1"/>
  <c r="PCQ28" i="3" s="1"/>
  <c r="PCI28" i="3" a="1"/>
  <c r="PCI28" i="3" s="1"/>
  <c r="PBS28" i="3" a="1"/>
  <c r="PBS28" i="3" s="1"/>
  <c r="PBK28" i="3" a="1"/>
  <c r="PBK28" i="3" s="1"/>
  <c r="PAU28" i="3" a="1"/>
  <c r="PAU28" i="3" s="1"/>
  <c r="UKK28" i="3" a="1"/>
  <c r="UKK28" i="3" s="1"/>
  <c r="TMP28" i="3" a="1"/>
  <c r="TMP28" i="3" s="1"/>
  <c r="TCU28" i="3" a="1"/>
  <c r="TCU28" i="3" s="1"/>
  <c r="SXA28" i="3" a="1"/>
  <c r="SXA28" i="3" s="1"/>
  <c r="SOL28" i="3" a="1"/>
  <c r="SOL28" i="3" s="1"/>
  <c r="SLQ28" i="3" a="1"/>
  <c r="SLQ28" i="3" s="1"/>
  <c r="SHK28" i="3" a="1"/>
  <c r="SHK28" i="3" s="1"/>
  <c r="SEF28" i="3" a="1"/>
  <c r="SEF28" i="3" s="1"/>
  <c r="SCR28" i="3" a="1"/>
  <c r="SCR28" i="3" s="1"/>
  <c r="RZM28" i="3" a="1"/>
  <c r="RZM28" i="3" s="1"/>
  <c r="RXX28" i="3" a="1"/>
  <c r="RXX28" i="3" s="1"/>
  <c r="RTD28" i="3" a="1"/>
  <c r="RTD28" i="3" s="1"/>
  <c r="RRR28" i="3" a="1"/>
  <c r="RRR28" i="3" s="1"/>
  <c r="RQH28" i="3" a="1"/>
  <c r="RQH28" i="3" s="1"/>
  <c r="RPG28" i="3" a="1"/>
  <c r="RPG28" i="3" s="1"/>
  <c r="ROG28" i="3" a="1"/>
  <c r="ROG28" i="3" s="1"/>
  <c r="RMM28" i="3" a="1"/>
  <c r="RMM28" i="3" s="1"/>
  <c r="RLQ28" i="3" a="1"/>
  <c r="RLQ28" i="3" s="1"/>
  <c r="RJH28" i="3" a="1"/>
  <c r="RJH28" i="3" s="1"/>
  <c r="RHP28" i="3" a="1"/>
  <c r="RHP28" i="3" s="1"/>
  <c r="REV28" i="3" a="1"/>
  <c r="REV28" i="3" s="1"/>
  <c r="RCB28" i="3" a="1"/>
  <c r="RCB28" i="3" s="1"/>
  <c r="QZI28" i="3" a="1"/>
  <c r="QZI28" i="3" s="1"/>
  <c r="QYV28" i="3" a="1"/>
  <c r="QYV28" i="3" s="1"/>
  <c r="QYK28" i="3" a="1"/>
  <c r="QYK28" i="3" s="1"/>
  <c r="QXX28" i="3" a="1"/>
  <c r="QXX28" i="3" s="1"/>
  <c r="QXC28" i="3" a="1"/>
  <c r="QXC28" i="3" s="1"/>
  <c r="QWR28" i="3" a="1"/>
  <c r="QWR28" i="3" s="1"/>
  <c r="QVW28" i="3" a="1"/>
  <c r="QVW28" i="3" s="1"/>
  <c r="QVC28" i="3" a="1"/>
  <c r="QVC28" i="3" s="1"/>
  <c r="QUI28" i="3" a="1"/>
  <c r="QUI28" i="3" s="1"/>
  <c r="QTX28" i="3" a="1"/>
  <c r="QTX28" i="3" s="1"/>
  <c r="QTC28" i="3" a="1"/>
  <c r="QTC28" i="3" s="1"/>
  <c r="QSI28" i="3" a="1"/>
  <c r="QSI28" i="3" s="1"/>
  <c r="QRO28" i="3" a="1"/>
  <c r="QRO28" i="3" s="1"/>
  <c r="QRD28" i="3" a="1"/>
  <c r="QRD28" i="3" s="1"/>
  <c r="QQI28" i="3" a="1"/>
  <c r="QQI28" i="3" s="1"/>
  <c r="QPO28" i="3" a="1"/>
  <c r="QPO28" i="3" s="1"/>
  <c r="QOU28" i="3" a="1"/>
  <c r="QOU28" i="3" s="1"/>
  <c r="QOJ28" i="3" a="1"/>
  <c r="QOJ28" i="3" s="1"/>
  <c r="QNO28" i="3" a="1"/>
  <c r="QNO28" i="3" s="1"/>
  <c r="QMU28" i="3" a="1"/>
  <c r="QMU28" i="3" s="1"/>
  <c r="QMA28" i="3" a="1"/>
  <c r="QMA28" i="3" s="1"/>
  <c r="QLP28" i="3" a="1"/>
  <c r="QLP28" i="3" s="1"/>
  <c r="QKU28" i="3" a="1"/>
  <c r="QKU28" i="3" s="1"/>
  <c r="QKA28" i="3" a="1"/>
  <c r="QKA28" i="3" s="1"/>
  <c r="QJG28" i="3" a="1"/>
  <c r="QJG28" i="3" s="1"/>
  <c r="QIV28" i="3" a="1"/>
  <c r="QIV28" i="3" s="1"/>
  <c r="QIA28" i="3" a="1"/>
  <c r="QIA28" i="3" s="1"/>
  <c r="QHG28" i="3" a="1"/>
  <c r="QHG28" i="3" s="1"/>
  <c r="QGM28" i="3" a="1"/>
  <c r="QGM28" i="3" s="1"/>
  <c r="QGB28" i="3" a="1"/>
  <c r="QGB28" i="3" s="1"/>
  <c r="QFG28" i="3" a="1"/>
  <c r="QFG28" i="3" s="1"/>
  <c r="QEM28" i="3" a="1"/>
  <c r="QEM28" i="3" s="1"/>
  <c r="QDS28" i="3" a="1"/>
  <c r="QDS28" i="3" s="1"/>
  <c r="QDH28" i="3" a="1"/>
  <c r="QDH28" i="3" s="1"/>
  <c r="QCM28" i="3" a="1"/>
  <c r="QCM28" i="3" s="1"/>
  <c r="QBS28" i="3" a="1"/>
  <c r="QBS28" i="3" s="1"/>
  <c r="QAY28" i="3" a="1"/>
  <c r="QAY28" i="3" s="1"/>
  <c r="QAN28" i="3" a="1"/>
  <c r="QAN28" i="3" s="1"/>
  <c r="PZS28" i="3" a="1"/>
  <c r="PZS28" i="3" s="1"/>
  <c r="PYY28" i="3" a="1"/>
  <c r="PYY28" i="3" s="1"/>
  <c r="PYE28" i="3" a="1"/>
  <c r="PYE28" i="3" s="1"/>
  <c r="PXT28" i="3" a="1"/>
  <c r="PXT28" i="3" s="1"/>
  <c r="PWY28" i="3" a="1"/>
  <c r="PWY28" i="3" s="1"/>
  <c r="PWE28" i="3" a="1"/>
  <c r="PWE28" i="3" s="1"/>
  <c r="PVV28" i="3" a="1"/>
  <c r="PVV28" i="3" s="1"/>
  <c r="PVM28" i="3" a="1"/>
  <c r="PVM28" i="3" s="1"/>
  <c r="PVD28" i="3" a="1"/>
  <c r="PVD28" i="3" s="1"/>
  <c r="PUU28" i="3" a="1"/>
  <c r="PUU28" i="3" s="1"/>
  <c r="PUL28" i="3" a="1"/>
  <c r="PUL28" i="3" s="1"/>
  <c r="PUC28" i="3" a="1"/>
  <c r="PUC28" i="3" s="1"/>
  <c r="PTT28" i="3" a="1"/>
  <c r="PTT28" i="3" s="1"/>
  <c r="PTK28" i="3" a="1"/>
  <c r="PTK28" i="3" s="1"/>
  <c r="PTB28" i="3" a="1"/>
  <c r="PTB28" i="3" s="1"/>
  <c r="PSS28" i="3" a="1"/>
  <c r="PSS28" i="3" s="1"/>
  <c r="PSJ28" i="3" a="1"/>
  <c r="PSJ28" i="3" s="1"/>
  <c r="PSA28" i="3" a="1"/>
  <c r="PSA28" i="3" s="1"/>
  <c r="PRR28" i="3" a="1"/>
  <c r="PRR28" i="3" s="1"/>
  <c r="PRI28" i="3" a="1"/>
  <c r="PRI28" i="3" s="1"/>
  <c r="PQZ28" i="3" a="1"/>
  <c r="PQZ28" i="3" s="1"/>
  <c r="PQQ28" i="3" a="1"/>
  <c r="PQQ28" i="3" s="1"/>
  <c r="PQH28" i="3" a="1"/>
  <c r="PQH28" i="3" s="1"/>
  <c r="PPY28" i="3" a="1"/>
  <c r="PPY28" i="3" s="1"/>
  <c r="PPP28" i="3" a="1"/>
  <c r="PPP28" i="3" s="1"/>
  <c r="PPG28" i="3" a="1"/>
  <c r="PPG28" i="3" s="1"/>
  <c r="POX28" i="3" a="1"/>
  <c r="POX28" i="3" s="1"/>
  <c r="POO28" i="3" a="1"/>
  <c r="POO28" i="3" s="1"/>
  <c r="POF28" i="3" a="1"/>
  <c r="POF28" i="3" s="1"/>
  <c r="PNW28" i="3" a="1"/>
  <c r="PNW28" i="3" s="1"/>
  <c r="PNN28" i="3" a="1"/>
  <c r="PNN28" i="3" s="1"/>
  <c r="PNE28" i="3" a="1"/>
  <c r="PNE28" i="3" s="1"/>
  <c r="PMV28" i="3" a="1"/>
  <c r="PMV28" i="3" s="1"/>
  <c r="PMM28" i="3" a="1"/>
  <c r="PMM28" i="3" s="1"/>
  <c r="PMD28" i="3" a="1"/>
  <c r="PMD28" i="3" s="1"/>
  <c r="PLU28" i="3" a="1"/>
  <c r="PLU28" i="3" s="1"/>
  <c r="PLL28" i="3" a="1"/>
  <c r="PLL28" i="3" s="1"/>
  <c r="PLC28" i="3" a="1"/>
  <c r="PLC28" i="3" s="1"/>
  <c r="PKT28" i="3" a="1"/>
  <c r="PKT28" i="3" s="1"/>
  <c r="PKK28" i="3" a="1"/>
  <c r="PKK28" i="3" s="1"/>
  <c r="PKB28" i="3" a="1"/>
  <c r="PKB28" i="3" s="1"/>
  <c r="PJS28" i="3" a="1"/>
  <c r="PJS28" i="3" s="1"/>
  <c r="PJJ28" i="3" a="1"/>
  <c r="PJJ28" i="3" s="1"/>
  <c r="PJA28" i="3" a="1"/>
  <c r="PJA28" i="3" s="1"/>
  <c r="PIR28" i="3" a="1"/>
  <c r="PIR28" i="3" s="1"/>
  <c r="PII28" i="3" a="1"/>
  <c r="PII28" i="3" s="1"/>
  <c r="PHZ28" i="3" a="1"/>
  <c r="PHZ28" i="3" s="1"/>
  <c r="PHQ28" i="3" a="1"/>
  <c r="PHQ28" i="3" s="1"/>
  <c r="PHH28" i="3" a="1"/>
  <c r="PHH28" i="3" s="1"/>
  <c r="PGY28" i="3" a="1"/>
  <c r="PGY28" i="3" s="1"/>
  <c r="PGQ28" i="3" a="1"/>
  <c r="PGQ28" i="3" s="1"/>
  <c r="PFS28" i="3" a="1"/>
  <c r="PFS28" i="3" s="1"/>
  <c r="PEU28" i="3" a="1"/>
  <c r="PEU28" i="3" s="1"/>
  <c r="PDW28" i="3" a="1"/>
  <c r="PDW28" i="3" s="1"/>
  <c r="PCY28" i="3" a="1"/>
  <c r="PCY28" i="3" s="1"/>
  <c r="PCA28" i="3" a="1"/>
  <c r="PCA28" i="3" s="1"/>
  <c r="PBC28" i="3" a="1"/>
  <c r="PBC28" i="3" s="1"/>
  <c r="PAE28" i="3" a="1"/>
  <c r="PAE28" i="3" s="1"/>
  <c r="OYT28" i="3" a="1"/>
  <c r="OYT28" i="3" s="1"/>
  <c r="OXJ28" i="3" a="1"/>
  <c r="OXJ28" i="3" s="1"/>
  <c r="OVZ28" i="3" a="1"/>
  <c r="OVZ28" i="3" s="1"/>
  <c r="OUP28" i="3" a="1"/>
  <c r="OUP28" i="3" s="1"/>
  <c r="UIO28" i="3" a="1"/>
  <c r="UIO28" i="3" s="1"/>
  <c r="TLS28" i="3" a="1"/>
  <c r="TLS28" i="3" s="1"/>
  <c r="SWW28" i="3" a="1"/>
  <c r="SWW28" i="3" s="1"/>
  <c r="SSJ28" i="3" a="1"/>
  <c r="SSJ28" i="3" s="1"/>
  <c r="SLH28" i="3" a="1"/>
  <c r="SLH28" i="3" s="1"/>
  <c r="SJG28" i="3" a="1"/>
  <c r="SJG28" i="3" s="1"/>
  <c r="SFT28" i="3" a="1"/>
  <c r="SFT28" i="3" s="1"/>
  <c r="SAZ28" i="3" a="1"/>
  <c r="SAZ28" i="3" s="1"/>
  <c r="RZL28" i="3" a="1"/>
  <c r="RZL28" i="3" s="1"/>
  <c r="RWG28" i="3" a="1"/>
  <c r="RWG28" i="3" s="1"/>
  <c r="RUR28" i="3" a="1"/>
  <c r="RUR28" i="3" s="1"/>
  <c r="RQG28" i="3" a="1"/>
  <c r="RQG28" i="3" s="1"/>
  <c r="RPF28" i="3" a="1"/>
  <c r="RPF28" i="3" s="1"/>
  <c r="ROF28" i="3" a="1"/>
  <c r="ROF28" i="3" s="1"/>
  <c r="RLP28" i="3" a="1"/>
  <c r="RLP28" i="3" s="1"/>
  <c r="RJG28" i="3" a="1"/>
  <c r="RJG28" i="3" s="1"/>
  <c r="RGL28" i="3" a="1"/>
  <c r="RGL28" i="3" s="1"/>
  <c r="RDR28" i="3" a="1"/>
  <c r="RDR28" i="3" s="1"/>
  <c r="RAX28" i="3" a="1"/>
  <c r="RAX28" i="3" s="1"/>
  <c r="QZH28" i="3" a="1"/>
  <c r="QZH28" i="3" s="1"/>
  <c r="QYU28" i="3" a="1"/>
  <c r="QYU28" i="3" s="1"/>
  <c r="QYJ28" i="3" a="1"/>
  <c r="QYJ28" i="3" s="1"/>
  <c r="QXA28" i="3" a="1"/>
  <c r="QXA28" i="3" s="1"/>
  <c r="QWG28" i="3" a="1"/>
  <c r="QWG28" i="3" s="1"/>
  <c r="QVM28" i="3" a="1"/>
  <c r="QVM28" i="3" s="1"/>
  <c r="QVB28" i="3" a="1"/>
  <c r="QVB28" i="3" s="1"/>
  <c r="QUG28" i="3" a="1"/>
  <c r="QUG28" i="3" s="1"/>
  <c r="QTM28" i="3" a="1"/>
  <c r="QTM28" i="3" s="1"/>
  <c r="QSS28" i="3" a="1"/>
  <c r="QSS28" i="3" s="1"/>
  <c r="QSH28" i="3" a="1"/>
  <c r="QSH28" i="3" s="1"/>
  <c r="QRM28" i="3" a="1"/>
  <c r="QRM28" i="3" s="1"/>
  <c r="QQS28" i="3" a="1"/>
  <c r="QQS28" i="3" s="1"/>
  <c r="QPY28" i="3" a="1"/>
  <c r="QPY28" i="3" s="1"/>
  <c r="QPN28" i="3" a="1"/>
  <c r="QPN28" i="3" s="1"/>
  <c r="QOS28" i="3" a="1"/>
  <c r="QOS28" i="3" s="1"/>
  <c r="QNY28" i="3" a="1"/>
  <c r="QNY28" i="3" s="1"/>
  <c r="QNE28" i="3" a="1"/>
  <c r="QNE28" i="3" s="1"/>
  <c r="QMT28" i="3" a="1"/>
  <c r="QMT28" i="3" s="1"/>
  <c r="QLY28" i="3" a="1"/>
  <c r="QLY28" i="3" s="1"/>
  <c r="QLE28" i="3" a="1"/>
  <c r="QLE28" i="3" s="1"/>
  <c r="QKK28" i="3" a="1"/>
  <c r="QKK28" i="3" s="1"/>
  <c r="QJZ28" i="3" a="1"/>
  <c r="QJZ28" i="3" s="1"/>
  <c r="QJE28" i="3" a="1"/>
  <c r="QJE28" i="3" s="1"/>
  <c r="QIK28" i="3" a="1"/>
  <c r="QIK28" i="3" s="1"/>
  <c r="QHQ28" i="3" a="1"/>
  <c r="QHQ28" i="3" s="1"/>
  <c r="QHF28" i="3" a="1"/>
  <c r="QHF28" i="3" s="1"/>
  <c r="QGK28" i="3" a="1"/>
  <c r="QGK28" i="3" s="1"/>
  <c r="QFQ28" i="3" a="1"/>
  <c r="QFQ28" i="3" s="1"/>
  <c r="QEW28" i="3" a="1"/>
  <c r="QEW28" i="3" s="1"/>
  <c r="QEL28" i="3" a="1"/>
  <c r="QEL28" i="3" s="1"/>
  <c r="QDQ28" i="3" a="1"/>
  <c r="QDQ28" i="3" s="1"/>
  <c r="QCW28" i="3" a="1"/>
  <c r="QCW28" i="3" s="1"/>
  <c r="QCC28" i="3" a="1"/>
  <c r="QCC28" i="3" s="1"/>
  <c r="QBR28" i="3" a="1"/>
  <c r="QBR28" i="3" s="1"/>
  <c r="QAW28" i="3" a="1"/>
  <c r="QAW28" i="3" s="1"/>
  <c r="QAC28" i="3" a="1"/>
  <c r="QAC28" i="3" s="1"/>
  <c r="PZI28" i="3" a="1"/>
  <c r="PZI28" i="3" s="1"/>
  <c r="PYX28" i="3" a="1"/>
  <c r="PYX28" i="3" s="1"/>
  <c r="PYC28" i="3" a="1"/>
  <c r="PYC28" i="3" s="1"/>
  <c r="PXI28" i="3" a="1"/>
  <c r="PXI28" i="3" s="1"/>
  <c r="PWO28" i="3" a="1"/>
  <c r="PWO28" i="3" s="1"/>
  <c r="UED28" i="3" a="1"/>
  <c r="UED28" i="3" s="1"/>
  <c r="TKQ28" i="3" a="1"/>
  <c r="TKQ28" i="3" s="1"/>
  <c r="SWH28" i="3" a="1"/>
  <c r="SWH28" i="3" s="1"/>
  <c r="SRX28" i="3" a="1"/>
  <c r="SRX28" i="3" s="1"/>
  <c r="SNV28" i="3" a="1"/>
  <c r="SNV28" i="3" s="1"/>
  <c r="SJB28" i="3" a="1"/>
  <c r="SJB28" i="3" s="1"/>
  <c r="SDZ28" i="3" a="1"/>
  <c r="SDZ28" i="3" s="1"/>
  <c r="SCL28" i="3" a="1"/>
  <c r="SCL28" i="3" s="1"/>
  <c r="RZG28" i="3" a="1"/>
  <c r="RZG28" i="3" s="1"/>
  <c r="RXR28" i="3" a="1"/>
  <c r="RXR28" i="3" s="1"/>
  <c r="RSX28" i="3" a="1"/>
  <c r="RSX28" i="3" s="1"/>
  <c r="ROC28" i="3" a="1"/>
  <c r="ROC28" i="3" s="1"/>
  <c r="RNF28" i="3" a="1"/>
  <c r="RNF28" i="3" s="1"/>
  <c r="RMI28" i="3" a="1"/>
  <c r="RMI28" i="3" s="1"/>
  <c r="RJZ28" i="3" a="1"/>
  <c r="RJZ28" i="3" s="1"/>
  <c r="RJF28" i="3" a="1"/>
  <c r="RJF28" i="3" s="1"/>
  <c r="RIQ28" i="3" a="1"/>
  <c r="RIQ28" i="3" s="1"/>
  <c r="RIC28" i="3" a="1"/>
  <c r="RIC28" i="3" s="1"/>
  <c r="RHN28" i="3" a="1"/>
  <c r="RHN28" i="3" s="1"/>
  <c r="RGZ28" i="3" a="1"/>
  <c r="RGZ28" i="3" s="1"/>
  <c r="RGK28" i="3" a="1"/>
  <c r="RGK28" i="3" s="1"/>
  <c r="RFW28" i="3" a="1"/>
  <c r="RFW28" i="3" s="1"/>
  <c r="RFI28" i="3" a="1"/>
  <c r="RFI28" i="3" s="1"/>
  <c r="RET28" i="3" a="1"/>
  <c r="RET28" i="3" s="1"/>
  <c r="REF28" i="3" a="1"/>
  <c r="REF28" i="3" s="1"/>
  <c r="RDQ28" i="3" a="1"/>
  <c r="RDQ28" i="3" s="1"/>
  <c r="RDC28" i="3" a="1"/>
  <c r="RDC28" i="3" s="1"/>
  <c r="RCO28" i="3" a="1"/>
  <c r="RCO28" i="3" s="1"/>
  <c r="RBZ28" i="3" a="1"/>
  <c r="RBZ28" i="3" s="1"/>
  <c r="RBL28" i="3" a="1"/>
  <c r="RBL28" i="3" s="1"/>
  <c r="RAW28" i="3" a="1"/>
  <c r="RAW28" i="3" s="1"/>
  <c r="RAI28" i="3" a="1"/>
  <c r="RAI28" i="3" s="1"/>
  <c r="QZU28" i="3" a="1"/>
  <c r="QZU28" i="3" s="1"/>
  <c r="QYT28" i="3" a="1"/>
  <c r="QYT28" i="3" s="1"/>
  <c r="QXV28" i="3" a="1"/>
  <c r="QXV28" i="3" s="1"/>
  <c r="QXK28" i="3" a="1"/>
  <c r="QXK28" i="3" s="1"/>
  <c r="QWQ28" i="3" a="1"/>
  <c r="QWQ28" i="3" s="1"/>
  <c r="QWF28" i="3" a="1"/>
  <c r="QWF28" i="3" s="1"/>
  <c r="QVK28" i="3" a="1"/>
  <c r="QVK28" i="3" s="1"/>
  <c r="QUQ28" i="3" a="1"/>
  <c r="QUQ28" i="3" s="1"/>
  <c r="QTW28" i="3" a="1"/>
  <c r="QTW28" i="3" s="1"/>
  <c r="QTL28" i="3" a="1"/>
  <c r="QTL28" i="3" s="1"/>
  <c r="QSQ28" i="3" a="1"/>
  <c r="QSQ28" i="3" s="1"/>
  <c r="QRW28" i="3" a="1"/>
  <c r="QRW28" i="3" s="1"/>
  <c r="QRC28" i="3" a="1"/>
  <c r="QRC28" i="3" s="1"/>
  <c r="QQR28" i="3" a="1"/>
  <c r="QQR28" i="3" s="1"/>
  <c r="QPW28" i="3" a="1"/>
  <c r="QPW28" i="3" s="1"/>
  <c r="QPC28" i="3" a="1"/>
  <c r="QPC28" i="3" s="1"/>
  <c r="QOI28" i="3" a="1"/>
  <c r="QOI28" i="3" s="1"/>
  <c r="QNX28" i="3" a="1"/>
  <c r="QNX28" i="3" s="1"/>
  <c r="QNC28" i="3" a="1"/>
  <c r="QNC28" i="3" s="1"/>
  <c r="QMI28" i="3" a="1"/>
  <c r="QMI28" i="3" s="1"/>
  <c r="QLO28" i="3" a="1"/>
  <c r="QLO28" i="3" s="1"/>
  <c r="QLD28" i="3" a="1"/>
  <c r="QLD28" i="3" s="1"/>
  <c r="QKI28" i="3" a="1"/>
  <c r="QKI28" i="3" s="1"/>
  <c r="QJO28" i="3" a="1"/>
  <c r="QJO28" i="3" s="1"/>
  <c r="QIU28" i="3" a="1"/>
  <c r="QIU28" i="3" s="1"/>
  <c r="QIJ28" i="3" a="1"/>
  <c r="QIJ28" i="3" s="1"/>
  <c r="QHO28" i="3" a="1"/>
  <c r="QHO28" i="3" s="1"/>
  <c r="QGU28" i="3" a="1"/>
  <c r="QGU28" i="3" s="1"/>
  <c r="QGA28" i="3" a="1"/>
  <c r="QGA28" i="3" s="1"/>
  <c r="QFP28" i="3" a="1"/>
  <c r="QFP28" i="3" s="1"/>
  <c r="QEU28" i="3" a="1"/>
  <c r="QEU28" i="3" s="1"/>
  <c r="QEA28" i="3" a="1"/>
  <c r="QEA28" i="3" s="1"/>
  <c r="QDG28" i="3" a="1"/>
  <c r="QDG28" i="3" s="1"/>
  <c r="QCV28" i="3" a="1"/>
  <c r="QCV28" i="3" s="1"/>
  <c r="QCA28" i="3" a="1"/>
  <c r="QCA28" i="3" s="1"/>
  <c r="QBG28" i="3" a="1"/>
  <c r="QBG28" i="3" s="1"/>
  <c r="QAM28" i="3" a="1"/>
  <c r="QAM28" i="3" s="1"/>
  <c r="QAB28" i="3" a="1"/>
  <c r="QAB28" i="3" s="1"/>
  <c r="PZG28" i="3" a="1"/>
  <c r="PZG28" i="3" s="1"/>
  <c r="PYM28" i="3" a="1"/>
  <c r="PYM28" i="3" s="1"/>
  <c r="PXS28" i="3" a="1"/>
  <c r="PXS28" i="3" s="1"/>
  <c r="PXH28" i="3" a="1"/>
  <c r="PXH28" i="3" s="1"/>
  <c r="PWM28" i="3" a="1"/>
  <c r="PWM28" i="3" s="1"/>
  <c r="UEC28" i="3" a="1"/>
  <c r="UEC28" i="3" s="1"/>
  <c r="TBV28" i="3" a="1"/>
  <c r="TBV28" i="3" s="1"/>
  <c r="SLF28" i="3" a="1"/>
  <c r="SLF28" i="3" s="1"/>
  <c r="SIZ28" i="3" a="1"/>
  <c r="SIZ28" i="3" s="1"/>
  <c r="SHC28" i="3" a="1"/>
  <c r="SHC28" i="3" s="1"/>
  <c r="SFN28" i="3" a="1"/>
  <c r="SFN28" i="3" s="1"/>
  <c r="SAT28" i="3" a="1"/>
  <c r="SAT28" i="3" s="1"/>
  <c r="RZF28" i="3" a="1"/>
  <c r="RZF28" i="3" s="1"/>
  <c r="RWA28" i="3" a="1"/>
  <c r="RWA28" i="3" s="1"/>
  <c r="RUL28" i="3" a="1"/>
  <c r="RUL28" i="3" s="1"/>
  <c r="RRK28" i="3" a="1"/>
  <c r="RRK28" i="3" s="1"/>
  <c r="ROB28" i="3" a="1"/>
  <c r="ROB28" i="3" s="1"/>
  <c r="RNC28" i="3" a="1"/>
  <c r="RNC28" i="3" s="1"/>
  <c r="RLO28" i="3" a="1"/>
  <c r="RLO28" i="3" s="1"/>
  <c r="RKS28" i="3" a="1"/>
  <c r="RKS28" i="3" s="1"/>
  <c r="RIB28" i="3" a="1"/>
  <c r="RIB28" i="3" s="1"/>
  <c r="RFH28" i="3" a="1"/>
  <c r="RFH28" i="3" s="1"/>
  <c r="RCN28" i="3" a="1"/>
  <c r="RCN28" i="3" s="1"/>
  <c r="QZT28" i="3" a="1"/>
  <c r="QZT28" i="3" s="1"/>
  <c r="QZF28" i="3" a="1"/>
  <c r="QZF28" i="3" s="1"/>
  <c r="QYG28" i="3" a="1"/>
  <c r="QYG28" i="3" s="1"/>
  <c r="QXJ28" i="3" a="1"/>
  <c r="QXJ28" i="3" s="1"/>
  <c r="QWO28" i="3" a="1"/>
  <c r="QWO28" i="3" s="1"/>
  <c r="QVU28" i="3" a="1"/>
  <c r="QVU28" i="3" s="1"/>
  <c r="QVA28" i="3" a="1"/>
  <c r="QVA28" i="3" s="1"/>
  <c r="QUP28" i="3" a="1"/>
  <c r="QUP28" i="3" s="1"/>
  <c r="QTU28" i="3" a="1"/>
  <c r="QTU28" i="3" s="1"/>
  <c r="QTA28" i="3" a="1"/>
  <c r="QTA28" i="3" s="1"/>
  <c r="QSG28" i="3" a="1"/>
  <c r="QSG28" i="3" s="1"/>
  <c r="QRV28" i="3" a="1"/>
  <c r="QRV28" i="3" s="1"/>
  <c r="QRA28" i="3" a="1"/>
  <c r="QRA28" i="3" s="1"/>
  <c r="QQG28" i="3" a="1"/>
  <c r="QQG28" i="3" s="1"/>
  <c r="QPM28" i="3" a="1"/>
  <c r="QPM28" i="3" s="1"/>
  <c r="QPB28" i="3" a="1"/>
  <c r="QPB28" i="3" s="1"/>
  <c r="QOG28" i="3" a="1"/>
  <c r="QOG28" i="3" s="1"/>
  <c r="QNM28" i="3" a="1"/>
  <c r="QNM28" i="3" s="1"/>
  <c r="QMS28" i="3" a="1"/>
  <c r="QMS28" i="3" s="1"/>
  <c r="QMH28" i="3" a="1"/>
  <c r="QMH28" i="3" s="1"/>
  <c r="QLM28" i="3" a="1"/>
  <c r="QLM28" i="3" s="1"/>
  <c r="QKS28" i="3" a="1"/>
  <c r="QKS28" i="3" s="1"/>
  <c r="QJY28" i="3" a="1"/>
  <c r="QJY28" i="3" s="1"/>
  <c r="QJN28" i="3" a="1"/>
  <c r="QJN28" i="3" s="1"/>
  <c r="QIS28" i="3" a="1"/>
  <c r="QIS28" i="3" s="1"/>
  <c r="QHY28" i="3" a="1"/>
  <c r="QHY28" i="3" s="1"/>
  <c r="QHE28" i="3" a="1"/>
  <c r="QHE28" i="3" s="1"/>
  <c r="QGT28" i="3" a="1"/>
  <c r="QGT28" i="3" s="1"/>
  <c r="QFY28" i="3" a="1"/>
  <c r="QFY28" i="3" s="1"/>
  <c r="QFE28" i="3" a="1"/>
  <c r="QFE28" i="3" s="1"/>
  <c r="QEK28" i="3" a="1"/>
  <c r="QEK28" i="3" s="1"/>
  <c r="QDZ28" i="3" a="1"/>
  <c r="QDZ28" i="3" s="1"/>
  <c r="QDE28" i="3" a="1"/>
  <c r="QDE28" i="3" s="1"/>
  <c r="QCK28" i="3" a="1"/>
  <c r="QCK28" i="3" s="1"/>
  <c r="QBQ28" i="3" a="1"/>
  <c r="QBQ28" i="3" s="1"/>
  <c r="QBF28" i="3" a="1"/>
  <c r="QBF28" i="3" s="1"/>
  <c r="QAK28" i="3" a="1"/>
  <c r="QAK28" i="3" s="1"/>
  <c r="PZQ28" i="3" a="1"/>
  <c r="PZQ28" i="3" s="1"/>
  <c r="PYW28" i="3" a="1"/>
  <c r="PYW28" i="3" s="1"/>
  <c r="PYL28" i="3" a="1"/>
  <c r="PYL28" i="3" s="1"/>
  <c r="PXQ28" i="3" a="1"/>
  <c r="PXQ28" i="3" s="1"/>
  <c r="PWW28" i="3" a="1"/>
  <c r="PWW28" i="3" s="1"/>
  <c r="PWC28" i="3" a="1"/>
  <c r="PWC28" i="3" s="1"/>
  <c r="PVK28" i="3" a="1"/>
  <c r="PVK28" i="3" s="1"/>
  <c r="PUS28" i="3" a="1"/>
  <c r="PUS28" i="3" s="1"/>
  <c r="PUA28" i="3" a="1"/>
  <c r="PUA28" i="3" s="1"/>
  <c r="PTI28" i="3" a="1"/>
  <c r="PTI28" i="3" s="1"/>
  <c r="PSQ28" i="3" a="1"/>
  <c r="PSQ28" i="3" s="1"/>
  <c r="PRY28" i="3" a="1"/>
  <c r="PRY28" i="3" s="1"/>
  <c r="PRG28" i="3" a="1"/>
  <c r="PRG28" i="3" s="1"/>
  <c r="PQO28" i="3" a="1"/>
  <c r="PQO28" i="3" s="1"/>
  <c r="PPW28" i="3" a="1"/>
  <c r="PPW28" i="3" s="1"/>
  <c r="PPE28" i="3" a="1"/>
  <c r="PPE28" i="3" s="1"/>
  <c r="POM28" i="3" a="1"/>
  <c r="POM28" i="3" s="1"/>
  <c r="PNU28" i="3" a="1"/>
  <c r="PNU28" i="3" s="1"/>
  <c r="PNC28" i="3" a="1"/>
  <c r="PNC28" i="3" s="1"/>
  <c r="PMK28" i="3" a="1"/>
  <c r="PMK28" i="3" s="1"/>
  <c r="PLS28" i="3" a="1"/>
  <c r="PLS28" i="3" s="1"/>
  <c r="PLA28" i="3" a="1"/>
  <c r="PLA28" i="3" s="1"/>
  <c r="PKI28" i="3" a="1"/>
  <c r="PKI28" i="3" s="1"/>
  <c r="PJQ28" i="3" a="1"/>
  <c r="PJQ28" i="3" s="1"/>
  <c r="PIY28" i="3" a="1"/>
  <c r="PIY28" i="3" s="1"/>
  <c r="PIG28" i="3" a="1"/>
  <c r="PIG28" i="3" s="1"/>
  <c r="PHO28" i="3" a="1"/>
  <c r="PHO28" i="3" s="1"/>
  <c r="PGW28" i="3" a="1"/>
  <c r="PGW28" i="3" s="1"/>
  <c r="PFY28" i="3" a="1"/>
  <c r="PFY28" i="3" s="1"/>
  <c r="PFA28" i="3" a="1"/>
  <c r="PFA28" i="3" s="1"/>
  <c r="THO28" i="3" a="1"/>
  <c r="THO28" i="3" s="1"/>
  <c r="SUS28" i="3" a="1"/>
  <c r="SUS28" i="3" s="1"/>
  <c r="SQO28" i="3" a="1"/>
  <c r="SQO28" i="3" s="1"/>
  <c r="SMT28" i="3" a="1"/>
  <c r="SMT28" i="3" s="1"/>
  <c r="SGR28" i="3" a="1"/>
  <c r="SGR28" i="3" s="1"/>
  <c r="SBX28" i="3" a="1"/>
  <c r="SBX28" i="3" s="1"/>
  <c r="SAJ28" i="3" a="1"/>
  <c r="SAJ28" i="3" s="1"/>
  <c r="RXE28" i="3" a="1"/>
  <c r="RXE28" i="3" s="1"/>
  <c r="RVP28" i="3" a="1"/>
  <c r="RVP28" i="3" s="1"/>
  <c r="RRA28" i="3" a="1"/>
  <c r="RRA28" i="3" s="1"/>
  <c r="ROU28" i="3" a="1"/>
  <c r="ROU28" i="3" s="1"/>
  <c r="RNU28" i="3" a="1"/>
  <c r="RNU28" i="3" s="1"/>
  <c r="RLI28" i="3" a="1"/>
  <c r="RLI28" i="3" s="1"/>
  <c r="RKM28" i="3" a="1"/>
  <c r="RKM28" i="3" s="1"/>
  <c r="RJA28" i="3" a="1"/>
  <c r="RJA28" i="3" s="1"/>
  <c r="RIL28" i="3" a="1"/>
  <c r="RIL28" i="3" s="1"/>
  <c r="RHX28" i="3" a="1"/>
  <c r="RHX28" i="3" s="1"/>
  <c r="RHI28" i="3" a="1"/>
  <c r="RHI28" i="3" s="1"/>
  <c r="RGU28" i="3" a="1"/>
  <c r="RGU28" i="3" s="1"/>
  <c r="RGG28" i="3" a="1"/>
  <c r="RGG28" i="3" s="1"/>
  <c r="RFR28" i="3" a="1"/>
  <c r="RFR28" i="3" s="1"/>
  <c r="RFD28" i="3" a="1"/>
  <c r="RFD28" i="3" s="1"/>
  <c r="REO28" i="3" a="1"/>
  <c r="REO28" i="3" s="1"/>
  <c r="REA28" i="3" a="1"/>
  <c r="REA28" i="3" s="1"/>
  <c r="RDM28" i="3" a="1"/>
  <c r="RDM28" i="3" s="1"/>
  <c r="RCX28" i="3" a="1"/>
  <c r="RCX28" i="3" s="1"/>
  <c r="RCJ28" i="3" a="1"/>
  <c r="RCJ28" i="3" s="1"/>
  <c r="RBU28" i="3" a="1"/>
  <c r="RBU28" i="3" s="1"/>
  <c r="RBG28" i="3" a="1"/>
  <c r="RBG28" i="3" s="1"/>
  <c r="RAS28" i="3" a="1"/>
  <c r="RAS28" i="3" s="1"/>
  <c r="RAD28" i="3" a="1"/>
  <c r="RAD28" i="3" s="1"/>
  <c r="QZP28" i="3" a="1"/>
  <c r="QZP28" i="3" s="1"/>
  <c r="QYR28" i="3" a="1"/>
  <c r="QYR28" i="3" s="1"/>
  <c r="QXS28" i="3" a="1"/>
  <c r="QXS28" i="3" s="1"/>
  <c r="QXI28" i="3" a="1"/>
  <c r="QXI28" i="3" s="1"/>
  <c r="QWX28" i="3" a="1"/>
  <c r="QWX28" i="3" s="1"/>
  <c r="QWC28" i="3" a="1"/>
  <c r="QWC28" i="3" s="1"/>
  <c r="QVI28" i="3" a="1"/>
  <c r="QVI28" i="3" s="1"/>
  <c r="QUO28" i="3" a="1"/>
  <c r="QUO28" i="3" s="1"/>
  <c r="QUD28" i="3" a="1"/>
  <c r="QUD28" i="3" s="1"/>
  <c r="QTI28" i="3" a="1"/>
  <c r="QTI28" i="3" s="1"/>
  <c r="QSO28" i="3" a="1"/>
  <c r="QSO28" i="3" s="1"/>
  <c r="QRU28" i="3" a="1"/>
  <c r="QRU28" i="3" s="1"/>
  <c r="QRJ28" i="3" a="1"/>
  <c r="QRJ28" i="3" s="1"/>
  <c r="QQO28" i="3" a="1"/>
  <c r="QQO28" i="3" s="1"/>
  <c r="QPU28" i="3" a="1"/>
  <c r="QPU28" i="3" s="1"/>
  <c r="QPA28" i="3" a="1"/>
  <c r="QPA28" i="3" s="1"/>
  <c r="QOP28" i="3" a="1"/>
  <c r="QOP28" i="3" s="1"/>
  <c r="QNU28" i="3" a="1"/>
  <c r="QNU28" i="3" s="1"/>
  <c r="QNA28" i="3" a="1"/>
  <c r="QNA28" i="3" s="1"/>
  <c r="QMG28" i="3" a="1"/>
  <c r="QMG28" i="3" s="1"/>
  <c r="QLV28" i="3" a="1"/>
  <c r="QLV28" i="3" s="1"/>
  <c r="QLA28" i="3" a="1"/>
  <c r="QLA28" i="3" s="1"/>
  <c r="QKG28" i="3" a="1"/>
  <c r="QKG28" i="3" s="1"/>
  <c r="QJM28" i="3" a="1"/>
  <c r="QJM28" i="3" s="1"/>
  <c r="QJB28" i="3" a="1"/>
  <c r="QJB28" i="3" s="1"/>
  <c r="QIG28" i="3" a="1"/>
  <c r="QIG28" i="3" s="1"/>
  <c r="QHM28" i="3" a="1"/>
  <c r="QHM28" i="3" s="1"/>
  <c r="QGS28" i="3" a="1"/>
  <c r="QGS28" i="3" s="1"/>
  <c r="QGH28" i="3" a="1"/>
  <c r="QGH28" i="3" s="1"/>
  <c r="QFM28" i="3" a="1"/>
  <c r="QFM28" i="3" s="1"/>
  <c r="QES28" i="3" a="1"/>
  <c r="QES28" i="3" s="1"/>
  <c r="QDY28" i="3" a="1"/>
  <c r="QDY28" i="3" s="1"/>
  <c r="QDN28" i="3" a="1"/>
  <c r="QDN28" i="3" s="1"/>
  <c r="QCS28" i="3" a="1"/>
  <c r="QCS28" i="3" s="1"/>
  <c r="QBY28" i="3" a="1"/>
  <c r="QBY28" i="3" s="1"/>
  <c r="QBE28" i="3" a="1"/>
  <c r="QBE28" i="3" s="1"/>
  <c r="QAT28" i="3" a="1"/>
  <c r="QAT28" i="3" s="1"/>
  <c r="PZY28" i="3" a="1"/>
  <c r="PZY28" i="3" s="1"/>
  <c r="PZE28" i="3" a="1"/>
  <c r="PZE28" i="3" s="1"/>
  <c r="PYK28" i="3" a="1"/>
  <c r="PYK28" i="3" s="1"/>
  <c r="PXZ28" i="3" a="1"/>
  <c r="PXZ28" i="3" s="1"/>
  <c r="PXE28" i="3" a="1"/>
  <c r="PXE28" i="3" s="1"/>
  <c r="PWK28" i="3" a="1"/>
  <c r="PWK28" i="3" s="1"/>
  <c r="PWA28" i="3" a="1"/>
  <c r="PWA28" i="3" s="1"/>
  <c r="PVR28" i="3" a="1"/>
  <c r="PVR28" i="3" s="1"/>
  <c r="PVI28" i="3" a="1"/>
  <c r="PVI28" i="3" s="1"/>
  <c r="PUZ28" i="3" a="1"/>
  <c r="PUZ28" i="3" s="1"/>
  <c r="PUQ28" i="3" a="1"/>
  <c r="PUQ28" i="3" s="1"/>
  <c r="PUH28" i="3" a="1"/>
  <c r="PUH28" i="3" s="1"/>
  <c r="PTY28" i="3" a="1"/>
  <c r="PTY28" i="3" s="1"/>
  <c r="PTP28" i="3" a="1"/>
  <c r="PTP28" i="3" s="1"/>
  <c r="PTG28" i="3" a="1"/>
  <c r="PTG28" i="3" s="1"/>
  <c r="PSX28" i="3" a="1"/>
  <c r="PSX28" i="3" s="1"/>
  <c r="PSO28" i="3" a="1"/>
  <c r="PSO28" i="3" s="1"/>
  <c r="PSF28" i="3" a="1"/>
  <c r="PSF28" i="3" s="1"/>
  <c r="PRW28" i="3" a="1"/>
  <c r="PRW28" i="3" s="1"/>
  <c r="PRN28" i="3" a="1"/>
  <c r="PRN28" i="3" s="1"/>
  <c r="PRE28" i="3" a="1"/>
  <c r="PRE28" i="3" s="1"/>
  <c r="PQV28" i="3" a="1"/>
  <c r="PQV28" i="3" s="1"/>
  <c r="PQM28" i="3" a="1"/>
  <c r="PQM28" i="3" s="1"/>
  <c r="PQD28" i="3" a="1"/>
  <c r="PQD28" i="3" s="1"/>
  <c r="PPU28" i="3" a="1"/>
  <c r="PPU28" i="3" s="1"/>
  <c r="PPL28" i="3" a="1"/>
  <c r="PPL28" i="3" s="1"/>
  <c r="PPC28" i="3" a="1"/>
  <c r="PPC28" i="3" s="1"/>
  <c r="POT28" i="3" a="1"/>
  <c r="POT28" i="3" s="1"/>
  <c r="POK28" i="3" a="1"/>
  <c r="POK28" i="3" s="1"/>
  <c r="POB28" i="3" a="1"/>
  <c r="POB28" i="3" s="1"/>
  <c r="PNS28" i="3" a="1"/>
  <c r="PNS28" i="3" s="1"/>
  <c r="PNJ28" i="3" a="1"/>
  <c r="PNJ28" i="3" s="1"/>
  <c r="PNA28" i="3" a="1"/>
  <c r="PNA28" i="3" s="1"/>
  <c r="PMR28" i="3" a="1"/>
  <c r="PMR28" i="3" s="1"/>
  <c r="PMI28" i="3" a="1"/>
  <c r="PMI28" i="3" s="1"/>
  <c r="PLZ28" i="3" a="1"/>
  <c r="PLZ28" i="3" s="1"/>
  <c r="PLQ28" i="3" a="1"/>
  <c r="PLQ28" i="3" s="1"/>
  <c r="PLH28" i="3" a="1"/>
  <c r="PLH28" i="3" s="1"/>
  <c r="PKY28" i="3" a="1"/>
  <c r="PKY28" i="3" s="1"/>
  <c r="PKP28" i="3" a="1"/>
  <c r="PKP28" i="3" s="1"/>
  <c r="PKG28" i="3" a="1"/>
  <c r="PKG28" i="3" s="1"/>
  <c r="PJX28" i="3" a="1"/>
  <c r="PJX28" i="3" s="1"/>
  <c r="PJO28" i="3" a="1"/>
  <c r="PJO28" i="3" s="1"/>
  <c r="PJF28" i="3" a="1"/>
  <c r="PJF28" i="3" s="1"/>
  <c r="PIW28" i="3" a="1"/>
  <c r="PIW28" i="3" s="1"/>
  <c r="PIN28" i="3" a="1"/>
  <c r="PIN28" i="3" s="1"/>
  <c r="PIE28" i="3" a="1"/>
  <c r="PIE28" i="3" s="1"/>
  <c r="PHV28" i="3" a="1"/>
  <c r="PHV28" i="3" s="1"/>
  <c r="PHM28" i="3" a="1"/>
  <c r="PHM28" i="3" s="1"/>
  <c r="PHD28" i="3" a="1"/>
  <c r="PHD28" i="3" s="1"/>
  <c r="PGU28" i="3" a="1"/>
  <c r="PGU28" i="3" s="1"/>
  <c r="PGM28" i="3" a="1"/>
  <c r="PGM28" i="3" s="1"/>
  <c r="PFW28" i="3" a="1"/>
  <c r="PFW28" i="3" s="1"/>
  <c r="PFO28" i="3" a="1"/>
  <c r="PFO28" i="3" s="1"/>
  <c r="PEY28" i="3" a="1"/>
  <c r="PEY28" i="3" s="1"/>
  <c r="PEQ28" i="3" a="1"/>
  <c r="PEQ28" i="3" s="1"/>
  <c r="TYO28" i="3" a="1"/>
  <c r="TYO28" i="3" s="1"/>
  <c r="SGT28" i="3" a="1"/>
  <c r="SGT28" i="3" s="1"/>
  <c r="SAL28" i="3" a="1"/>
  <c r="SAL28" i="3" s="1"/>
  <c r="RUD28" i="3" a="1"/>
  <c r="RUD28" i="3" s="1"/>
  <c r="RRD28" i="3" a="1"/>
  <c r="RRD28" i="3" s="1"/>
  <c r="ROW28" i="3" a="1"/>
  <c r="ROW28" i="3" s="1"/>
  <c r="RMZ28" i="3" a="1"/>
  <c r="RMZ28" i="3" s="1"/>
  <c r="RLJ28" i="3" a="1"/>
  <c r="RLJ28" i="3" s="1"/>
  <c r="RIM28" i="3" a="1"/>
  <c r="RIM28" i="3" s="1"/>
  <c r="RHK28" i="3" a="1"/>
  <c r="RHK28" i="3" s="1"/>
  <c r="RGH28" i="3" a="1"/>
  <c r="RGH28" i="3" s="1"/>
  <c r="RFE28" i="3" a="1"/>
  <c r="RFE28" i="3" s="1"/>
  <c r="REB28" i="3" a="1"/>
  <c r="REB28" i="3" s="1"/>
  <c r="RCY28" i="3" a="1"/>
  <c r="RCY28" i="3" s="1"/>
  <c r="RBW28" i="3" a="1"/>
  <c r="RBW28" i="3" s="1"/>
  <c r="RAT28" i="3" a="1"/>
  <c r="RAT28" i="3" s="1"/>
  <c r="QZQ28" i="3" a="1"/>
  <c r="QZQ28" i="3" s="1"/>
  <c r="QWY28" i="3" a="1"/>
  <c r="QWY28" i="3" s="1"/>
  <c r="QWE28" i="3" a="1"/>
  <c r="QWE28" i="3" s="1"/>
  <c r="QSZ28" i="3" a="1"/>
  <c r="QSZ28" i="3" s="1"/>
  <c r="QSE28" i="3" a="1"/>
  <c r="QSE28" i="3" s="1"/>
  <c r="QRK28" i="3" a="1"/>
  <c r="QRK28" i="3" s="1"/>
  <c r="QQQ28" i="3" a="1"/>
  <c r="QQQ28" i="3" s="1"/>
  <c r="QNL28" i="3" a="1"/>
  <c r="QNL28" i="3" s="1"/>
  <c r="QMQ28" i="3" a="1"/>
  <c r="QMQ28" i="3" s="1"/>
  <c r="QLW28" i="3" a="1"/>
  <c r="QLW28" i="3" s="1"/>
  <c r="QLC28" i="3" a="1"/>
  <c r="QLC28" i="3" s="1"/>
  <c r="QHX28" i="3" a="1"/>
  <c r="QHX28" i="3" s="1"/>
  <c r="QHC28" i="3" a="1"/>
  <c r="QHC28" i="3" s="1"/>
  <c r="QGI28" i="3" a="1"/>
  <c r="QGI28" i="3" s="1"/>
  <c r="QFO28" i="3" a="1"/>
  <c r="QFO28" i="3" s="1"/>
  <c r="QCJ28" i="3" a="1"/>
  <c r="QCJ28" i="3" s="1"/>
  <c r="QBO28" i="3" a="1"/>
  <c r="QBO28" i="3" s="1"/>
  <c r="QAU28" i="3" a="1"/>
  <c r="QAU28" i="3" s="1"/>
  <c r="QAA28" i="3" a="1"/>
  <c r="QAA28" i="3" s="1"/>
  <c r="PWV28" i="3" a="1"/>
  <c r="PWV28" i="3" s="1"/>
  <c r="PWD28" i="3" a="1"/>
  <c r="PWD28" i="3" s="1"/>
  <c r="PVQ28" i="3" a="1"/>
  <c r="PVQ28" i="3" s="1"/>
  <c r="PVC28" i="3" a="1"/>
  <c r="PVC28" i="3" s="1"/>
  <c r="PUB28" i="3" a="1"/>
  <c r="PUB28" i="3" s="1"/>
  <c r="PTO28" i="3" a="1"/>
  <c r="PTO28" i="3" s="1"/>
  <c r="PTA28" i="3" a="1"/>
  <c r="PTA28" i="3" s="1"/>
  <c r="PRZ28" i="3" a="1"/>
  <c r="PRZ28" i="3" s="1"/>
  <c r="PRM28" i="3" a="1"/>
  <c r="PRM28" i="3" s="1"/>
  <c r="PQY28" i="3" a="1"/>
  <c r="PQY28" i="3" s="1"/>
  <c r="PPX28" i="3" a="1"/>
  <c r="PPX28" i="3" s="1"/>
  <c r="PPK28" i="3" a="1"/>
  <c r="PPK28" i="3" s="1"/>
  <c r="POW28" i="3" a="1"/>
  <c r="POW28" i="3" s="1"/>
  <c r="PNV28" i="3" a="1"/>
  <c r="PNV28" i="3" s="1"/>
  <c r="PNI28" i="3" a="1"/>
  <c r="PNI28" i="3" s="1"/>
  <c r="PMU28" i="3" a="1"/>
  <c r="PMU28" i="3" s="1"/>
  <c r="PLT28" i="3" a="1"/>
  <c r="PLT28" i="3" s="1"/>
  <c r="PLG28" i="3" a="1"/>
  <c r="PLG28" i="3" s="1"/>
  <c r="PKS28" i="3" a="1"/>
  <c r="PKS28" i="3" s="1"/>
  <c r="PJR28" i="3" a="1"/>
  <c r="PJR28" i="3" s="1"/>
  <c r="PJE28" i="3" a="1"/>
  <c r="PJE28" i="3" s="1"/>
  <c r="PIQ28" i="3" a="1"/>
  <c r="PIQ28" i="3" s="1"/>
  <c r="PHP28" i="3" a="1"/>
  <c r="PHP28" i="3" s="1"/>
  <c r="PHC28" i="3" a="1"/>
  <c r="PHC28" i="3" s="1"/>
  <c r="PGP28" i="3" a="1"/>
  <c r="PGP28" i="3" s="1"/>
  <c r="PGD28" i="3" a="1"/>
  <c r="PGD28" i="3" s="1"/>
  <c r="PFR28" i="3" a="1"/>
  <c r="PFR28" i="3" s="1"/>
  <c r="PFF28" i="3" a="1"/>
  <c r="PFF28" i="3" s="1"/>
  <c r="PET28" i="3" a="1"/>
  <c r="PET28" i="3" s="1"/>
  <c r="PDQ28" i="3" a="1"/>
  <c r="PDQ28" i="3" s="1"/>
  <c r="PDF28" i="3" a="1"/>
  <c r="PDF28" i="3" s="1"/>
  <c r="PBU28" i="3" a="1"/>
  <c r="PBU28" i="3" s="1"/>
  <c r="PBJ28" i="3" a="1"/>
  <c r="PBJ28" i="3" s="1"/>
  <c r="OZZ28" i="3" a="1"/>
  <c r="OZZ28" i="3" s="1"/>
  <c r="OZR28" i="3" a="1"/>
  <c r="OZR28" i="3" s="1"/>
  <c r="OZJ28" i="3" a="1"/>
  <c r="OZJ28" i="3" s="1"/>
  <c r="OYU28" i="3" a="1"/>
  <c r="OYU28" i="3" s="1"/>
  <c r="OYL28" i="3" a="1"/>
  <c r="OYL28" i="3" s="1"/>
  <c r="OXW28" i="3" a="1"/>
  <c r="OXW28" i="3" s="1"/>
  <c r="OXG28" i="3" a="1"/>
  <c r="OXG28" i="3" s="1"/>
  <c r="OWQ28" i="3" a="1"/>
  <c r="OWQ28" i="3" s="1"/>
  <c r="OWB28" i="3" a="1"/>
  <c r="OWB28" i="3" s="1"/>
  <c r="OVT28" i="3" a="1"/>
  <c r="OVT28" i="3" s="1"/>
  <c r="OVL28" i="3" a="1"/>
  <c r="OVL28" i="3" s="1"/>
  <c r="OVD28" i="3" a="1"/>
  <c r="OVD28" i="3" s="1"/>
  <c r="OUV28" i="3" a="1"/>
  <c r="OUV28" i="3" s="1"/>
  <c r="OUN28" i="3" a="1"/>
  <c r="OUN28" i="3" s="1"/>
  <c r="OTY28" i="3" a="1"/>
  <c r="OTY28" i="3" s="1"/>
  <c r="TVF28" i="3" a="1"/>
  <c r="TVF28" i="3" s="1"/>
  <c r="SZU28" i="3" a="1"/>
  <c r="SZU28" i="3" s="1"/>
  <c r="SKJ28" i="3" a="1"/>
  <c r="SKJ28" i="3" s="1"/>
  <c r="SDL28" i="3" a="1"/>
  <c r="SDL28" i="3" s="1"/>
  <c r="RXD28" i="3" a="1"/>
  <c r="RXD28" i="3" s="1"/>
  <c r="RTY28" i="3" a="1"/>
  <c r="RTY28" i="3" s="1"/>
  <c r="RQZ28" i="3" a="1"/>
  <c r="RQZ28" i="3" s="1"/>
  <c r="ROT28" i="3" a="1"/>
  <c r="ROT28" i="3" s="1"/>
  <c r="RJS28" i="3" a="1"/>
  <c r="RJS28" i="3" s="1"/>
  <c r="RGF28" i="3" a="1"/>
  <c r="RGF28" i="3" s="1"/>
  <c r="RAR28" i="3" a="1"/>
  <c r="RAR28" i="3" s="1"/>
  <c r="QVH28" i="3" a="1"/>
  <c r="QVH28" i="3" s="1"/>
  <c r="QUM28" i="3" a="1"/>
  <c r="QUM28" i="3" s="1"/>
  <c r="QTS28" i="3" a="1"/>
  <c r="QTS28" i="3" s="1"/>
  <c r="QSY28" i="3" a="1"/>
  <c r="QSY28" i="3" s="1"/>
  <c r="QPT28" i="3" a="1"/>
  <c r="QPT28" i="3" s="1"/>
  <c r="QOY28" i="3" a="1"/>
  <c r="QOY28" i="3" s="1"/>
  <c r="QOE28" i="3" a="1"/>
  <c r="QOE28" i="3" s="1"/>
  <c r="QNK28" i="3" a="1"/>
  <c r="QNK28" i="3" s="1"/>
  <c r="QKF28" i="3" a="1"/>
  <c r="QKF28" i="3" s="1"/>
  <c r="QJK28" i="3" a="1"/>
  <c r="QJK28" i="3" s="1"/>
  <c r="QIQ28" i="3" a="1"/>
  <c r="QIQ28" i="3" s="1"/>
  <c r="QHW28" i="3" a="1"/>
  <c r="QHW28" i="3" s="1"/>
  <c r="QER28" i="3" a="1"/>
  <c r="QER28" i="3" s="1"/>
  <c r="QDW28" i="3" a="1"/>
  <c r="QDW28" i="3" s="1"/>
  <c r="QDC28" i="3" a="1"/>
  <c r="QDC28" i="3" s="1"/>
  <c r="QCI28" i="3" a="1"/>
  <c r="QCI28" i="3" s="1"/>
  <c r="PZD28" i="3" a="1"/>
  <c r="PZD28" i="3" s="1"/>
  <c r="PYI28" i="3" a="1"/>
  <c r="PYI28" i="3" s="1"/>
  <c r="PXO28" i="3" a="1"/>
  <c r="PXO28" i="3" s="1"/>
  <c r="PWU28" i="3" a="1"/>
  <c r="PWU28" i="3" s="1"/>
  <c r="PVP28" i="3" a="1"/>
  <c r="PVP28" i="3" s="1"/>
  <c r="PUO28" i="3" a="1"/>
  <c r="PUO28" i="3" s="1"/>
  <c r="PTN28" i="3" a="1"/>
  <c r="PTN28" i="3" s="1"/>
  <c r="PSM28" i="3" a="1"/>
  <c r="PSM28" i="3" s="1"/>
  <c r="PRL28" i="3" a="1"/>
  <c r="PRL28" i="3" s="1"/>
  <c r="PQK28" i="3" a="1"/>
  <c r="PQK28" i="3" s="1"/>
  <c r="PPJ28" i="3" a="1"/>
  <c r="PPJ28" i="3" s="1"/>
  <c r="POI28" i="3" a="1"/>
  <c r="POI28" i="3" s="1"/>
  <c r="PNH28" i="3" a="1"/>
  <c r="PNH28" i="3" s="1"/>
  <c r="PMG28" i="3" a="1"/>
  <c r="PMG28" i="3" s="1"/>
  <c r="PLF28" i="3" a="1"/>
  <c r="PLF28" i="3" s="1"/>
  <c r="PKE28" i="3" a="1"/>
  <c r="PKE28" i="3" s="1"/>
  <c r="PJD28" i="3" a="1"/>
  <c r="PJD28" i="3" s="1"/>
  <c r="PIC28" i="3" a="1"/>
  <c r="PIC28" i="3" s="1"/>
  <c r="PHB28" i="3" a="1"/>
  <c r="PHB28" i="3" s="1"/>
  <c r="PGO28" i="3" a="1"/>
  <c r="PGO28" i="3" s="1"/>
  <c r="PGC28" i="3" a="1"/>
  <c r="PGC28" i="3" s="1"/>
  <c r="PFQ28" i="3" a="1"/>
  <c r="PFQ28" i="3" s="1"/>
  <c r="PFE28" i="3" a="1"/>
  <c r="PFE28" i="3" s="1"/>
  <c r="PES28" i="3" a="1"/>
  <c r="PES28" i="3" s="1"/>
  <c r="PEI28" i="3" a="1"/>
  <c r="PEI28" i="3" s="1"/>
  <c r="PDY28" i="3" a="1"/>
  <c r="PDY28" i="3" s="1"/>
  <c r="PDP28" i="3" a="1"/>
  <c r="PDP28" i="3" s="1"/>
  <c r="PCM28" i="3" a="1"/>
  <c r="PCM28" i="3" s="1"/>
  <c r="PCC28" i="3" a="1"/>
  <c r="PCC28" i="3" s="1"/>
  <c r="PBT28" i="3" a="1"/>
  <c r="PBT28" i="3" s="1"/>
  <c r="PAQ28" i="3" a="1"/>
  <c r="PAQ28" i="3" s="1"/>
  <c r="OZQ28" i="3" a="1"/>
  <c r="OZQ28" i="3" s="1"/>
  <c r="OZB28" i="3" a="1"/>
  <c r="OZB28" i="3" s="1"/>
  <c r="OYS28" i="3" a="1"/>
  <c r="OYS28" i="3" s="1"/>
  <c r="OYD28" i="3" a="1"/>
  <c r="OYD28" i="3" s="1"/>
  <c r="OXV28" i="3" a="1"/>
  <c r="OXV28" i="3" s="1"/>
  <c r="OXN28" i="3" a="1"/>
  <c r="OXN28" i="3" s="1"/>
  <c r="OWY28" i="3" a="1"/>
  <c r="OWY28" i="3" s="1"/>
  <c r="OWI28" i="3" a="1"/>
  <c r="OWI28" i="3" s="1"/>
  <c r="OVS28" i="3" a="1"/>
  <c r="OVS28" i="3" s="1"/>
  <c r="OVK28" i="3" a="1"/>
  <c r="OVK28" i="3" s="1"/>
  <c r="OUU28" i="3" a="1"/>
  <c r="OUU28" i="3" s="1"/>
  <c r="OUF28" i="3" a="1"/>
  <c r="OUF28" i="3" s="1"/>
  <c r="OTX28" i="3" a="1"/>
  <c r="OTX28" i="3" s="1"/>
  <c r="OTP28" i="3" a="1"/>
  <c r="OTP28" i="3" s="1"/>
  <c r="OTI28" i="3" a="1"/>
  <c r="OTI28" i="3" s="1"/>
  <c r="OTC28" i="3" a="1"/>
  <c r="OTC28" i="3" s="1"/>
  <c r="OSW28" i="3" a="1"/>
  <c r="OSW28" i="3" s="1"/>
  <c r="OSQ28" i="3" a="1"/>
  <c r="OSQ28" i="3" s="1"/>
  <c r="OSK28" i="3" a="1"/>
  <c r="OSK28" i="3" s="1"/>
  <c r="OSE28" i="3" a="1"/>
  <c r="OSE28" i="3" s="1"/>
  <c r="ORY28" i="3" a="1"/>
  <c r="ORY28" i="3" s="1"/>
  <c r="ORS28" i="3" a="1"/>
  <c r="ORS28" i="3" s="1"/>
  <c r="ORM28" i="3" a="1"/>
  <c r="ORM28" i="3" s="1"/>
  <c r="ORG28" i="3" a="1"/>
  <c r="ORG28" i="3" s="1"/>
  <c r="ORA28" i="3" a="1"/>
  <c r="ORA28" i="3" s="1"/>
  <c r="OQU28" i="3" a="1"/>
  <c r="OQU28" i="3" s="1"/>
  <c r="OQO28" i="3" a="1"/>
  <c r="OQO28" i="3" s="1"/>
  <c r="OQI28" i="3" a="1"/>
  <c r="OQI28" i="3" s="1"/>
  <c r="OQC28" i="3" a="1"/>
  <c r="OQC28" i="3" s="1"/>
  <c r="OPW28" i="3" a="1"/>
  <c r="OPW28" i="3" s="1"/>
  <c r="OPQ28" i="3" a="1"/>
  <c r="OPQ28" i="3" s="1"/>
  <c r="OPK28" i="3" a="1"/>
  <c r="OPK28" i="3" s="1"/>
  <c r="OPE28" i="3" a="1"/>
  <c r="OPE28" i="3" s="1"/>
  <c r="OOY28" i="3" a="1"/>
  <c r="OOY28" i="3" s="1"/>
  <c r="OOS28" i="3" a="1"/>
  <c r="OOS28" i="3" s="1"/>
  <c r="OOM28" i="3" a="1"/>
  <c r="OOM28" i="3" s="1"/>
  <c r="OOG28" i="3" a="1"/>
  <c r="OOG28" i="3" s="1"/>
  <c r="OOA28" i="3" a="1"/>
  <c r="OOA28" i="3" s="1"/>
  <c r="ONU28" i="3" a="1"/>
  <c r="ONU28" i="3" s="1"/>
  <c r="ONO28" i="3" a="1"/>
  <c r="ONO28" i="3" s="1"/>
  <c r="ONI28" i="3" a="1"/>
  <c r="ONI28" i="3" s="1"/>
  <c r="ONC28" i="3" a="1"/>
  <c r="ONC28" i="3" s="1"/>
  <c r="OMW28" i="3" a="1"/>
  <c r="OMW28" i="3" s="1"/>
  <c r="OMQ28" i="3" a="1"/>
  <c r="OMQ28" i="3" s="1"/>
  <c r="OMK28" i="3" a="1"/>
  <c r="OMK28" i="3" s="1"/>
  <c r="OME28" i="3" a="1"/>
  <c r="OME28" i="3" s="1"/>
  <c r="OLY28" i="3" a="1"/>
  <c r="OLY28" i="3" s="1"/>
  <c r="OLS28" i="3" a="1"/>
  <c r="OLS28" i="3" s="1"/>
  <c r="OLM28" i="3" a="1"/>
  <c r="OLM28" i="3" s="1"/>
  <c r="OLG28" i="3" a="1"/>
  <c r="OLG28" i="3" s="1"/>
  <c r="OLA28" i="3" a="1"/>
  <c r="OLA28" i="3" s="1"/>
  <c r="OKU28" i="3" a="1"/>
  <c r="OKU28" i="3" s="1"/>
  <c r="OKO28" i="3" a="1"/>
  <c r="OKO28" i="3" s="1"/>
  <c r="OKI28" i="3" a="1"/>
  <c r="OKI28" i="3" s="1"/>
  <c r="OKC28" i="3" a="1"/>
  <c r="OKC28" i="3" s="1"/>
  <c r="OJW28" i="3" a="1"/>
  <c r="OJW28" i="3" s="1"/>
  <c r="OJQ28" i="3" a="1"/>
  <c r="OJQ28" i="3" s="1"/>
  <c r="OJK28" i="3" a="1"/>
  <c r="OJK28" i="3" s="1"/>
  <c r="OJE28" i="3" a="1"/>
  <c r="OJE28" i="3" s="1"/>
  <c r="OIY28" i="3" a="1"/>
  <c r="OIY28" i="3" s="1"/>
  <c r="OIS28" i="3" a="1"/>
  <c r="OIS28" i="3" s="1"/>
  <c r="OIM28" i="3" a="1"/>
  <c r="OIM28" i="3" s="1"/>
  <c r="OIG28" i="3" a="1"/>
  <c r="OIG28" i="3" s="1"/>
  <c r="OIA28" i="3" a="1"/>
  <c r="OIA28" i="3" s="1"/>
  <c r="OHU28" i="3" a="1"/>
  <c r="OHU28" i="3" s="1"/>
  <c r="OHO28" i="3" a="1"/>
  <c r="OHO28" i="3" s="1"/>
  <c r="OHI28" i="3" a="1"/>
  <c r="OHI28" i="3" s="1"/>
  <c r="OHC28" i="3" a="1"/>
  <c r="OHC28" i="3" s="1"/>
  <c r="OGW28" i="3" a="1"/>
  <c r="OGW28" i="3" s="1"/>
  <c r="OGQ28" i="3" a="1"/>
  <c r="OGQ28" i="3" s="1"/>
  <c r="OGK28" i="3" a="1"/>
  <c r="OGK28" i="3" s="1"/>
  <c r="OGE28" i="3" a="1"/>
  <c r="OGE28" i="3" s="1"/>
  <c r="OFY28" i="3" a="1"/>
  <c r="OFY28" i="3" s="1"/>
  <c r="OFS28" i="3" a="1"/>
  <c r="OFS28" i="3" s="1"/>
  <c r="OFM28" i="3" a="1"/>
  <c r="OFM28" i="3" s="1"/>
  <c r="OFG28" i="3" a="1"/>
  <c r="OFG28" i="3" s="1"/>
  <c r="OFA28" i="3" a="1"/>
  <c r="OFA28" i="3" s="1"/>
  <c r="OEU28" i="3" a="1"/>
  <c r="OEU28" i="3" s="1"/>
  <c r="OEO28" i="3" a="1"/>
  <c r="OEO28" i="3" s="1"/>
  <c r="OEI28" i="3" a="1"/>
  <c r="OEI28" i="3" s="1"/>
  <c r="OEC28" i="3" a="1"/>
  <c r="OEC28" i="3" s="1"/>
  <c r="ODW28" i="3" a="1"/>
  <c r="ODW28" i="3" s="1"/>
  <c r="ODQ28" i="3" a="1"/>
  <c r="ODQ28" i="3" s="1"/>
  <c r="ODK28" i="3" a="1"/>
  <c r="ODK28" i="3" s="1"/>
  <c r="ODE28" i="3" a="1"/>
  <c r="ODE28" i="3" s="1"/>
  <c r="OCY28" i="3" a="1"/>
  <c r="OCY28" i="3" s="1"/>
  <c r="OCS28" i="3" a="1"/>
  <c r="OCS28" i="3" s="1"/>
  <c r="OCM28" i="3" a="1"/>
  <c r="OCM28" i="3" s="1"/>
  <c r="OCG28" i="3" a="1"/>
  <c r="OCG28" i="3" s="1"/>
  <c r="OCA28" i="3" a="1"/>
  <c r="OCA28" i="3" s="1"/>
  <c r="OBU28" i="3" a="1"/>
  <c r="OBU28" i="3" s="1"/>
  <c r="OBO28" i="3" a="1"/>
  <c r="OBO28" i="3" s="1"/>
  <c r="OBI28" i="3" a="1"/>
  <c r="OBI28" i="3" s="1"/>
  <c r="OBC28" i="3" a="1"/>
  <c r="OBC28" i="3" s="1"/>
  <c r="OAW28" i="3" a="1"/>
  <c r="OAW28" i="3" s="1"/>
  <c r="OAQ28" i="3" a="1"/>
  <c r="OAQ28" i="3" s="1"/>
  <c r="OAK28" i="3" a="1"/>
  <c r="OAK28" i="3" s="1"/>
  <c r="OAE28" i="3" a="1"/>
  <c r="OAE28" i="3" s="1"/>
  <c r="NZY28" i="3" a="1"/>
  <c r="NZY28" i="3" s="1"/>
  <c r="NZS28" i="3" a="1"/>
  <c r="NZS28" i="3" s="1"/>
  <c r="NZM28" i="3" a="1"/>
  <c r="NZM28" i="3" s="1"/>
  <c r="NZG28" i="3" a="1"/>
  <c r="NZG28" i="3" s="1"/>
  <c r="NZA28" i="3" a="1"/>
  <c r="NZA28" i="3" s="1"/>
  <c r="NYU28" i="3" a="1"/>
  <c r="NYU28" i="3" s="1"/>
  <c r="NYO28" i="3" a="1"/>
  <c r="NYO28" i="3" s="1"/>
  <c r="NYI28" i="3" a="1"/>
  <c r="NYI28" i="3" s="1"/>
  <c r="NYC28" i="3" a="1"/>
  <c r="NYC28" i="3" s="1"/>
  <c r="NXW28" i="3" a="1"/>
  <c r="NXW28" i="3" s="1"/>
  <c r="NXQ28" i="3" a="1"/>
  <c r="NXQ28" i="3" s="1"/>
  <c r="NXK28" i="3" a="1"/>
  <c r="NXK28" i="3" s="1"/>
  <c r="NXE28" i="3" a="1"/>
  <c r="NXE28" i="3" s="1"/>
  <c r="NWY28" i="3" a="1"/>
  <c r="NWY28" i="3" s="1"/>
  <c r="NWS28" i="3" a="1"/>
  <c r="NWS28" i="3" s="1"/>
  <c r="NWM28" i="3" a="1"/>
  <c r="NWM28" i="3" s="1"/>
  <c r="NWG28" i="3" a="1"/>
  <c r="NWG28" i="3" s="1"/>
  <c r="NWA28" i="3" a="1"/>
  <c r="NWA28" i="3" s="1"/>
  <c r="NVU28" i="3" a="1"/>
  <c r="NVU28" i="3" s="1"/>
  <c r="NVO28" i="3" a="1"/>
  <c r="NVO28" i="3" s="1"/>
  <c r="NVI28" i="3" a="1"/>
  <c r="NVI28" i="3" s="1"/>
  <c r="NVC28" i="3" a="1"/>
  <c r="NVC28" i="3" s="1"/>
  <c r="NUW28" i="3" a="1"/>
  <c r="NUW28" i="3" s="1"/>
  <c r="NUQ28" i="3" a="1"/>
  <c r="NUQ28" i="3" s="1"/>
  <c r="NUK28" i="3" a="1"/>
  <c r="NUK28" i="3" s="1"/>
  <c r="NUE28" i="3" a="1"/>
  <c r="NUE28" i="3" s="1"/>
  <c r="NTY28" i="3" a="1"/>
  <c r="NTY28" i="3" s="1"/>
  <c r="NTS28" i="3" a="1"/>
  <c r="NTS28" i="3" s="1"/>
  <c r="NTM28" i="3" a="1"/>
  <c r="NTM28" i="3" s="1"/>
  <c r="NTG28" i="3" a="1"/>
  <c r="NTG28" i="3" s="1"/>
  <c r="NTA28" i="3" a="1"/>
  <c r="NTA28" i="3" s="1"/>
  <c r="NSU28" i="3" a="1"/>
  <c r="NSU28" i="3" s="1"/>
  <c r="NSO28" i="3" a="1"/>
  <c r="NSO28" i="3" s="1"/>
  <c r="NSI28" i="3" a="1"/>
  <c r="NSI28" i="3" s="1"/>
  <c r="NSC28" i="3" a="1"/>
  <c r="NSC28" i="3" s="1"/>
  <c r="NRW28" i="3" a="1"/>
  <c r="NRW28" i="3" s="1"/>
  <c r="NRQ28" i="3" a="1"/>
  <c r="NRQ28" i="3" s="1"/>
  <c r="NRK28" i="3" a="1"/>
  <c r="NRK28" i="3" s="1"/>
  <c r="NRE28" i="3" a="1"/>
  <c r="NRE28" i="3" s="1"/>
  <c r="NQY28" i="3" a="1"/>
  <c r="NQY28" i="3" s="1"/>
  <c r="NQS28" i="3" a="1"/>
  <c r="NQS28" i="3" s="1"/>
  <c r="NQM28" i="3" a="1"/>
  <c r="NQM28" i="3" s="1"/>
  <c r="NQG28" i="3" a="1"/>
  <c r="NQG28" i="3" s="1"/>
  <c r="NQA28" i="3" a="1"/>
  <c r="NQA28" i="3" s="1"/>
  <c r="TTW28" i="3" a="1"/>
  <c r="TTW28" i="3" s="1"/>
  <c r="SKG28" i="3" a="1"/>
  <c r="SKG28" i="3" s="1"/>
  <c r="SGN28" i="3" a="1"/>
  <c r="SGN28" i="3" s="1"/>
  <c r="SAF28" i="3" a="1"/>
  <c r="SAF28" i="3" s="1"/>
  <c r="RTX28" i="3" a="1"/>
  <c r="RTX28" i="3" s="1"/>
  <c r="ROS28" i="3" a="1"/>
  <c r="ROS28" i="3" s="1"/>
  <c r="RLE28" i="3" a="1"/>
  <c r="RLE28" i="3" s="1"/>
  <c r="RFB28" i="3" a="1"/>
  <c r="RFB28" i="3" s="1"/>
  <c r="QZN28" i="3" a="1"/>
  <c r="QZN28" i="3" s="1"/>
  <c r="QXQ28" i="3" a="1"/>
  <c r="QXQ28" i="3" s="1"/>
  <c r="QWW28" i="3" a="1"/>
  <c r="QWW28" i="3" s="1"/>
  <c r="QTR28" i="3" a="1"/>
  <c r="QTR28" i="3" s="1"/>
  <c r="QSW28" i="3" a="1"/>
  <c r="QSW28" i="3" s="1"/>
  <c r="QSC28" i="3" a="1"/>
  <c r="QSC28" i="3" s="1"/>
  <c r="QRI28" i="3" a="1"/>
  <c r="QRI28" i="3" s="1"/>
  <c r="QOD28" i="3" a="1"/>
  <c r="QOD28" i="3" s="1"/>
  <c r="QNI28" i="3" a="1"/>
  <c r="QNI28" i="3" s="1"/>
  <c r="QMO28" i="3" a="1"/>
  <c r="QMO28" i="3" s="1"/>
  <c r="QLU28" i="3" a="1"/>
  <c r="QLU28" i="3" s="1"/>
  <c r="QIP28" i="3" a="1"/>
  <c r="QIP28" i="3" s="1"/>
  <c r="QHU28" i="3" a="1"/>
  <c r="QHU28" i="3" s="1"/>
  <c r="QHA28" i="3" a="1"/>
  <c r="QHA28" i="3" s="1"/>
  <c r="QGG28" i="3" a="1"/>
  <c r="QGG28" i="3" s="1"/>
  <c r="QDB28" i="3" a="1"/>
  <c r="QDB28" i="3" s="1"/>
  <c r="QCG28" i="3" a="1"/>
  <c r="QCG28" i="3" s="1"/>
  <c r="QBM28" i="3" a="1"/>
  <c r="QBM28" i="3" s="1"/>
  <c r="QAS28" i="3" a="1"/>
  <c r="QAS28" i="3" s="1"/>
  <c r="PXN28" i="3" a="1"/>
  <c r="PXN28" i="3" s="1"/>
  <c r="PWS28" i="3" a="1"/>
  <c r="PWS28" i="3" s="1"/>
  <c r="PWB28" i="3" a="1"/>
  <c r="PWB28" i="3" s="1"/>
  <c r="PVO28" i="3" a="1"/>
  <c r="PVO28" i="3" s="1"/>
  <c r="PVA28" i="3" a="1"/>
  <c r="PVA28" i="3" s="1"/>
  <c r="PUN28" i="3" a="1"/>
  <c r="PUN28" i="3" s="1"/>
  <c r="PTZ28" i="3" a="1"/>
  <c r="PTZ28" i="3" s="1"/>
  <c r="PTM28" i="3" a="1"/>
  <c r="PTM28" i="3" s="1"/>
  <c r="PSY28" i="3" a="1"/>
  <c r="PSY28" i="3" s="1"/>
  <c r="PSL28" i="3" a="1"/>
  <c r="PSL28" i="3" s="1"/>
  <c r="PRX28" i="3" a="1"/>
  <c r="PRX28" i="3" s="1"/>
  <c r="PRK28" i="3" a="1"/>
  <c r="PRK28" i="3" s="1"/>
  <c r="PQW28" i="3" a="1"/>
  <c r="PQW28" i="3" s="1"/>
  <c r="PQJ28" i="3" a="1"/>
  <c r="PQJ28" i="3" s="1"/>
  <c r="PPV28" i="3" a="1"/>
  <c r="PPV28" i="3" s="1"/>
  <c r="PPI28" i="3" a="1"/>
  <c r="PPI28" i="3" s="1"/>
  <c r="POU28" i="3" a="1"/>
  <c r="POU28" i="3" s="1"/>
  <c r="POH28" i="3" a="1"/>
  <c r="POH28" i="3" s="1"/>
  <c r="PNT28" i="3" a="1"/>
  <c r="PNT28" i="3" s="1"/>
  <c r="PNG28" i="3" a="1"/>
  <c r="PNG28" i="3" s="1"/>
  <c r="PMS28" i="3" a="1"/>
  <c r="PMS28" i="3" s="1"/>
  <c r="PMF28" i="3" a="1"/>
  <c r="PMF28" i="3" s="1"/>
  <c r="PLR28" i="3" a="1"/>
  <c r="PLR28" i="3" s="1"/>
  <c r="PLE28" i="3" a="1"/>
  <c r="PLE28" i="3" s="1"/>
  <c r="PKQ28" i="3" a="1"/>
  <c r="PKQ28" i="3" s="1"/>
  <c r="PKD28" i="3" a="1"/>
  <c r="PKD28" i="3" s="1"/>
  <c r="PJP28" i="3" a="1"/>
  <c r="PJP28" i="3" s="1"/>
  <c r="PJC28" i="3" a="1"/>
  <c r="PJC28" i="3" s="1"/>
  <c r="PIO28" i="3" a="1"/>
  <c r="PIO28" i="3" s="1"/>
  <c r="PIB28" i="3" a="1"/>
  <c r="PIB28" i="3" s="1"/>
  <c r="PHN28" i="3" a="1"/>
  <c r="PHN28" i="3" s="1"/>
  <c r="PHA28" i="3" a="1"/>
  <c r="PHA28" i="3" s="1"/>
  <c r="PEH28" i="3" a="1"/>
  <c r="PEH28" i="3" s="1"/>
  <c r="PDE28" i="3" a="1"/>
  <c r="PDE28" i="3" s="1"/>
  <c r="PCU28" i="3" a="1"/>
  <c r="PCU28" i="3" s="1"/>
  <c r="PCL28" i="3" a="1"/>
  <c r="PCL28" i="3" s="1"/>
  <c r="PBI28" i="3" a="1"/>
  <c r="PBI28" i="3" s="1"/>
  <c r="PAY28" i="3" a="1"/>
  <c r="PAY28" i="3" s="1"/>
  <c r="PAP28" i="3" a="1"/>
  <c r="PAP28" i="3" s="1"/>
  <c r="PAG28" i="3" a="1"/>
  <c r="PAG28" i="3" s="1"/>
  <c r="OZY28" i="3" a="1"/>
  <c r="OZY28" i="3" s="1"/>
  <c r="OZI28" i="3" a="1"/>
  <c r="OZI28" i="3" s="1"/>
  <c r="OZA28" i="3" a="1"/>
  <c r="OZA28" i="3" s="1"/>
  <c r="OYK28" i="3" a="1"/>
  <c r="OYK28" i="3" s="1"/>
  <c r="OXU28" i="3" a="1"/>
  <c r="OXU28" i="3" s="1"/>
  <c r="OXF28" i="3" a="1"/>
  <c r="OXF28" i="3" s="1"/>
  <c r="OWX28" i="3" a="1"/>
  <c r="OWX28" i="3" s="1"/>
  <c r="OWP28" i="3" a="1"/>
  <c r="OWP28" i="3" s="1"/>
  <c r="OWA28" i="3" a="1"/>
  <c r="OWA28" i="3" s="1"/>
  <c r="OVR28" i="3" a="1"/>
  <c r="OVR28" i="3" s="1"/>
  <c r="OVC28" i="3" a="1"/>
  <c r="OVC28" i="3" s="1"/>
  <c r="OUM28" i="3" a="1"/>
  <c r="OUM28" i="3" s="1"/>
  <c r="OTW28" i="3" a="1"/>
  <c r="OTW28" i="3" s="1"/>
  <c r="TRT28" i="3" a="1"/>
  <c r="TRT28" i="3" s="1"/>
  <c r="SZB28" i="3" a="1"/>
  <c r="SZB28" i="3" s="1"/>
  <c r="SPW28" i="3" a="1"/>
  <c r="SPW28" i="3" s="1"/>
  <c r="SKE28" i="3" a="1"/>
  <c r="SKE28" i="3" s="1"/>
  <c r="SDF28" i="3" a="1"/>
  <c r="SDF28" i="3" s="1"/>
  <c r="RWX28" i="3" a="1"/>
  <c r="RWX28" i="3" s="1"/>
  <c r="RTS28" i="3" a="1"/>
  <c r="RTS28" i="3" s="1"/>
  <c r="RMT28" i="3" a="1"/>
  <c r="RMT28" i="3" s="1"/>
  <c r="RJO28" i="3" a="1"/>
  <c r="RJO28" i="3" s="1"/>
  <c r="RIJ28" i="3" a="1"/>
  <c r="RIJ28" i="3" s="1"/>
  <c r="RHG28" i="3" a="1"/>
  <c r="RHG28" i="3" s="1"/>
  <c r="RGD28" i="3" a="1"/>
  <c r="RGD28" i="3" s="1"/>
  <c r="RFA28" i="3" a="1"/>
  <c r="RFA28" i="3" s="1"/>
  <c r="RDY28" i="3" a="1"/>
  <c r="RDY28" i="3" s="1"/>
  <c r="RCV28" i="3" a="1"/>
  <c r="RCV28" i="3" s="1"/>
  <c r="RBS28" i="3" a="1"/>
  <c r="RBS28" i="3" s="1"/>
  <c r="RAP28" i="3" a="1"/>
  <c r="RAP28" i="3" s="1"/>
  <c r="QZM28" i="3" a="1"/>
  <c r="QZM28" i="3" s="1"/>
  <c r="QYN28" i="3" a="1"/>
  <c r="QYN28" i="3" s="1"/>
  <c r="QXP28" i="3" a="1"/>
  <c r="QXP28" i="3" s="1"/>
  <c r="QWU28" i="3" a="1"/>
  <c r="QWU28" i="3" s="1"/>
  <c r="QWA28" i="3" a="1"/>
  <c r="QWA28" i="3" s="1"/>
  <c r="QVG28" i="3" a="1"/>
  <c r="QVG28" i="3" s="1"/>
  <c r="QSB28" i="3" a="1"/>
  <c r="QSB28" i="3" s="1"/>
  <c r="QRG28" i="3" a="1"/>
  <c r="QRG28" i="3" s="1"/>
  <c r="QQM28" i="3" a="1"/>
  <c r="QQM28" i="3" s="1"/>
  <c r="QPS28" i="3" a="1"/>
  <c r="QPS28" i="3" s="1"/>
  <c r="QMN28" i="3" a="1"/>
  <c r="QMN28" i="3" s="1"/>
  <c r="QLS28" i="3" a="1"/>
  <c r="QLS28" i="3" s="1"/>
  <c r="QKY28" i="3" a="1"/>
  <c r="QKY28" i="3" s="1"/>
  <c r="QKE28" i="3" a="1"/>
  <c r="QKE28" i="3" s="1"/>
  <c r="QGZ28" i="3" a="1"/>
  <c r="QGZ28" i="3" s="1"/>
  <c r="QGE28" i="3" a="1"/>
  <c r="QGE28" i="3" s="1"/>
  <c r="QFK28" i="3" a="1"/>
  <c r="QFK28" i="3" s="1"/>
  <c r="QEQ28" i="3" a="1"/>
  <c r="QEQ28" i="3" s="1"/>
  <c r="QBL28" i="3" a="1"/>
  <c r="QBL28" i="3" s="1"/>
  <c r="QAQ28" i="3" a="1"/>
  <c r="QAQ28" i="3" s="1"/>
  <c r="PZW28" i="3" a="1"/>
  <c r="PZW28" i="3" s="1"/>
  <c r="PZC28" i="3" a="1"/>
  <c r="PZC28" i="3" s="1"/>
  <c r="PEG28" i="3" a="1"/>
  <c r="PEG28" i="3" s="1"/>
  <c r="PDX28" i="3" a="1"/>
  <c r="PDX28" i="3" s="1"/>
  <c r="PDM28" i="3" a="1"/>
  <c r="PDM28" i="3" s="1"/>
  <c r="PDD28" i="3" a="1"/>
  <c r="PDD28" i="3" s="1"/>
  <c r="PCK28" i="3" a="1"/>
  <c r="PCK28" i="3" s="1"/>
  <c r="PCB28" i="3" a="1"/>
  <c r="PCB28" i="3" s="1"/>
  <c r="PBQ28" i="3" a="1"/>
  <c r="PBQ28" i="3" s="1"/>
  <c r="PBH28" i="3" a="1"/>
  <c r="PBH28" i="3" s="1"/>
  <c r="PAO28" i="3" a="1"/>
  <c r="PAO28" i="3" s="1"/>
  <c r="OZX28" i="3" a="1"/>
  <c r="OZX28" i="3" s="1"/>
  <c r="OZP28" i="3" a="1"/>
  <c r="OZP28" i="3" s="1"/>
  <c r="OZH28" i="3" a="1"/>
  <c r="OZH28" i="3" s="1"/>
  <c r="OYZ28" i="3" a="1"/>
  <c r="OYZ28" i="3" s="1"/>
  <c r="OYR28" i="3" a="1"/>
  <c r="OYR28" i="3" s="1"/>
  <c r="OYC28" i="3" a="1"/>
  <c r="OYC28" i="3" s="1"/>
  <c r="OXM28" i="3" a="1"/>
  <c r="OXM28" i="3" s="1"/>
  <c r="OWW28" i="3" a="1"/>
  <c r="OWW28" i="3" s="1"/>
  <c r="OWH28" i="3" a="1"/>
  <c r="OWH28" i="3" s="1"/>
  <c r="OVY28" i="3" a="1"/>
  <c r="OVY28" i="3" s="1"/>
  <c r="OVJ28" i="3" a="1"/>
  <c r="OVJ28" i="3" s="1"/>
  <c r="OVB28" i="3" a="1"/>
  <c r="OVB28" i="3" s="1"/>
  <c r="OUT28" i="3" a="1"/>
  <c r="OUT28" i="3" s="1"/>
  <c r="OUE28" i="3" a="1"/>
  <c r="OUE28" i="3" s="1"/>
  <c r="OTO28" i="3" a="1"/>
  <c r="OTO28" i="3" s="1"/>
  <c r="OTH28" i="3" a="1"/>
  <c r="OTH28" i="3" s="1"/>
  <c r="OTB28" i="3" a="1"/>
  <c r="OTB28" i="3" s="1"/>
  <c r="OSV28" i="3" a="1"/>
  <c r="OSV28" i="3" s="1"/>
  <c r="OSP28" i="3" a="1"/>
  <c r="OSP28" i="3" s="1"/>
  <c r="OSJ28" i="3" a="1"/>
  <c r="OSJ28" i="3" s="1"/>
  <c r="OSD28" i="3" a="1"/>
  <c r="OSD28" i="3" s="1"/>
  <c r="ORX28" i="3" a="1"/>
  <c r="ORX28" i="3" s="1"/>
  <c r="ORR28" i="3" a="1"/>
  <c r="ORR28" i="3" s="1"/>
  <c r="ORL28" i="3" a="1"/>
  <c r="ORL28" i="3" s="1"/>
  <c r="ORF28" i="3" a="1"/>
  <c r="ORF28" i="3" s="1"/>
  <c r="OQZ28" i="3" a="1"/>
  <c r="OQZ28" i="3" s="1"/>
  <c r="OQT28" i="3" a="1"/>
  <c r="OQT28" i="3" s="1"/>
  <c r="OQN28" i="3" a="1"/>
  <c r="OQN28" i="3" s="1"/>
  <c r="OQH28" i="3" a="1"/>
  <c r="OQH28" i="3" s="1"/>
  <c r="OQB28" i="3" a="1"/>
  <c r="OQB28" i="3" s="1"/>
  <c r="OPV28" i="3" a="1"/>
  <c r="OPV28" i="3" s="1"/>
  <c r="OPP28" i="3" a="1"/>
  <c r="OPP28" i="3" s="1"/>
  <c r="OPJ28" i="3" a="1"/>
  <c r="OPJ28" i="3" s="1"/>
  <c r="OPD28" i="3" a="1"/>
  <c r="OPD28" i="3" s="1"/>
  <c r="OOX28" i="3" a="1"/>
  <c r="OOX28" i="3" s="1"/>
  <c r="OOR28" i="3" a="1"/>
  <c r="OOR28" i="3" s="1"/>
  <c r="OOL28" i="3" a="1"/>
  <c r="OOL28" i="3" s="1"/>
  <c r="OOF28" i="3" a="1"/>
  <c r="OOF28" i="3" s="1"/>
  <c r="ONZ28" i="3" a="1"/>
  <c r="ONZ28" i="3" s="1"/>
  <c r="ONT28" i="3" a="1"/>
  <c r="ONT28" i="3" s="1"/>
  <c r="ONN28" i="3" a="1"/>
  <c r="ONN28" i="3" s="1"/>
  <c r="ONH28" i="3" a="1"/>
  <c r="ONH28" i="3" s="1"/>
  <c r="ONB28" i="3" a="1"/>
  <c r="ONB28" i="3" s="1"/>
  <c r="OMV28" i="3" a="1"/>
  <c r="OMV28" i="3" s="1"/>
  <c r="OMP28" i="3" a="1"/>
  <c r="OMP28" i="3" s="1"/>
  <c r="OMJ28" i="3" a="1"/>
  <c r="OMJ28" i="3" s="1"/>
  <c r="OMD28" i="3" a="1"/>
  <c r="OMD28" i="3" s="1"/>
  <c r="OLX28" i="3" a="1"/>
  <c r="OLX28" i="3" s="1"/>
  <c r="OLR28" i="3" a="1"/>
  <c r="OLR28" i="3" s="1"/>
  <c r="OLL28" i="3" a="1"/>
  <c r="OLL28" i="3" s="1"/>
  <c r="OLF28" i="3" a="1"/>
  <c r="OLF28" i="3" s="1"/>
  <c r="OKZ28" i="3" a="1"/>
  <c r="OKZ28" i="3" s="1"/>
  <c r="OKT28" i="3" a="1"/>
  <c r="OKT28" i="3" s="1"/>
  <c r="OKN28" i="3" a="1"/>
  <c r="OKN28" i="3" s="1"/>
  <c r="OKH28" i="3" a="1"/>
  <c r="OKH28" i="3" s="1"/>
  <c r="OKB28" i="3" a="1"/>
  <c r="OKB28" i="3" s="1"/>
  <c r="OJV28" i="3" a="1"/>
  <c r="OJV28" i="3" s="1"/>
  <c r="OJP28" i="3" a="1"/>
  <c r="OJP28" i="3" s="1"/>
  <c r="OJJ28" i="3" a="1"/>
  <c r="OJJ28" i="3" s="1"/>
  <c r="OJD28" i="3" a="1"/>
  <c r="OJD28" i="3" s="1"/>
  <c r="OIX28" i="3" a="1"/>
  <c r="OIX28" i="3" s="1"/>
  <c r="OIR28" i="3" a="1"/>
  <c r="OIR28" i="3" s="1"/>
  <c r="OIL28" i="3" a="1"/>
  <c r="OIL28" i="3" s="1"/>
  <c r="OIF28" i="3" a="1"/>
  <c r="OIF28" i="3" s="1"/>
  <c r="OHZ28" i="3" a="1"/>
  <c r="OHZ28" i="3" s="1"/>
  <c r="OHT28" i="3" a="1"/>
  <c r="OHT28" i="3" s="1"/>
  <c r="OHN28" i="3" a="1"/>
  <c r="OHN28" i="3" s="1"/>
  <c r="OHH28" i="3" a="1"/>
  <c r="OHH28" i="3" s="1"/>
  <c r="OHB28" i="3" a="1"/>
  <c r="OHB28" i="3" s="1"/>
  <c r="TRP28" i="3" a="1"/>
  <c r="TRP28" i="3" s="1"/>
  <c r="SPV28" i="3" a="1"/>
  <c r="SPV28" i="3" s="1"/>
  <c r="SJX28" i="3" a="1"/>
  <c r="SJX28" i="3" s="1"/>
  <c r="SGH28" i="3" a="1"/>
  <c r="SGH28" i="3" s="1"/>
  <c r="RZZ28" i="3" a="1"/>
  <c r="RZZ28" i="3" s="1"/>
  <c r="RTR28" i="3" a="1"/>
  <c r="RTR28" i="3" s="1"/>
  <c r="RQS28" i="3" a="1"/>
  <c r="RQS28" i="3" s="1"/>
  <c r="ROO28" i="3" a="1"/>
  <c r="ROO28" i="3" s="1"/>
  <c r="RLD28" i="3" a="1"/>
  <c r="RLD28" i="3" s="1"/>
  <c r="RDX28" i="3" a="1"/>
  <c r="RDX28" i="3" s="1"/>
  <c r="QYM28" i="3" a="1"/>
  <c r="QYM28" i="3" s="1"/>
  <c r="QVZ28" i="3" a="1"/>
  <c r="QVZ28" i="3" s="1"/>
  <c r="QVE28" i="3" a="1"/>
  <c r="QVE28" i="3" s="1"/>
  <c r="QUK28" i="3" a="1"/>
  <c r="QUK28" i="3" s="1"/>
  <c r="QTQ28" i="3" a="1"/>
  <c r="QTQ28" i="3" s="1"/>
  <c r="QQL28" i="3" a="1"/>
  <c r="QQL28" i="3" s="1"/>
  <c r="QPQ28" i="3" a="1"/>
  <c r="QPQ28" i="3" s="1"/>
  <c r="QOW28" i="3" a="1"/>
  <c r="QOW28" i="3" s="1"/>
  <c r="QOC28" i="3" a="1"/>
  <c r="QOC28" i="3" s="1"/>
  <c r="QKX28" i="3" a="1"/>
  <c r="QKX28" i="3" s="1"/>
  <c r="QKC28" i="3" a="1"/>
  <c r="QKC28" i="3" s="1"/>
  <c r="QJI28" i="3" a="1"/>
  <c r="QJI28" i="3" s="1"/>
  <c r="QIO28" i="3" a="1"/>
  <c r="QIO28" i="3" s="1"/>
  <c r="QFJ28" i="3" a="1"/>
  <c r="QFJ28" i="3" s="1"/>
  <c r="QEO28" i="3" a="1"/>
  <c r="QEO28" i="3" s="1"/>
  <c r="QDU28" i="3" a="1"/>
  <c r="QDU28" i="3" s="1"/>
  <c r="QDA28" i="3" a="1"/>
  <c r="QDA28" i="3" s="1"/>
  <c r="PZV28" i="3" a="1"/>
  <c r="PZV28" i="3" s="1"/>
  <c r="PZA28" i="3" a="1"/>
  <c r="PZA28" i="3" s="1"/>
  <c r="PYG28" i="3" a="1"/>
  <c r="PYG28" i="3" s="1"/>
  <c r="PXM28" i="3" a="1"/>
  <c r="PXM28" i="3" s="1"/>
  <c r="PVL28" i="3" a="1"/>
  <c r="PVL28" i="3" s="1"/>
  <c r="PUY28" i="3" a="1"/>
  <c r="PUY28" i="3" s="1"/>
  <c r="PUK28" i="3" a="1"/>
  <c r="PUK28" i="3" s="1"/>
  <c r="PTJ28" i="3" a="1"/>
  <c r="PTJ28" i="3" s="1"/>
  <c r="PSW28" i="3" a="1"/>
  <c r="PSW28" i="3" s="1"/>
  <c r="PSI28" i="3" a="1"/>
  <c r="PSI28" i="3" s="1"/>
  <c r="PRH28" i="3" a="1"/>
  <c r="PRH28" i="3" s="1"/>
  <c r="PQU28" i="3" a="1"/>
  <c r="PQU28" i="3" s="1"/>
  <c r="PQG28" i="3" a="1"/>
  <c r="PQG28" i="3" s="1"/>
  <c r="PPF28" i="3" a="1"/>
  <c r="PPF28" i="3" s="1"/>
  <c r="POS28" i="3" a="1"/>
  <c r="POS28" i="3" s="1"/>
  <c r="POE28" i="3" a="1"/>
  <c r="POE28" i="3" s="1"/>
  <c r="PND28" i="3" a="1"/>
  <c r="PND28" i="3" s="1"/>
  <c r="PMQ28" i="3" a="1"/>
  <c r="PMQ28" i="3" s="1"/>
  <c r="PMC28" i="3" a="1"/>
  <c r="PMC28" i="3" s="1"/>
  <c r="PLB28" i="3" a="1"/>
  <c r="PLB28" i="3" s="1"/>
  <c r="PKO28" i="3" a="1"/>
  <c r="PKO28" i="3" s="1"/>
  <c r="PKA28" i="3" a="1"/>
  <c r="PKA28" i="3" s="1"/>
  <c r="PIZ28" i="3" a="1"/>
  <c r="PIZ28" i="3" s="1"/>
  <c r="PIM28" i="3" a="1"/>
  <c r="PIM28" i="3" s="1"/>
  <c r="PHY28" i="3" a="1"/>
  <c r="PHY28" i="3" s="1"/>
  <c r="PGX28" i="3" a="1"/>
  <c r="PGX28" i="3" s="1"/>
  <c r="PGL28" i="3" a="1"/>
  <c r="PGL28" i="3" s="1"/>
  <c r="PFZ28" i="3" a="1"/>
  <c r="PFZ28" i="3" s="1"/>
  <c r="PFN28" i="3" a="1"/>
  <c r="PFN28" i="3" s="1"/>
  <c r="PFB28" i="3" a="1"/>
  <c r="PFB28" i="3" s="1"/>
  <c r="PEP28" i="3" a="1"/>
  <c r="PEP28" i="3" s="1"/>
  <c r="PDV28" i="3" a="1"/>
  <c r="PDV28" i="3" s="1"/>
  <c r="PDC28" i="3" a="1"/>
  <c r="PDC28" i="3" s="1"/>
  <c r="PCT28" i="3" a="1"/>
  <c r="PCT28" i="3" s="1"/>
  <c r="PBZ28" i="3" a="1"/>
  <c r="PBZ28" i="3" s="1"/>
  <c r="PBG28" i="3" a="1"/>
  <c r="PBG28" i="3" s="1"/>
  <c r="PAX28" i="3" a="1"/>
  <c r="PAX28" i="3" s="1"/>
  <c r="PAF28" i="3" a="1"/>
  <c r="PAF28" i="3" s="1"/>
  <c r="OZW28" i="3" a="1"/>
  <c r="OZW28" i="3" s="1"/>
  <c r="OZO28" i="3" a="1"/>
  <c r="OZO28" i="3" s="1"/>
  <c r="OYY28" i="3" a="1"/>
  <c r="OYY28" i="3" s="1"/>
  <c r="OYJ28" i="3" a="1"/>
  <c r="OYJ28" i="3" s="1"/>
  <c r="OYB28" i="3" a="1"/>
  <c r="OYB28" i="3" s="1"/>
  <c r="OXT28" i="3" a="1"/>
  <c r="OXT28" i="3" s="1"/>
  <c r="OXE28" i="3" a="1"/>
  <c r="OXE28" i="3" s="1"/>
  <c r="OWO28" i="3" a="1"/>
  <c r="OWO28" i="3" s="1"/>
  <c r="OWG28" i="3" a="1"/>
  <c r="OWG28" i="3" s="1"/>
  <c r="OVQ28" i="3" a="1"/>
  <c r="OVQ28" i="3" s="1"/>
  <c r="OVA28" i="3" a="1"/>
  <c r="OVA28" i="3" s="1"/>
  <c r="OUL28" i="3" a="1"/>
  <c r="OUL28" i="3" s="1"/>
  <c r="OUD28" i="3" a="1"/>
  <c r="OUD28" i="3" s="1"/>
  <c r="OTV28" i="3" a="1"/>
  <c r="OTV28" i="3" s="1"/>
  <c r="TOL28" i="3" a="1"/>
  <c r="TOL28" i="3" s="1"/>
  <c r="SXS28" i="3" a="1"/>
  <c r="SXS28" i="3" s="1"/>
  <c r="SOZ28" i="3" a="1"/>
  <c r="SOZ28" i="3" s="1"/>
  <c r="SJO28" i="3" a="1"/>
  <c r="SJO28" i="3" s="1"/>
  <c r="SFZ28" i="3" a="1"/>
  <c r="SFZ28" i="3" s="1"/>
  <c r="RZR28" i="3" a="1"/>
  <c r="RZR28" i="3" s="1"/>
  <c r="RWM28" i="3" a="1"/>
  <c r="RWM28" i="3" s="1"/>
  <c r="RQL28" i="3" a="1"/>
  <c r="RQL28" i="3" s="1"/>
  <c r="ROJ28" i="3" a="1"/>
  <c r="ROJ28" i="3" s="1"/>
  <c r="RKY28" i="3" a="1"/>
  <c r="RKY28" i="3" s="1"/>
  <c r="RIF28" i="3" a="1"/>
  <c r="RIF28" i="3" s="1"/>
  <c r="RHC28" i="3" a="1"/>
  <c r="RHC28" i="3" s="1"/>
  <c r="RGA28" i="3" a="1"/>
  <c r="RGA28" i="3" s="1"/>
  <c r="REX28" i="3" a="1"/>
  <c r="REX28" i="3" s="1"/>
  <c r="RDU28" i="3" a="1"/>
  <c r="RDU28" i="3" s="1"/>
  <c r="RCR28" i="3" a="1"/>
  <c r="RCR28" i="3" s="1"/>
  <c r="RBO28" i="3" a="1"/>
  <c r="RBO28" i="3" s="1"/>
  <c r="RAM28" i="3" a="1"/>
  <c r="RAM28" i="3" s="1"/>
  <c r="QXO28" i="3" a="1"/>
  <c r="QXO28" i="3" s="1"/>
  <c r="QUJ28" i="3" a="1"/>
  <c r="QUJ28" i="3" s="1"/>
  <c r="QTO28" i="3" a="1"/>
  <c r="QTO28" i="3" s="1"/>
  <c r="QSU28" i="3" a="1"/>
  <c r="QSU28" i="3" s="1"/>
  <c r="QSA28" i="3" a="1"/>
  <c r="QSA28" i="3" s="1"/>
  <c r="QOV28" i="3" a="1"/>
  <c r="QOV28" i="3" s="1"/>
  <c r="QOA28" i="3" a="1"/>
  <c r="QOA28" i="3" s="1"/>
  <c r="QNG28" i="3" a="1"/>
  <c r="QNG28" i="3" s="1"/>
  <c r="QMM28" i="3" a="1"/>
  <c r="QMM28" i="3" s="1"/>
  <c r="QJH28" i="3" a="1"/>
  <c r="QJH28" i="3" s="1"/>
  <c r="QIM28" i="3" a="1"/>
  <c r="QIM28" i="3" s="1"/>
  <c r="QHS28" i="3" a="1"/>
  <c r="QHS28" i="3" s="1"/>
  <c r="QGY28" i="3" a="1"/>
  <c r="QGY28" i="3" s="1"/>
  <c r="QDT28" i="3" a="1"/>
  <c r="QDT28" i="3" s="1"/>
  <c r="QCY28" i="3" a="1"/>
  <c r="QCY28" i="3" s="1"/>
  <c r="QCE28" i="3" a="1"/>
  <c r="QCE28" i="3" s="1"/>
  <c r="QBK28" i="3" a="1"/>
  <c r="QBK28" i="3" s="1"/>
  <c r="PYF28" i="3" a="1"/>
  <c r="PYF28" i="3" s="1"/>
  <c r="PXK28" i="3" a="1"/>
  <c r="PXK28" i="3" s="1"/>
  <c r="PWQ28" i="3" a="1"/>
  <c r="PWQ28" i="3" s="1"/>
  <c r="PVY28" i="3" a="1"/>
  <c r="PVY28" i="3" s="1"/>
  <c r="PUX28" i="3" a="1"/>
  <c r="PUX28" i="3" s="1"/>
  <c r="PTW28" i="3" a="1"/>
  <c r="PTW28" i="3" s="1"/>
  <c r="PSV28" i="3" a="1"/>
  <c r="PSV28" i="3" s="1"/>
  <c r="PRU28" i="3" a="1"/>
  <c r="PRU28" i="3" s="1"/>
  <c r="PQT28" i="3" a="1"/>
  <c r="PQT28" i="3" s="1"/>
  <c r="PPS28" i="3" a="1"/>
  <c r="PPS28" i="3" s="1"/>
  <c r="POR28" i="3" a="1"/>
  <c r="POR28" i="3" s="1"/>
  <c r="PNQ28" i="3" a="1"/>
  <c r="PNQ28" i="3" s="1"/>
  <c r="PMP28" i="3" a="1"/>
  <c r="PMP28" i="3" s="1"/>
  <c r="PLO28" i="3" a="1"/>
  <c r="PLO28" i="3" s="1"/>
  <c r="PKN28" i="3" a="1"/>
  <c r="PKN28" i="3" s="1"/>
  <c r="PJM28" i="3" a="1"/>
  <c r="PJM28" i="3" s="1"/>
  <c r="PIL28" i="3" a="1"/>
  <c r="PIL28" i="3" s="1"/>
  <c r="PHK28" i="3" a="1"/>
  <c r="PHK28" i="3" s="1"/>
  <c r="PDU28" i="3" a="1"/>
  <c r="PDU28" i="3" s="1"/>
  <c r="PDL28" i="3" a="1"/>
  <c r="PDL28" i="3" s="1"/>
  <c r="PBY28" i="3" a="1"/>
  <c r="PBY28" i="3" s="1"/>
  <c r="PBP28" i="3" a="1"/>
  <c r="PBP28" i="3" s="1"/>
  <c r="OZV28" i="3" a="1"/>
  <c r="OZV28" i="3" s="1"/>
  <c r="OZG28" i="3" a="1"/>
  <c r="OZG28" i="3" s="1"/>
  <c r="OYQ28" i="3" a="1"/>
  <c r="OYQ28" i="3" s="1"/>
  <c r="OYA28" i="3" a="1"/>
  <c r="OYA28" i="3" s="1"/>
  <c r="OXL28" i="3" a="1"/>
  <c r="OXL28" i="3" s="1"/>
  <c r="OXD28" i="3" a="1"/>
  <c r="OXD28" i="3" s="1"/>
  <c r="OWV28" i="3" a="1"/>
  <c r="OWV28" i="3" s="1"/>
  <c r="OWN28" i="3" a="1"/>
  <c r="OWN28" i="3" s="1"/>
  <c r="OWF28" i="3" a="1"/>
  <c r="OWF28" i="3" s="1"/>
  <c r="OVX28" i="3" a="1"/>
  <c r="OVX28" i="3" s="1"/>
  <c r="OVI28" i="3" a="1"/>
  <c r="OVI28" i="3" s="1"/>
  <c r="OUS28" i="3" a="1"/>
  <c r="OUS28" i="3" s="1"/>
  <c r="OUC28" i="3" a="1"/>
  <c r="OUC28" i="3" s="1"/>
  <c r="OTN28" i="3" a="1"/>
  <c r="OTN28" i="3" s="1"/>
  <c r="OTG28" i="3" a="1"/>
  <c r="OTG28" i="3" s="1"/>
  <c r="OTA28" i="3" a="1"/>
  <c r="OTA28" i="3" s="1"/>
  <c r="OSU28" i="3" a="1"/>
  <c r="OSU28" i="3" s="1"/>
  <c r="OSO28" i="3" a="1"/>
  <c r="OSO28" i="3" s="1"/>
  <c r="OSI28" i="3" a="1"/>
  <c r="OSI28" i="3" s="1"/>
  <c r="OSC28" i="3" a="1"/>
  <c r="OSC28" i="3" s="1"/>
  <c r="ORW28" i="3" a="1"/>
  <c r="ORW28" i="3" s="1"/>
  <c r="ORQ28" i="3" a="1"/>
  <c r="ORQ28" i="3" s="1"/>
  <c r="ORK28" i="3" a="1"/>
  <c r="ORK28" i="3" s="1"/>
  <c r="ORE28" i="3" a="1"/>
  <c r="ORE28" i="3" s="1"/>
  <c r="OQY28" i="3" a="1"/>
  <c r="OQY28" i="3" s="1"/>
  <c r="OQS28" i="3" a="1"/>
  <c r="OQS28" i="3" s="1"/>
  <c r="OQM28" i="3" a="1"/>
  <c r="OQM28" i="3" s="1"/>
  <c r="OQG28" i="3" a="1"/>
  <c r="OQG28" i="3" s="1"/>
  <c r="OQA28" i="3" a="1"/>
  <c r="OQA28" i="3" s="1"/>
  <c r="OPU28" i="3" a="1"/>
  <c r="OPU28" i="3" s="1"/>
  <c r="OPO28" i="3" a="1"/>
  <c r="OPO28" i="3" s="1"/>
  <c r="OPI28" i="3" a="1"/>
  <c r="OPI28" i="3" s="1"/>
  <c r="OPC28" i="3" a="1"/>
  <c r="OPC28" i="3" s="1"/>
  <c r="OOW28" i="3" a="1"/>
  <c r="OOW28" i="3" s="1"/>
  <c r="OOQ28" i="3" a="1"/>
  <c r="OOQ28" i="3" s="1"/>
  <c r="OOK28" i="3" a="1"/>
  <c r="OOK28" i="3" s="1"/>
  <c r="OOE28" i="3" a="1"/>
  <c r="OOE28" i="3" s="1"/>
  <c r="ONY28" i="3" a="1"/>
  <c r="ONY28" i="3" s="1"/>
  <c r="ONS28" i="3" a="1"/>
  <c r="ONS28" i="3" s="1"/>
  <c r="ONM28" i="3" a="1"/>
  <c r="ONM28" i="3" s="1"/>
  <c r="ONG28" i="3" a="1"/>
  <c r="ONG28" i="3" s="1"/>
  <c r="ONA28" i="3" a="1"/>
  <c r="ONA28" i="3" s="1"/>
  <c r="OMU28" i="3" a="1"/>
  <c r="OMU28" i="3" s="1"/>
  <c r="OMO28" i="3" a="1"/>
  <c r="OMO28" i="3" s="1"/>
  <c r="OMI28" i="3" a="1"/>
  <c r="OMI28" i="3" s="1"/>
  <c r="OMC28" i="3" a="1"/>
  <c r="OMC28" i="3" s="1"/>
  <c r="OLW28" i="3" a="1"/>
  <c r="OLW28" i="3" s="1"/>
  <c r="OLQ28" i="3" a="1"/>
  <c r="OLQ28" i="3" s="1"/>
  <c r="OLK28" i="3" a="1"/>
  <c r="OLK28" i="3" s="1"/>
  <c r="OLE28" i="3" a="1"/>
  <c r="OLE28" i="3" s="1"/>
  <c r="OKY28" i="3" a="1"/>
  <c r="OKY28" i="3" s="1"/>
  <c r="OKS28" i="3" a="1"/>
  <c r="OKS28" i="3" s="1"/>
  <c r="OKM28" i="3" a="1"/>
  <c r="OKM28" i="3" s="1"/>
  <c r="OKG28" i="3" a="1"/>
  <c r="OKG28" i="3" s="1"/>
  <c r="OKA28" i="3" a="1"/>
  <c r="OKA28" i="3" s="1"/>
  <c r="OJU28" i="3" a="1"/>
  <c r="OJU28" i="3" s="1"/>
  <c r="OJO28" i="3" a="1"/>
  <c r="OJO28" i="3" s="1"/>
  <c r="OJI28" i="3" a="1"/>
  <c r="OJI28" i="3" s="1"/>
  <c r="OJC28" i="3" a="1"/>
  <c r="OJC28" i="3" s="1"/>
  <c r="OIW28" i="3" a="1"/>
  <c r="OIW28" i="3" s="1"/>
  <c r="OIQ28" i="3" a="1"/>
  <c r="OIQ28" i="3" s="1"/>
  <c r="OIK28" i="3" a="1"/>
  <c r="OIK28" i="3" s="1"/>
  <c r="OIE28" i="3" a="1"/>
  <c r="OIE28" i="3" s="1"/>
  <c r="OHY28" i="3" a="1"/>
  <c r="OHY28" i="3" s="1"/>
  <c r="OHS28" i="3" a="1"/>
  <c r="OHS28" i="3" s="1"/>
  <c r="OHM28" i="3" a="1"/>
  <c r="OHM28" i="3" s="1"/>
  <c r="OHG28" i="3" a="1"/>
  <c r="OHG28" i="3" s="1"/>
  <c r="SND28" i="3" a="1"/>
  <c r="SND28" i="3" s="1"/>
  <c r="SIO28" i="3" a="1"/>
  <c r="SIO28" i="3" s="1"/>
  <c r="SFF28" i="3" a="1"/>
  <c r="SFF28" i="3" s="1"/>
  <c r="SCA28" i="3" a="1"/>
  <c r="SCA28" i="3" s="1"/>
  <c r="RVR28" i="3" a="1"/>
  <c r="RVR28" i="3" s="1"/>
  <c r="RPW28" i="3" a="1"/>
  <c r="RPW28" i="3" s="1"/>
  <c r="RJB28" i="3" a="1"/>
  <c r="RJB28" i="3" s="1"/>
  <c r="RHY28" i="3" a="1"/>
  <c r="RHY28" i="3" s="1"/>
  <c r="RGV28" i="3" a="1"/>
  <c r="RGV28" i="3" s="1"/>
  <c r="RFS28" i="3" a="1"/>
  <c r="RFS28" i="3" s="1"/>
  <c r="REQ28" i="3" a="1"/>
  <c r="REQ28" i="3" s="1"/>
  <c r="RDN28" i="3" a="1"/>
  <c r="RDN28" i="3" s="1"/>
  <c r="RCK28" i="3" a="1"/>
  <c r="RCK28" i="3" s="1"/>
  <c r="RBH28" i="3" a="1"/>
  <c r="RBH28" i="3" s="1"/>
  <c r="RAE28" i="3" a="1"/>
  <c r="RAE28" i="3" s="1"/>
  <c r="QYF28" i="3" a="1"/>
  <c r="QYF28" i="3" s="1"/>
  <c r="QVT28" i="3" a="1"/>
  <c r="QVT28" i="3" s="1"/>
  <c r="QUY28" i="3" a="1"/>
  <c r="QUY28" i="3" s="1"/>
  <c r="QUE28" i="3" a="1"/>
  <c r="QUE28" i="3" s="1"/>
  <c r="QTK28" i="3" a="1"/>
  <c r="QTK28" i="3" s="1"/>
  <c r="QQF28" i="3" a="1"/>
  <c r="QQF28" i="3" s="1"/>
  <c r="QPK28" i="3" a="1"/>
  <c r="QPK28" i="3" s="1"/>
  <c r="QOQ28" i="3" a="1"/>
  <c r="QOQ28" i="3" s="1"/>
  <c r="QNW28" i="3" a="1"/>
  <c r="QNW28" i="3" s="1"/>
  <c r="QKR28" i="3" a="1"/>
  <c r="QKR28" i="3" s="1"/>
  <c r="QJW28" i="3" a="1"/>
  <c r="QJW28" i="3" s="1"/>
  <c r="QJC28" i="3" a="1"/>
  <c r="QJC28" i="3" s="1"/>
  <c r="QII28" i="3" a="1"/>
  <c r="QII28" i="3" s="1"/>
  <c r="QFD28" i="3" a="1"/>
  <c r="QFD28" i="3" s="1"/>
  <c r="QEI28" i="3" a="1"/>
  <c r="QEI28" i="3" s="1"/>
  <c r="QDO28" i="3" a="1"/>
  <c r="QDO28" i="3" s="1"/>
  <c r="QCU28" i="3" a="1"/>
  <c r="QCU28" i="3" s="1"/>
  <c r="PZP28" i="3" a="1"/>
  <c r="PZP28" i="3" s="1"/>
  <c r="PYU28" i="3" a="1"/>
  <c r="PYU28" i="3" s="1"/>
  <c r="PYA28" i="3" a="1"/>
  <c r="PYA28" i="3" s="1"/>
  <c r="PXG28" i="3" a="1"/>
  <c r="PXG28" i="3" s="1"/>
  <c r="PVX28" i="3" a="1"/>
  <c r="PVX28" i="3" s="1"/>
  <c r="PVJ28" i="3" a="1"/>
  <c r="PVJ28" i="3" s="1"/>
  <c r="PUW28" i="3" a="1"/>
  <c r="PUW28" i="3" s="1"/>
  <c r="PUI28" i="3" a="1"/>
  <c r="PUI28" i="3" s="1"/>
  <c r="PTV28" i="3" a="1"/>
  <c r="PTV28" i="3" s="1"/>
  <c r="PTH28" i="3" a="1"/>
  <c r="PTH28" i="3" s="1"/>
  <c r="PSU28" i="3" a="1"/>
  <c r="PSU28" i="3" s="1"/>
  <c r="PSG28" i="3" a="1"/>
  <c r="PSG28" i="3" s="1"/>
  <c r="PRT28" i="3" a="1"/>
  <c r="PRT28" i="3" s="1"/>
  <c r="PRF28" i="3" a="1"/>
  <c r="PRF28" i="3" s="1"/>
  <c r="PQS28" i="3" a="1"/>
  <c r="PQS28" i="3" s="1"/>
  <c r="PQE28" i="3" a="1"/>
  <c r="PQE28" i="3" s="1"/>
  <c r="PPR28" i="3" a="1"/>
  <c r="PPR28" i="3" s="1"/>
  <c r="PPD28" i="3" a="1"/>
  <c r="PPD28" i="3" s="1"/>
  <c r="POQ28" i="3" a="1"/>
  <c r="POQ28" i="3" s="1"/>
  <c r="POC28" i="3" a="1"/>
  <c r="POC28" i="3" s="1"/>
  <c r="PNP28" i="3" a="1"/>
  <c r="PNP28" i="3" s="1"/>
  <c r="PNB28" i="3" a="1"/>
  <c r="PNB28" i="3" s="1"/>
  <c r="PMO28" i="3" a="1"/>
  <c r="PMO28" i="3" s="1"/>
  <c r="PMA28" i="3" a="1"/>
  <c r="PMA28" i="3" s="1"/>
  <c r="PLN28" i="3" a="1"/>
  <c r="PLN28" i="3" s="1"/>
  <c r="PKZ28" i="3" a="1"/>
  <c r="PKZ28" i="3" s="1"/>
  <c r="PKM28" i="3" a="1"/>
  <c r="PKM28" i="3" s="1"/>
  <c r="PJY28" i="3" a="1"/>
  <c r="PJY28" i="3" s="1"/>
  <c r="PJL28" i="3" a="1"/>
  <c r="PJL28" i="3" s="1"/>
  <c r="PIX28" i="3" a="1"/>
  <c r="PIX28" i="3" s="1"/>
  <c r="PIK28" i="3" a="1"/>
  <c r="PIK28" i="3" s="1"/>
  <c r="PHW28" i="3" a="1"/>
  <c r="PHW28" i="3" s="1"/>
  <c r="PHJ28" i="3" a="1"/>
  <c r="PHJ28" i="3" s="1"/>
  <c r="PGV28" i="3" a="1"/>
  <c r="PGV28" i="3" s="1"/>
  <c r="PGK28" i="3" a="1"/>
  <c r="PGK28" i="3" s="1"/>
  <c r="PFX28" i="3" a="1"/>
  <c r="PFX28" i="3" s="1"/>
  <c r="PFM28" i="3" a="1"/>
  <c r="PFM28" i="3" s="1"/>
  <c r="PEZ28" i="3" a="1"/>
  <c r="PEZ28" i="3" s="1"/>
  <c r="PEO28" i="3" a="1"/>
  <c r="PEO28" i="3" s="1"/>
  <c r="PED28" i="3" a="1"/>
  <c r="PED28" i="3" s="1"/>
  <c r="PCS28" i="3" a="1"/>
  <c r="PCS28" i="3" s="1"/>
  <c r="PCH28" i="3" a="1"/>
  <c r="PCH28" i="3" s="1"/>
  <c r="PAW28" i="3" a="1"/>
  <c r="PAW28" i="3" s="1"/>
  <c r="PAM28" i="3" a="1"/>
  <c r="PAM28" i="3" s="1"/>
  <c r="PAD28" i="3" a="1"/>
  <c r="PAD28" i="3" s="1"/>
  <c r="OZN28" i="3" a="1"/>
  <c r="OZN28" i="3" s="1"/>
  <c r="OZF28" i="3" a="1"/>
  <c r="OZF28" i="3" s="1"/>
  <c r="OYX28" i="3" a="1"/>
  <c r="OYX28" i="3" s="1"/>
  <c r="OYI28" i="3" a="1"/>
  <c r="OYI28" i="3" s="1"/>
  <c r="OXS28" i="3" a="1"/>
  <c r="OXS28" i="3" s="1"/>
  <c r="OXC28" i="3" a="1"/>
  <c r="OXC28" i="3" s="1"/>
  <c r="OWU28" i="3" a="1"/>
  <c r="OWU28" i="3" s="1"/>
  <c r="OWE28" i="3" a="1"/>
  <c r="OWE28" i="3" s="1"/>
  <c r="OVP28" i="3" a="1"/>
  <c r="OVP28" i="3" s="1"/>
  <c r="OVH28" i="3" a="1"/>
  <c r="OVH28" i="3" s="1"/>
  <c r="OUZ28" i="3" a="1"/>
  <c r="OUZ28" i="3" s="1"/>
  <c r="OUK28" i="3" a="1"/>
  <c r="OUK28" i="3" s="1"/>
  <c r="OTU28" i="3" a="1"/>
  <c r="OTU28" i="3" s="1"/>
  <c r="THG28" i="3" a="1"/>
  <c r="THG28" i="3" s="1"/>
  <c r="SMI28" i="3" a="1"/>
  <c r="SMI28" i="3" s="1"/>
  <c r="RVL28" i="3" a="1"/>
  <c r="RVL28" i="3" s="1"/>
  <c r="RHU28" i="3" a="1"/>
  <c r="RHU28" i="3" s="1"/>
  <c r="RFL28" i="3" a="1"/>
  <c r="RFL28" i="3" s="1"/>
  <c r="RCH28" i="3" a="1"/>
  <c r="RCH28" i="3" s="1"/>
  <c r="QXG28" i="3" a="1"/>
  <c r="QXG28" i="3" s="1"/>
  <c r="QKM28" i="3" a="1"/>
  <c r="QKM28" i="3" s="1"/>
  <c r="QGO28" i="3" a="1"/>
  <c r="QGO28" i="3" s="1"/>
  <c r="QCQ28" i="3" a="1"/>
  <c r="QCQ28" i="3" s="1"/>
  <c r="QAZ28" i="3" a="1"/>
  <c r="QAZ28" i="3" s="1"/>
  <c r="PYS28" i="3" a="1"/>
  <c r="PYS28" i="3" s="1"/>
  <c r="PXB28" i="3" a="1"/>
  <c r="PXB28" i="3" s="1"/>
  <c r="PUF28" i="3" a="1"/>
  <c r="PUF28" i="3" s="1"/>
  <c r="PRQ28" i="3" a="1"/>
  <c r="PRQ28" i="3" s="1"/>
  <c r="PQN28" i="3" a="1"/>
  <c r="PQN28" i="3" s="1"/>
  <c r="PNZ28" i="3" a="1"/>
  <c r="PNZ28" i="3" s="1"/>
  <c r="PLK28" i="3" a="1"/>
  <c r="PLK28" i="3" s="1"/>
  <c r="PKH28" i="3" a="1"/>
  <c r="PKH28" i="3" s="1"/>
  <c r="PHT28" i="3" a="1"/>
  <c r="PHT28" i="3" s="1"/>
  <c r="PGR28" i="3" a="1"/>
  <c r="PGR28" i="3" s="1"/>
  <c r="PDK28" i="3" a="1"/>
  <c r="PDK28" i="3" s="1"/>
  <c r="PCO28" i="3" a="1"/>
  <c r="PCO28" i="3" s="1"/>
  <c r="PAA28" i="3" a="1"/>
  <c r="PAA28" i="3" s="1"/>
  <c r="OZE28" i="3" a="1"/>
  <c r="OZE28" i="3" s="1"/>
  <c r="OYO28" i="3" a="1"/>
  <c r="OYO28" i="3" s="1"/>
  <c r="OUG28" i="3" a="1"/>
  <c r="OUG28" i="3" s="1"/>
  <c r="OTL28" i="3" a="1"/>
  <c r="OTL28" i="3" s="1"/>
  <c r="OSH28" i="3" a="1"/>
  <c r="OSH28" i="3" s="1"/>
  <c r="ORU28" i="3" a="1"/>
  <c r="ORU28" i="3" s="1"/>
  <c r="ORH28" i="3" a="1"/>
  <c r="ORH28" i="3" s="1"/>
  <c r="OPN28" i="3" a="1"/>
  <c r="OPN28" i="3" s="1"/>
  <c r="OPA28" i="3" a="1"/>
  <c r="OPA28" i="3" s="1"/>
  <c r="OON28" i="3" a="1"/>
  <c r="OON28" i="3" s="1"/>
  <c r="OMT28" i="3" a="1"/>
  <c r="OMT28" i="3" s="1"/>
  <c r="OMG28" i="3" a="1"/>
  <c r="OMG28" i="3" s="1"/>
  <c r="OLT28" i="3" a="1"/>
  <c r="OLT28" i="3" s="1"/>
  <c r="OJZ28" i="3" a="1"/>
  <c r="OJZ28" i="3" s="1"/>
  <c r="OJM28" i="3" a="1"/>
  <c r="OJM28" i="3" s="1"/>
  <c r="OIZ28" i="3" a="1"/>
  <c r="OIZ28" i="3" s="1"/>
  <c r="OHF28" i="3" a="1"/>
  <c r="OHF28" i="3" s="1"/>
  <c r="OGU28" i="3" a="1"/>
  <c r="OGU28" i="3" s="1"/>
  <c r="OGL28" i="3" a="1"/>
  <c r="OGL28" i="3" s="1"/>
  <c r="OGA28" i="3" a="1"/>
  <c r="OGA28" i="3" s="1"/>
  <c r="OFP28" i="3" a="1"/>
  <c r="OFP28" i="3" s="1"/>
  <c r="OFF28" i="3" a="1"/>
  <c r="OFF28" i="3" s="1"/>
  <c r="OEA28" i="3" a="1"/>
  <c r="OEA28" i="3" s="1"/>
  <c r="ODR28" i="3" a="1"/>
  <c r="ODR28" i="3" s="1"/>
  <c r="ODG28" i="3" a="1"/>
  <c r="ODG28" i="3" s="1"/>
  <c r="OCV28" i="3" a="1"/>
  <c r="OCV28" i="3" s="1"/>
  <c r="OCL28" i="3" a="1"/>
  <c r="OCL28" i="3" s="1"/>
  <c r="OBG28" i="3" a="1"/>
  <c r="OBG28" i="3" s="1"/>
  <c r="OAX28" i="3" a="1"/>
  <c r="OAX28" i="3" s="1"/>
  <c r="OAM28" i="3" a="1"/>
  <c r="OAM28" i="3" s="1"/>
  <c r="OAB28" i="3" a="1"/>
  <c r="OAB28" i="3" s="1"/>
  <c r="NZR28" i="3" a="1"/>
  <c r="NZR28" i="3" s="1"/>
  <c r="NYM28" i="3" a="1"/>
  <c r="NYM28" i="3" s="1"/>
  <c r="NYD28" i="3" a="1"/>
  <c r="NYD28" i="3" s="1"/>
  <c r="NXS28" i="3" a="1"/>
  <c r="NXS28" i="3" s="1"/>
  <c r="NXH28" i="3" a="1"/>
  <c r="NXH28" i="3" s="1"/>
  <c r="NWX28" i="3" a="1"/>
  <c r="NWX28" i="3" s="1"/>
  <c r="NVS28" i="3" a="1"/>
  <c r="NVS28" i="3" s="1"/>
  <c r="NVJ28" i="3" a="1"/>
  <c r="NVJ28" i="3" s="1"/>
  <c r="NUY28" i="3" a="1"/>
  <c r="NUY28" i="3" s="1"/>
  <c r="NUN28" i="3" a="1"/>
  <c r="NUN28" i="3" s="1"/>
  <c r="NUD28" i="3" a="1"/>
  <c r="NUD28" i="3" s="1"/>
  <c r="NSY28" i="3" a="1"/>
  <c r="NSY28" i="3" s="1"/>
  <c r="NSP28" i="3" a="1"/>
  <c r="NSP28" i="3" s="1"/>
  <c r="NSE28" i="3" a="1"/>
  <c r="NSE28" i="3" s="1"/>
  <c r="NRT28" i="3" a="1"/>
  <c r="NRT28" i="3" s="1"/>
  <c r="NRJ28" i="3" a="1"/>
  <c r="NRJ28" i="3" s="1"/>
  <c r="NQE28" i="3" a="1"/>
  <c r="NQE28" i="3" s="1"/>
  <c r="NPV28" i="3" a="1"/>
  <c r="NPV28" i="3" s="1"/>
  <c r="NPL28" i="3" a="1"/>
  <c r="NPL28" i="3" s="1"/>
  <c r="NPD28" i="3" a="1"/>
  <c r="NPD28" i="3" s="1"/>
  <c r="NOT28" i="3" a="1"/>
  <c r="NOT28" i="3" s="1"/>
  <c r="NOL28" i="3" a="1"/>
  <c r="NOL28" i="3" s="1"/>
  <c r="NOB28" i="3" a="1"/>
  <c r="NOB28" i="3" s="1"/>
  <c r="NNT28" i="3" a="1"/>
  <c r="NNT28" i="3" s="1"/>
  <c r="NNJ28" i="3" a="1"/>
  <c r="NNJ28" i="3" s="1"/>
  <c r="NNB28" i="3" a="1"/>
  <c r="NNB28" i="3" s="1"/>
  <c r="NMR28" i="3" a="1"/>
  <c r="NMR28" i="3" s="1"/>
  <c r="NMJ28" i="3" a="1"/>
  <c r="NMJ28" i="3" s="1"/>
  <c r="NLZ28" i="3" a="1"/>
  <c r="NLZ28" i="3" s="1"/>
  <c r="NLR28" i="3" a="1"/>
  <c r="NLR28" i="3" s="1"/>
  <c r="NLH28" i="3" a="1"/>
  <c r="NLH28" i="3" s="1"/>
  <c r="NKZ28" i="3" a="1"/>
  <c r="NKZ28" i="3" s="1"/>
  <c r="NKP28" i="3" a="1"/>
  <c r="NKP28" i="3" s="1"/>
  <c r="NKH28" i="3" a="1"/>
  <c r="NKH28" i="3" s="1"/>
  <c r="NJX28" i="3" a="1"/>
  <c r="NJX28" i="3" s="1"/>
  <c r="NJP28" i="3" a="1"/>
  <c r="NJP28" i="3" s="1"/>
  <c r="NJF28" i="3" a="1"/>
  <c r="NJF28" i="3" s="1"/>
  <c r="NIX28" i="3" a="1"/>
  <c r="NIX28" i="3" s="1"/>
  <c r="NIN28" i="3" a="1"/>
  <c r="NIN28" i="3" s="1"/>
  <c r="NIF28" i="3" a="1"/>
  <c r="NIF28" i="3" s="1"/>
  <c r="NHV28" i="3" a="1"/>
  <c r="NHV28" i="3" s="1"/>
  <c r="NHN28" i="3" a="1"/>
  <c r="NHN28" i="3" s="1"/>
  <c r="NHD28" i="3" a="1"/>
  <c r="NHD28" i="3" s="1"/>
  <c r="NGV28" i="3" a="1"/>
  <c r="NGV28" i="3" s="1"/>
  <c r="NGL28" i="3" a="1"/>
  <c r="NGL28" i="3" s="1"/>
  <c r="NGD28" i="3" a="1"/>
  <c r="NGD28" i="3" s="1"/>
  <c r="NFT28" i="3" a="1"/>
  <c r="NFT28" i="3" s="1"/>
  <c r="NFL28" i="3" a="1"/>
  <c r="NFL28" i="3" s="1"/>
  <c r="NFB28" i="3" a="1"/>
  <c r="NFB28" i="3" s="1"/>
  <c r="NET28" i="3" a="1"/>
  <c r="NET28" i="3" s="1"/>
  <c r="NEK28" i="3" a="1"/>
  <c r="NEK28" i="3" s="1"/>
  <c r="NEC28" i="3" a="1"/>
  <c r="NEC28" i="3" s="1"/>
  <c r="NDU28" i="3" a="1"/>
  <c r="NDU28" i="3" s="1"/>
  <c r="NDM28" i="3" a="1"/>
  <c r="NDM28" i="3" s="1"/>
  <c r="NDE28" i="3" a="1"/>
  <c r="NDE28" i="3" s="1"/>
  <c r="NCW28" i="3" a="1"/>
  <c r="NCW28" i="3" s="1"/>
  <c r="NCO28" i="3" a="1"/>
  <c r="NCO28" i="3" s="1"/>
  <c r="NCG28" i="3" a="1"/>
  <c r="NCG28" i="3" s="1"/>
  <c r="NBY28" i="3" a="1"/>
  <c r="NBY28" i="3" s="1"/>
  <c r="NBQ28" i="3" a="1"/>
  <c r="NBQ28" i="3" s="1"/>
  <c r="NBI28" i="3" a="1"/>
  <c r="NBI28" i="3" s="1"/>
  <c r="NBA28" i="3" a="1"/>
  <c r="NBA28" i="3" s="1"/>
  <c r="NAS28" i="3" a="1"/>
  <c r="NAS28" i="3" s="1"/>
  <c r="NAK28" i="3" a="1"/>
  <c r="NAK28" i="3" s="1"/>
  <c r="NAC28" i="3" a="1"/>
  <c r="NAC28" i="3" s="1"/>
  <c r="MZU28" i="3" a="1"/>
  <c r="MZU28" i="3" s="1"/>
  <c r="MZM28" i="3" a="1"/>
  <c r="MZM28" i="3" s="1"/>
  <c r="MZE28" i="3" a="1"/>
  <c r="MZE28" i="3" s="1"/>
  <c r="MYW28" i="3" a="1"/>
  <c r="MYW28" i="3" s="1"/>
  <c r="MYO28" i="3" a="1"/>
  <c r="MYO28" i="3" s="1"/>
  <c r="MYG28" i="3" a="1"/>
  <c r="MYG28" i="3" s="1"/>
  <c r="MXY28" i="3" a="1"/>
  <c r="MXY28" i="3" s="1"/>
  <c r="MXQ28" i="3" a="1"/>
  <c r="MXQ28" i="3" s="1"/>
  <c r="MXI28" i="3" a="1"/>
  <c r="MXI28" i="3" s="1"/>
  <c r="MXA28" i="3" a="1"/>
  <c r="MXA28" i="3" s="1"/>
  <c r="MWS28" i="3" a="1"/>
  <c r="MWS28" i="3" s="1"/>
  <c r="MWK28" i="3" a="1"/>
  <c r="MWK28" i="3" s="1"/>
  <c r="MVW28" i="3" a="1"/>
  <c r="MVW28" i="3" s="1"/>
  <c r="MVQ28" i="3" a="1"/>
  <c r="MVQ28" i="3" s="1"/>
  <c r="MVK28" i="3" a="1"/>
  <c r="MVK28" i="3" s="1"/>
  <c r="MVE28" i="3" a="1"/>
  <c r="MVE28" i="3" s="1"/>
  <c r="MUY28" i="3" a="1"/>
  <c r="MUY28" i="3" s="1"/>
  <c r="MUS28" i="3" a="1"/>
  <c r="MUS28" i="3" s="1"/>
  <c r="MUM28" i="3" a="1"/>
  <c r="MUM28" i="3" s="1"/>
  <c r="MUG28" i="3" a="1"/>
  <c r="MUG28" i="3" s="1"/>
  <c r="MUA28" i="3" a="1"/>
  <c r="MUA28" i="3" s="1"/>
  <c r="MTU28" i="3" a="1"/>
  <c r="MTU28" i="3" s="1"/>
  <c r="MTO28" i="3" a="1"/>
  <c r="MTO28" i="3" s="1"/>
  <c r="MTI28" i="3" a="1"/>
  <c r="MTI28" i="3" s="1"/>
  <c r="MTC28" i="3" a="1"/>
  <c r="MTC28" i="3" s="1"/>
  <c r="MSW28" i="3" a="1"/>
  <c r="MSW28" i="3" s="1"/>
  <c r="MSQ28" i="3" a="1"/>
  <c r="MSQ28" i="3" s="1"/>
  <c r="MSK28" i="3" a="1"/>
  <c r="MSK28" i="3" s="1"/>
  <c r="MSE28" i="3" a="1"/>
  <c r="MSE28" i="3" s="1"/>
  <c r="MRY28" i="3" a="1"/>
  <c r="MRY28" i="3" s="1"/>
  <c r="MRS28" i="3" a="1"/>
  <c r="MRS28" i="3" s="1"/>
  <c r="MRM28" i="3" a="1"/>
  <c r="MRM28" i="3" s="1"/>
  <c r="MRG28" i="3" a="1"/>
  <c r="MRG28" i="3" s="1"/>
  <c r="MRA28" i="3" a="1"/>
  <c r="MRA28" i="3" s="1"/>
  <c r="MQU28" i="3" a="1"/>
  <c r="MQU28" i="3" s="1"/>
  <c r="MQO28" i="3" a="1"/>
  <c r="MQO28" i="3" s="1"/>
  <c r="MQI28" i="3" a="1"/>
  <c r="MQI28" i="3" s="1"/>
  <c r="MQC28" i="3" a="1"/>
  <c r="MQC28" i="3" s="1"/>
  <c r="MPW28" i="3" a="1"/>
  <c r="MPW28" i="3" s="1"/>
  <c r="MPQ28" i="3" a="1"/>
  <c r="MPQ28" i="3" s="1"/>
  <c r="MPK28" i="3" a="1"/>
  <c r="MPK28" i="3" s="1"/>
  <c r="MPE28" i="3" a="1"/>
  <c r="MPE28" i="3" s="1"/>
  <c r="MOY28" i="3" a="1"/>
  <c r="MOY28" i="3" s="1"/>
  <c r="MOS28" i="3" a="1"/>
  <c r="MOS28" i="3" s="1"/>
  <c r="MOM28" i="3" a="1"/>
  <c r="MOM28" i="3" s="1"/>
  <c r="MOG28" i="3" a="1"/>
  <c r="MOG28" i="3" s="1"/>
  <c r="MOA28" i="3" a="1"/>
  <c r="MOA28" i="3" s="1"/>
  <c r="MNU28" i="3" a="1"/>
  <c r="MNU28" i="3" s="1"/>
  <c r="MNO28" i="3" a="1"/>
  <c r="MNO28" i="3" s="1"/>
  <c r="MNI28" i="3" a="1"/>
  <c r="MNI28" i="3" s="1"/>
  <c r="MNC28" i="3" a="1"/>
  <c r="MNC28" i="3" s="1"/>
  <c r="MMW28" i="3" a="1"/>
  <c r="MMW28" i="3" s="1"/>
  <c r="MMQ28" i="3" a="1"/>
  <c r="MMQ28" i="3" s="1"/>
  <c r="MMK28" i="3" a="1"/>
  <c r="MMK28" i="3" s="1"/>
  <c r="MME28" i="3" a="1"/>
  <c r="MME28" i="3" s="1"/>
  <c r="MLY28" i="3" a="1"/>
  <c r="MLY28" i="3" s="1"/>
  <c r="MLS28" i="3" a="1"/>
  <c r="MLS28" i="3" s="1"/>
  <c r="MLM28" i="3" a="1"/>
  <c r="MLM28" i="3" s="1"/>
  <c r="MLG28" i="3" a="1"/>
  <c r="MLG28" i="3" s="1"/>
  <c r="MLA28" i="3" a="1"/>
  <c r="MLA28" i="3" s="1"/>
  <c r="MKU28" i="3" a="1"/>
  <c r="MKU28" i="3" s="1"/>
  <c r="TGY28" i="3" a="1"/>
  <c r="TGY28" i="3" s="1"/>
  <c r="SMH28" i="3" a="1"/>
  <c r="SMH28" i="3" s="1"/>
  <c r="RPJ28" i="3" a="1"/>
  <c r="RPJ28" i="3" s="1"/>
  <c r="RCG28" i="3" a="1"/>
  <c r="RCG28" i="3" s="1"/>
  <c r="QZX28" i="3" a="1"/>
  <c r="QZX28" i="3" s="1"/>
  <c r="QQA28" i="3" a="1"/>
  <c r="QQA28" i="3" s="1"/>
  <c r="QMC28" i="3" a="1"/>
  <c r="QMC28" i="3" s="1"/>
  <c r="QIE28" i="3" a="1"/>
  <c r="QIE28" i="3" s="1"/>
  <c r="QGN28" i="3" a="1"/>
  <c r="QGN28" i="3" s="1"/>
  <c r="QEG28" i="3" a="1"/>
  <c r="QEG28" i="3" s="1"/>
  <c r="QCP28" i="3" a="1"/>
  <c r="QCP28" i="3" s="1"/>
  <c r="QAI28" i="3" a="1"/>
  <c r="QAI28" i="3" s="1"/>
  <c r="PYR28" i="3" a="1"/>
  <c r="PYR28" i="3" s="1"/>
  <c r="PUE28" i="3" a="1"/>
  <c r="PUE28" i="3" s="1"/>
  <c r="PNY28" i="3" a="1"/>
  <c r="PNY28" i="3" s="1"/>
  <c r="PHS28" i="3" a="1"/>
  <c r="PHS28" i="3" s="1"/>
  <c r="PGJ28" i="3" a="1"/>
  <c r="PGJ28" i="3" s="1"/>
  <c r="PFI28" i="3" a="1"/>
  <c r="PFI28" i="3" s="1"/>
  <c r="PEJ28" i="3" a="1"/>
  <c r="PEJ28" i="3" s="1"/>
  <c r="PDJ28" i="3" a="1"/>
  <c r="PDJ28" i="3" s="1"/>
  <c r="PBO28" i="3" a="1"/>
  <c r="PBO28" i="3" s="1"/>
  <c r="PAS28" i="3" a="1"/>
  <c r="PAS28" i="3" s="1"/>
  <c r="OYN28" i="3" a="1"/>
  <c r="OYN28" i="3" s="1"/>
  <c r="OXA28" i="3" a="1"/>
  <c r="OXA28" i="3" s="1"/>
  <c r="OWJ28" i="3" a="1"/>
  <c r="OWJ28" i="3" s="1"/>
  <c r="OVO28" i="3" a="1"/>
  <c r="OVO28" i="3" s="1"/>
  <c r="OUX28" i="3" a="1"/>
  <c r="OUX28" i="3" s="1"/>
  <c r="OUB28" i="3" a="1"/>
  <c r="OUB28" i="3" s="1"/>
  <c r="OTK28" i="3" a="1"/>
  <c r="OTK28" i="3" s="1"/>
  <c r="OSX28" i="3" a="1"/>
  <c r="OSX28" i="3" s="1"/>
  <c r="ORD28" i="3" a="1"/>
  <c r="ORD28" i="3" s="1"/>
  <c r="OQQ28" i="3" a="1"/>
  <c r="OQQ28" i="3" s="1"/>
  <c r="OQD28" i="3" a="1"/>
  <c r="OQD28" i="3" s="1"/>
  <c r="OOJ28" i="3" a="1"/>
  <c r="OOJ28" i="3" s="1"/>
  <c r="ONW28" i="3" a="1"/>
  <c r="ONW28" i="3" s="1"/>
  <c r="ONJ28" i="3" a="1"/>
  <c r="ONJ28" i="3" s="1"/>
  <c r="OLP28" i="3" a="1"/>
  <c r="OLP28" i="3" s="1"/>
  <c r="OLC28" i="3" a="1"/>
  <c r="OLC28" i="3" s="1"/>
  <c r="OKP28" i="3" a="1"/>
  <c r="OKP28" i="3" s="1"/>
  <c r="OIV28" i="3" a="1"/>
  <c r="OIV28" i="3" s="1"/>
  <c r="OII28" i="3" a="1"/>
  <c r="OII28" i="3" s="1"/>
  <c r="OHV28" i="3" a="1"/>
  <c r="OHV28" i="3" s="1"/>
  <c r="OGT28" i="3" a="1"/>
  <c r="OGT28" i="3" s="1"/>
  <c r="OGJ28" i="3" a="1"/>
  <c r="OGJ28" i="3" s="1"/>
  <c r="OFE28" i="3" a="1"/>
  <c r="OFE28" i="3" s="1"/>
  <c r="OEV28" i="3" a="1"/>
  <c r="OEV28" i="3" s="1"/>
  <c r="OEK28" i="3" a="1"/>
  <c r="OEK28" i="3" s="1"/>
  <c r="ODZ28" i="3" a="1"/>
  <c r="ODZ28" i="3" s="1"/>
  <c r="ODP28" i="3" a="1"/>
  <c r="ODP28" i="3" s="1"/>
  <c r="OCK28" i="3" a="1"/>
  <c r="OCK28" i="3" s="1"/>
  <c r="OCB28" i="3" a="1"/>
  <c r="OCB28" i="3" s="1"/>
  <c r="OBQ28" i="3" a="1"/>
  <c r="OBQ28" i="3" s="1"/>
  <c r="OBF28" i="3" a="1"/>
  <c r="OBF28" i="3" s="1"/>
  <c r="OAV28" i="3" a="1"/>
  <c r="OAV28" i="3" s="1"/>
  <c r="NZQ28" i="3" a="1"/>
  <c r="NZQ28" i="3" s="1"/>
  <c r="NZH28" i="3" a="1"/>
  <c r="NZH28" i="3" s="1"/>
  <c r="NYW28" i="3" a="1"/>
  <c r="NYW28" i="3" s="1"/>
  <c r="NYL28" i="3" a="1"/>
  <c r="NYL28" i="3" s="1"/>
  <c r="NYB28" i="3" a="1"/>
  <c r="NYB28" i="3" s="1"/>
  <c r="NWW28" i="3" a="1"/>
  <c r="NWW28" i="3" s="1"/>
  <c r="NWN28" i="3" a="1"/>
  <c r="NWN28" i="3" s="1"/>
  <c r="NWC28" i="3" a="1"/>
  <c r="NWC28" i="3" s="1"/>
  <c r="NVR28" i="3" a="1"/>
  <c r="NVR28" i="3" s="1"/>
  <c r="NVH28" i="3" a="1"/>
  <c r="NVH28" i="3" s="1"/>
  <c r="NUC28" i="3" a="1"/>
  <c r="NUC28" i="3" s="1"/>
  <c r="NTT28" i="3" a="1"/>
  <c r="NTT28" i="3" s="1"/>
  <c r="NTI28" i="3" a="1"/>
  <c r="NTI28" i="3" s="1"/>
  <c r="NSX28" i="3" a="1"/>
  <c r="NSX28" i="3" s="1"/>
  <c r="NSN28" i="3" a="1"/>
  <c r="NSN28" i="3" s="1"/>
  <c r="NRI28" i="3" a="1"/>
  <c r="NRI28" i="3" s="1"/>
  <c r="NQZ28" i="3" a="1"/>
  <c r="NQZ28" i="3" s="1"/>
  <c r="NQO28" i="3" a="1"/>
  <c r="NQO28" i="3" s="1"/>
  <c r="NQD28" i="3" a="1"/>
  <c r="NQD28" i="3" s="1"/>
  <c r="NPU28" i="3" a="1"/>
  <c r="NPU28" i="3" s="1"/>
  <c r="NPC28" i="3" a="1"/>
  <c r="NPC28" i="3" s="1"/>
  <c r="NOK28" i="3" a="1"/>
  <c r="NOK28" i="3" s="1"/>
  <c r="NNS28" i="3" a="1"/>
  <c r="NNS28" i="3" s="1"/>
  <c r="NNA28" i="3" a="1"/>
  <c r="NNA28" i="3" s="1"/>
  <c r="NMI28" i="3" a="1"/>
  <c r="NMI28" i="3" s="1"/>
  <c r="NLQ28" i="3" a="1"/>
  <c r="NLQ28" i="3" s="1"/>
  <c r="NKY28" i="3" a="1"/>
  <c r="NKY28" i="3" s="1"/>
  <c r="NKG28" i="3" a="1"/>
  <c r="NKG28" i="3" s="1"/>
  <c r="NJO28" i="3" a="1"/>
  <c r="NJO28" i="3" s="1"/>
  <c r="NIW28" i="3" a="1"/>
  <c r="NIW28" i="3" s="1"/>
  <c r="NIE28" i="3" a="1"/>
  <c r="NIE28" i="3" s="1"/>
  <c r="NHM28" i="3" a="1"/>
  <c r="NHM28" i="3" s="1"/>
  <c r="NGU28" i="3" a="1"/>
  <c r="NGU28" i="3" s="1"/>
  <c r="NGC28" i="3" a="1"/>
  <c r="NGC28" i="3" s="1"/>
  <c r="NFK28" i="3" a="1"/>
  <c r="NFK28" i="3" s="1"/>
  <c r="NES28" i="3" a="1"/>
  <c r="NES28" i="3" s="1"/>
  <c r="NEJ28" i="3" a="1"/>
  <c r="NEJ28" i="3" s="1"/>
  <c r="NDL28" i="3" a="1"/>
  <c r="NDL28" i="3" s="1"/>
  <c r="NCN28" i="3" a="1"/>
  <c r="NCN28" i="3" s="1"/>
  <c r="NBP28" i="3" a="1"/>
  <c r="NBP28" i="3" s="1"/>
  <c r="NAR28" i="3" a="1"/>
  <c r="NAR28" i="3" s="1"/>
  <c r="MZT28" i="3" a="1"/>
  <c r="MZT28" i="3" s="1"/>
  <c r="MYV28" i="3" a="1"/>
  <c r="MYV28" i="3" s="1"/>
  <c r="MXX28" i="3" a="1"/>
  <c r="MXX28" i="3" s="1"/>
  <c r="MWZ28" i="3" a="1"/>
  <c r="MWZ28" i="3" s="1"/>
  <c r="MWC28" i="3" a="1"/>
  <c r="MWC28" i="3" s="1"/>
  <c r="SBU28" i="3" a="1"/>
  <c r="SBU28" i="3" s="1"/>
  <c r="RVF28" i="3" a="1"/>
  <c r="RVF28" i="3" s="1"/>
  <c r="RNT28" i="3" a="1"/>
  <c r="RNT28" i="3" s="1"/>
  <c r="RKK28" i="3" a="1"/>
  <c r="RKK28" i="3" s="1"/>
  <c r="RHR28" i="3" a="1"/>
  <c r="RHR28" i="3" s="1"/>
  <c r="QZC28" i="3" a="1"/>
  <c r="QZC28" i="3" s="1"/>
  <c r="QVO28" i="3" a="1"/>
  <c r="QVO28" i="3" s="1"/>
  <c r="QRQ28" i="3" a="1"/>
  <c r="QRQ28" i="3" s="1"/>
  <c r="QNS28" i="3" a="1"/>
  <c r="QNS28" i="3" s="1"/>
  <c r="QMB28" i="3" a="1"/>
  <c r="QMB28" i="3" s="1"/>
  <c r="QJU28" i="3" a="1"/>
  <c r="QJU28" i="3" s="1"/>
  <c r="QID28" i="3" a="1"/>
  <c r="QID28" i="3" s="1"/>
  <c r="QFW28" i="3" a="1"/>
  <c r="QFW28" i="3" s="1"/>
  <c r="QEF28" i="3" a="1"/>
  <c r="QEF28" i="3" s="1"/>
  <c r="QAH28" i="3" a="1"/>
  <c r="QAH28" i="3" s="1"/>
  <c r="PWJ28" i="3" a="1"/>
  <c r="PWJ28" i="3" s="1"/>
  <c r="PVG28" i="3" a="1"/>
  <c r="PVG28" i="3" s="1"/>
  <c r="PSR28" i="3" a="1"/>
  <c r="PSR28" i="3" s="1"/>
  <c r="PRO28" i="3" a="1"/>
  <c r="PRO28" i="3" s="1"/>
  <c r="PPA28" i="3" a="1"/>
  <c r="PPA28" i="3" s="1"/>
  <c r="PML28" i="3" a="1"/>
  <c r="PML28" i="3" s="1"/>
  <c r="PLI28" i="3" a="1"/>
  <c r="PLI28" i="3" s="1"/>
  <c r="PIU28" i="3" a="1"/>
  <c r="PIU28" i="3" s="1"/>
  <c r="PFH28" i="3" a="1"/>
  <c r="PFH28" i="3" s="1"/>
  <c r="PDI28" i="3" a="1"/>
  <c r="PDI28" i="3" s="1"/>
  <c r="PCN28" i="3" a="1"/>
  <c r="PCN28" i="3" s="1"/>
  <c r="PBN28" i="3" a="1"/>
  <c r="PBN28" i="3" s="1"/>
  <c r="OZU28" i="3" a="1"/>
  <c r="OZU28" i="3" s="1"/>
  <c r="OZD28" i="3" a="1"/>
  <c r="OZD28" i="3" s="1"/>
  <c r="OYM28" i="3" a="1"/>
  <c r="OYM28" i="3" s="1"/>
  <c r="OXR28" i="3" a="1"/>
  <c r="OXR28" i="3" s="1"/>
  <c r="OVN28" i="3" a="1"/>
  <c r="OVN28" i="3" s="1"/>
  <c r="OUW28" i="3" a="1"/>
  <c r="OUW28" i="3" s="1"/>
  <c r="OUA28" i="3" a="1"/>
  <c r="OUA28" i="3" s="1"/>
  <c r="OST28" i="3" a="1"/>
  <c r="OST28" i="3" s="1"/>
  <c r="OSG28" i="3" a="1"/>
  <c r="OSG28" i="3" s="1"/>
  <c r="ORT28" i="3" a="1"/>
  <c r="ORT28" i="3" s="1"/>
  <c r="OPZ28" i="3" a="1"/>
  <c r="OPZ28" i="3" s="1"/>
  <c r="OPM28" i="3" a="1"/>
  <c r="OPM28" i="3" s="1"/>
  <c r="OOZ28" i="3" a="1"/>
  <c r="OOZ28" i="3" s="1"/>
  <c r="ONF28" i="3" a="1"/>
  <c r="ONF28" i="3" s="1"/>
  <c r="OMS28" i="3" a="1"/>
  <c r="OMS28" i="3" s="1"/>
  <c r="OMF28" i="3" a="1"/>
  <c r="OMF28" i="3" s="1"/>
  <c r="OKL28" i="3" a="1"/>
  <c r="OKL28" i="3" s="1"/>
  <c r="OJY28" i="3" a="1"/>
  <c r="OJY28" i="3" s="1"/>
  <c r="OJL28" i="3" a="1"/>
  <c r="OJL28" i="3" s="1"/>
  <c r="OHR28" i="3" a="1"/>
  <c r="OHR28" i="3" s="1"/>
  <c r="OHE28" i="3" a="1"/>
  <c r="OHE28" i="3" s="1"/>
  <c r="OGI28" i="3" a="1"/>
  <c r="OGI28" i="3" s="1"/>
  <c r="OFZ28" i="3" a="1"/>
  <c r="OFZ28" i="3" s="1"/>
  <c r="OFO28" i="3" a="1"/>
  <c r="OFO28" i="3" s="1"/>
  <c r="OFD28" i="3" a="1"/>
  <c r="OFD28" i="3" s="1"/>
  <c r="OET28" i="3" a="1"/>
  <c r="OET28" i="3" s="1"/>
  <c r="ODO28" i="3" a="1"/>
  <c r="ODO28" i="3" s="1"/>
  <c r="ODF28" i="3" a="1"/>
  <c r="ODF28" i="3" s="1"/>
  <c r="OCU28" i="3" a="1"/>
  <c r="OCU28" i="3" s="1"/>
  <c r="OCJ28" i="3" a="1"/>
  <c r="OCJ28" i="3" s="1"/>
  <c r="OBZ28" i="3" a="1"/>
  <c r="OBZ28" i="3" s="1"/>
  <c r="OAU28" i="3" a="1"/>
  <c r="OAU28" i="3" s="1"/>
  <c r="OAL28" i="3" a="1"/>
  <c r="OAL28" i="3" s="1"/>
  <c r="OAA28" i="3" a="1"/>
  <c r="OAA28" i="3" s="1"/>
  <c r="NZP28" i="3" a="1"/>
  <c r="NZP28" i="3" s="1"/>
  <c r="NZF28" i="3" a="1"/>
  <c r="NZF28" i="3" s="1"/>
  <c r="NYA28" i="3" a="1"/>
  <c r="NYA28" i="3" s="1"/>
  <c r="NXR28" i="3" a="1"/>
  <c r="NXR28" i="3" s="1"/>
  <c r="NXG28" i="3" a="1"/>
  <c r="NXG28" i="3" s="1"/>
  <c r="NWV28" i="3" a="1"/>
  <c r="NWV28" i="3" s="1"/>
  <c r="NWL28" i="3" a="1"/>
  <c r="NWL28" i="3" s="1"/>
  <c r="NVG28" i="3" a="1"/>
  <c r="NVG28" i="3" s="1"/>
  <c r="NUX28" i="3" a="1"/>
  <c r="NUX28" i="3" s="1"/>
  <c r="NUM28" i="3" a="1"/>
  <c r="NUM28" i="3" s="1"/>
  <c r="NUB28" i="3" a="1"/>
  <c r="NUB28" i="3" s="1"/>
  <c r="NTR28" i="3" a="1"/>
  <c r="NTR28" i="3" s="1"/>
  <c r="NSM28" i="3" a="1"/>
  <c r="NSM28" i="3" s="1"/>
  <c r="NSD28" i="3" a="1"/>
  <c r="NSD28" i="3" s="1"/>
  <c r="NRS28" i="3" a="1"/>
  <c r="NRS28" i="3" s="1"/>
  <c r="NRH28" i="3" a="1"/>
  <c r="NRH28" i="3" s="1"/>
  <c r="NQX28" i="3" a="1"/>
  <c r="NQX28" i="3" s="1"/>
  <c r="NPT28" i="3" a="1"/>
  <c r="NPT28" i="3" s="1"/>
  <c r="NPK28" i="3" a="1"/>
  <c r="NPK28" i="3" s="1"/>
  <c r="NPB28" i="3" a="1"/>
  <c r="NPB28" i="3" s="1"/>
  <c r="NOS28" i="3" a="1"/>
  <c r="NOS28" i="3" s="1"/>
  <c r="NOJ28" i="3" a="1"/>
  <c r="NOJ28" i="3" s="1"/>
  <c r="NOA28" i="3" a="1"/>
  <c r="NOA28" i="3" s="1"/>
  <c r="NNR28" i="3" a="1"/>
  <c r="NNR28" i="3" s="1"/>
  <c r="NNI28" i="3" a="1"/>
  <c r="NNI28" i="3" s="1"/>
  <c r="NMZ28" i="3" a="1"/>
  <c r="NMZ28" i="3" s="1"/>
  <c r="NMQ28" i="3" a="1"/>
  <c r="NMQ28" i="3" s="1"/>
  <c r="NMH28" i="3" a="1"/>
  <c r="NMH28" i="3" s="1"/>
  <c r="NLY28" i="3" a="1"/>
  <c r="NLY28" i="3" s="1"/>
  <c r="NLP28" i="3" a="1"/>
  <c r="NLP28" i="3" s="1"/>
  <c r="NLG28" i="3" a="1"/>
  <c r="NLG28" i="3" s="1"/>
  <c r="NKX28" i="3" a="1"/>
  <c r="NKX28" i="3" s="1"/>
  <c r="NKO28" i="3" a="1"/>
  <c r="NKO28" i="3" s="1"/>
  <c r="NKF28" i="3" a="1"/>
  <c r="NKF28" i="3" s="1"/>
  <c r="NJW28" i="3" a="1"/>
  <c r="NJW28" i="3" s="1"/>
  <c r="NJN28" i="3" a="1"/>
  <c r="NJN28" i="3" s="1"/>
  <c r="NJE28" i="3" a="1"/>
  <c r="NJE28" i="3" s="1"/>
  <c r="NIV28" i="3" a="1"/>
  <c r="NIV28" i="3" s="1"/>
  <c r="NIM28" i="3" a="1"/>
  <c r="NIM28" i="3" s="1"/>
  <c r="NID28" i="3" a="1"/>
  <c r="NID28" i="3" s="1"/>
  <c r="NHU28" i="3" a="1"/>
  <c r="NHU28" i="3" s="1"/>
  <c r="NHL28" i="3" a="1"/>
  <c r="NHL28" i="3" s="1"/>
  <c r="NHC28" i="3" a="1"/>
  <c r="NHC28" i="3" s="1"/>
  <c r="NGT28" i="3" a="1"/>
  <c r="NGT28" i="3" s="1"/>
  <c r="NGK28" i="3" a="1"/>
  <c r="NGK28" i="3" s="1"/>
  <c r="NGB28" i="3" a="1"/>
  <c r="NGB28" i="3" s="1"/>
  <c r="NFS28" i="3" a="1"/>
  <c r="NFS28" i="3" s="1"/>
  <c r="NFJ28" i="3" a="1"/>
  <c r="NFJ28" i="3" s="1"/>
  <c r="NFA28" i="3" a="1"/>
  <c r="NFA28" i="3" s="1"/>
  <c r="NER28" i="3" a="1"/>
  <c r="NER28" i="3" s="1"/>
  <c r="NEB28" i="3" a="1"/>
  <c r="NEB28" i="3" s="1"/>
  <c r="NDT28" i="3" a="1"/>
  <c r="NDT28" i="3" s="1"/>
  <c r="NDD28" i="3" a="1"/>
  <c r="NDD28" i="3" s="1"/>
  <c r="NCV28" i="3" a="1"/>
  <c r="NCV28" i="3" s="1"/>
  <c r="NCF28" i="3" a="1"/>
  <c r="NCF28" i="3" s="1"/>
  <c r="NBX28" i="3" a="1"/>
  <c r="NBX28" i="3" s="1"/>
  <c r="NBH28" i="3" a="1"/>
  <c r="NBH28" i="3" s="1"/>
  <c r="NAZ28" i="3" a="1"/>
  <c r="NAZ28" i="3" s="1"/>
  <c r="NAJ28" i="3" a="1"/>
  <c r="NAJ28" i="3" s="1"/>
  <c r="NAB28" i="3" a="1"/>
  <c r="NAB28" i="3" s="1"/>
  <c r="MZL28" i="3" a="1"/>
  <c r="MZL28" i="3" s="1"/>
  <c r="MZD28" i="3" a="1"/>
  <c r="MZD28" i="3" s="1"/>
  <c r="MYN28" i="3" a="1"/>
  <c r="MYN28" i="3" s="1"/>
  <c r="MYF28" i="3" a="1"/>
  <c r="MYF28" i="3" s="1"/>
  <c r="MXP28" i="3" a="1"/>
  <c r="MXP28" i="3" s="1"/>
  <c r="MXH28" i="3" a="1"/>
  <c r="MXH28" i="3" s="1"/>
  <c r="MWR28" i="3" a="1"/>
  <c r="MWR28" i="3" s="1"/>
  <c r="MWJ28" i="3" a="1"/>
  <c r="MWJ28" i="3" s="1"/>
  <c r="MVV28" i="3" a="1"/>
  <c r="MVV28" i="3" s="1"/>
  <c r="MVP28" i="3" a="1"/>
  <c r="MVP28" i="3" s="1"/>
  <c r="MVJ28" i="3" a="1"/>
  <c r="MVJ28" i="3" s="1"/>
  <c r="MVD28" i="3" a="1"/>
  <c r="MVD28" i="3" s="1"/>
  <c r="MUX28" i="3" a="1"/>
  <c r="MUX28" i="3" s="1"/>
  <c r="MUR28" i="3" a="1"/>
  <c r="MUR28" i="3" s="1"/>
  <c r="MUL28" i="3" a="1"/>
  <c r="MUL28" i="3" s="1"/>
  <c r="MUF28" i="3" a="1"/>
  <c r="MUF28" i="3" s="1"/>
  <c r="MTZ28" i="3" a="1"/>
  <c r="MTZ28" i="3" s="1"/>
  <c r="MTT28" i="3" a="1"/>
  <c r="MTT28" i="3" s="1"/>
  <c r="MTN28" i="3" a="1"/>
  <c r="MTN28" i="3" s="1"/>
  <c r="MTH28" i="3" a="1"/>
  <c r="MTH28" i="3" s="1"/>
  <c r="MTB28" i="3" a="1"/>
  <c r="MTB28" i="3" s="1"/>
  <c r="MSV28" i="3" a="1"/>
  <c r="MSV28" i="3" s="1"/>
  <c r="MSP28" i="3" a="1"/>
  <c r="MSP28" i="3" s="1"/>
  <c r="MSJ28" i="3" a="1"/>
  <c r="MSJ28" i="3" s="1"/>
  <c r="MSD28" i="3" a="1"/>
  <c r="MSD28" i="3" s="1"/>
  <c r="MRX28" i="3" a="1"/>
  <c r="MRX28" i="3" s="1"/>
  <c r="MRR28" i="3" a="1"/>
  <c r="MRR28" i="3" s="1"/>
  <c r="MRL28" i="3" a="1"/>
  <c r="MRL28" i="3" s="1"/>
  <c r="MRF28" i="3" a="1"/>
  <c r="MRF28" i="3" s="1"/>
  <c r="MQZ28" i="3" a="1"/>
  <c r="MQZ28" i="3" s="1"/>
  <c r="MQT28" i="3" a="1"/>
  <c r="MQT28" i="3" s="1"/>
  <c r="MQN28" i="3" a="1"/>
  <c r="MQN28" i="3" s="1"/>
  <c r="MQH28" i="3" a="1"/>
  <c r="MQH28" i="3" s="1"/>
  <c r="MQB28" i="3" a="1"/>
  <c r="MQB28" i="3" s="1"/>
  <c r="MPV28" i="3" a="1"/>
  <c r="MPV28" i="3" s="1"/>
  <c r="MPP28" i="3" a="1"/>
  <c r="MPP28" i="3" s="1"/>
  <c r="MPJ28" i="3" a="1"/>
  <c r="MPJ28" i="3" s="1"/>
  <c r="MPD28" i="3" a="1"/>
  <c r="MPD28" i="3" s="1"/>
  <c r="MOX28" i="3" a="1"/>
  <c r="MOX28" i="3" s="1"/>
  <c r="MOR28" i="3" a="1"/>
  <c r="MOR28" i="3" s="1"/>
  <c r="MOL28" i="3" a="1"/>
  <c r="MOL28" i="3" s="1"/>
  <c r="MOF28" i="3" a="1"/>
  <c r="MOF28" i="3" s="1"/>
  <c r="MNZ28" i="3" a="1"/>
  <c r="MNZ28" i="3" s="1"/>
  <c r="MNT28" i="3" a="1"/>
  <c r="MNT28" i="3" s="1"/>
  <c r="MNN28" i="3" a="1"/>
  <c r="MNN28" i="3" s="1"/>
  <c r="MNH28" i="3" a="1"/>
  <c r="MNH28" i="3" s="1"/>
  <c r="MNB28" i="3" a="1"/>
  <c r="MNB28" i="3" s="1"/>
  <c r="MMV28" i="3" a="1"/>
  <c r="MMV28" i="3" s="1"/>
  <c r="MMP28" i="3" a="1"/>
  <c r="MMP28" i="3" s="1"/>
  <c r="MMJ28" i="3" a="1"/>
  <c r="MMJ28" i="3" s="1"/>
  <c r="MMD28" i="3" a="1"/>
  <c r="MMD28" i="3" s="1"/>
  <c r="MLX28" i="3" a="1"/>
  <c r="MLX28" i="3" s="1"/>
  <c r="MLR28" i="3" a="1"/>
  <c r="MLR28" i="3" s="1"/>
  <c r="MLL28" i="3" a="1"/>
  <c r="MLL28" i="3" s="1"/>
  <c r="MLF28" i="3" a="1"/>
  <c r="MLF28" i="3" s="1"/>
  <c r="MKZ28" i="3" a="1"/>
  <c r="MKZ28" i="3" s="1"/>
  <c r="MKT28" i="3" a="1"/>
  <c r="MKT28" i="3" s="1"/>
  <c r="MKN28" i="3" a="1"/>
  <c r="MKN28" i="3" s="1"/>
  <c r="MKH28" i="3" a="1"/>
  <c r="MKH28" i="3" s="1"/>
  <c r="MKB28" i="3" a="1"/>
  <c r="MKB28" i="3" s="1"/>
  <c r="MJV28" i="3" a="1"/>
  <c r="MJV28" i="3" s="1"/>
  <c r="MJP28" i="3" a="1"/>
  <c r="MJP28" i="3" s="1"/>
  <c r="MJJ28" i="3" a="1"/>
  <c r="MJJ28" i="3" s="1"/>
  <c r="MJD28" i="3" a="1"/>
  <c r="MJD28" i="3" s="1"/>
  <c r="MIX28" i="3" a="1"/>
  <c r="MIX28" i="3" s="1"/>
  <c r="MIR28" i="3" a="1"/>
  <c r="MIR28" i="3" s="1"/>
  <c r="MIL28" i="3" a="1"/>
  <c r="MIL28" i="3" s="1"/>
  <c r="MIF28" i="3" a="1"/>
  <c r="MIF28" i="3" s="1"/>
  <c r="MHZ28" i="3" a="1"/>
  <c r="MHZ28" i="3" s="1"/>
  <c r="MHT28" i="3" a="1"/>
  <c r="MHT28" i="3" s="1"/>
  <c r="MHN28" i="3" a="1"/>
  <c r="MHN28" i="3" s="1"/>
  <c r="MHH28" i="3" a="1"/>
  <c r="MHH28" i="3" s="1"/>
  <c r="MHB28" i="3" a="1"/>
  <c r="MHB28" i="3" s="1"/>
  <c r="MGV28" i="3" a="1"/>
  <c r="MGV28" i="3" s="1"/>
  <c r="MGP28" i="3" a="1"/>
  <c r="MGP28" i="3" s="1"/>
  <c r="MGJ28" i="3" a="1"/>
  <c r="MGJ28" i="3" s="1"/>
  <c r="MGD28" i="3" a="1"/>
  <c r="MGD28" i="3" s="1"/>
  <c r="MFX28" i="3" a="1"/>
  <c r="MFX28" i="3" s="1"/>
  <c r="MFR28" i="3" a="1"/>
  <c r="MFR28" i="3" s="1"/>
  <c r="MFL28" i="3" a="1"/>
  <c r="MFL28" i="3" s="1"/>
  <c r="MFF28" i="3" a="1"/>
  <c r="MFF28" i="3" s="1"/>
  <c r="MEZ28" i="3" a="1"/>
  <c r="MEZ28" i="3" s="1"/>
  <c r="MET28" i="3" a="1"/>
  <c r="MET28" i="3" s="1"/>
  <c r="MEN28" i="3" a="1"/>
  <c r="MEN28" i="3" s="1"/>
  <c r="MEH28" i="3" a="1"/>
  <c r="MEH28" i="3" s="1"/>
  <c r="MEB28" i="3" a="1"/>
  <c r="MEB28" i="3" s="1"/>
  <c r="MDV28" i="3" a="1"/>
  <c r="MDV28" i="3" s="1"/>
  <c r="MDP28" i="3" a="1"/>
  <c r="MDP28" i="3" s="1"/>
  <c r="MDJ28" i="3" a="1"/>
  <c r="MDJ28" i="3" s="1"/>
  <c r="MDD28" i="3" a="1"/>
  <c r="MDD28" i="3" s="1"/>
  <c r="MCX28" i="3" a="1"/>
  <c r="MCX28" i="3" s="1"/>
  <c r="MCR28" i="3" a="1"/>
  <c r="MCR28" i="3" s="1"/>
  <c r="MCL28" i="3" a="1"/>
  <c r="MCL28" i="3" s="1"/>
  <c r="TFT28" i="3" a="1"/>
  <c r="TFT28" i="3" s="1"/>
  <c r="RUX28" i="3" a="1"/>
  <c r="RUX28" i="3" s="1"/>
  <c r="RNS28" i="3" a="1"/>
  <c r="RNS28" i="3" s="1"/>
  <c r="REM28" i="3" a="1"/>
  <c r="REM28" i="3" s="1"/>
  <c r="RCD28" i="3" a="1"/>
  <c r="RCD28" i="3" s="1"/>
  <c r="QZA28" i="3" a="1"/>
  <c r="QZA28" i="3" s="1"/>
  <c r="QXE28" i="3" a="1"/>
  <c r="QXE28" i="3" s="1"/>
  <c r="QTG28" i="3" a="1"/>
  <c r="QTG28" i="3" s="1"/>
  <c r="QRP28" i="3" a="1"/>
  <c r="QRP28" i="3" s="1"/>
  <c r="QPI28" i="3" a="1"/>
  <c r="QPI28" i="3" s="1"/>
  <c r="QNR28" i="3" a="1"/>
  <c r="QNR28" i="3" s="1"/>
  <c r="QLK28" i="3" a="1"/>
  <c r="QLK28" i="3" s="1"/>
  <c r="QJT28" i="3" a="1"/>
  <c r="QJT28" i="3" s="1"/>
  <c r="QFV28" i="3" a="1"/>
  <c r="QFV28" i="3" s="1"/>
  <c r="QBX28" i="3" a="1"/>
  <c r="QBX28" i="3" s="1"/>
  <c r="PYQ28" i="3" a="1"/>
  <c r="PYQ28" i="3" s="1"/>
  <c r="PVF28" i="3" a="1"/>
  <c r="PVF28" i="3" s="1"/>
  <c r="PQC28" i="3" a="1"/>
  <c r="PQC28" i="3" s="1"/>
  <c r="POZ28" i="3" a="1"/>
  <c r="POZ28" i="3" s="1"/>
  <c r="PJW28" i="3" a="1"/>
  <c r="PJW28" i="3" s="1"/>
  <c r="PIT28" i="3" a="1"/>
  <c r="PIT28" i="3" s="1"/>
  <c r="PGG28" i="3" a="1"/>
  <c r="PGG28" i="3" s="1"/>
  <c r="PFG28" i="3" a="1"/>
  <c r="PFG28" i="3" s="1"/>
  <c r="PEC28" i="3" a="1"/>
  <c r="PEC28" i="3" s="1"/>
  <c r="PBM28" i="3" a="1"/>
  <c r="PBM28" i="3" s="1"/>
  <c r="PAR28" i="3" a="1"/>
  <c r="PAR28" i="3" s="1"/>
  <c r="OYH28" i="3" a="1"/>
  <c r="OYH28" i="3" s="1"/>
  <c r="OXQ28" i="3" a="1"/>
  <c r="OXQ28" i="3" s="1"/>
  <c r="OWZ28" i="3" a="1"/>
  <c r="OWZ28" i="3" s="1"/>
  <c r="OWD28" i="3" a="1"/>
  <c r="OWD28" i="3" s="1"/>
  <c r="OVM28" i="3" a="1"/>
  <c r="OVM28" i="3" s="1"/>
  <c r="OUR28" i="3" a="1"/>
  <c r="OUR28" i="3" s="1"/>
  <c r="OTJ28" i="3" a="1"/>
  <c r="OTJ28" i="3" s="1"/>
  <c r="ORP28" i="3" a="1"/>
  <c r="ORP28" i="3" s="1"/>
  <c r="ORC28" i="3" a="1"/>
  <c r="ORC28" i="3" s="1"/>
  <c r="OQP28" i="3" a="1"/>
  <c r="OQP28" i="3" s="1"/>
  <c r="OOV28" i="3" a="1"/>
  <c r="OOV28" i="3" s="1"/>
  <c r="OOI28" i="3" a="1"/>
  <c r="OOI28" i="3" s="1"/>
  <c r="ONV28" i="3" a="1"/>
  <c r="ONV28" i="3" s="1"/>
  <c r="OMB28" i="3" a="1"/>
  <c r="OMB28" i="3" s="1"/>
  <c r="OLO28" i="3" a="1"/>
  <c r="OLO28" i="3" s="1"/>
  <c r="OLB28" i="3" a="1"/>
  <c r="OLB28" i="3" s="1"/>
  <c r="OJH28" i="3" a="1"/>
  <c r="OJH28" i="3" s="1"/>
  <c r="OIU28" i="3" a="1"/>
  <c r="OIU28" i="3" s="1"/>
  <c r="OIH28" i="3" a="1"/>
  <c r="OIH28" i="3" s="1"/>
  <c r="OGS28" i="3" a="1"/>
  <c r="OGS28" i="3" s="1"/>
  <c r="OGH28" i="3" a="1"/>
  <c r="OGH28" i="3" s="1"/>
  <c r="OFX28" i="3" a="1"/>
  <c r="OFX28" i="3" s="1"/>
  <c r="OES28" i="3" a="1"/>
  <c r="OES28" i="3" s="1"/>
  <c r="OEJ28" i="3" a="1"/>
  <c r="OEJ28" i="3" s="1"/>
  <c r="ODY28" i="3" a="1"/>
  <c r="ODY28" i="3" s="1"/>
  <c r="ODN28" i="3" a="1"/>
  <c r="ODN28" i="3" s="1"/>
  <c r="ODD28" i="3" a="1"/>
  <c r="ODD28" i="3" s="1"/>
  <c r="OBY28" i="3" a="1"/>
  <c r="OBY28" i="3" s="1"/>
  <c r="OBP28" i="3" a="1"/>
  <c r="OBP28" i="3" s="1"/>
  <c r="OBE28" i="3" a="1"/>
  <c r="OBE28" i="3" s="1"/>
  <c r="OAT28" i="3" a="1"/>
  <c r="OAT28" i="3" s="1"/>
  <c r="OAJ28" i="3" a="1"/>
  <c r="OAJ28" i="3" s="1"/>
  <c r="NZE28" i="3" a="1"/>
  <c r="NZE28" i="3" s="1"/>
  <c r="NYV28" i="3" a="1"/>
  <c r="NYV28" i="3" s="1"/>
  <c r="NYK28" i="3" a="1"/>
  <c r="NYK28" i="3" s="1"/>
  <c r="NXZ28" i="3" a="1"/>
  <c r="NXZ28" i="3" s="1"/>
  <c r="NXP28" i="3" a="1"/>
  <c r="NXP28" i="3" s="1"/>
  <c r="NWK28" i="3" a="1"/>
  <c r="NWK28" i="3" s="1"/>
  <c r="NWB28" i="3" a="1"/>
  <c r="NWB28" i="3" s="1"/>
  <c r="NVQ28" i="3" a="1"/>
  <c r="NVQ28" i="3" s="1"/>
  <c r="NVF28" i="3" a="1"/>
  <c r="NVF28" i="3" s="1"/>
  <c r="NUV28" i="3" a="1"/>
  <c r="NUV28" i="3" s="1"/>
  <c r="NTQ28" i="3" a="1"/>
  <c r="NTQ28" i="3" s="1"/>
  <c r="NTH28" i="3" a="1"/>
  <c r="NTH28" i="3" s="1"/>
  <c r="NSW28" i="3" a="1"/>
  <c r="NSW28" i="3" s="1"/>
  <c r="NSL28" i="3" a="1"/>
  <c r="NSL28" i="3" s="1"/>
  <c r="NSB28" i="3" a="1"/>
  <c r="NSB28" i="3" s="1"/>
  <c r="NQW28" i="3" a="1"/>
  <c r="NQW28" i="3" s="1"/>
  <c r="NQN28" i="3" a="1"/>
  <c r="NQN28" i="3" s="1"/>
  <c r="NQC28" i="3" a="1"/>
  <c r="NQC28" i="3" s="1"/>
  <c r="NPS28" i="3" a="1"/>
  <c r="NPS28" i="3" s="1"/>
  <c r="NPA28" i="3" a="1"/>
  <c r="NPA28" i="3" s="1"/>
  <c r="NOI28" i="3" a="1"/>
  <c r="NOI28" i="3" s="1"/>
  <c r="NNQ28" i="3" a="1"/>
  <c r="NNQ28" i="3" s="1"/>
  <c r="NMY28" i="3" a="1"/>
  <c r="NMY28" i="3" s="1"/>
  <c r="NMG28" i="3" a="1"/>
  <c r="NMG28" i="3" s="1"/>
  <c r="NLO28" i="3" a="1"/>
  <c r="NLO28" i="3" s="1"/>
  <c r="NKW28" i="3" a="1"/>
  <c r="NKW28" i="3" s="1"/>
  <c r="NKE28" i="3" a="1"/>
  <c r="NKE28" i="3" s="1"/>
  <c r="NJM28" i="3" a="1"/>
  <c r="NJM28" i="3" s="1"/>
  <c r="NIU28" i="3" a="1"/>
  <c r="NIU28" i="3" s="1"/>
  <c r="NIC28" i="3" a="1"/>
  <c r="NIC28" i="3" s="1"/>
  <c r="NHK28" i="3" a="1"/>
  <c r="NHK28" i="3" s="1"/>
  <c r="NGS28" i="3" a="1"/>
  <c r="NGS28" i="3" s="1"/>
  <c r="NGA28" i="3" a="1"/>
  <c r="NGA28" i="3" s="1"/>
  <c r="NFI28" i="3" a="1"/>
  <c r="NFI28" i="3" s="1"/>
  <c r="NEQ28" i="3" a="1"/>
  <c r="NEQ28" i="3" s="1"/>
  <c r="NEI28" i="3" a="1"/>
  <c r="NEI28" i="3" s="1"/>
  <c r="NEA28" i="3" a="1"/>
  <c r="NEA28" i="3" s="1"/>
  <c r="NDS28" i="3" a="1"/>
  <c r="NDS28" i="3" s="1"/>
  <c r="NDK28" i="3" a="1"/>
  <c r="NDK28" i="3" s="1"/>
  <c r="NDC28" i="3" a="1"/>
  <c r="NDC28" i="3" s="1"/>
  <c r="NCU28" i="3" a="1"/>
  <c r="NCU28" i="3" s="1"/>
  <c r="NCM28" i="3" a="1"/>
  <c r="NCM28" i="3" s="1"/>
  <c r="NCE28" i="3" a="1"/>
  <c r="NCE28" i="3" s="1"/>
  <c r="NBW28" i="3" a="1"/>
  <c r="NBW28" i="3" s="1"/>
  <c r="NBO28" i="3" a="1"/>
  <c r="NBO28" i="3" s="1"/>
  <c r="NBG28" i="3" a="1"/>
  <c r="NBG28" i="3" s="1"/>
  <c r="NAY28" i="3" a="1"/>
  <c r="NAY28" i="3" s="1"/>
  <c r="NAQ28" i="3" a="1"/>
  <c r="NAQ28" i="3" s="1"/>
  <c r="NAI28" i="3" a="1"/>
  <c r="NAI28" i="3" s="1"/>
  <c r="NAA28" i="3" a="1"/>
  <c r="NAA28" i="3" s="1"/>
  <c r="MZS28" i="3" a="1"/>
  <c r="MZS28" i="3" s="1"/>
  <c r="MZK28" i="3" a="1"/>
  <c r="MZK28" i="3" s="1"/>
  <c r="MZC28" i="3" a="1"/>
  <c r="MZC28" i="3" s="1"/>
  <c r="MYU28" i="3" a="1"/>
  <c r="MYU28" i="3" s="1"/>
  <c r="MYM28" i="3" a="1"/>
  <c r="MYM28" i="3" s="1"/>
  <c r="MYE28" i="3" a="1"/>
  <c r="MYE28" i="3" s="1"/>
  <c r="MXW28" i="3" a="1"/>
  <c r="MXW28" i="3" s="1"/>
  <c r="MXO28" i="3" a="1"/>
  <c r="MXO28" i="3" s="1"/>
  <c r="MXG28" i="3" a="1"/>
  <c r="MXG28" i="3" s="1"/>
  <c r="MWY28" i="3" a="1"/>
  <c r="MWY28" i="3" s="1"/>
  <c r="MWQ28" i="3" a="1"/>
  <c r="MWQ28" i="3" s="1"/>
  <c r="MWI28" i="3" a="1"/>
  <c r="MWI28" i="3" s="1"/>
  <c r="MWB28" i="3" a="1"/>
  <c r="MWB28" i="3" s="1"/>
  <c r="SIH28" i="3" a="1"/>
  <c r="SIH28" i="3" s="1"/>
  <c r="SBO28" i="3" a="1"/>
  <c r="SBO28" i="3" s="1"/>
  <c r="RSJ28" i="3" a="1"/>
  <c r="RSJ28" i="3" s="1"/>
  <c r="RNP28" i="3" a="1"/>
  <c r="RNP28" i="3" s="1"/>
  <c r="QXD28" i="3" a="1"/>
  <c r="QXD28" i="3" s="1"/>
  <c r="QUW28" i="3" a="1"/>
  <c r="QUW28" i="3" s="1"/>
  <c r="QTF28" i="3" a="1"/>
  <c r="QTF28" i="3" s="1"/>
  <c r="QQY28" i="3" a="1"/>
  <c r="QQY28" i="3" s="1"/>
  <c r="QPH28" i="3" a="1"/>
  <c r="QPH28" i="3" s="1"/>
  <c r="QLJ28" i="3" a="1"/>
  <c r="QLJ28" i="3" s="1"/>
  <c r="QHL28" i="3" a="1"/>
  <c r="QHL28" i="3" s="1"/>
  <c r="QEE28" i="3" a="1"/>
  <c r="QEE28" i="3" s="1"/>
  <c r="QAG28" i="3" a="1"/>
  <c r="QAG28" i="3" s="1"/>
  <c r="PWI28" i="3" a="1"/>
  <c r="PWI28" i="3" s="1"/>
  <c r="PTS28" i="3" a="1"/>
  <c r="PTS28" i="3" s="1"/>
  <c r="PSP28" i="3" a="1"/>
  <c r="PSP28" i="3" s="1"/>
  <c r="PQB28" i="3" a="1"/>
  <c r="PQB28" i="3" s="1"/>
  <c r="PNM28" i="3" a="1"/>
  <c r="PNM28" i="3" s="1"/>
  <c r="PMJ28" i="3" a="1"/>
  <c r="PMJ28" i="3" s="1"/>
  <c r="PJV28" i="3" a="1"/>
  <c r="PJV28" i="3" s="1"/>
  <c r="PHG28" i="3" a="1"/>
  <c r="PHG28" i="3" s="1"/>
  <c r="PGF28" i="3" a="1"/>
  <c r="PGF28" i="3" s="1"/>
  <c r="PEB28" i="3" a="1"/>
  <c r="PEB28" i="3" s="1"/>
  <c r="PCG28" i="3" a="1"/>
  <c r="PCG28" i="3" s="1"/>
  <c r="PAL28" i="3" a="1"/>
  <c r="PAL28" i="3" s="1"/>
  <c r="OZT28" i="3" a="1"/>
  <c r="OZT28" i="3" s="1"/>
  <c r="OZC28" i="3" a="1"/>
  <c r="OZC28" i="3" s="1"/>
  <c r="OYG28" i="3" a="1"/>
  <c r="OYG28" i="3" s="1"/>
  <c r="OXP28" i="3" a="1"/>
  <c r="OXP28" i="3" s="1"/>
  <c r="OTZ28" i="3" a="1"/>
  <c r="OTZ28" i="3" s="1"/>
  <c r="OTF28" i="3" a="1"/>
  <c r="OTF28" i="3" s="1"/>
  <c r="OSS28" i="3" a="1"/>
  <c r="OSS28" i="3" s="1"/>
  <c r="OSF28" i="3" a="1"/>
  <c r="OSF28" i="3" s="1"/>
  <c r="OQL28" i="3" a="1"/>
  <c r="OQL28" i="3" s="1"/>
  <c r="OPY28" i="3" a="1"/>
  <c r="OPY28" i="3" s="1"/>
  <c r="OPL28" i="3" a="1"/>
  <c r="OPL28" i="3" s="1"/>
  <c r="ONR28" i="3" a="1"/>
  <c r="ONR28" i="3" s="1"/>
  <c r="ONE28" i="3" a="1"/>
  <c r="ONE28" i="3" s="1"/>
  <c r="OMR28" i="3" a="1"/>
  <c r="OMR28" i="3" s="1"/>
  <c r="OKX28" i="3" a="1"/>
  <c r="OKX28" i="3" s="1"/>
  <c r="OKK28" i="3" a="1"/>
  <c r="OKK28" i="3" s="1"/>
  <c r="OJX28" i="3" a="1"/>
  <c r="OJX28" i="3" s="1"/>
  <c r="OID28" i="3" a="1"/>
  <c r="OID28" i="3" s="1"/>
  <c r="OHQ28" i="3" a="1"/>
  <c r="OHQ28" i="3" s="1"/>
  <c r="OHD28" i="3" a="1"/>
  <c r="OHD28" i="3" s="1"/>
  <c r="OFW28" i="3" a="1"/>
  <c r="OFW28" i="3" s="1"/>
  <c r="OFN28" i="3" a="1"/>
  <c r="OFN28" i="3" s="1"/>
  <c r="OFC28" i="3" a="1"/>
  <c r="OFC28" i="3" s="1"/>
  <c r="OER28" i="3" a="1"/>
  <c r="OER28" i="3" s="1"/>
  <c r="OEH28" i="3" a="1"/>
  <c r="OEH28" i="3" s="1"/>
  <c r="ODC28" i="3" a="1"/>
  <c r="ODC28" i="3" s="1"/>
  <c r="OCT28" i="3" a="1"/>
  <c r="OCT28" i="3" s="1"/>
  <c r="OCI28" i="3" a="1"/>
  <c r="OCI28" i="3" s="1"/>
  <c r="OBX28" i="3" a="1"/>
  <c r="OBX28" i="3" s="1"/>
  <c r="OBN28" i="3" a="1"/>
  <c r="OBN28" i="3" s="1"/>
  <c r="OAI28" i="3" a="1"/>
  <c r="OAI28" i="3" s="1"/>
  <c r="NZZ28" i="3" a="1"/>
  <c r="NZZ28" i="3" s="1"/>
  <c r="NZO28" i="3" a="1"/>
  <c r="NZO28" i="3" s="1"/>
  <c r="NZD28" i="3" a="1"/>
  <c r="NZD28" i="3" s="1"/>
  <c r="NYT28" i="3" a="1"/>
  <c r="NYT28" i="3" s="1"/>
  <c r="NXO28" i="3" a="1"/>
  <c r="NXO28" i="3" s="1"/>
  <c r="NXF28" i="3" a="1"/>
  <c r="NXF28" i="3" s="1"/>
  <c r="NWU28" i="3" a="1"/>
  <c r="NWU28" i="3" s="1"/>
  <c r="NWJ28" i="3" a="1"/>
  <c r="NWJ28" i="3" s="1"/>
  <c r="NVZ28" i="3" a="1"/>
  <c r="NVZ28" i="3" s="1"/>
  <c r="NUU28" i="3" a="1"/>
  <c r="NUU28" i="3" s="1"/>
  <c r="NUL28" i="3" a="1"/>
  <c r="NUL28" i="3" s="1"/>
  <c r="NUA28" i="3" a="1"/>
  <c r="NUA28" i="3" s="1"/>
  <c r="NTP28" i="3" a="1"/>
  <c r="NTP28" i="3" s="1"/>
  <c r="NTF28" i="3" a="1"/>
  <c r="NTF28" i="3" s="1"/>
  <c r="NSA28" i="3" a="1"/>
  <c r="NSA28" i="3" s="1"/>
  <c r="NRR28" i="3" a="1"/>
  <c r="NRR28" i="3" s="1"/>
  <c r="NRG28" i="3" a="1"/>
  <c r="NRG28" i="3" s="1"/>
  <c r="NQV28" i="3" a="1"/>
  <c r="NQV28" i="3" s="1"/>
  <c r="NQL28" i="3" a="1"/>
  <c r="NQL28" i="3" s="1"/>
  <c r="NPR28" i="3" a="1"/>
  <c r="NPR28" i="3" s="1"/>
  <c r="NPJ28" i="3" a="1"/>
  <c r="NPJ28" i="3" s="1"/>
  <c r="NOZ28" i="3" a="1"/>
  <c r="NOZ28" i="3" s="1"/>
  <c r="NOR28" i="3" a="1"/>
  <c r="NOR28" i="3" s="1"/>
  <c r="NOH28" i="3" a="1"/>
  <c r="NOH28" i="3" s="1"/>
  <c r="NNZ28" i="3" a="1"/>
  <c r="NNZ28" i="3" s="1"/>
  <c r="NNP28" i="3" a="1"/>
  <c r="NNP28" i="3" s="1"/>
  <c r="NNH28" i="3" a="1"/>
  <c r="NNH28" i="3" s="1"/>
  <c r="NMX28" i="3" a="1"/>
  <c r="NMX28" i="3" s="1"/>
  <c r="NMP28" i="3" a="1"/>
  <c r="NMP28" i="3" s="1"/>
  <c r="NMF28" i="3" a="1"/>
  <c r="NMF28" i="3" s="1"/>
  <c r="NLX28" i="3" a="1"/>
  <c r="NLX28" i="3" s="1"/>
  <c r="NLN28" i="3" a="1"/>
  <c r="NLN28" i="3" s="1"/>
  <c r="NLF28" i="3" a="1"/>
  <c r="NLF28" i="3" s="1"/>
  <c r="NKV28" i="3" a="1"/>
  <c r="NKV28" i="3" s="1"/>
  <c r="NKN28" i="3" a="1"/>
  <c r="NKN28" i="3" s="1"/>
  <c r="NKD28" i="3" a="1"/>
  <c r="NKD28" i="3" s="1"/>
  <c r="NJV28" i="3" a="1"/>
  <c r="NJV28" i="3" s="1"/>
  <c r="NJL28" i="3" a="1"/>
  <c r="NJL28" i="3" s="1"/>
  <c r="NJD28" i="3" a="1"/>
  <c r="NJD28" i="3" s="1"/>
  <c r="NIT28" i="3" a="1"/>
  <c r="NIT28" i="3" s="1"/>
  <c r="NIL28" i="3" a="1"/>
  <c r="NIL28" i="3" s="1"/>
  <c r="NIB28" i="3" a="1"/>
  <c r="NIB28" i="3" s="1"/>
  <c r="NHT28" i="3" a="1"/>
  <c r="NHT28" i="3" s="1"/>
  <c r="NHJ28" i="3" a="1"/>
  <c r="NHJ28" i="3" s="1"/>
  <c r="NHB28" i="3" a="1"/>
  <c r="NHB28" i="3" s="1"/>
  <c r="NGR28" i="3" a="1"/>
  <c r="NGR28" i="3" s="1"/>
  <c r="NGJ28" i="3" a="1"/>
  <c r="NGJ28" i="3" s="1"/>
  <c r="NFZ28" i="3" a="1"/>
  <c r="NFZ28" i="3" s="1"/>
  <c r="NFR28" i="3" a="1"/>
  <c r="NFR28" i="3" s="1"/>
  <c r="NFH28" i="3" a="1"/>
  <c r="NFH28" i="3" s="1"/>
  <c r="NEZ28" i="3" a="1"/>
  <c r="NEZ28" i="3" s="1"/>
  <c r="NEP28" i="3" a="1"/>
  <c r="NEP28" i="3" s="1"/>
  <c r="NDR28" i="3" a="1"/>
  <c r="NDR28" i="3" s="1"/>
  <c r="NCT28" i="3" a="1"/>
  <c r="NCT28" i="3" s="1"/>
  <c r="NBV28" i="3" a="1"/>
  <c r="NBV28" i="3" s="1"/>
  <c r="NAX28" i="3" a="1"/>
  <c r="NAX28" i="3" s="1"/>
  <c r="MZZ28" i="3" a="1"/>
  <c r="MZZ28" i="3" s="1"/>
  <c r="MZB28" i="3" a="1"/>
  <c r="MZB28" i="3" s="1"/>
  <c r="MYD28" i="3" a="1"/>
  <c r="MYD28" i="3" s="1"/>
  <c r="MXF28" i="3" a="1"/>
  <c r="MXF28" i="3" s="1"/>
  <c r="MWH28" i="3" a="1"/>
  <c r="MWH28" i="3" s="1"/>
  <c r="MVU28" i="3" a="1"/>
  <c r="MVU28" i="3" s="1"/>
  <c r="MVO28" i="3" a="1"/>
  <c r="MVO28" i="3" s="1"/>
  <c r="MVI28" i="3" a="1"/>
  <c r="MVI28" i="3" s="1"/>
  <c r="SUR28" i="3" a="1"/>
  <c r="SUR28" i="3" s="1"/>
  <c r="SID28" i="3" a="1"/>
  <c r="SID28" i="3" s="1"/>
  <c r="SBF28" i="3" a="1"/>
  <c r="SBF28" i="3" s="1"/>
  <c r="RNO28" i="3" a="1"/>
  <c r="RNO28" i="3" s="1"/>
  <c r="RIZ28" i="3" a="1"/>
  <c r="RIZ28" i="3" s="1"/>
  <c r="RGS28" i="3" a="1"/>
  <c r="RGS28" i="3" s="1"/>
  <c r="REI28" i="3" a="1"/>
  <c r="REI28" i="3" s="1"/>
  <c r="QWM28" i="3" a="1"/>
  <c r="QWM28" i="3" s="1"/>
  <c r="QUV28" i="3" a="1"/>
  <c r="QUV28" i="3" s="1"/>
  <c r="QQX28" i="3" a="1"/>
  <c r="QQX28" i="3" s="1"/>
  <c r="QMZ28" i="3" a="1"/>
  <c r="QMZ28" i="3" s="1"/>
  <c r="QJS28" i="3" a="1"/>
  <c r="QJS28" i="3" s="1"/>
  <c r="QFU28" i="3" a="1"/>
  <c r="QFU28" i="3" s="1"/>
  <c r="QBW28" i="3" a="1"/>
  <c r="QBW28" i="3" s="1"/>
  <c r="QAE28" i="3" a="1"/>
  <c r="QAE28" i="3" s="1"/>
  <c r="PXY28" i="3" a="1"/>
  <c r="PXY28" i="3" s="1"/>
  <c r="PWG28" i="3" a="1"/>
  <c r="PWG28" i="3" s="1"/>
  <c r="PQA28" i="3" a="1"/>
  <c r="PQA28" i="3" s="1"/>
  <c r="PJU28" i="3" a="1"/>
  <c r="PJU28" i="3" s="1"/>
  <c r="PGE28" i="3" a="1"/>
  <c r="PGE28" i="3" s="1"/>
  <c r="PEA28" i="3" a="1"/>
  <c r="PEA28" i="3" s="1"/>
  <c r="PDA28" i="3" a="1"/>
  <c r="PDA28" i="3" s="1"/>
  <c r="PCF28" i="3" a="1"/>
  <c r="PCF28" i="3" s="1"/>
  <c r="OXO28" i="3" a="1"/>
  <c r="OXO28" i="3" s="1"/>
  <c r="OWT28" i="3" a="1"/>
  <c r="OWT28" i="3" s="1"/>
  <c r="OWC28" i="3" a="1"/>
  <c r="OWC28" i="3" s="1"/>
  <c r="OVG28" i="3" a="1"/>
  <c r="OVG28" i="3" s="1"/>
  <c r="OUQ28" i="3" a="1"/>
  <c r="OUQ28" i="3" s="1"/>
  <c r="OSB28" i="3" a="1"/>
  <c r="OSB28" i="3" s="1"/>
  <c r="ORO28" i="3" a="1"/>
  <c r="ORO28" i="3" s="1"/>
  <c r="ORB28" i="3" a="1"/>
  <c r="ORB28" i="3" s="1"/>
  <c r="OPH28" i="3" a="1"/>
  <c r="OPH28" i="3" s="1"/>
  <c r="OOU28" i="3" a="1"/>
  <c r="OOU28" i="3" s="1"/>
  <c r="OOH28" i="3" a="1"/>
  <c r="OOH28" i="3" s="1"/>
  <c r="OMN28" i="3" a="1"/>
  <c r="OMN28" i="3" s="1"/>
  <c r="OMA28" i="3" a="1"/>
  <c r="OMA28" i="3" s="1"/>
  <c r="OLN28" i="3" a="1"/>
  <c r="OLN28" i="3" s="1"/>
  <c r="OJT28" i="3" a="1"/>
  <c r="OJT28" i="3" s="1"/>
  <c r="OJG28" i="3" a="1"/>
  <c r="OJG28" i="3" s="1"/>
  <c r="OIT28" i="3" a="1"/>
  <c r="OIT28" i="3" s="1"/>
  <c r="OHA28" i="3" a="1"/>
  <c r="OHA28" i="3" s="1"/>
  <c r="OGR28" i="3" a="1"/>
  <c r="OGR28" i="3" s="1"/>
  <c r="OGG28" i="3" a="1"/>
  <c r="OGG28" i="3" s="1"/>
  <c r="OFV28" i="3" a="1"/>
  <c r="OFV28" i="3" s="1"/>
  <c r="OFL28" i="3" a="1"/>
  <c r="OFL28" i="3" s="1"/>
  <c r="OEG28" i="3" a="1"/>
  <c r="OEG28" i="3" s="1"/>
  <c r="ODX28" i="3" a="1"/>
  <c r="ODX28" i="3" s="1"/>
  <c r="ODM28" i="3" a="1"/>
  <c r="ODM28" i="3" s="1"/>
  <c r="ODB28" i="3" a="1"/>
  <c r="ODB28" i="3" s="1"/>
  <c r="OCR28" i="3" a="1"/>
  <c r="OCR28" i="3" s="1"/>
  <c r="OBM28" i="3" a="1"/>
  <c r="OBM28" i="3" s="1"/>
  <c r="OBD28" i="3" a="1"/>
  <c r="OBD28" i="3" s="1"/>
  <c r="OAS28" i="3" a="1"/>
  <c r="OAS28" i="3" s="1"/>
  <c r="OAH28" i="3" a="1"/>
  <c r="OAH28" i="3" s="1"/>
  <c r="NZX28" i="3" a="1"/>
  <c r="NZX28" i="3" s="1"/>
  <c r="NYS28" i="3" a="1"/>
  <c r="NYS28" i="3" s="1"/>
  <c r="NYJ28" i="3" a="1"/>
  <c r="NYJ28" i="3" s="1"/>
  <c r="NXY28" i="3" a="1"/>
  <c r="NXY28" i="3" s="1"/>
  <c r="NXN28" i="3" a="1"/>
  <c r="NXN28" i="3" s="1"/>
  <c r="NXD28" i="3" a="1"/>
  <c r="NXD28" i="3" s="1"/>
  <c r="NVY28" i="3" a="1"/>
  <c r="NVY28" i="3" s="1"/>
  <c r="NVP28" i="3" a="1"/>
  <c r="NVP28" i="3" s="1"/>
  <c r="NVE28" i="3" a="1"/>
  <c r="NVE28" i="3" s="1"/>
  <c r="NUT28" i="3" a="1"/>
  <c r="NUT28" i="3" s="1"/>
  <c r="NUJ28" i="3" a="1"/>
  <c r="NUJ28" i="3" s="1"/>
  <c r="NTE28" i="3" a="1"/>
  <c r="NTE28" i="3" s="1"/>
  <c r="NSV28" i="3" a="1"/>
  <c r="NSV28" i="3" s="1"/>
  <c r="NSK28" i="3" a="1"/>
  <c r="NSK28" i="3" s="1"/>
  <c r="NRZ28" i="3" a="1"/>
  <c r="NRZ28" i="3" s="1"/>
  <c r="NRP28" i="3" a="1"/>
  <c r="NRP28" i="3" s="1"/>
  <c r="NQK28" i="3" a="1"/>
  <c r="NQK28" i="3" s="1"/>
  <c r="NQB28" i="3" a="1"/>
  <c r="NQB28" i="3" s="1"/>
  <c r="NPI28" i="3" a="1"/>
  <c r="NPI28" i="3" s="1"/>
  <c r="NOQ28" i="3" a="1"/>
  <c r="NOQ28" i="3" s="1"/>
  <c r="NNY28" i="3" a="1"/>
  <c r="NNY28" i="3" s="1"/>
  <c r="NNG28" i="3" a="1"/>
  <c r="NNG28" i="3" s="1"/>
  <c r="NMO28" i="3" a="1"/>
  <c r="NMO28" i="3" s="1"/>
  <c r="NLW28" i="3" a="1"/>
  <c r="NLW28" i="3" s="1"/>
  <c r="NLE28" i="3" a="1"/>
  <c r="NLE28" i="3" s="1"/>
  <c r="NKM28" i="3" a="1"/>
  <c r="NKM28" i="3" s="1"/>
  <c r="NJU28" i="3" a="1"/>
  <c r="NJU28" i="3" s="1"/>
  <c r="NJC28" i="3" a="1"/>
  <c r="NJC28" i="3" s="1"/>
  <c r="NIK28" i="3" a="1"/>
  <c r="NIK28" i="3" s="1"/>
  <c r="NHS28" i="3" a="1"/>
  <c r="NHS28" i="3" s="1"/>
  <c r="NHA28" i="3" a="1"/>
  <c r="NHA28" i="3" s="1"/>
  <c r="NGI28" i="3" a="1"/>
  <c r="NGI28" i="3" s="1"/>
  <c r="NFQ28" i="3" a="1"/>
  <c r="NFQ28" i="3" s="1"/>
  <c r="NEY28" i="3" a="1"/>
  <c r="NEY28" i="3" s="1"/>
  <c r="NEH28" i="3" a="1"/>
  <c r="NEH28" i="3" s="1"/>
  <c r="NDZ28" i="3" a="1"/>
  <c r="NDZ28" i="3" s="1"/>
  <c r="NDJ28" i="3" a="1"/>
  <c r="NDJ28" i="3" s="1"/>
  <c r="NDB28" i="3" a="1"/>
  <c r="NDB28" i="3" s="1"/>
  <c r="NCL28" i="3" a="1"/>
  <c r="NCL28" i="3" s="1"/>
  <c r="NCD28" i="3" a="1"/>
  <c r="NCD28" i="3" s="1"/>
  <c r="NBN28" i="3" a="1"/>
  <c r="NBN28" i="3" s="1"/>
  <c r="NBF28" i="3" a="1"/>
  <c r="NBF28" i="3" s="1"/>
  <c r="NAP28" i="3" a="1"/>
  <c r="NAP28" i="3" s="1"/>
  <c r="NAH28" i="3" a="1"/>
  <c r="NAH28" i="3" s="1"/>
  <c r="MZR28" i="3" a="1"/>
  <c r="MZR28" i="3" s="1"/>
  <c r="MZJ28" i="3" a="1"/>
  <c r="MZJ28" i="3" s="1"/>
  <c r="MYT28" i="3" a="1"/>
  <c r="MYT28" i="3" s="1"/>
  <c r="MYL28" i="3" a="1"/>
  <c r="MYL28" i="3" s="1"/>
  <c r="MXV28" i="3" a="1"/>
  <c r="MXV28" i="3" s="1"/>
  <c r="MXN28" i="3" a="1"/>
  <c r="MXN28" i="3" s="1"/>
  <c r="MWX28" i="3" a="1"/>
  <c r="MWX28" i="3" s="1"/>
  <c r="MWP28" i="3" a="1"/>
  <c r="MWP28" i="3" s="1"/>
  <c r="MWA28" i="3" a="1"/>
  <c r="MWA28" i="3" s="1"/>
  <c r="SUL28" i="3" a="1"/>
  <c r="SUL28" i="3" s="1"/>
  <c r="SIA28" i="3" a="1"/>
  <c r="SIA28" i="3" s="1"/>
  <c r="RYR28" i="3" a="1"/>
  <c r="RYR28" i="3" s="1"/>
  <c r="RGR28" i="3" a="1"/>
  <c r="RGR28" i="3" s="1"/>
  <c r="RDL28" i="3" a="1"/>
  <c r="RDL28" i="3" s="1"/>
  <c r="RBE28" i="3" a="1"/>
  <c r="RBE28" i="3" s="1"/>
  <c r="QYY28" i="3" a="1"/>
  <c r="QYY28" i="3" s="1"/>
  <c r="QWL28" i="3" a="1"/>
  <c r="QWL28" i="3" s="1"/>
  <c r="QSN28" i="3" a="1"/>
  <c r="QSN28" i="3" s="1"/>
  <c r="QPG28" i="3" a="1"/>
  <c r="QPG28" i="3" s="1"/>
  <c r="QLI28" i="3" a="1"/>
  <c r="QLI28" i="3" s="1"/>
  <c r="QHK28" i="3" a="1"/>
  <c r="QHK28" i="3" s="1"/>
  <c r="QFS28" i="3" a="1"/>
  <c r="QFS28" i="3" s="1"/>
  <c r="QDM28" i="3" a="1"/>
  <c r="QDM28" i="3" s="1"/>
  <c r="QBU28" i="3" a="1"/>
  <c r="QBU28" i="3" s="1"/>
  <c r="PZO28" i="3" a="1"/>
  <c r="PZO28" i="3" s="1"/>
  <c r="PXW28" i="3" a="1"/>
  <c r="PXW28" i="3" s="1"/>
  <c r="PUT28" i="3" a="1"/>
  <c r="PUT28" i="3" s="1"/>
  <c r="PTQ28" i="3" a="1"/>
  <c r="PTQ28" i="3" s="1"/>
  <c r="PRC28" i="3" a="1"/>
  <c r="PRC28" i="3" s="1"/>
  <c r="PON28" i="3" a="1"/>
  <c r="PON28" i="3" s="1"/>
  <c r="PNK28" i="3" a="1"/>
  <c r="PNK28" i="3" s="1"/>
  <c r="PKW28" i="3" a="1"/>
  <c r="PKW28" i="3" s="1"/>
  <c r="PIH28" i="3" a="1"/>
  <c r="PIH28" i="3" s="1"/>
  <c r="PHE28" i="3" a="1"/>
  <c r="PHE28" i="3" s="1"/>
  <c r="PEW28" i="3" a="1"/>
  <c r="PEW28" i="3" s="1"/>
  <c r="PCE28" i="3" a="1"/>
  <c r="PCE28" i="3" s="1"/>
  <c r="PBE28" i="3" a="1"/>
  <c r="PBE28" i="3" s="1"/>
  <c r="PAK28" i="3" a="1"/>
  <c r="PAK28" i="3" s="1"/>
  <c r="OZS28" i="3" a="1"/>
  <c r="OZS28" i="3" s="1"/>
  <c r="OYW28" i="3" a="1"/>
  <c r="OYW28" i="3" s="1"/>
  <c r="OYF28" i="3" a="1"/>
  <c r="OYF28" i="3" s="1"/>
  <c r="OXK28" i="3" a="1"/>
  <c r="OXK28" i="3" s="1"/>
  <c r="OUO28" i="3" a="1"/>
  <c r="OUO28" i="3" s="1"/>
  <c r="OTT28" i="3" a="1"/>
  <c r="OTT28" i="3" s="1"/>
  <c r="OTE28" i="3" a="1"/>
  <c r="OTE28" i="3" s="1"/>
  <c r="OSR28" i="3" a="1"/>
  <c r="OSR28" i="3" s="1"/>
  <c r="OQX28" i="3" a="1"/>
  <c r="OQX28" i="3" s="1"/>
  <c r="OQK28" i="3" a="1"/>
  <c r="OQK28" i="3" s="1"/>
  <c r="OPX28" i="3" a="1"/>
  <c r="OPX28" i="3" s="1"/>
  <c r="OOD28" i="3" a="1"/>
  <c r="OOD28" i="3" s="1"/>
  <c r="ONQ28" i="3" a="1"/>
  <c r="ONQ28" i="3" s="1"/>
  <c r="OND28" i="3" a="1"/>
  <c r="OND28" i="3" s="1"/>
  <c r="OLJ28" i="3" a="1"/>
  <c r="OLJ28" i="3" s="1"/>
  <c r="OKW28" i="3" a="1"/>
  <c r="OKW28" i="3" s="1"/>
  <c r="OKJ28" i="3" a="1"/>
  <c r="OKJ28" i="3" s="1"/>
  <c r="OIP28" i="3" a="1"/>
  <c r="OIP28" i="3" s="1"/>
  <c r="OIC28" i="3" a="1"/>
  <c r="OIC28" i="3" s="1"/>
  <c r="OHP28" i="3" a="1"/>
  <c r="OHP28" i="3" s="1"/>
  <c r="OGZ28" i="3" a="1"/>
  <c r="OGZ28" i="3" s="1"/>
  <c r="OGP28" i="3" a="1"/>
  <c r="OGP28" i="3" s="1"/>
  <c r="OFK28" i="3" a="1"/>
  <c r="OFK28" i="3" s="1"/>
  <c r="OFB28" i="3" a="1"/>
  <c r="OFB28" i="3" s="1"/>
  <c r="OEQ28" i="3" a="1"/>
  <c r="OEQ28" i="3" s="1"/>
  <c r="OEF28" i="3" a="1"/>
  <c r="OEF28" i="3" s="1"/>
  <c r="ODV28" i="3" a="1"/>
  <c r="ODV28" i="3" s="1"/>
  <c r="OCQ28" i="3" a="1"/>
  <c r="OCQ28" i="3" s="1"/>
  <c r="OCH28" i="3" a="1"/>
  <c r="OCH28" i="3" s="1"/>
  <c r="OBW28" i="3" a="1"/>
  <c r="OBW28" i="3" s="1"/>
  <c r="OBL28" i="3" a="1"/>
  <c r="OBL28" i="3" s="1"/>
  <c r="OBB28" i="3" a="1"/>
  <c r="OBB28" i="3" s="1"/>
  <c r="NZW28" i="3" a="1"/>
  <c r="NZW28" i="3" s="1"/>
  <c r="NZN28" i="3" a="1"/>
  <c r="NZN28" i="3" s="1"/>
  <c r="NZC28" i="3" a="1"/>
  <c r="NZC28" i="3" s="1"/>
  <c r="NYR28" i="3" a="1"/>
  <c r="NYR28" i="3" s="1"/>
  <c r="NYH28" i="3" a="1"/>
  <c r="NYH28" i="3" s="1"/>
  <c r="NXC28" i="3" a="1"/>
  <c r="NXC28" i="3" s="1"/>
  <c r="NWT28" i="3" a="1"/>
  <c r="NWT28" i="3" s="1"/>
  <c r="NWI28" i="3" a="1"/>
  <c r="NWI28" i="3" s="1"/>
  <c r="NVX28" i="3" a="1"/>
  <c r="NVX28" i="3" s="1"/>
  <c r="NVN28" i="3" a="1"/>
  <c r="NVN28" i="3" s="1"/>
  <c r="NUI28" i="3" a="1"/>
  <c r="NUI28" i="3" s="1"/>
  <c r="NTZ28" i="3" a="1"/>
  <c r="NTZ28" i="3" s="1"/>
  <c r="NTO28" i="3" a="1"/>
  <c r="NTO28" i="3" s="1"/>
  <c r="NTD28" i="3" a="1"/>
  <c r="NTD28" i="3" s="1"/>
  <c r="NST28" i="3" a="1"/>
  <c r="NST28" i="3" s="1"/>
  <c r="NRO28" i="3" a="1"/>
  <c r="NRO28" i="3" s="1"/>
  <c r="NRF28" i="3" a="1"/>
  <c r="NRF28" i="3" s="1"/>
  <c r="NQU28" i="3" a="1"/>
  <c r="NQU28" i="3" s="1"/>
  <c r="NQJ28" i="3" a="1"/>
  <c r="NQJ28" i="3" s="1"/>
  <c r="NPZ28" i="3" a="1"/>
  <c r="NPZ28" i="3" s="1"/>
  <c r="NPQ28" i="3" a="1"/>
  <c r="NPQ28" i="3" s="1"/>
  <c r="NPH28" i="3" a="1"/>
  <c r="NPH28" i="3" s="1"/>
  <c r="NOY28" i="3" a="1"/>
  <c r="NOY28" i="3" s="1"/>
  <c r="NOP28" i="3" a="1"/>
  <c r="NOP28" i="3" s="1"/>
  <c r="NOG28" i="3" a="1"/>
  <c r="NOG28" i="3" s="1"/>
  <c r="NNX28" i="3" a="1"/>
  <c r="NNX28" i="3" s="1"/>
  <c r="NNO28" i="3" a="1"/>
  <c r="NNO28" i="3" s="1"/>
  <c r="NNF28" i="3" a="1"/>
  <c r="NNF28" i="3" s="1"/>
  <c r="NMW28" i="3" a="1"/>
  <c r="NMW28" i="3" s="1"/>
  <c r="NMN28" i="3" a="1"/>
  <c r="NMN28" i="3" s="1"/>
  <c r="NME28" i="3" a="1"/>
  <c r="NME28" i="3" s="1"/>
  <c r="NLV28" i="3" a="1"/>
  <c r="NLV28" i="3" s="1"/>
  <c r="NLM28" i="3" a="1"/>
  <c r="NLM28" i="3" s="1"/>
  <c r="NLD28" i="3" a="1"/>
  <c r="NLD28" i="3" s="1"/>
  <c r="NKU28" i="3" a="1"/>
  <c r="NKU28" i="3" s="1"/>
  <c r="NKL28" i="3" a="1"/>
  <c r="NKL28" i="3" s="1"/>
  <c r="NKC28" i="3" a="1"/>
  <c r="NKC28" i="3" s="1"/>
  <c r="NJT28" i="3" a="1"/>
  <c r="NJT28" i="3" s="1"/>
  <c r="NJK28" i="3" a="1"/>
  <c r="NJK28" i="3" s="1"/>
  <c r="NJB28" i="3" a="1"/>
  <c r="NJB28" i="3" s="1"/>
  <c r="NIS28" i="3" a="1"/>
  <c r="NIS28" i="3" s="1"/>
  <c r="NIJ28" i="3" a="1"/>
  <c r="NIJ28" i="3" s="1"/>
  <c r="NIA28" i="3" a="1"/>
  <c r="NIA28" i="3" s="1"/>
  <c r="NHR28" i="3" a="1"/>
  <c r="NHR28" i="3" s="1"/>
  <c r="NHI28" i="3" a="1"/>
  <c r="NHI28" i="3" s="1"/>
  <c r="NGZ28" i="3" a="1"/>
  <c r="NGZ28" i="3" s="1"/>
  <c r="NGQ28" i="3" a="1"/>
  <c r="NGQ28" i="3" s="1"/>
  <c r="NGH28" i="3" a="1"/>
  <c r="NGH28" i="3" s="1"/>
  <c r="NFY28" i="3" a="1"/>
  <c r="NFY28" i="3" s="1"/>
  <c r="NFP28" i="3" a="1"/>
  <c r="NFP28" i="3" s="1"/>
  <c r="NFG28" i="3" a="1"/>
  <c r="NFG28" i="3" s="1"/>
  <c r="NEX28" i="3" a="1"/>
  <c r="NEX28" i="3" s="1"/>
  <c r="NEO28" i="3" a="1"/>
  <c r="NEO28" i="3" s="1"/>
  <c r="NEG28" i="3" a="1"/>
  <c r="NEG28" i="3" s="1"/>
  <c r="NDY28" i="3" a="1"/>
  <c r="NDY28" i="3" s="1"/>
  <c r="NDQ28" i="3" a="1"/>
  <c r="NDQ28" i="3" s="1"/>
  <c r="NDI28" i="3" a="1"/>
  <c r="NDI28" i="3" s="1"/>
  <c r="NDA28" i="3" a="1"/>
  <c r="NDA28" i="3" s="1"/>
  <c r="NCS28" i="3" a="1"/>
  <c r="NCS28" i="3" s="1"/>
  <c r="NCK28" i="3" a="1"/>
  <c r="NCK28" i="3" s="1"/>
  <c r="NCC28" i="3" a="1"/>
  <c r="NCC28" i="3" s="1"/>
  <c r="NBU28" i="3" a="1"/>
  <c r="NBU28" i="3" s="1"/>
  <c r="NBM28" i="3" a="1"/>
  <c r="NBM28" i="3" s="1"/>
  <c r="NBE28" i="3" a="1"/>
  <c r="NBE28" i="3" s="1"/>
  <c r="NAW28" i="3" a="1"/>
  <c r="NAW28" i="3" s="1"/>
  <c r="NAO28" i="3" a="1"/>
  <c r="NAO28" i="3" s="1"/>
  <c r="NAG28" i="3" a="1"/>
  <c r="NAG28" i="3" s="1"/>
  <c r="MZY28" i="3" a="1"/>
  <c r="MZY28" i="3" s="1"/>
  <c r="MZQ28" i="3" a="1"/>
  <c r="MZQ28" i="3" s="1"/>
  <c r="MZI28" i="3" a="1"/>
  <c r="MZI28" i="3" s="1"/>
  <c r="MZA28" i="3" a="1"/>
  <c r="MZA28" i="3" s="1"/>
  <c r="MYS28" i="3" a="1"/>
  <c r="MYS28" i="3" s="1"/>
  <c r="MYK28" i="3" a="1"/>
  <c r="MYK28" i="3" s="1"/>
  <c r="MYC28" i="3" a="1"/>
  <c r="MYC28" i="3" s="1"/>
  <c r="MXU28" i="3" a="1"/>
  <c r="MXU28" i="3" s="1"/>
  <c r="MXM28" i="3" a="1"/>
  <c r="MXM28" i="3" s="1"/>
  <c r="MXE28" i="3" a="1"/>
  <c r="MXE28" i="3" s="1"/>
  <c r="MWW28" i="3" a="1"/>
  <c r="MWW28" i="3" s="1"/>
  <c r="MWO28" i="3" a="1"/>
  <c r="MWO28" i="3" s="1"/>
  <c r="MWG28" i="3" a="1"/>
  <c r="MWG28" i="3" s="1"/>
  <c r="MVT28" i="3" a="1"/>
  <c r="MVT28" i="3" s="1"/>
  <c r="MVN28" i="3" a="1"/>
  <c r="MVN28" i="3" s="1"/>
  <c r="MVH28" i="3" a="1"/>
  <c r="MVH28" i="3" s="1"/>
  <c r="MVB28" i="3" a="1"/>
  <c r="MVB28" i="3" s="1"/>
  <c r="MUV28" i="3" a="1"/>
  <c r="MUV28" i="3" s="1"/>
  <c r="RLU28" i="3" a="1"/>
  <c r="RLU28" i="3" s="1"/>
  <c r="RDJ28" i="3" a="1"/>
  <c r="RDJ28" i="3" s="1"/>
  <c r="QOM28" i="3" a="1"/>
  <c r="QOM28" i="3" s="1"/>
  <c r="QFA28" i="3" a="1"/>
  <c r="QFA28" i="3" s="1"/>
  <c r="PKJ28" i="3" a="1"/>
  <c r="PKJ28" i="3" s="1"/>
  <c r="PEN28" i="3" a="1"/>
  <c r="PEN28" i="3" s="1"/>
  <c r="PAI28" i="3" a="1"/>
  <c r="PAI28" i="3" s="1"/>
  <c r="OYP28" i="3" a="1"/>
  <c r="OYP28" i="3" s="1"/>
  <c r="OWS28" i="3" a="1"/>
  <c r="OWS28" i="3" s="1"/>
  <c r="OVE28" i="3" a="1"/>
  <c r="OVE28" i="3" s="1"/>
  <c r="OTM28" i="3" a="1"/>
  <c r="OTM28" i="3" s="1"/>
  <c r="OQV28" i="3" a="1"/>
  <c r="OQV28" i="3" s="1"/>
  <c r="OPG28" i="3" a="1"/>
  <c r="OPG28" i="3" s="1"/>
  <c r="OMX28" i="3" a="1"/>
  <c r="OMX28" i="3" s="1"/>
  <c r="OLI28" i="3" a="1"/>
  <c r="OLI28" i="3" s="1"/>
  <c r="OHK28" i="3" a="1"/>
  <c r="OHK28" i="3" s="1"/>
  <c r="OEM28" i="3" a="1"/>
  <c r="OEM28" i="3" s="1"/>
  <c r="ODL28" i="3" a="1"/>
  <c r="ODL28" i="3" s="1"/>
  <c r="OCO28" i="3" a="1"/>
  <c r="OCO28" i="3" s="1"/>
  <c r="OBR28" i="3" a="1"/>
  <c r="OBR28" i="3" s="1"/>
  <c r="OAP28" i="3" a="1"/>
  <c r="OAP28" i="3" s="1"/>
  <c r="NXU28" i="3" a="1"/>
  <c r="NXU28" i="3" s="1"/>
  <c r="NWZ28" i="3" a="1"/>
  <c r="NWZ28" i="3" s="1"/>
  <c r="NVW28" i="3" a="1"/>
  <c r="NVW28" i="3" s="1"/>
  <c r="NUZ28" i="3" a="1"/>
  <c r="NUZ28" i="3" s="1"/>
  <c r="NTX28" i="3" a="1"/>
  <c r="NTX28" i="3" s="1"/>
  <c r="NRC28" i="3" a="1"/>
  <c r="NRC28" i="3" s="1"/>
  <c r="NQH28" i="3" a="1"/>
  <c r="NQH28" i="3" s="1"/>
  <c r="NPG28" i="3" a="1"/>
  <c r="NPG28" i="3" s="1"/>
  <c r="NMV28" i="3" a="1"/>
  <c r="NMV28" i="3" s="1"/>
  <c r="NMB28" i="3" a="1"/>
  <c r="NMB28" i="3" s="1"/>
  <c r="NLC28" i="3" a="1"/>
  <c r="NLC28" i="3" s="1"/>
  <c r="NIR28" i="3" a="1"/>
  <c r="NIR28" i="3" s="1"/>
  <c r="NHX28" i="3" a="1"/>
  <c r="NHX28" i="3" s="1"/>
  <c r="NGY28" i="3" a="1"/>
  <c r="NGY28" i="3" s="1"/>
  <c r="NEN28" i="3" a="1"/>
  <c r="NEN28" i="3" s="1"/>
  <c r="NCZ28" i="3" a="1"/>
  <c r="NCZ28" i="3" s="1"/>
  <c r="NCI28" i="3" a="1"/>
  <c r="NCI28" i="3" s="1"/>
  <c r="NBR28" i="3" a="1"/>
  <c r="NBR28" i="3" s="1"/>
  <c r="NAV28" i="3" a="1"/>
  <c r="NAV28" i="3" s="1"/>
  <c r="MZH28" i="3" a="1"/>
  <c r="MZH28" i="3" s="1"/>
  <c r="MYQ28" i="3" a="1"/>
  <c r="MYQ28" i="3" s="1"/>
  <c r="MXZ28" i="3" a="1"/>
  <c r="MXZ28" i="3" s="1"/>
  <c r="MXD28" i="3" a="1"/>
  <c r="MXD28" i="3" s="1"/>
  <c r="MTY28" i="3" a="1"/>
  <c r="MTY28" i="3" s="1"/>
  <c r="MTP28" i="3" a="1"/>
  <c r="MTP28" i="3" s="1"/>
  <c r="MTE28" i="3" a="1"/>
  <c r="MTE28" i="3" s="1"/>
  <c r="MST28" i="3" a="1"/>
  <c r="MST28" i="3" s="1"/>
  <c r="MRE28" i="3" a="1"/>
  <c r="MRE28" i="3" s="1"/>
  <c r="MQV28" i="3" a="1"/>
  <c r="MQV28" i="3" s="1"/>
  <c r="MQK28" i="3" a="1"/>
  <c r="MQK28" i="3" s="1"/>
  <c r="MPZ28" i="3" a="1"/>
  <c r="MPZ28" i="3" s="1"/>
  <c r="MOK28" i="3" a="1"/>
  <c r="MOK28" i="3" s="1"/>
  <c r="MOB28" i="3" a="1"/>
  <c r="MOB28" i="3" s="1"/>
  <c r="MNQ28" i="3" a="1"/>
  <c r="MNQ28" i="3" s="1"/>
  <c r="MNF28" i="3" a="1"/>
  <c r="MNF28" i="3" s="1"/>
  <c r="MLQ28" i="3" a="1"/>
  <c r="MLQ28" i="3" s="1"/>
  <c r="MLH28" i="3" a="1"/>
  <c r="MLH28" i="3" s="1"/>
  <c r="MKW28" i="3" a="1"/>
  <c r="MKW28" i="3" s="1"/>
  <c r="MKM28" i="3" a="1"/>
  <c r="MKM28" i="3" s="1"/>
  <c r="MJU28" i="3" a="1"/>
  <c r="MJU28" i="3" s="1"/>
  <c r="MJC28" i="3" a="1"/>
  <c r="MJC28" i="3" s="1"/>
  <c r="MIK28" i="3" a="1"/>
  <c r="MIK28" i="3" s="1"/>
  <c r="MHS28" i="3" a="1"/>
  <c r="MHS28" i="3" s="1"/>
  <c r="MHA28" i="3" a="1"/>
  <c r="MHA28" i="3" s="1"/>
  <c r="MGI28" i="3" a="1"/>
  <c r="MGI28" i="3" s="1"/>
  <c r="MFQ28" i="3" a="1"/>
  <c r="MFQ28" i="3" s="1"/>
  <c r="MEY28" i="3" a="1"/>
  <c r="MEY28" i="3" s="1"/>
  <c r="MEG28" i="3" a="1"/>
  <c r="MEG28" i="3" s="1"/>
  <c r="MDO28" i="3" a="1"/>
  <c r="MDO28" i="3" s="1"/>
  <c r="MCW28" i="3" a="1"/>
  <c r="MCW28" i="3" s="1"/>
  <c r="MCF28" i="3" a="1"/>
  <c r="MCF28" i="3" s="1"/>
  <c r="MBP28" i="3" a="1"/>
  <c r="MBP28" i="3" s="1"/>
  <c r="MBH28" i="3" a="1"/>
  <c r="MBH28" i="3" s="1"/>
  <c r="MAU28" i="3" a="1"/>
  <c r="MAU28" i="3" s="1"/>
  <c r="MAH28" i="3" a="1"/>
  <c r="MAH28" i="3" s="1"/>
  <c r="LZU28" i="3" a="1"/>
  <c r="LZU28" i="3" s="1"/>
  <c r="LZH28" i="3" a="1"/>
  <c r="LZH28" i="3" s="1"/>
  <c r="LYU28" i="3" a="1"/>
  <c r="LYU28" i="3" s="1"/>
  <c r="LYN28" i="3" a="1"/>
  <c r="LYN28" i="3" s="1"/>
  <c r="LYA28" i="3" a="1"/>
  <c r="LYA28" i="3" s="1"/>
  <c r="LXN28" i="3" a="1"/>
  <c r="LXN28" i="3" s="1"/>
  <c r="LXA28" i="3" a="1"/>
  <c r="LXA28" i="3" s="1"/>
  <c r="LWN28" i="3" a="1"/>
  <c r="LWN28" i="3" s="1"/>
  <c r="LWA28" i="3" a="1"/>
  <c r="LWA28" i="3" s="1"/>
  <c r="LVT28" i="3" a="1"/>
  <c r="LVT28" i="3" s="1"/>
  <c r="LVG28" i="3" a="1"/>
  <c r="LVG28" i="3" s="1"/>
  <c r="LUT28" i="3" a="1"/>
  <c r="LUT28" i="3" s="1"/>
  <c r="LUG28" i="3" a="1"/>
  <c r="LUG28" i="3" s="1"/>
  <c r="LTT28" i="3" a="1"/>
  <c r="LTT28" i="3" s="1"/>
  <c r="LTG28" i="3" a="1"/>
  <c r="LTG28" i="3" s="1"/>
  <c r="LSZ28" i="3" a="1"/>
  <c r="LSZ28" i="3" s="1"/>
  <c r="LSM28" i="3" a="1"/>
  <c r="LSM28" i="3" s="1"/>
  <c r="LRZ28" i="3" a="1"/>
  <c r="LRZ28" i="3" s="1"/>
  <c r="LRM28" i="3" a="1"/>
  <c r="LRM28" i="3" s="1"/>
  <c r="LQZ28" i="3" a="1"/>
  <c r="LQZ28" i="3" s="1"/>
  <c r="LQM28" i="3" a="1"/>
  <c r="LQM28" i="3" s="1"/>
  <c r="LQF28" i="3" a="1"/>
  <c r="LQF28" i="3" s="1"/>
  <c r="LPS28" i="3" a="1"/>
  <c r="LPS28" i="3" s="1"/>
  <c r="LPF28" i="3" a="1"/>
  <c r="LPF28" i="3" s="1"/>
  <c r="LOS28" i="3" a="1"/>
  <c r="LOS28" i="3" s="1"/>
  <c r="LOF28" i="3" a="1"/>
  <c r="LOF28" i="3" s="1"/>
  <c r="LNS28" i="3" a="1"/>
  <c r="LNS28" i="3" s="1"/>
  <c r="LNL28" i="3" a="1"/>
  <c r="LNL28" i="3" s="1"/>
  <c r="LMY28" i="3" a="1"/>
  <c r="LMY28" i="3" s="1"/>
  <c r="LML28" i="3" a="1"/>
  <c r="LML28" i="3" s="1"/>
  <c r="LLY28" i="3" a="1"/>
  <c r="LLY28" i="3" s="1"/>
  <c r="LLL28" i="3" a="1"/>
  <c r="LLL28" i="3" s="1"/>
  <c r="LKY28" i="3" a="1"/>
  <c r="LKY28" i="3" s="1"/>
  <c r="STV28" i="3" a="1"/>
  <c r="STV28" i="3" s="1"/>
  <c r="RIX28" i="3" a="1"/>
  <c r="RIX28" i="3" s="1"/>
  <c r="QXZ28" i="3" a="1"/>
  <c r="QXZ28" i="3" s="1"/>
  <c r="QSM28" i="3" a="1"/>
  <c r="QSM28" i="3" s="1"/>
  <c r="QJA28" i="3" a="1"/>
  <c r="QJA28" i="3" s="1"/>
  <c r="QBA28" i="3" a="1"/>
  <c r="QBA28" i="3" s="1"/>
  <c r="PVU28" i="3" a="1"/>
  <c r="PVU28" i="3" s="1"/>
  <c r="PTE28" i="3" a="1"/>
  <c r="PTE28" i="3" s="1"/>
  <c r="PAC28" i="3" a="1"/>
  <c r="PAC28" i="3" s="1"/>
  <c r="OWR28" i="3" a="1"/>
  <c r="OWR28" i="3" s="1"/>
  <c r="ORZ28" i="3" a="1"/>
  <c r="ORZ28" i="3" s="1"/>
  <c r="OQR28" i="3" a="1"/>
  <c r="OQR28" i="3" s="1"/>
  <c r="OOB28" i="3" a="1"/>
  <c r="OOB28" i="3" s="1"/>
  <c r="OMM28" i="3" a="1"/>
  <c r="OMM28" i="3" s="1"/>
  <c r="OKD28" i="3" a="1"/>
  <c r="OKD28" i="3" s="1"/>
  <c r="OIO28" i="3" a="1"/>
  <c r="OIO28" i="3" s="1"/>
  <c r="OGF28" i="3" a="1"/>
  <c r="OGF28" i="3" s="1"/>
  <c r="OFI28" i="3" a="1"/>
  <c r="OFI28" i="3" s="1"/>
  <c r="OEL28" i="3" a="1"/>
  <c r="OEL28" i="3" s="1"/>
  <c r="ODJ28" i="3" a="1"/>
  <c r="ODJ28" i="3" s="1"/>
  <c r="OAO28" i="3" a="1"/>
  <c r="OAO28" i="3" s="1"/>
  <c r="NZT28" i="3" a="1"/>
  <c r="NZT28" i="3" s="1"/>
  <c r="NYQ28" i="3" a="1"/>
  <c r="NYQ28" i="3" s="1"/>
  <c r="NXT28" i="3" a="1"/>
  <c r="NXT28" i="3" s="1"/>
  <c r="NWR28" i="3" a="1"/>
  <c r="NWR28" i="3" s="1"/>
  <c r="NTW28" i="3" a="1"/>
  <c r="NTW28" i="3" s="1"/>
  <c r="NTB28" i="3" a="1"/>
  <c r="NTB28" i="3" s="1"/>
  <c r="NRY28" i="3" a="1"/>
  <c r="NRY28" i="3" s="1"/>
  <c r="NRB28" i="3" a="1"/>
  <c r="NRB28" i="3" s="1"/>
  <c r="NQF28" i="3" a="1"/>
  <c r="NQF28" i="3" s="1"/>
  <c r="NPF28" i="3" a="1"/>
  <c r="NPF28" i="3" s="1"/>
  <c r="NOM28" i="3" a="1"/>
  <c r="NOM28" i="3" s="1"/>
  <c r="NMU28" i="3" a="1"/>
  <c r="NMU28" i="3" s="1"/>
  <c r="NMA28" i="3" a="1"/>
  <c r="NMA28" i="3" s="1"/>
  <c r="NLB28" i="3" a="1"/>
  <c r="NLB28" i="3" s="1"/>
  <c r="NKI28" i="3" a="1"/>
  <c r="NKI28" i="3" s="1"/>
  <c r="NIQ28" i="3" a="1"/>
  <c r="NIQ28" i="3" s="1"/>
  <c r="NHW28" i="3" a="1"/>
  <c r="NHW28" i="3" s="1"/>
  <c r="NGX28" i="3" a="1"/>
  <c r="NGX28" i="3" s="1"/>
  <c r="NGE28" i="3" a="1"/>
  <c r="NGE28" i="3" s="1"/>
  <c r="NEM28" i="3" a="1"/>
  <c r="NEM28" i="3" s="1"/>
  <c r="NDV28" i="3" a="1"/>
  <c r="NDV28" i="3" s="1"/>
  <c r="NCH28" i="3" a="1"/>
  <c r="NCH28" i="3" s="1"/>
  <c r="NAU28" i="3" a="1"/>
  <c r="NAU28" i="3" s="1"/>
  <c r="NAD28" i="3" a="1"/>
  <c r="NAD28" i="3" s="1"/>
  <c r="MYP28" i="3" a="1"/>
  <c r="MYP28" i="3" s="1"/>
  <c r="MXC28" i="3" a="1"/>
  <c r="MXC28" i="3" s="1"/>
  <c r="MWL28" i="3" a="1"/>
  <c r="MWL28" i="3" s="1"/>
  <c r="MVS28" i="3" a="1"/>
  <c r="MVS28" i="3" s="1"/>
  <c r="MVF28" i="3" a="1"/>
  <c r="MVF28" i="3" s="1"/>
  <c r="MUT28" i="3" a="1"/>
  <c r="MUT28" i="3" s="1"/>
  <c r="MUI28" i="3" a="1"/>
  <c r="MUI28" i="3" s="1"/>
  <c r="MTX28" i="3" a="1"/>
  <c r="MTX28" i="3" s="1"/>
  <c r="MSI28" i="3" a="1"/>
  <c r="MSI28" i="3" s="1"/>
  <c r="MRZ28" i="3" a="1"/>
  <c r="MRZ28" i="3" s="1"/>
  <c r="MRO28" i="3" a="1"/>
  <c r="MRO28" i="3" s="1"/>
  <c r="MRD28" i="3" a="1"/>
  <c r="MRD28" i="3" s="1"/>
  <c r="MPO28" i="3" a="1"/>
  <c r="MPO28" i="3" s="1"/>
  <c r="MPF28" i="3" a="1"/>
  <c r="MPF28" i="3" s="1"/>
  <c r="MOU28" i="3" a="1"/>
  <c r="MOU28" i="3" s="1"/>
  <c r="MOJ28" i="3" a="1"/>
  <c r="MOJ28" i="3" s="1"/>
  <c r="MMU28" i="3" a="1"/>
  <c r="MMU28" i="3" s="1"/>
  <c r="MML28" i="3" a="1"/>
  <c r="MML28" i="3" s="1"/>
  <c r="MMA28" i="3" a="1"/>
  <c r="MMA28" i="3" s="1"/>
  <c r="MLP28" i="3" a="1"/>
  <c r="MLP28" i="3" s="1"/>
  <c r="MKL28" i="3" a="1"/>
  <c r="MKL28" i="3" s="1"/>
  <c r="MKD28" i="3" a="1"/>
  <c r="MKD28" i="3" s="1"/>
  <c r="MJT28" i="3" a="1"/>
  <c r="MJT28" i="3" s="1"/>
  <c r="MJL28" i="3" a="1"/>
  <c r="MJL28" i="3" s="1"/>
  <c r="MJB28" i="3" a="1"/>
  <c r="MJB28" i="3" s="1"/>
  <c r="MIT28" i="3" a="1"/>
  <c r="MIT28" i="3" s="1"/>
  <c r="MIJ28" i="3" a="1"/>
  <c r="MIJ28" i="3" s="1"/>
  <c r="MIB28" i="3" a="1"/>
  <c r="MIB28" i="3" s="1"/>
  <c r="MHR28" i="3" a="1"/>
  <c r="MHR28" i="3" s="1"/>
  <c r="MHJ28" i="3" a="1"/>
  <c r="MHJ28" i="3" s="1"/>
  <c r="MGZ28" i="3" a="1"/>
  <c r="MGZ28" i="3" s="1"/>
  <c r="MGR28" i="3" a="1"/>
  <c r="MGR28" i="3" s="1"/>
  <c r="MGH28" i="3" a="1"/>
  <c r="MGH28" i="3" s="1"/>
  <c r="MFZ28" i="3" a="1"/>
  <c r="MFZ28" i="3" s="1"/>
  <c r="MFP28" i="3" a="1"/>
  <c r="MFP28" i="3" s="1"/>
  <c r="MFH28" i="3" a="1"/>
  <c r="MFH28" i="3" s="1"/>
  <c r="MEX28" i="3" a="1"/>
  <c r="MEX28" i="3" s="1"/>
  <c r="MEP28" i="3" a="1"/>
  <c r="MEP28" i="3" s="1"/>
  <c r="MEF28" i="3" a="1"/>
  <c r="MEF28" i="3" s="1"/>
  <c r="MDX28" i="3" a="1"/>
  <c r="MDX28" i="3" s="1"/>
  <c r="MDN28" i="3" a="1"/>
  <c r="MDN28" i="3" s="1"/>
  <c r="MDF28" i="3" a="1"/>
  <c r="MDF28" i="3" s="1"/>
  <c r="MCV28" i="3" a="1"/>
  <c r="MCV28" i="3" s="1"/>
  <c r="MCN28" i="3" a="1"/>
  <c r="MCN28" i="3" s="1"/>
  <c r="MCE28" i="3" a="1"/>
  <c r="MCE28" i="3" s="1"/>
  <c r="MBW28" i="3" a="1"/>
  <c r="MBW28" i="3" s="1"/>
  <c r="MBA28" i="3" a="1"/>
  <c r="MBA28" i="3" s="1"/>
  <c r="MAN28" i="3" a="1"/>
  <c r="MAN28" i="3" s="1"/>
  <c r="MAA28" i="3" a="1"/>
  <c r="MAA28" i="3" s="1"/>
  <c r="LZN28" i="3" a="1"/>
  <c r="LZN28" i="3" s="1"/>
  <c r="LZA28" i="3" a="1"/>
  <c r="LZA28" i="3" s="1"/>
  <c r="LYT28" i="3" a="1"/>
  <c r="LYT28" i="3" s="1"/>
  <c r="LYG28" i="3" a="1"/>
  <c r="LYG28" i="3" s="1"/>
  <c r="LXT28" i="3" a="1"/>
  <c r="LXT28" i="3" s="1"/>
  <c r="LXG28" i="3" a="1"/>
  <c r="LXG28" i="3" s="1"/>
  <c r="LWT28" i="3" a="1"/>
  <c r="LWT28" i="3" s="1"/>
  <c r="LWG28" i="3" a="1"/>
  <c r="LWG28" i="3" s="1"/>
  <c r="LVZ28" i="3" a="1"/>
  <c r="LVZ28" i="3" s="1"/>
  <c r="LVM28" i="3" a="1"/>
  <c r="LVM28" i="3" s="1"/>
  <c r="LUZ28" i="3" a="1"/>
  <c r="LUZ28" i="3" s="1"/>
  <c r="LUM28" i="3" a="1"/>
  <c r="LUM28" i="3" s="1"/>
  <c r="LTZ28" i="3" a="1"/>
  <c r="LTZ28" i="3" s="1"/>
  <c r="LTM28" i="3" a="1"/>
  <c r="LTM28" i="3" s="1"/>
  <c r="LTF28" i="3" a="1"/>
  <c r="LTF28" i="3" s="1"/>
  <c r="LSS28" i="3" a="1"/>
  <c r="LSS28" i="3" s="1"/>
  <c r="LSF28" i="3" a="1"/>
  <c r="LSF28" i="3" s="1"/>
  <c r="LRS28" i="3" a="1"/>
  <c r="LRS28" i="3" s="1"/>
  <c r="LRF28" i="3" a="1"/>
  <c r="LRF28" i="3" s="1"/>
  <c r="LQS28" i="3" a="1"/>
  <c r="LQS28" i="3" s="1"/>
  <c r="LQL28" i="3" a="1"/>
  <c r="LQL28" i="3" s="1"/>
  <c r="LPY28" i="3" a="1"/>
  <c r="LPY28" i="3" s="1"/>
  <c r="LPL28" i="3" a="1"/>
  <c r="LPL28" i="3" s="1"/>
  <c r="LOY28" i="3" a="1"/>
  <c r="LOY28" i="3" s="1"/>
  <c r="LOL28" i="3" a="1"/>
  <c r="LOL28" i="3" s="1"/>
  <c r="LNY28" i="3" a="1"/>
  <c r="LNY28" i="3" s="1"/>
  <c r="LNR28" i="3" a="1"/>
  <c r="LNR28" i="3" s="1"/>
  <c r="LNE28" i="3" a="1"/>
  <c r="LNE28" i="3" s="1"/>
  <c r="LMR28" i="3" a="1"/>
  <c r="LMR28" i="3" s="1"/>
  <c r="LME28" i="3" a="1"/>
  <c r="LME28" i="3" s="1"/>
  <c r="LLR28" i="3" a="1"/>
  <c r="LLR28" i="3" s="1"/>
  <c r="LLE28" i="3" a="1"/>
  <c r="LLE28" i="3" s="1"/>
  <c r="LKX28" i="3" a="1"/>
  <c r="LKX28" i="3" s="1"/>
  <c r="LKR28" i="3" a="1"/>
  <c r="LKR28" i="3" s="1"/>
  <c r="LKL28" i="3" a="1"/>
  <c r="LKL28" i="3" s="1"/>
  <c r="LKF28" i="3" a="1"/>
  <c r="LKF28" i="3" s="1"/>
  <c r="LJZ28" i="3" a="1"/>
  <c r="LJZ28" i="3" s="1"/>
  <c r="LJT28" i="3" a="1"/>
  <c r="LJT28" i="3" s="1"/>
  <c r="LJN28" i="3" a="1"/>
  <c r="LJN28" i="3" s="1"/>
  <c r="LJH28" i="3" a="1"/>
  <c r="LJH28" i="3" s="1"/>
  <c r="LJB28" i="3" a="1"/>
  <c r="LJB28" i="3" s="1"/>
  <c r="LIV28" i="3" a="1"/>
  <c r="LIV28" i="3" s="1"/>
  <c r="LIP28" i="3" a="1"/>
  <c r="LIP28" i="3" s="1"/>
  <c r="LIJ28" i="3" a="1"/>
  <c r="LIJ28" i="3" s="1"/>
  <c r="LID28" i="3" a="1"/>
  <c r="LID28" i="3" s="1"/>
  <c r="LHX28" i="3" a="1"/>
  <c r="LHX28" i="3" s="1"/>
  <c r="LHR28" i="3" a="1"/>
  <c r="LHR28" i="3" s="1"/>
  <c r="LHL28" i="3" a="1"/>
  <c r="LHL28" i="3" s="1"/>
  <c r="LHF28" i="3" a="1"/>
  <c r="LHF28" i="3" s="1"/>
  <c r="LGZ28" i="3" a="1"/>
  <c r="LGZ28" i="3" s="1"/>
  <c r="LGT28" i="3" a="1"/>
  <c r="LGT28" i="3" s="1"/>
  <c r="LGN28" i="3" a="1"/>
  <c r="LGN28" i="3" s="1"/>
  <c r="LGH28" i="3" a="1"/>
  <c r="LGH28" i="3" s="1"/>
  <c r="LGB28" i="3" a="1"/>
  <c r="LGB28" i="3" s="1"/>
  <c r="LFV28" i="3" a="1"/>
  <c r="LFV28" i="3" s="1"/>
  <c r="LFP28" i="3" a="1"/>
  <c r="LFP28" i="3" s="1"/>
  <c r="LFJ28" i="3" a="1"/>
  <c r="LFJ28" i="3" s="1"/>
  <c r="LFD28" i="3" a="1"/>
  <c r="LFD28" i="3" s="1"/>
  <c r="LEX28" i="3" a="1"/>
  <c r="LEX28" i="3" s="1"/>
  <c r="LER28" i="3" a="1"/>
  <c r="LER28" i="3" s="1"/>
  <c r="LEL28" i="3" a="1"/>
  <c r="LEL28" i="3" s="1"/>
  <c r="LEF28" i="3" a="1"/>
  <c r="LEF28" i="3" s="1"/>
  <c r="LDZ28" i="3" a="1"/>
  <c r="LDZ28" i="3" s="1"/>
  <c r="LDT28" i="3" a="1"/>
  <c r="LDT28" i="3" s="1"/>
  <c r="LDN28" i="3" a="1"/>
  <c r="LDN28" i="3" s="1"/>
  <c r="LDH28" i="3" a="1"/>
  <c r="LDH28" i="3" s="1"/>
  <c r="LDB28" i="3" a="1"/>
  <c r="LDB28" i="3" s="1"/>
  <c r="LCV28" i="3" a="1"/>
  <c r="LCV28" i="3" s="1"/>
  <c r="LCP28" i="3" a="1"/>
  <c r="LCP28" i="3" s="1"/>
  <c r="LCJ28" i="3" a="1"/>
  <c r="LCJ28" i="3" s="1"/>
  <c r="LCD28" i="3" a="1"/>
  <c r="LCD28" i="3" s="1"/>
  <c r="LBX28" i="3" a="1"/>
  <c r="LBX28" i="3" s="1"/>
  <c r="LBR28" i="3" a="1"/>
  <c r="LBR28" i="3" s="1"/>
  <c r="LBL28" i="3" a="1"/>
  <c r="LBL28" i="3" s="1"/>
  <c r="LBF28" i="3" a="1"/>
  <c r="LBF28" i="3" s="1"/>
  <c r="LAZ28" i="3" a="1"/>
  <c r="LAZ28" i="3" s="1"/>
  <c r="LAT28" i="3" a="1"/>
  <c r="LAT28" i="3" s="1"/>
  <c r="LAN28" i="3" a="1"/>
  <c r="LAN28" i="3" s="1"/>
  <c r="LAH28" i="3" a="1"/>
  <c r="LAH28" i="3" s="1"/>
  <c r="LAB28" i="3" a="1"/>
  <c r="LAB28" i="3" s="1"/>
  <c r="KZV28" i="3" a="1"/>
  <c r="KZV28" i="3" s="1"/>
  <c r="KZP28" i="3" a="1"/>
  <c r="KZP28" i="3" s="1"/>
  <c r="KZJ28" i="3" a="1"/>
  <c r="KZJ28" i="3" s="1"/>
  <c r="KZD28" i="3" a="1"/>
  <c r="KZD28" i="3" s="1"/>
  <c r="KYX28" i="3" a="1"/>
  <c r="KYX28" i="3" s="1"/>
  <c r="KYR28" i="3" a="1"/>
  <c r="KYR28" i="3" s="1"/>
  <c r="KYL28" i="3" a="1"/>
  <c r="KYL28" i="3" s="1"/>
  <c r="KYF28" i="3" a="1"/>
  <c r="KYF28" i="3" s="1"/>
  <c r="KXZ28" i="3" a="1"/>
  <c r="KXZ28" i="3" s="1"/>
  <c r="KXT28" i="3" a="1"/>
  <c r="KXT28" i="3" s="1"/>
  <c r="KXN28" i="3" a="1"/>
  <c r="KXN28" i="3" s="1"/>
  <c r="KXH28" i="3" a="1"/>
  <c r="KXH28" i="3" s="1"/>
  <c r="KXB28" i="3" a="1"/>
  <c r="KXB28" i="3" s="1"/>
  <c r="KWV28" i="3" a="1"/>
  <c r="KWV28" i="3" s="1"/>
  <c r="KWP28" i="3" a="1"/>
  <c r="KWP28" i="3" s="1"/>
  <c r="KWJ28" i="3" a="1"/>
  <c r="KWJ28" i="3" s="1"/>
  <c r="KWD28" i="3" a="1"/>
  <c r="KWD28" i="3" s="1"/>
  <c r="KVX28" i="3" a="1"/>
  <c r="KVX28" i="3" s="1"/>
  <c r="KVR28" i="3" a="1"/>
  <c r="KVR28" i="3" s="1"/>
  <c r="KVL28" i="3" a="1"/>
  <c r="KVL28" i="3" s="1"/>
  <c r="KVF28" i="3" a="1"/>
  <c r="KVF28" i="3" s="1"/>
  <c r="KUZ28" i="3" a="1"/>
  <c r="KUZ28" i="3" s="1"/>
  <c r="KUT28" i="3" a="1"/>
  <c r="KUT28" i="3" s="1"/>
  <c r="KUN28" i="3" a="1"/>
  <c r="KUN28" i="3" s="1"/>
  <c r="KUH28" i="3" a="1"/>
  <c r="KUH28" i="3" s="1"/>
  <c r="KUB28" i="3" a="1"/>
  <c r="KUB28" i="3" s="1"/>
  <c r="KTV28" i="3" a="1"/>
  <c r="KTV28" i="3" s="1"/>
  <c r="KTP28" i="3" a="1"/>
  <c r="KTP28" i="3" s="1"/>
  <c r="KTJ28" i="3" a="1"/>
  <c r="KTJ28" i="3" s="1"/>
  <c r="KTD28" i="3" a="1"/>
  <c r="KTD28" i="3" s="1"/>
  <c r="KSX28" i="3" a="1"/>
  <c r="KSX28" i="3" s="1"/>
  <c r="KSR28" i="3" a="1"/>
  <c r="KSR28" i="3" s="1"/>
  <c r="KSL28" i="3" a="1"/>
  <c r="KSL28" i="3" s="1"/>
  <c r="KSF28" i="3" a="1"/>
  <c r="KSF28" i="3" s="1"/>
  <c r="KRZ28" i="3" a="1"/>
  <c r="KRZ28" i="3" s="1"/>
  <c r="KRT28" i="3" a="1"/>
  <c r="KRT28" i="3" s="1"/>
  <c r="KRN28" i="3" a="1"/>
  <c r="KRN28" i="3" s="1"/>
  <c r="KRH28" i="3" a="1"/>
  <c r="KRH28" i="3" s="1"/>
  <c r="KRB28" i="3" a="1"/>
  <c r="KRB28" i="3" s="1"/>
  <c r="KQV28" i="3" a="1"/>
  <c r="KQV28" i="3" s="1"/>
  <c r="KQP28" i="3" a="1"/>
  <c r="KQP28" i="3" s="1"/>
  <c r="KQJ28" i="3" a="1"/>
  <c r="KQJ28" i="3" s="1"/>
  <c r="KQD28" i="3" a="1"/>
  <c r="KQD28" i="3" s="1"/>
  <c r="KPX28" i="3" a="1"/>
  <c r="KPX28" i="3" s="1"/>
  <c r="KPR28" i="3" a="1"/>
  <c r="KPR28" i="3" s="1"/>
  <c r="KPL28" i="3" a="1"/>
  <c r="KPL28" i="3" s="1"/>
  <c r="KPF28" i="3" a="1"/>
  <c r="KPF28" i="3" s="1"/>
  <c r="KOZ28" i="3" a="1"/>
  <c r="KOZ28" i="3" s="1"/>
  <c r="KOT28" i="3" a="1"/>
  <c r="KOT28" i="3" s="1"/>
  <c r="KON28" i="3" a="1"/>
  <c r="KON28" i="3" s="1"/>
  <c r="KOH28" i="3" a="1"/>
  <c r="KOH28" i="3" s="1"/>
  <c r="KOB28" i="3" a="1"/>
  <c r="KOB28" i="3" s="1"/>
  <c r="KNV28" i="3" a="1"/>
  <c r="KNV28" i="3" s="1"/>
  <c r="KNP28" i="3" a="1"/>
  <c r="KNP28" i="3" s="1"/>
  <c r="KNJ28" i="3" a="1"/>
  <c r="KNJ28" i="3" s="1"/>
  <c r="KND28" i="3" a="1"/>
  <c r="KND28" i="3" s="1"/>
  <c r="KMX28" i="3" a="1"/>
  <c r="KMX28" i="3" s="1"/>
  <c r="KMR28" i="3" a="1"/>
  <c r="KMR28" i="3" s="1"/>
  <c r="KML28" i="3" a="1"/>
  <c r="KML28" i="3" s="1"/>
  <c r="KMF28" i="3" a="1"/>
  <c r="KMF28" i="3" s="1"/>
  <c r="KLZ28" i="3" a="1"/>
  <c r="KLZ28" i="3" s="1"/>
  <c r="KLT28" i="3" a="1"/>
  <c r="KLT28" i="3" s="1"/>
  <c r="KLN28" i="3" a="1"/>
  <c r="KLN28" i="3" s="1"/>
  <c r="KLH28" i="3" a="1"/>
  <c r="KLH28" i="3" s="1"/>
  <c r="KLB28" i="3" a="1"/>
  <c r="KLB28" i="3" s="1"/>
  <c r="KKV28" i="3" a="1"/>
  <c r="KKV28" i="3" s="1"/>
  <c r="KKP28" i="3" a="1"/>
  <c r="KKP28" i="3" s="1"/>
  <c r="KKJ28" i="3" a="1"/>
  <c r="KKJ28" i="3" s="1"/>
  <c r="KKD28" i="3" a="1"/>
  <c r="KKD28" i="3" s="1"/>
  <c r="KJX28" i="3" a="1"/>
  <c r="KJX28" i="3" s="1"/>
  <c r="KJR28" i="3" a="1"/>
  <c r="KJR28" i="3" s="1"/>
  <c r="KJL28" i="3" a="1"/>
  <c r="KJL28" i="3" s="1"/>
  <c r="KJF28" i="3" a="1"/>
  <c r="KJF28" i="3" s="1"/>
  <c r="KIZ28" i="3" a="1"/>
  <c r="KIZ28" i="3" s="1"/>
  <c r="KIT28" i="3" a="1"/>
  <c r="KIT28" i="3" s="1"/>
  <c r="KIN28" i="3" a="1"/>
  <c r="KIN28" i="3" s="1"/>
  <c r="KIH28" i="3" a="1"/>
  <c r="KIH28" i="3" s="1"/>
  <c r="KIB28" i="3" a="1"/>
  <c r="KIB28" i="3" s="1"/>
  <c r="KHV28" i="3" a="1"/>
  <c r="KHV28" i="3" s="1"/>
  <c r="KHP28" i="3" a="1"/>
  <c r="KHP28" i="3" s="1"/>
  <c r="KHJ28" i="3" a="1"/>
  <c r="KHJ28" i="3" s="1"/>
  <c r="KHD28" i="3" a="1"/>
  <c r="KHD28" i="3" s="1"/>
  <c r="KGX28" i="3" a="1"/>
  <c r="KGX28" i="3" s="1"/>
  <c r="KGR28" i="3" a="1"/>
  <c r="KGR28" i="3" s="1"/>
  <c r="KGL28" i="3" a="1"/>
  <c r="KGL28" i="3" s="1"/>
  <c r="KGF28" i="3" a="1"/>
  <c r="KGF28" i="3" s="1"/>
  <c r="KFZ28" i="3" a="1"/>
  <c r="KFZ28" i="3" s="1"/>
  <c r="KFT28" i="3" a="1"/>
  <c r="KFT28" i="3" s="1"/>
  <c r="KFN28" i="3" a="1"/>
  <c r="KFN28" i="3" s="1"/>
  <c r="KFH28" i="3" a="1"/>
  <c r="KFH28" i="3" s="1"/>
  <c r="KFB28" i="3" a="1"/>
  <c r="KFB28" i="3" s="1"/>
  <c r="KEV28" i="3" a="1"/>
  <c r="KEV28" i="3" s="1"/>
  <c r="KEP28" i="3" a="1"/>
  <c r="KEP28" i="3" s="1"/>
  <c r="KEJ28" i="3" a="1"/>
  <c r="KEJ28" i="3" s="1"/>
  <c r="KED28" i="3" a="1"/>
  <c r="KED28" i="3" s="1"/>
  <c r="KDX28" i="3" a="1"/>
  <c r="KDX28" i="3" s="1"/>
  <c r="KDR28" i="3" a="1"/>
  <c r="KDR28" i="3" s="1"/>
  <c r="KDL28" i="3" a="1"/>
  <c r="KDL28" i="3" s="1"/>
  <c r="KDF28" i="3" a="1"/>
  <c r="KDF28" i="3" s="1"/>
  <c r="KCZ28" i="3" a="1"/>
  <c r="KCZ28" i="3" s="1"/>
  <c r="KCT28" i="3" a="1"/>
  <c r="KCT28" i="3" s="1"/>
  <c r="KCN28" i="3" a="1"/>
  <c r="KCN28" i="3" s="1"/>
  <c r="KCH28" i="3" a="1"/>
  <c r="KCH28" i="3" s="1"/>
  <c r="KCB28" i="3" a="1"/>
  <c r="KCB28" i="3" s="1"/>
  <c r="KBV28" i="3" a="1"/>
  <c r="KBV28" i="3" s="1"/>
  <c r="KBP28" i="3" a="1"/>
  <c r="KBP28" i="3" s="1"/>
  <c r="KBJ28" i="3" a="1"/>
  <c r="KBJ28" i="3" s="1"/>
  <c r="KBD28" i="3" a="1"/>
  <c r="KBD28" i="3" s="1"/>
  <c r="KAX28" i="3" a="1"/>
  <c r="KAX28" i="3" s="1"/>
  <c r="KAR28" i="3" a="1"/>
  <c r="KAR28" i="3" s="1"/>
  <c r="RDG28" i="3" a="1"/>
  <c r="RDG28" i="3" s="1"/>
  <c r="QSK28" i="3" a="1"/>
  <c r="QSK28" i="3" s="1"/>
  <c r="QIY28" i="3" a="1"/>
  <c r="QIY28" i="3" s="1"/>
  <c r="PZM28" i="3" a="1"/>
  <c r="PZM28" i="3" s="1"/>
  <c r="PTD28" i="3" a="1"/>
  <c r="PTD28" i="3" s="1"/>
  <c r="PPO28" i="3" a="1"/>
  <c r="PPO28" i="3" s="1"/>
  <c r="PMY28" i="3" a="1"/>
  <c r="PMY28" i="3" s="1"/>
  <c r="PEK28" i="3" a="1"/>
  <c r="PEK28" i="3" s="1"/>
  <c r="OYE28" i="3" a="1"/>
  <c r="OYE28" i="3" s="1"/>
  <c r="OWM28" i="3" a="1"/>
  <c r="OWM28" i="3" s="1"/>
  <c r="OUY28" i="3" a="1"/>
  <c r="OUY28" i="3" s="1"/>
  <c r="OTD28" i="3" a="1"/>
  <c r="OTD28" i="3" s="1"/>
  <c r="ORV28" i="3" a="1"/>
  <c r="ORV28" i="3" s="1"/>
  <c r="OPF28" i="3" a="1"/>
  <c r="OPF28" i="3" s="1"/>
  <c r="ONX28" i="3" a="1"/>
  <c r="ONX28" i="3" s="1"/>
  <c r="OLH28" i="3" a="1"/>
  <c r="OLH28" i="3" s="1"/>
  <c r="OJS28" i="3" a="1"/>
  <c r="OJS28" i="3" s="1"/>
  <c r="OHJ28" i="3" a="1"/>
  <c r="OHJ28" i="3" s="1"/>
  <c r="OGD28" i="3" a="1"/>
  <c r="OGD28" i="3" s="1"/>
  <c r="ODI28" i="3" a="1"/>
  <c r="ODI28" i="3" s="1"/>
  <c r="OCN28" i="3" a="1"/>
  <c r="OCN28" i="3" s="1"/>
  <c r="OBK28" i="3" a="1"/>
  <c r="OBK28" i="3" s="1"/>
  <c r="OAN28" i="3" a="1"/>
  <c r="OAN28" i="3" s="1"/>
  <c r="NZL28" i="3" a="1"/>
  <c r="NZL28" i="3" s="1"/>
  <c r="NWQ28" i="3" a="1"/>
  <c r="NWQ28" i="3" s="1"/>
  <c r="NVV28" i="3" a="1"/>
  <c r="NVV28" i="3" s="1"/>
  <c r="NUS28" i="3" a="1"/>
  <c r="NUS28" i="3" s="1"/>
  <c r="NTV28" i="3" a="1"/>
  <c r="NTV28" i="3" s="1"/>
  <c r="NSZ28" i="3" a="1"/>
  <c r="NSZ28" i="3" s="1"/>
  <c r="NPY28" i="3" a="1"/>
  <c r="NPY28" i="3" s="1"/>
  <c r="NNN28" i="3" a="1"/>
  <c r="NNN28" i="3" s="1"/>
  <c r="NMT28" i="3" a="1"/>
  <c r="NMT28" i="3" s="1"/>
  <c r="NLU28" i="3" a="1"/>
  <c r="NLU28" i="3" s="1"/>
  <c r="NJJ28" i="3" a="1"/>
  <c r="NJJ28" i="3" s="1"/>
  <c r="NIP28" i="3" a="1"/>
  <c r="NIP28" i="3" s="1"/>
  <c r="NHQ28" i="3" a="1"/>
  <c r="NHQ28" i="3" s="1"/>
  <c r="NFF28" i="3" a="1"/>
  <c r="NFF28" i="3" s="1"/>
  <c r="NCY28" i="3" a="1"/>
  <c r="NCY28" i="3" s="1"/>
  <c r="NBL28" i="3" a="1"/>
  <c r="NBL28" i="3" s="1"/>
  <c r="MZG28" i="3" a="1"/>
  <c r="MZG28" i="3" s="1"/>
  <c r="MXT28" i="3" a="1"/>
  <c r="MXT28" i="3" s="1"/>
  <c r="MTM28" i="3" a="1"/>
  <c r="MTM28" i="3" s="1"/>
  <c r="MTD28" i="3" a="1"/>
  <c r="MTD28" i="3" s="1"/>
  <c r="MSS28" i="3" a="1"/>
  <c r="MSS28" i="3" s="1"/>
  <c r="MSH28" i="3" a="1"/>
  <c r="MSH28" i="3" s="1"/>
  <c r="MQS28" i="3" a="1"/>
  <c r="MQS28" i="3" s="1"/>
  <c r="MQJ28" i="3" a="1"/>
  <c r="MQJ28" i="3" s="1"/>
  <c r="MPY28" i="3" a="1"/>
  <c r="MPY28" i="3" s="1"/>
  <c r="MPN28" i="3" a="1"/>
  <c r="MPN28" i="3" s="1"/>
  <c r="MNY28" i="3" a="1"/>
  <c r="MNY28" i="3" s="1"/>
  <c r="MNP28" i="3" a="1"/>
  <c r="MNP28" i="3" s="1"/>
  <c r="MNE28" i="3" a="1"/>
  <c r="MNE28" i="3" s="1"/>
  <c r="MMT28" i="3" a="1"/>
  <c r="MMT28" i="3" s="1"/>
  <c r="MLE28" i="3" a="1"/>
  <c r="MLE28" i="3" s="1"/>
  <c r="MKV28" i="3" a="1"/>
  <c r="MKV28" i="3" s="1"/>
  <c r="MCD28" i="3" a="1"/>
  <c r="MCD28" i="3" s="1"/>
  <c r="MBO28" i="3" a="1"/>
  <c r="MBO28" i="3" s="1"/>
  <c r="MBG28" i="3" a="1"/>
  <c r="MBG28" i="3" s="1"/>
  <c r="MAT28" i="3" a="1"/>
  <c r="MAT28" i="3" s="1"/>
  <c r="MAG28" i="3" a="1"/>
  <c r="MAG28" i="3" s="1"/>
  <c r="LZT28" i="3" a="1"/>
  <c r="LZT28" i="3" s="1"/>
  <c r="LZG28" i="3" a="1"/>
  <c r="LZG28" i="3" s="1"/>
  <c r="LYZ28" i="3" a="1"/>
  <c r="LYZ28" i="3" s="1"/>
  <c r="LYM28" i="3" a="1"/>
  <c r="LYM28" i="3" s="1"/>
  <c r="LXZ28" i="3" a="1"/>
  <c r="LXZ28" i="3" s="1"/>
  <c r="LXM28" i="3" a="1"/>
  <c r="LXM28" i="3" s="1"/>
  <c r="LWZ28" i="3" a="1"/>
  <c r="LWZ28" i="3" s="1"/>
  <c r="LWM28" i="3" a="1"/>
  <c r="LWM28" i="3" s="1"/>
  <c r="LWF28" i="3" a="1"/>
  <c r="LWF28" i="3" s="1"/>
  <c r="LVS28" i="3" a="1"/>
  <c r="LVS28" i="3" s="1"/>
  <c r="LVF28" i="3" a="1"/>
  <c r="LVF28" i="3" s="1"/>
  <c r="LUS28" i="3" a="1"/>
  <c r="LUS28" i="3" s="1"/>
  <c r="LUF28" i="3" a="1"/>
  <c r="LUF28" i="3" s="1"/>
  <c r="LTS28" i="3" a="1"/>
  <c r="LTS28" i="3" s="1"/>
  <c r="LTL28" i="3" a="1"/>
  <c r="LTL28" i="3" s="1"/>
  <c r="LSY28" i="3" a="1"/>
  <c r="LSY28" i="3" s="1"/>
  <c r="LSL28" i="3" a="1"/>
  <c r="LSL28" i="3" s="1"/>
  <c r="LRY28" i="3" a="1"/>
  <c r="LRY28" i="3" s="1"/>
  <c r="LRL28" i="3" a="1"/>
  <c r="LRL28" i="3" s="1"/>
  <c r="LQY28" i="3" a="1"/>
  <c r="LQY28" i="3" s="1"/>
  <c r="LQR28" i="3" a="1"/>
  <c r="LQR28" i="3" s="1"/>
  <c r="LQE28" i="3" a="1"/>
  <c r="LQE28" i="3" s="1"/>
  <c r="LPR28" i="3" a="1"/>
  <c r="LPR28" i="3" s="1"/>
  <c r="LPE28" i="3" a="1"/>
  <c r="LPE28" i="3" s="1"/>
  <c r="LOR28" i="3" a="1"/>
  <c r="LOR28" i="3" s="1"/>
  <c r="LOE28" i="3" a="1"/>
  <c r="LOE28" i="3" s="1"/>
  <c r="LNX28" i="3" a="1"/>
  <c r="LNX28" i="3" s="1"/>
  <c r="LNK28" i="3" a="1"/>
  <c r="LNK28" i="3" s="1"/>
  <c r="LMX28" i="3" a="1"/>
  <c r="LMX28" i="3" s="1"/>
  <c r="LMK28" i="3" a="1"/>
  <c r="LMK28" i="3" s="1"/>
  <c r="LLX28" i="3" a="1"/>
  <c r="LLX28" i="3" s="1"/>
  <c r="LLK28" i="3" a="1"/>
  <c r="LLK28" i="3" s="1"/>
  <c r="LLD28" i="3" a="1"/>
  <c r="LLD28" i="3" s="1"/>
  <c r="SMS28" i="3" a="1"/>
  <c r="SMS28" i="3" s="1"/>
  <c r="RSC28" i="3" a="1"/>
  <c r="RSC28" i="3" s="1"/>
  <c r="RIU28" i="3" a="1"/>
  <c r="RIU28" i="3" s="1"/>
  <c r="QWK28" i="3" a="1"/>
  <c r="QWK28" i="3" s="1"/>
  <c r="QMY28" i="3" a="1"/>
  <c r="QMY28" i="3" s="1"/>
  <c r="QEY28" i="3" a="1"/>
  <c r="QEY28" i="3" s="1"/>
  <c r="PVS28" i="3" a="1"/>
  <c r="PVS28" i="3" s="1"/>
  <c r="PSE28" i="3" a="1"/>
  <c r="PSE28" i="3" s="1"/>
  <c r="PMX28" i="3" a="1"/>
  <c r="PMX28" i="3" s="1"/>
  <c r="PJI28" i="3" a="1"/>
  <c r="PJI28" i="3" s="1"/>
  <c r="PGS28" i="3" a="1"/>
  <c r="PGS28" i="3" s="1"/>
  <c r="PBW28" i="3" a="1"/>
  <c r="PBW28" i="3" s="1"/>
  <c r="OXZ28" i="3" a="1"/>
  <c r="OXZ28" i="3" s="1"/>
  <c r="OWL28" i="3" a="1"/>
  <c r="OWL28" i="3" s="1"/>
  <c r="OSZ28" i="3" a="1"/>
  <c r="OSZ28" i="3" s="1"/>
  <c r="OQJ28" i="3" a="1"/>
  <c r="OQJ28" i="3" s="1"/>
  <c r="OPB28" i="3" a="1"/>
  <c r="OPB28" i="3" s="1"/>
  <c r="OML28" i="3" a="1"/>
  <c r="OML28" i="3" s="1"/>
  <c r="OLD28" i="3" a="1"/>
  <c r="OLD28" i="3" s="1"/>
  <c r="OIN28" i="3" a="1"/>
  <c r="OIN28" i="3" s="1"/>
  <c r="OGC28" i="3" a="1"/>
  <c r="OGC28" i="3" s="1"/>
  <c r="OFH28" i="3" a="1"/>
  <c r="OFH28" i="3" s="1"/>
  <c r="OEE28" i="3" a="1"/>
  <c r="OEE28" i="3" s="1"/>
  <c r="ODH28" i="3" a="1"/>
  <c r="ODH28" i="3" s="1"/>
  <c r="OCF28" i="3" a="1"/>
  <c r="OCF28" i="3" s="1"/>
  <c r="NZK28" i="3" a="1"/>
  <c r="NZK28" i="3" s="1"/>
  <c r="NYP28" i="3" a="1"/>
  <c r="NYP28" i="3" s="1"/>
  <c r="NXM28" i="3" a="1"/>
  <c r="NXM28" i="3" s="1"/>
  <c r="NWP28" i="3" a="1"/>
  <c r="NWP28" i="3" s="1"/>
  <c r="NVT28" i="3" a="1"/>
  <c r="NVT28" i="3" s="1"/>
  <c r="NSS28" i="3" a="1"/>
  <c r="NSS28" i="3" s="1"/>
  <c r="NRX28" i="3" a="1"/>
  <c r="NRX28" i="3" s="1"/>
  <c r="NRA28" i="3" a="1"/>
  <c r="NRA28" i="3" s="1"/>
  <c r="NPX28" i="3" a="1"/>
  <c r="NPX28" i="3" s="1"/>
  <c r="NPE28" i="3" a="1"/>
  <c r="NPE28" i="3" s="1"/>
  <c r="NNM28" i="3" a="1"/>
  <c r="NNM28" i="3" s="1"/>
  <c r="NMS28" i="3" a="1"/>
  <c r="NMS28" i="3" s="1"/>
  <c r="NLT28" i="3" a="1"/>
  <c r="NLT28" i="3" s="1"/>
  <c r="NLA28" i="3" a="1"/>
  <c r="NLA28" i="3" s="1"/>
  <c r="NJI28" i="3" a="1"/>
  <c r="NJI28" i="3" s="1"/>
  <c r="NIO28" i="3" a="1"/>
  <c r="NIO28" i="3" s="1"/>
  <c r="NHP28" i="3" a="1"/>
  <c r="NHP28" i="3" s="1"/>
  <c r="NGW28" i="3" a="1"/>
  <c r="NGW28" i="3" s="1"/>
  <c r="NFE28" i="3" a="1"/>
  <c r="NFE28" i="3" s="1"/>
  <c r="NEL28" i="3" a="1"/>
  <c r="NEL28" i="3" s="1"/>
  <c r="NDP28" i="3" a="1"/>
  <c r="NDP28" i="3" s="1"/>
  <c r="NCB28" i="3" a="1"/>
  <c r="NCB28" i="3" s="1"/>
  <c r="NBK28" i="3" a="1"/>
  <c r="NBK28" i="3" s="1"/>
  <c r="NAT28" i="3" a="1"/>
  <c r="NAT28" i="3" s="1"/>
  <c r="MZX28" i="3" a="1"/>
  <c r="MZX28" i="3" s="1"/>
  <c r="MYJ28" i="3" a="1"/>
  <c r="MYJ28" i="3" s="1"/>
  <c r="MXS28" i="3" a="1"/>
  <c r="MXS28" i="3" s="1"/>
  <c r="MXB28" i="3" a="1"/>
  <c r="MXB28" i="3" s="1"/>
  <c r="MWF28" i="3" a="1"/>
  <c r="MWF28" i="3" s="1"/>
  <c r="MVR28" i="3" a="1"/>
  <c r="MVR28" i="3" s="1"/>
  <c r="MVC28" i="3" a="1"/>
  <c r="MVC28" i="3" s="1"/>
  <c r="MUQ28" i="3" a="1"/>
  <c r="MUQ28" i="3" s="1"/>
  <c r="MUH28" i="3" a="1"/>
  <c r="MUH28" i="3" s="1"/>
  <c r="MTW28" i="3" a="1"/>
  <c r="MTW28" i="3" s="1"/>
  <c r="MTL28" i="3" a="1"/>
  <c r="MTL28" i="3" s="1"/>
  <c r="MRW28" i="3" a="1"/>
  <c r="MRW28" i="3" s="1"/>
  <c r="MRN28" i="3" a="1"/>
  <c r="MRN28" i="3" s="1"/>
  <c r="MRC28" i="3" a="1"/>
  <c r="MRC28" i="3" s="1"/>
  <c r="MQR28" i="3" a="1"/>
  <c r="MQR28" i="3" s="1"/>
  <c r="MPC28" i="3" a="1"/>
  <c r="MPC28" i="3" s="1"/>
  <c r="MOT28" i="3" a="1"/>
  <c r="MOT28" i="3" s="1"/>
  <c r="MOI28" i="3" a="1"/>
  <c r="MOI28" i="3" s="1"/>
  <c r="MNX28" i="3" a="1"/>
  <c r="MNX28" i="3" s="1"/>
  <c r="MMI28" i="3" a="1"/>
  <c r="MMI28" i="3" s="1"/>
  <c r="MLZ28" i="3" a="1"/>
  <c r="MLZ28" i="3" s="1"/>
  <c r="MLO28" i="3" a="1"/>
  <c r="MLO28" i="3" s="1"/>
  <c r="MLD28" i="3" a="1"/>
  <c r="MLD28" i="3" s="1"/>
  <c r="MKK28" i="3" a="1"/>
  <c r="MKK28" i="3" s="1"/>
  <c r="MKC28" i="3" a="1"/>
  <c r="MKC28" i="3" s="1"/>
  <c r="MJS28" i="3" a="1"/>
  <c r="MJS28" i="3" s="1"/>
  <c r="MJK28" i="3" a="1"/>
  <c r="MJK28" i="3" s="1"/>
  <c r="MJA28" i="3" a="1"/>
  <c r="MJA28" i="3" s="1"/>
  <c r="MIS28" i="3" a="1"/>
  <c r="MIS28" i="3" s="1"/>
  <c r="MII28" i="3" a="1"/>
  <c r="MII28" i="3" s="1"/>
  <c r="MIA28" i="3" a="1"/>
  <c r="MIA28" i="3" s="1"/>
  <c r="MHQ28" i="3" a="1"/>
  <c r="MHQ28" i="3" s="1"/>
  <c r="MHI28" i="3" a="1"/>
  <c r="MHI28" i="3" s="1"/>
  <c r="MGY28" i="3" a="1"/>
  <c r="MGY28" i="3" s="1"/>
  <c r="MGQ28" i="3" a="1"/>
  <c r="MGQ28" i="3" s="1"/>
  <c r="MGG28" i="3" a="1"/>
  <c r="MGG28" i="3" s="1"/>
  <c r="MFY28" i="3" a="1"/>
  <c r="MFY28" i="3" s="1"/>
  <c r="MFO28" i="3" a="1"/>
  <c r="MFO28" i="3" s="1"/>
  <c r="MFG28" i="3" a="1"/>
  <c r="MFG28" i="3" s="1"/>
  <c r="MEW28" i="3" a="1"/>
  <c r="MEW28" i="3" s="1"/>
  <c r="MEO28" i="3" a="1"/>
  <c r="MEO28" i="3" s="1"/>
  <c r="MEE28" i="3" a="1"/>
  <c r="MEE28" i="3" s="1"/>
  <c r="MDW28" i="3" a="1"/>
  <c r="MDW28" i="3" s="1"/>
  <c r="MDM28" i="3" a="1"/>
  <c r="MDM28" i="3" s="1"/>
  <c r="MDE28" i="3" a="1"/>
  <c r="MDE28" i="3" s="1"/>
  <c r="MCU28" i="3" a="1"/>
  <c r="MCU28" i="3" s="1"/>
  <c r="MCM28" i="3" a="1"/>
  <c r="MCM28" i="3" s="1"/>
  <c r="MBV28" i="3" a="1"/>
  <c r="MBV28" i="3" s="1"/>
  <c r="MBN28" i="3" a="1"/>
  <c r="MBN28" i="3" s="1"/>
  <c r="MAZ28" i="3" a="1"/>
  <c r="MAZ28" i="3" s="1"/>
  <c r="MAM28" i="3" a="1"/>
  <c r="MAM28" i="3" s="1"/>
  <c r="LZZ28" i="3" a="1"/>
  <c r="LZZ28" i="3" s="1"/>
  <c r="LZM28" i="3" a="1"/>
  <c r="LZM28" i="3" s="1"/>
  <c r="LZF28" i="3" a="1"/>
  <c r="LZF28" i="3" s="1"/>
  <c r="LYS28" i="3" a="1"/>
  <c r="LYS28" i="3" s="1"/>
  <c r="LYF28" i="3" a="1"/>
  <c r="LYF28" i="3" s="1"/>
  <c r="LXS28" i="3" a="1"/>
  <c r="LXS28" i="3" s="1"/>
  <c r="LXF28" i="3" a="1"/>
  <c r="LXF28" i="3" s="1"/>
  <c r="LWS28" i="3" a="1"/>
  <c r="LWS28" i="3" s="1"/>
  <c r="LWL28" i="3" a="1"/>
  <c r="LWL28" i="3" s="1"/>
  <c r="LVY28" i="3" a="1"/>
  <c r="LVY28" i="3" s="1"/>
  <c r="LVL28" i="3" a="1"/>
  <c r="LVL28" i="3" s="1"/>
  <c r="LUY28" i="3" a="1"/>
  <c r="LUY28" i="3" s="1"/>
  <c r="LUL28" i="3" a="1"/>
  <c r="LUL28" i="3" s="1"/>
  <c r="LTY28" i="3" a="1"/>
  <c r="LTY28" i="3" s="1"/>
  <c r="LTR28" i="3" a="1"/>
  <c r="LTR28" i="3" s="1"/>
  <c r="LTE28" i="3" a="1"/>
  <c r="LTE28" i="3" s="1"/>
  <c r="LSR28" i="3" a="1"/>
  <c r="LSR28" i="3" s="1"/>
  <c r="LSE28" i="3" a="1"/>
  <c r="LSE28" i="3" s="1"/>
  <c r="LRR28" i="3" a="1"/>
  <c r="LRR28" i="3" s="1"/>
  <c r="LRE28" i="3" a="1"/>
  <c r="LRE28" i="3" s="1"/>
  <c r="LQX28" i="3" a="1"/>
  <c r="LQX28" i="3" s="1"/>
  <c r="LQK28" i="3" a="1"/>
  <c r="LQK28" i="3" s="1"/>
  <c r="LPX28" i="3" a="1"/>
  <c r="LPX28" i="3" s="1"/>
  <c r="LPK28" i="3" a="1"/>
  <c r="LPK28" i="3" s="1"/>
  <c r="LOX28" i="3" a="1"/>
  <c r="LOX28" i="3" s="1"/>
  <c r="LOK28" i="3" a="1"/>
  <c r="LOK28" i="3" s="1"/>
  <c r="LOD28" i="3" a="1"/>
  <c r="LOD28" i="3" s="1"/>
  <c r="LNQ28" i="3" a="1"/>
  <c r="LNQ28" i="3" s="1"/>
  <c r="LND28" i="3" a="1"/>
  <c r="LND28" i="3" s="1"/>
  <c r="LMQ28" i="3" a="1"/>
  <c r="LMQ28" i="3" s="1"/>
  <c r="LMD28" i="3" a="1"/>
  <c r="LMD28" i="3" s="1"/>
  <c r="LLQ28" i="3" a="1"/>
  <c r="LLQ28" i="3" s="1"/>
  <c r="LLJ28" i="3" a="1"/>
  <c r="LLJ28" i="3" s="1"/>
  <c r="LKW28" i="3" a="1"/>
  <c r="LKW28" i="3" s="1"/>
  <c r="LKQ28" i="3" a="1"/>
  <c r="LKQ28" i="3" s="1"/>
  <c r="LKK28" i="3" a="1"/>
  <c r="LKK28" i="3" s="1"/>
  <c r="LKE28" i="3" a="1"/>
  <c r="LKE28" i="3" s="1"/>
  <c r="LJY28" i="3" a="1"/>
  <c r="LJY28" i="3" s="1"/>
  <c r="LJS28" i="3" a="1"/>
  <c r="LJS28" i="3" s="1"/>
  <c r="LJM28" i="3" a="1"/>
  <c r="LJM28" i="3" s="1"/>
  <c r="LJG28" i="3" a="1"/>
  <c r="LJG28" i="3" s="1"/>
  <c r="LJA28" i="3" a="1"/>
  <c r="LJA28" i="3" s="1"/>
  <c r="LIU28" i="3" a="1"/>
  <c r="LIU28" i="3" s="1"/>
  <c r="LIO28" i="3" a="1"/>
  <c r="LIO28" i="3" s="1"/>
  <c r="LII28" i="3" a="1"/>
  <c r="LII28" i="3" s="1"/>
  <c r="LIC28" i="3" a="1"/>
  <c r="LIC28" i="3" s="1"/>
  <c r="LHW28" i="3" a="1"/>
  <c r="LHW28" i="3" s="1"/>
  <c r="LHQ28" i="3" a="1"/>
  <c r="LHQ28" i="3" s="1"/>
  <c r="LHK28" i="3" a="1"/>
  <c r="LHK28" i="3" s="1"/>
  <c r="LHE28" i="3" a="1"/>
  <c r="LHE28" i="3" s="1"/>
  <c r="LGY28" i="3" a="1"/>
  <c r="LGY28" i="3" s="1"/>
  <c r="LGS28" i="3" a="1"/>
  <c r="LGS28" i="3" s="1"/>
  <c r="LGM28" i="3" a="1"/>
  <c r="LGM28" i="3" s="1"/>
  <c r="LGG28" i="3" a="1"/>
  <c r="LGG28" i="3" s="1"/>
  <c r="LGA28" i="3" a="1"/>
  <c r="LGA28" i="3" s="1"/>
  <c r="LFU28" i="3" a="1"/>
  <c r="LFU28" i="3" s="1"/>
  <c r="LFO28" i="3" a="1"/>
  <c r="LFO28" i="3" s="1"/>
  <c r="LFI28" i="3" a="1"/>
  <c r="LFI28" i="3" s="1"/>
  <c r="LFC28" i="3" a="1"/>
  <c r="LFC28" i="3" s="1"/>
  <c r="LEW28" i="3" a="1"/>
  <c r="LEW28" i="3" s="1"/>
  <c r="LEQ28" i="3" a="1"/>
  <c r="LEQ28" i="3" s="1"/>
  <c r="LEK28" i="3" a="1"/>
  <c r="LEK28" i="3" s="1"/>
  <c r="LEE28" i="3" a="1"/>
  <c r="LEE28" i="3" s="1"/>
  <c r="LDY28" i="3" a="1"/>
  <c r="LDY28" i="3" s="1"/>
  <c r="LDS28" i="3" a="1"/>
  <c r="LDS28" i="3" s="1"/>
  <c r="LDM28" i="3" a="1"/>
  <c r="LDM28" i="3" s="1"/>
  <c r="LDG28" i="3" a="1"/>
  <c r="LDG28" i="3" s="1"/>
  <c r="LDA28" i="3" a="1"/>
  <c r="LDA28" i="3" s="1"/>
  <c r="LCU28" i="3" a="1"/>
  <c r="LCU28" i="3" s="1"/>
  <c r="LCO28" i="3" a="1"/>
  <c r="LCO28" i="3" s="1"/>
  <c r="LCI28" i="3" a="1"/>
  <c r="LCI28" i="3" s="1"/>
  <c r="LCC28" i="3" a="1"/>
  <c r="LCC28" i="3" s="1"/>
  <c r="LBW28" i="3" a="1"/>
  <c r="LBW28" i="3" s="1"/>
  <c r="LBQ28" i="3" a="1"/>
  <c r="LBQ28" i="3" s="1"/>
  <c r="LBK28" i="3" a="1"/>
  <c r="LBK28" i="3" s="1"/>
  <c r="LBE28" i="3" a="1"/>
  <c r="LBE28" i="3" s="1"/>
  <c r="LAY28" i="3" a="1"/>
  <c r="LAY28" i="3" s="1"/>
  <c r="LAS28" i="3" a="1"/>
  <c r="LAS28" i="3" s="1"/>
  <c r="LAM28" i="3" a="1"/>
  <c r="LAM28" i="3" s="1"/>
  <c r="LAG28" i="3" a="1"/>
  <c r="LAG28" i="3" s="1"/>
  <c r="LAA28" i="3" a="1"/>
  <c r="LAA28" i="3" s="1"/>
  <c r="KZU28" i="3" a="1"/>
  <c r="KZU28" i="3" s="1"/>
  <c r="KZO28" i="3" a="1"/>
  <c r="KZO28" i="3" s="1"/>
  <c r="KZI28" i="3" a="1"/>
  <c r="KZI28" i="3" s="1"/>
  <c r="KZC28" i="3" a="1"/>
  <c r="KZC28" i="3" s="1"/>
  <c r="KYW28" i="3" a="1"/>
  <c r="KYW28" i="3" s="1"/>
  <c r="KYQ28" i="3" a="1"/>
  <c r="KYQ28" i="3" s="1"/>
  <c r="KYK28" i="3" a="1"/>
  <c r="KYK28" i="3" s="1"/>
  <c r="KYE28" i="3" a="1"/>
  <c r="KYE28" i="3" s="1"/>
  <c r="KXY28" i="3" a="1"/>
  <c r="KXY28" i="3" s="1"/>
  <c r="KXS28" i="3" a="1"/>
  <c r="KXS28" i="3" s="1"/>
  <c r="KXM28" i="3" a="1"/>
  <c r="KXM28" i="3" s="1"/>
  <c r="KXG28" i="3" a="1"/>
  <c r="KXG28" i="3" s="1"/>
  <c r="KXA28" i="3" a="1"/>
  <c r="KXA28" i="3" s="1"/>
  <c r="KWU28" i="3" a="1"/>
  <c r="KWU28" i="3" s="1"/>
  <c r="KWO28" i="3" a="1"/>
  <c r="KWO28" i="3" s="1"/>
  <c r="KWI28" i="3" a="1"/>
  <c r="KWI28" i="3" s="1"/>
  <c r="KWC28" i="3" a="1"/>
  <c r="KWC28" i="3" s="1"/>
  <c r="KVW28" i="3" a="1"/>
  <c r="KVW28" i="3" s="1"/>
  <c r="KVQ28" i="3" a="1"/>
  <c r="KVQ28" i="3" s="1"/>
  <c r="KVK28" i="3" a="1"/>
  <c r="KVK28" i="3" s="1"/>
  <c r="KVE28" i="3" a="1"/>
  <c r="KVE28" i="3" s="1"/>
  <c r="KUY28" i="3" a="1"/>
  <c r="KUY28" i="3" s="1"/>
  <c r="KUS28" i="3" a="1"/>
  <c r="KUS28" i="3" s="1"/>
  <c r="KUM28" i="3" a="1"/>
  <c r="KUM28" i="3" s="1"/>
  <c r="KUG28" i="3" a="1"/>
  <c r="KUG28" i="3" s="1"/>
  <c r="KUA28" i="3" a="1"/>
  <c r="KUA28" i="3" s="1"/>
  <c r="KTU28" i="3" a="1"/>
  <c r="KTU28" i="3" s="1"/>
  <c r="KTO28" i="3" a="1"/>
  <c r="KTO28" i="3" s="1"/>
  <c r="KTI28" i="3" a="1"/>
  <c r="KTI28" i="3" s="1"/>
  <c r="KTC28" i="3" a="1"/>
  <c r="KTC28" i="3" s="1"/>
  <c r="KSW28" i="3" a="1"/>
  <c r="KSW28" i="3" s="1"/>
  <c r="KSQ28" i="3" a="1"/>
  <c r="KSQ28" i="3" s="1"/>
  <c r="KSK28" i="3" a="1"/>
  <c r="KSK28" i="3" s="1"/>
  <c r="KSE28" i="3" a="1"/>
  <c r="KSE28" i="3" s="1"/>
  <c r="KRY28" i="3" a="1"/>
  <c r="KRY28" i="3" s="1"/>
  <c r="KRS28" i="3" a="1"/>
  <c r="KRS28" i="3" s="1"/>
  <c r="KRM28" i="3" a="1"/>
  <c r="KRM28" i="3" s="1"/>
  <c r="KRG28" i="3" a="1"/>
  <c r="KRG28" i="3" s="1"/>
  <c r="KRA28" i="3" a="1"/>
  <c r="KRA28" i="3" s="1"/>
  <c r="KQU28" i="3" a="1"/>
  <c r="KQU28" i="3" s="1"/>
  <c r="KQO28" i="3" a="1"/>
  <c r="KQO28" i="3" s="1"/>
  <c r="KQI28" i="3" a="1"/>
  <c r="KQI28" i="3" s="1"/>
  <c r="KQC28" i="3" a="1"/>
  <c r="KQC28" i="3" s="1"/>
  <c r="KPW28" i="3" a="1"/>
  <c r="KPW28" i="3" s="1"/>
  <c r="KPQ28" i="3" a="1"/>
  <c r="KPQ28" i="3" s="1"/>
  <c r="KPK28" i="3" a="1"/>
  <c r="KPK28" i="3" s="1"/>
  <c r="KPE28" i="3" a="1"/>
  <c r="KPE28" i="3" s="1"/>
  <c r="KOY28" i="3" a="1"/>
  <c r="KOY28" i="3" s="1"/>
  <c r="KOS28" i="3" a="1"/>
  <c r="KOS28" i="3" s="1"/>
  <c r="KOM28" i="3" a="1"/>
  <c r="KOM28" i="3" s="1"/>
  <c r="KOG28" i="3" a="1"/>
  <c r="KOG28" i="3" s="1"/>
  <c r="KOA28" i="3" a="1"/>
  <c r="KOA28" i="3" s="1"/>
  <c r="KNU28" i="3" a="1"/>
  <c r="KNU28" i="3" s="1"/>
  <c r="KNO28" i="3" a="1"/>
  <c r="KNO28" i="3" s="1"/>
  <c r="KNI28" i="3" a="1"/>
  <c r="KNI28" i="3" s="1"/>
  <c r="KNC28" i="3" a="1"/>
  <c r="KNC28" i="3" s="1"/>
  <c r="KMW28" i="3" a="1"/>
  <c r="KMW28" i="3" s="1"/>
  <c r="KMQ28" i="3" a="1"/>
  <c r="KMQ28" i="3" s="1"/>
  <c r="KMK28" i="3" a="1"/>
  <c r="KMK28" i="3" s="1"/>
  <c r="KME28" i="3" a="1"/>
  <c r="KME28" i="3" s="1"/>
  <c r="KLY28" i="3" a="1"/>
  <c r="KLY28" i="3" s="1"/>
  <c r="KLS28" i="3" a="1"/>
  <c r="KLS28" i="3" s="1"/>
  <c r="KLM28" i="3" a="1"/>
  <c r="KLM28" i="3" s="1"/>
  <c r="KLG28" i="3" a="1"/>
  <c r="KLG28" i="3" s="1"/>
  <c r="KLA28" i="3" a="1"/>
  <c r="KLA28" i="3" s="1"/>
  <c r="KKU28" i="3" a="1"/>
  <c r="KKU28" i="3" s="1"/>
  <c r="KKO28" i="3" a="1"/>
  <c r="KKO28" i="3" s="1"/>
  <c r="KKI28" i="3" a="1"/>
  <c r="KKI28" i="3" s="1"/>
  <c r="KKC28" i="3" a="1"/>
  <c r="KKC28" i="3" s="1"/>
  <c r="KJW28" i="3" a="1"/>
  <c r="KJW28" i="3" s="1"/>
  <c r="KJQ28" i="3" a="1"/>
  <c r="KJQ28" i="3" s="1"/>
  <c r="KJK28" i="3" a="1"/>
  <c r="KJK28" i="3" s="1"/>
  <c r="KJE28" i="3" a="1"/>
  <c r="KJE28" i="3" s="1"/>
  <c r="KIY28" i="3" a="1"/>
  <c r="KIY28" i="3" s="1"/>
  <c r="KIS28" i="3" a="1"/>
  <c r="KIS28" i="3" s="1"/>
  <c r="KIM28" i="3" a="1"/>
  <c r="KIM28" i="3" s="1"/>
  <c r="KIG28" i="3" a="1"/>
  <c r="KIG28" i="3" s="1"/>
  <c r="KIA28" i="3" a="1"/>
  <c r="KIA28" i="3" s="1"/>
  <c r="KHU28" i="3" a="1"/>
  <c r="KHU28" i="3" s="1"/>
  <c r="KHO28" i="3" a="1"/>
  <c r="KHO28" i="3" s="1"/>
  <c r="KHI28" i="3" a="1"/>
  <c r="KHI28" i="3" s="1"/>
  <c r="KHC28" i="3" a="1"/>
  <c r="KHC28" i="3" s="1"/>
  <c r="KGW28" i="3" a="1"/>
  <c r="KGW28" i="3" s="1"/>
  <c r="KGQ28" i="3" a="1"/>
  <c r="KGQ28" i="3" s="1"/>
  <c r="KGK28" i="3" a="1"/>
  <c r="KGK28" i="3" s="1"/>
  <c r="KGE28" i="3" a="1"/>
  <c r="KGE28" i="3" s="1"/>
  <c r="KFY28" i="3" a="1"/>
  <c r="KFY28" i="3" s="1"/>
  <c r="KFS28" i="3" a="1"/>
  <c r="KFS28" i="3" s="1"/>
  <c r="KFM28" i="3" a="1"/>
  <c r="KFM28" i="3" s="1"/>
  <c r="KFG28" i="3" a="1"/>
  <c r="KFG28" i="3" s="1"/>
  <c r="KFA28" i="3" a="1"/>
  <c r="KFA28" i="3" s="1"/>
  <c r="KEU28" i="3" a="1"/>
  <c r="KEU28" i="3" s="1"/>
  <c r="KEO28" i="3" a="1"/>
  <c r="KEO28" i="3" s="1"/>
  <c r="KEI28" i="3" a="1"/>
  <c r="KEI28" i="3" s="1"/>
  <c r="KEC28" i="3" a="1"/>
  <c r="KEC28" i="3" s="1"/>
  <c r="KDW28" i="3" a="1"/>
  <c r="KDW28" i="3" s="1"/>
  <c r="KDQ28" i="3" a="1"/>
  <c r="KDQ28" i="3" s="1"/>
  <c r="KDK28" i="3" a="1"/>
  <c r="KDK28" i="3" s="1"/>
  <c r="RRV28" i="3" a="1"/>
  <c r="RRV28" i="3" s="1"/>
  <c r="RBD28" i="3" a="1"/>
  <c r="RBD28" i="3" s="1"/>
  <c r="QWI28" i="3" a="1"/>
  <c r="QWI28" i="3" s="1"/>
  <c r="QRS28" i="3" a="1"/>
  <c r="QRS28" i="3" s="1"/>
  <c r="QMW28" i="3" a="1"/>
  <c r="QMW28" i="3" s="1"/>
  <c r="QDK28" i="3" a="1"/>
  <c r="QDK28" i="3" s="1"/>
  <c r="PSD28" i="3" a="1"/>
  <c r="PSD28" i="3" s="1"/>
  <c r="PPM28" i="3" a="1"/>
  <c r="PPM28" i="3" s="1"/>
  <c r="PLY28" i="3" a="1"/>
  <c r="PLY28" i="3" s="1"/>
  <c r="PDS28" i="3" a="1"/>
  <c r="PDS28" i="3" s="1"/>
  <c r="OWK28" i="3" a="1"/>
  <c r="OWK28" i="3" s="1"/>
  <c r="OUJ28" i="3" a="1"/>
  <c r="OUJ28" i="3" s="1"/>
  <c r="ORN28" i="3" a="1"/>
  <c r="ORN28" i="3" s="1"/>
  <c r="OQF28" i="3" a="1"/>
  <c r="OQF28" i="3" s="1"/>
  <c r="ONP28" i="3" a="1"/>
  <c r="ONP28" i="3" s="1"/>
  <c r="OMH28" i="3" a="1"/>
  <c r="OMH28" i="3" s="1"/>
  <c r="OJR28" i="3" a="1"/>
  <c r="OJR28" i="3" s="1"/>
  <c r="OIJ28" i="3" a="1"/>
  <c r="OIJ28" i="3" s="1"/>
  <c r="OGY28" i="3" a="1"/>
  <c r="OGY28" i="3" s="1"/>
  <c r="OGB28" i="3" a="1"/>
  <c r="OGB28" i="3" s="1"/>
  <c r="OEZ28" i="3" a="1"/>
  <c r="OEZ28" i="3" s="1"/>
  <c r="OCE28" i="3" a="1"/>
  <c r="OCE28" i="3" s="1"/>
  <c r="OBJ28" i="3" a="1"/>
  <c r="OBJ28" i="3" s="1"/>
  <c r="OAG28" i="3" a="1"/>
  <c r="OAG28" i="3" s="1"/>
  <c r="NZJ28" i="3" a="1"/>
  <c r="NZJ28" i="3" s="1"/>
  <c r="NYN28" i="3" a="1"/>
  <c r="NYN28" i="3" s="1"/>
  <c r="NVM28" i="3" a="1"/>
  <c r="NVM28" i="3" s="1"/>
  <c r="NUR28" i="3" a="1"/>
  <c r="NUR28" i="3" s="1"/>
  <c r="NTU28" i="3" a="1"/>
  <c r="NTU28" i="3" s="1"/>
  <c r="NSR28" i="3" a="1"/>
  <c r="NSR28" i="3" s="1"/>
  <c r="NRV28" i="3" a="1"/>
  <c r="NRV28" i="3" s="1"/>
  <c r="NOF28" i="3" a="1"/>
  <c r="NOF28" i="3" s="1"/>
  <c r="NNL28" i="3" a="1"/>
  <c r="NNL28" i="3" s="1"/>
  <c r="NMM28" i="3" a="1"/>
  <c r="NMM28" i="3" s="1"/>
  <c r="NKB28" i="3" a="1"/>
  <c r="NKB28" i="3" s="1"/>
  <c r="NJH28" i="3" a="1"/>
  <c r="NJH28" i="3" s="1"/>
  <c r="NII28" i="3" a="1"/>
  <c r="NII28" i="3" s="1"/>
  <c r="NFX28" i="3" a="1"/>
  <c r="NFX28" i="3" s="1"/>
  <c r="NFD28" i="3" a="1"/>
  <c r="NFD28" i="3" s="1"/>
  <c r="NDO28" i="3" a="1"/>
  <c r="NDO28" i="3" s="1"/>
  <c r="NCX28" i="3" a="1"/>
  <c r="NCX28" i="3" s="1"/>
  <c r="NBJ28" i="3" a="1"/>
  <c r="NBJ28" i="3" s="1"/>
  <c r="MZW28" i="3" a="1"/>
  <c r="MZW28" i="3" s="1"/>
  <c r="MZF28" i="3" a="1"/>
  <c r="MZF28" i="3" s="1"/>
  <c r="MXR28" i="3" a="1"/>
  <c r="MXR28" i="3" s="1"/>
  <c r="MWE28" i="3" a="1"/>
  <c r="MWE28" i="3" s="1"/>
  <c r="MUP28" i="3" a="1"/>
  <c r="MUP28" i="3" s="1"/>
  <c r="MTA28" i="3" a="1"/>
  <c r="MTA28" i="3" s="1"/>
  <c r="MSR28" i="3" a="1"/>
  <c r="MSR28" i="3" s="1"/>
  <c r="MSG28" i="3" a="1"/>
  <c r="MSG28" i="3" s="1"/>
  <c r="MRV28" i="3" a="1"/>
  <c r="MRV28" i="3" s="1"/>
  <c r="MQG28" i="3" a="1"/>
  <c r="MQG28" i="3" s="1"/>
  <c r="MPX28" i="3" a="1"/>
  <c r="MPX28" i="3" s="1"/>
  <c r="MPM28" i="3" a="1"/>
  <c r="MPM28" i="3" s="1"/>
  <c r="MPB28" i="3" a="1"/>
  <c r="MPB28" i="3" s="1"/>
  <c r="MNM28" i="3" a="1"/>
  <c r="MNM28" i="3" s="1"/>
  <c r="MND28" i="3" a="1"/>
  <c r="MND28" i="3" s="1"/>
  <c r="MMS28" i="3" a="1"/>
  <c r="MMS28" i="3" s="1"/>
  <c r="MMH28" i="3" a="1"/>
  <c r="MMH28" i="3" s="1"/>
  <c r="MKS28" i="3" a="1"/>
  <c r="MKS28" i="3" s="1"/>
  <c r="MKA28" i="3" a="1"/>
  <c r="MKA28" i="3" s="1"/>
  <c r="MJI28" i="3" a="1"/>
  <c r="MJI28" i="3" s="1"/>
  <c r="MIQ28" i="3" a="1"/>
  <c r="MIQ28" i="3" s="1"/>
  <c r="MHY28" i="3" a="1"/>
  <c r="MHY28" i="3" s="1"/>
  <c r="MHG28" i="3" a="1"/>
  <c r="MHG28" i="3" s="1"/>
  <c r="MGO28" i="3" a="1"/>
  <c r="MGO28" i="3" s="1"/>
  <c r="MFW28" i="3" a="1"/>
  <c r="MFW28" i="3" s="1"/>
  <c r="MFE28" i="3" a="1"/>
  <c r="MFE28" i="3" s="1"/>
  <c r="MEM28" i="3" a="1"/>
  <c r="MEM28" i="3" s="1"/>
  <c r="MDU28" i="3" a="1"/>
  <c r="MDU28" i="3" s="1"/>
  <c r="MDC28" i="3" a="1"/>
  <c r="MDC28" i="3" s="1"/>
  <c r="MCK28" i="3" a="1"/>
  <c r="MCK28" i="3" s="1"/>
  <c r="MCC28" i="3" a="1"/>
  <c r="MCC28" i="3" s="1"/>
  <c r="MBM28" i="3" a="1"/>
  <c r="MBM28" i="3" s="1"/>
  <c r="MBF28" i="3" a="1"/>
  <c r="MBF28" i="3" s="1"/>
  <c r="MAS28" i="3" a="1"/>
  <c r="MAS28" i="3" s="1"/>
  <c r="MAF28" i="3" a="1"/>
  <c r="MAF28" i="3" s="1"/>
  <c r="LZS28" i="3" a="1"/>
  <c r="LZS28" i="3" s="1"/>
  <c r="LZL28" i="3" a="1"/>
  <c r="LZL28" i="3" s="1"/>
  <c r="LYY28" i="3" a="1"/>
  <c r="LYY28" i="3" s="1"/>
  <c r="LYL28" i="3" a="1"/>
  <c r="LYL28" i="3" s="1"/>
  <c r="LXY28" i="3" a="1"/>
  <c r="LXY28" i="3" s="1"/>
  <c r="LXL28" i="3" a="1"/>
  <c r="LXL28" i="3" s="1"/>
  <c r="LWY28" i="3" a="1"/>
  <c r="LWY28" i="3" s="1"/>
  <c r="LWR28" i="3" a="1"/>
  <c r="LWR28" i="3" s="1"/>
  <c r="LWE28" i="3" a="1"/>
  <c r="LWE28" i="3" s="1"/>
  <c r="LVR28" i="3" a="1"/>
  <c r="LVR28" i="3" s="1"/>
  <c r="LVE28" i="3" a="1"/>
  <c r="LVE28" i="3" s="1"/>
  <c r="LUR28" i="3" a="1"/>
  <c r="LUR28" i="3" s="1"/>
  <c r="LUE28" i="3" a="1"/>
  <c r="LUE28" i="3" s="1"/>
  <c r="LTX28" i="3" a="1"/>
  <c r="LTX28" i="3" s="1"/>
  <c r="LTK28" i="3" a="1"/>
  <c r="LTK28" i="3" s="1"/>
  <c r="LSX28" i="3" a="1"/>
  <c r="LSX28" i="3" s="1"/>
  <c r="LSK28" i="3" a="1"/>
  <c r="LSK28" i="3" s="1"/>
  <c r="LRX28" i="3" a="1"/>
  <c r="LRX28" i="3" s="1"/>
  <c r="LRK28" i="3" a="1"/>
  <c r="LRK28" i="3" s="1"/>
  <c r="LRD28" i="3" a="1"/>
  <c r="LRD28" i="3" s="1"/>
  <c r="LQQ28" i="3" a="1"/>
  <c r="LQQ28" i="3" s="1"/>
  <c r="LQD28" i="3" a="1"/>
  <c r="LQD28" i="3" s="1"/>
  <c r="LPQ28" i="3" a="1"/>
  <c r="LPQ28" i="3" s="1"/>
  <c r="LPD28" i="3" a="1"/>
  <c r="LPD28" i="3" s="1"/>
  <c r="LOQ28" i="3" a="1"/>
  <c r="LOQ28" i="3" s="1"/>
  <c r="LOJ28" i="3" a="1"/>
  <c r="LOJ28" i="3" s="1"/>
  <c r="LNW28" i="3" a="1"/>
  <c r="LNW28" i="3" s="1"/>
  <c r="LNJ28" i="3" a="1"/>
  <c r="LNJ28" i="3" s="1"/>
  <c r="LMW28" i="3" a="1"/>
  <c r="LMW28" i="3" s="1"/>
  <c r="LMJ28" i="3" a="1"/>
  <c r="LMJ28" i="3" s="1"/>
  <c r="LLW28" i="3" a="1"/>
  <c r="LLW28" i="3" s="1"/>
  <c r="LLP28" i="3" a="1"/>
  <c r="LLP28" i="3" s="1"/>
  <c r="LLC28" i="3" a="1"/>
  <c r="LLC28" i="3" s="1"/>
  <c r="RHV28" i="3" a="1"/>
  <c r="RHV28" i="3" s="1"/>
  <c r="RBA28" i="3" a="1"/>
  <c r="RBA28" i="3" s="1"/>
  <c r="QVS28" i="3" a="1"/>
  <c r="QVS28" i="3" s="1"/>
  <c r="QQW28" i="3" a="1"/>
  <c r="QQW28" i="3" s="1"/>
  <c r="PZK28" i="3" a="1"/>
  <c r="PZK28" i="3" s="1"/>
  <c r="PSC28" i="3" a="1"/>
  <c r="PSC28" i="3" s="1"/>
  <c r="PLX28" i="3" a="1"/>
  <c r="PLX28" i="3" s="1"/>
  <c r="PJG28" i="3" a="1"/>
  <c r="PJG28" i="3" s="1"/>
  <c r="PBV28" i="3" a="1"/>
  <c r="PBV28" i="3" s="1"/>
  <c r="OZM28" i="3" a="1"/>
  <c r="OZM28" i="3" s="1"/>
  <c r="OXY28" i="3" a="1"/>
  <c r="OXY28" i="3" s="1"/>
  <c r="OVW28" i="3" a="1"/>
  <c r="OVW28" i="3" s="1"/>
  <c r="OUI28" i="3" a="1"/>
  <c r="OUI28" i="3" s="1"/>
  <c r="OSY28" i="3" a="1"/>
  <c r="OSY28" i="3" s="1"/>
  <c r="ORJ28" i="3" a="1"/>
  <c r="ORJ28" i="3" s="1"/>
  <c r="OOT28" i="3" a="1"/>
  <c r="OOT28" i="3" s="1"/>
  <c r="ONL28" i="3" a="1"/>
  <c r="ONL28" i="3" s="1"/>
  <c r="OKV28" i="3" a="1"/>
  <c r="OKV28" i="3" s="1"/>
  <c r="OJN28" i="3" a="1"/>
  <c r="OJN28" i="3" s="1"/>
  <c r="OEY28" i="3" a="1"/>
  <c r="OEY28" i="3" s="1"/>
  <c r="OED28" i="3" a="1"/>
  <c r="OED28" i="3" s="1"/>
  <c r="ODA28" i="3" a="1"/>
  <c r="ODA28" i="3" s="1"/>
  <c r="OCD28" i="3" a="1"/>
  <c r="OCD28" i="3" s="1"/>
  <c r="OBH28" i="3" a="1"/>
  <c r="OBH28" i="3" s="1"/>
  <c r="NYG28" i="3" a="1"/>
  <c r="NYG28" i="3" s="1"/>
  <c r="NXL28" i="3" a="1"/>
  <c r="NXL28" i="3" s="1"/>
  <c r="NWO28" i="3" a="1"/>
  <c r="NWO28" i="3" s="1"/>
  <c r="NVL28" i="3" a="1"/>
  <c r="NVL28" i="3" s="1"/>
  <c r="NUP28" i="3" a="1"/>
  <c r="NUP28" i="3" s="1"/>
  <c r="NRU28" i="3" a="1"/>
  <c r="NRU28" i="3" s="1"/>
  <c r="NQT28" i="3" a="1"/>
  <c r="NQT28" i="3" s="1"/>
  <c r="NPW28" i="3" a="1"/>
  <c r="NPW28" i="3" s="1"/>
  <c r="NOE28" i="3" a="1"/>
  <c r="NOE28" i="3" s="1"/>
  <c r="NNK28" i="3" a="1"/>
  <c r="NNK28" i="3" s="1"/>
  <c r="NML28" i="3" a="1"/>
  <c r="NML28" i="3" s="1"/>
  <c r="NLS28" i="3" a="1"/>
  <c r="NLS28" i="3" s="1"/>
  <c r="NKA28" i="3" a="1"/>
  <c r="NKA28" i="3" s="1"/>
  <c r="NJG28" i="3" a="1"/>
  <c r="NJG28" i="3" s="1"/>
  <c r="NIH28" i="3" a="1"/>
  <c r="NIH28" i="3" s="1"/>
  <c r="NHO28" i="3" a="1"/>
  <c r="NHO28" i="3" s="1"/>
  <c r="NFW28" i="3" a="1"/>
  <c r="NFW28" i="3" s="1"/>
  <c r="NFC28" i="3" a="1"/>
  <c r="NFC28" i="3" s="1"/>
  <c r="NEF28" i="3" a="1"/>
  <c r="NEF28" i="3" s="1"/>
  <c r="NCA28" i="3" a="1"/>
  <c r="NCA28" i="3" s="1"/>
  <c r="NAN28" i="3" a="1"/>
  <c r="NAN28" i="3" s="1"/>
  <c r="MYI28" i="3" a="1"/>
  <c r="MYI28" i="3" s="1"/>
  <c r="MWV28" i="3" a="1"/>
  <c r="MWV28" i="3" s="1"/>
  <c r="MVA28" i="3" a="1"/>
  <c r="MVA28" i="3" s="1"/>
  <c r="MUE28" i="3" a="1"/>
  <c r="MUE28" i="3" s="1"/>
  <c r="MTV28" i="3" a="1"/>
  <c r="MTV28" i="3" s="1"/>
  <c r="MTK28" i="3" a="1"/>
  <c r="MTK28" i="3" s="1"/>
  <c r="MSZ28" i="3" a="1"/>
  <c r="MSZ28" i="3" s="1"/>
  <c r="MRK28" i="3" a="1"/>
  <c r="MRK28" i="3" s="1"/>
  <c r="MRB28" i="3" a="1"/>
  <c r="MRB28" i="3" s="1"/>
  <c r="MQQ28" i="3" a="1"/>
  <c r="MQQ28" i="3" s="1"/>
  <c r="MQF28" i="3" a="1"/>
  <c r="MQF28" i="3" s="1"/>
  <c r="MOQ28" i="3" a="1"/>
  <c r="MOQ28" i="3" s="1"/>
  <c r="MOH28" i="3" a="1"/>
  <c r="MOH28" i="3" s="1"/>
  <c r="MNW28" i="3" a="1"/>
  <c r="MNW28" i="3" s="1"/>
  <c r="MNL28" i="3" a="1"/>
  <c r="MNL28" i="3" s="1"/>
  <c r="MLW28" i="3" a="1"/>
  <c r="MLW28" i="3" s="1"/>
  <c r="MLN28" i="3" a="1"/>
  <c r="MLN28" i="3" s="1"/>
  <c r="MLC28" i="3" a="1"/>
  <c r="MLC28" i="3" s="1"/>
  <c r="MKR28" i="3" a="1"/>
  <c r="MKR28" i="3" s="1"/>
  <c r="MKJ28" i="3" a="1"/>
  <c r="MKJ28" i="3" s="1"/>
  <c r="MJZ28" i="3" a="1"/>
  <c r="MJZ28" i="3" s="1"/>
  <c r="MJR28" i="3" a="1"/>
  <c r="MJR28" i="3" s="1"/>
  <c r="MJH28" i="3" a="1"/>
  <c r="MJH28" i="3" s="1"/>
  <c r="MIZ28" i="3" a="1"/>
  <c r="MIZ28" i="3" s="1"/>
  <c r="MIP28" i="3" a="1"/>
  <c r="MIP28" i="3" s="1"/>
  <c r="MIH28" i="3" a="1"/>
  <c r="MIH28" i="3" s="1"/>
  <c r="MHX28" i="3" a="1"/>
  <c r="MHX28" i="3" s="1"/>
  <c r="MHP28" i="3" a="1"/>
  <c r="MHP28" i="3" s="1"/>
  <c r="MHF28" i="3" a="1"/>
  <c r="MHF28" i="3" s="1"/>
  <c r="MGX28" i="3" a="1"/>
  <c r="MGX28" i="3" s="1"/>
  <c r="MGN28" i="3" a="1"/>
  <c r="MGN28" i="3" s="1"/>
  <c r="MGF28" i="3" a="1"/>
  <c r="MGF28" i="3" s="1"/>
  <c r="MFV28" i="3" a="1"/>
  <c r="MFV28" i="3" s="1"/>
  <c r="MFN28" i="3" a="1"/>
  <c r="MFN28" i="3" s="1"/>
  <c r="MFD28" i="3" a="1"/>
  <c r="MFD28" i="3" s="1"/>
  <c r="MEV28" i="3" a="1"/>
  <c r="MEV28" i="3" s="1"/>
  <c r="MEL28" i="3" a="1"/>
  <c r="MEL28" i="3" s="1"/>
  <c r="MED28" i="3" a="1"/>
  <c r="MED28" i="3" s="1"/>
  <c r="MDT28" i="3" a="1"/>
  <c r="MDT28" i="3" s="1"/>
  <c r="MDL28" i="3" a="1"/>
  <c r="MDL28" i="3" s="1"/>
  <c r="MDB28" i="3" a="1"/>
  <c r="MDB28" i="3" s="1"/>
  <c r="MCT28" i="3" a="1"/>
  <c r="MCT28" i="3" s="1"/>
  <c r="MCJ28" i="3" a="1"/>
  <c r="MCJ28" i="3" s="1"/>
  <c r="MBU28" i="3" a="1"/>
  <c r="MBU28" i="3" s="1"/>
  <c r="MBL28" i="3" a="1"/>
  <c r="MBL28" i="3" s="1"/>
  <c r="MAY28" i="3" a="1"/>
  <c r="MAY28" i="3" s="1"/>
  <c r="MAL28" i="3" a="1"/>
  <c r="MAL28" i="3" s="1"/>
  <c r="LZY28" i="3" a="1"/>
  <c r="LZY28" i="3" s="1"/>
  <c r="LZR28" i="3" a="1"/>
  <c r="LZR28" i="3" s="1"/>
  <c r="LZE28" i="3" a="1"/>
  <c r="LZE28" i="3" s="1"/>
  <c r="LYR28" i="3" a="1"/>
  <c r="LYR28" i="3" s="1"/>
  <c r="LYE28" i="3" a="1"/>
  <c r="LYE28" i="3" s="1"/>
  <c r="LXR28" i="3" a="1"/>
  <c r="LXR28" i="3" s="1"/>
  <c r="LXE28" i="3" a="1"/>
  <c r="LXE28" i="3" s="1"/>
  <c r="LWX28" i="3" a="1"/>
  <c r="LWX28" i="3" s="1"/>
  <c r="LWK28" i="3" a="1"/>
  <c r="LWK28" i="3" s="1"/>
  <c r="LVX28" i="3" a="1"/>
  <c r="LVX28" i="3" s="1"/>
  <c r="LVK28" i="3" a="1"/>
  <c r="LVK28" i="3" s="1"/>
  <c r="LUX28" i="3" a="1"/>
  <c r="LUX28" i="3" s="1"/>
  <c r="LUK28" i="3" a="1"/>
  <c r="LUK28" i="3" s="1"/>
  <c r="LUD28" i="3" a="1"/>
  <c r="LUD28" i="3" s="1"/>
  <c r="LTQ28" i="3" a="1"/>
  <c r="LTQ28" i="3" s="1"/>
  <c r="LTD28" i="3" a="1"/>
  <c r="LTD28" i="3" s="1"/>
  <c r="LSQ28" i="3" a="1"/>
  <c r="LSQ28" i="3" s="1"/>
  <c r="LSD28" i="3" a="1"/>
  <c r="LSD28" i="3" s="1"/>
  <c r="LRQ28" i="3" a="1"/>
  <c r="LRQ28" i="3" s="1"/>
  <c r="LRJ28" i="3" a="1"/>
  <c r="LRJ28" i="3" s="1"/>
  <c r="LQW28" i="3" a="1"/>
  <c r="LQW28" i="3" s="1"/>
  <c r="LQJ28" i="3" a="1"/>
  <c r="LQJ28" i="3" s="1"/>
  <c r="LPW28" i="3" a="1"/>
  <c r="LPW28" i="3" s="1"/>
  <c r="LPJ28" i="3" a="1"/>
  <c r="LPJ28" i="3" s="1"/>
  <c r="LOW28" i="3" a="1"/>
  <c r="LOW28" i="3" s="1"/>
  <c r="LOP28" i="3" a="1"/>
  <c r="LOP28" i="3" s="1"/>
  <c r="LOC28" i="3" a="1"/>
  <c r="LOC28" i="3" s="1"/>
  <c r="LNP28" i="3" a="1"/>
  <c r="LNP28" i="3" s="1"/>
  <c r="LNC28" i="3" a="1"/>
  <c r="LNC28" i="3" s="1"/>
  <c r="LMP28" i="3" a="1"/>
  <c r="LMP28" i="3" s="1"/>
  <c r="LMC28" i="3" a="1"/>
  <c r="LMC28" i="3" s="1"/>
  <c r="LLV28" i="3" a="1"/>
  <c r="LLV28" i="3" s="1"/>
  <c r="LLI28" i="3" a="1"/>
  <c r="LLI28" i="3" s="1"/>
  <c r="LKV28" i="3" a="1"/>
  <c r="LKV28" i="3" s="1"/>
  <c r="LKP28" i="3" a="1"/>
  <c r="LKP28" i="3" s="1"/>
  <c r="LKJ28" i="3" a="1"/>
  <c r="LKJ28" i="3" s="1"/>
  <c r="LKD28" i="3" a="1"/>
  <c r="LKD28" i="3" s="1"/>
  <c r="LJX28" i="3" a="1"/>
  <c r="LJX28" i="3" s="1"/>
  <c r="LJR28" i="3" a="1"/>
  <c r="LJR28" i="3" s="1"/>
  <c r="LJL28" i="3" a="1"/>
  <c r="LJL28" i="3" s="1"/>
  <c r="LJF28" i="3" a="1"/>
  <c r="LJF28" i="3" s="1"/>
  <c r="LIZ28" i="3" a="1"/>
  <c r="LIZ28" i="3" s="1"/>
  <c r="LIT28" i="3" a="1"/>
  <c r="LIT28" i="3" s="1"/>
  <c r="LIN28" i="3" a="1"/>
  <c r="LIN28" i="3" s="1"/>
  <c r="LIH28" i="3" a="1"/>
  <c r="LIH28" i="3" s="1"/>
  <c r="LIB28" i="3" a="1"/>
  <c r="LIB28" i="3" s="1"/>
  <c r="LHV28" i="3" a="1"/>
  <c r="LHV28" i="3" s="1"/>
  <c r="LHP28" i="3" a="1"/>
  <c r="LHP28" i="3" s="1"/>
  <c r="LHJ28" i="3" a="1"/>
  <c r="LHJ28" i="3" s="1"/>
  <c r="LHD28" i="3" a="1"/>
  <c r="LHD28" i="3" s="1"/>
  <c r="LGX28" i="3" a="1"/>
  <c r="LGX28" i="3" s="1"/>
  <c r="LGR28" i="3" a="1"/>
  <c r="LGR28" i="3" s="1"/>
  <c r="LGL28" i="3" a="1"/>
  <c r="LGL28" i="3" s="1"/>
  <c r="LGF28" i="3" a="1"/>
  <c r="LGF28" i="3" s="1"/>
  <c r="LFZ28" i="3" a="1"/>
  <c r="LFZ28" i="3" s="1"/>
  <c r="LFT28" i="3" a="1"/>
  <c r="LFT28" i="3" s="1"/>
  <c r="LFN28" i="3" a="1"/>
  <c r="LFN28" i="3" s="1"/>
  <c r="LFH28" i="3" a="1"/>
  <c r="LFH28" i="3" s="1"/>
  <c r="LFB28" i="3" a="1"/>
  <c r="LFB28" i="3" s="1"/>
  <c r="LEV28" i="3" a="1"/>
  <c r="LEV28" i="3" s="1"/>
  <c r="LEP28" i="3" a="1"/>
  <c r="LEP28" i="3" s="1"/>
  <c r="LEJ28" i="3" a="1"/>
  <c r="LEJ28" i="3" s="1"/>
  <c r="LED28" i="3" a="1"/>
  <c r="LED28" i="3" s="1"/>
  <c r="LDX28" i="3" a="1"/>
  <c r="LDX28" i="3" s="1"/>
  <c r="LDR28" i="3" a="1"/>
  <c r="LDR28" i="3" s="1"/>
  <c r="LDL28" i="3" a="1"/>
  <c r="LDL28" i="3" s="1"/>
  <c r="LDF28" i="3" a="1"/>
  <c r="LDF28" i="3" s="1"/>
  <c r="LCZ28" i="3" a="1"/>
  <c r="LCZ28" i="3" s="1"/>
  <c r="LCT28" i="3" a="1"/>
  <c r="LCT28" i="3" s="1"/>
  <c r="LCN28" i="3" a="1"/>
  <c r="LCN28" i="3" s="1"/>
  <c r="LCH28" i="3" a="1"/>
  <c r="LCH28" i="3" s="1"/>
  <c r="LCB28" i="3" a="1"/>
  <c r="LCB28" i="3" s="1"/>
  <c r="LBV28" i="3" a="1"/>
  <c r="LBV28" i="3" s="1"/>
  <c r="LBP28" i="3" a="1"/>
  <c r="LBP28" i="3" s="1"/>
  <c r="LBJ28" i="3" a="1"/>
  <c r="LBJ28" i="3" s="1"/>
  <c r="LBD28" i="3" a="1"/>
  <c r="LBD28" i="3" s="1"/>
  <c r="LAX28" i="3" a="1"/>
  <c r="LAX28" i="3" s="1"/>
  <c r="LAR28" i="3" a="1"/>
  <c r="LAR28" i="3" s="1"/>
  <c r="LAL28" i="3" a="1"/>
  <c r="LAL28" i="3" s="1"/>
  <c r="LAF28" i="3" a="1"/>
  <c r="LAF28" i="3" s="1"/>
  <c r="KZZ28" i="3" a="1"/>
  <c r="KZZ28" i="3" s="1"/>
  <c r="KZT28" i="3" a="1"/>
  <c r="KZT28" i="3" s="1"/>
  <c r="KZN28" i="3" a="1"/>
  <c r="KZN28" i="3" s="1"/>
  <c r="KZH28" i="3" a="1"/>
  <c r="KZH28" i="3" s="1"/>
  <c r="KZB28" i="3" a="1"/>
  <c r="KZB28" i="3" s="1"/>
  <c r="KYV28" i="3" a="1"/>
  <c r="KYV28" i="3" s="1"/>
  <c r="KYP28" i="3" a="1"/>
  <c r="KYP28" i="3" s="1"/>
  <c r="KYJ28" i="3" a="1"/>
  <c r="KYJ28" i="3" s="1"/>
  <c r="KYD28" i="3" a="1"/>
  <c r="KYD28" i="3" s="1"/>
  <c r="KXX28" i="3" a="1"/>
  <c r="KXX28" i="3" s="1"/>
  <c r="KXR28" i="3" a="1"/>
  <c r="KXR28" i="3" s="1"/>
  <c r="KXL28" i="3" a="1"/>
  <c r="KXL28" i="3" s="1"/>
  <c r="KXF28" i="3" a="1"/>
  <c r="KXF28" i="3" s="1"/>
  <c r="KWZ28" i="3" a="1"/>
  <c r="KWZ28" i="3" s="1"/>
  <c r="KWT28" i="3" a="1"/>
  <c r="KWT28" i="3" s="1"/>
  <c r="KWN28" i="3" a="1"/>
  <c r="KWN28" i="3" s="1"/>
  <c r="KWH28" i="3" a="1"/>
  <c r="KWH28" i="3" s="1"/>
  <c r="KWB28" i="3" a="1"/>
  <c r="KWB28" i="3" s="1"/>
  <c r="KVV28" i="3" a="1"/>
  <c r="KVV28" i="3" s="1"/>
  <c r="KVP28" i="3" a="1"/>
  <c r="KVP28" i="3" s="1"/>
  <c r="KVJ28" i="3" a="1"/>
  <c r="KVJ28" i="3" s="1"/>
  <c r="KVD28" i="3" a="1"/>
  <c r="KVD28" i="3" s="1"/>
  <c r="KUX28" i="3" a="1"/>
  <c r="KUX28" i="3" s="1"/>
  <c r="KUR28" i="3" a="1"/>
  <c r="KUR28" i="3" s="1"/>
  <c r="KUL28" i="3" a="1"/>
  <c r="KUL28" i="3" s="1"/>
  <c r="KUF28" i="3" a="1"/>
  <c r="KUF28" i="3" s="1"/>
  <c r="KTZ28" i="3" a="1"/>
  <c r="KTZ28" i="3" s="1"/>
  <c r="KTT28" i="3" a="1"/>
  <c r="KTT28" i="3" s="1"/>
  <c r="KTN28" i="3" a="1"/>
  <c r="KTN28" i="3" s="1"/>
  <c r="KTH28" i="3" a="1"/>
  <c r="KTH28" i="3" s="1"/>
  <c r="KTB28" i="3" a="1"/>
  <c r="KTB28" i="3" s="1"/>
  <c r="KSV28" i="3" a="1"/>
  <c r="KSV28" i="3" s="1"/>
  <c r="KSP28" i="3" a="1"/>
  <c r="KSP28" i="3" s="1"/>
  <c r="KSJ28" i="3" a="1"/>
  <c r="KSJ28" i="3" s="1"/>
  <c r="KSD28" i="3" a="1"/>
  <c r="KSD28" i="3" s="1"/>
  <c r="KRX28" i="3" a="1"/>
  <c r="KRX28" i="3" s="1"/>
  <c r="KRR28" i="3" a="1"/>
  <c r="KRR28" i="3" s="1"/>
  <c r="KRL28" i="3" a="1"/>
  <c r="KRL28" i="3" s="1"/>
  <c r="KRF28" i="3" a="1"/>
  <c r="KRF28" i="3" s="1"/>
  <c r="KQZ28" i="3" a="1"/>
  <c r="KQZ28" i="3" s="1"/>
  <c r="KQT28" i="3" a="1"/>
  <c r="KQT28" i="3" s="1"/>
  <c r="KQN28" i="3" a="1"/>
  <c r="KQN28" i="3" s="1"/>
  <c r="KQH28" i="3" a="1"/>
  <c r="KQH28" i="3" s="1"/>
  <c r="KQB28" i="3" a="1"/>
  <c r="KQB28" i="3" s="1"/>
  <c r="KPV28" i="3" a="1"/>
  <c r="KPV28" i="3" s="1"/>
  <c r="KPP28" i="3" a="1"/>
  <c r="KPP28" i="3" s="1"/>
  <c r="KPJ28" i="3" a="1"/>
  <c r="KPJ28" i="3" s="1"/>
  <c r="KPD28" i="3" a="1"/>
  <c r="KPD28" i="3" s="1"/>
  <c r="KOX28" i="3" a="1"/>
  <c r="KOX28" i="3" s="1"/>
  <c r="KOR28" i="3" a="1"/>
  <c r="KOR28" i="3" s="1"/>
  <c r="KOL28" i="3" a="1"/>
  <c r="KOL28" i="3" s="1"/>
  <c r="SFA28" i="3" a="1"/>
  <c r="SFA28" i="3" s="1"/>
  <c r="RPS28" i="3" a="1"/>
  <c r="RPS28" i="3" s="1"/>
  <c r="RGO28" i="3" a="1"/>
  <c r="RGO28" i="3" s="1"/>
  <c r="QVQ28" i="3" a="1"/>
  <c r="QVQ28" i="3" s="1"/>
  <c r="QQU28" i="3" a="1"/>
  <c r="QQU28" i="3" s="1"/>
  <c r="QME28" i="3" a="1"/>
  <c r="QME28" i="3" s="1"/>
  <c r="QHI28" i="3" a="1"/>
  <c r="QHI28" i="3" s="1"/>
  <c r="PUR28" i="3" a="1"/>
  <c r="PUR28" i="3" s="1"/>
  <c r="PLW28" i="3" a="1"/>
  <c r="PLW28" i="3" s="1"/>
  <c r="PFU28" i="3" a="1"/>
  <c r="PFU28" i="3" s="1"/>
  <c r="PDR28" i="3" a="1"/>
  <c r="PDR28" i="3" s="1"/>
  <c r="OZL28" i="3" a="1"/>
  <c r="OZL28" i="3" s="1"/>
  <c r="OXX28" i="3" a="1"/>
  <c r="OXX28" i="3" s="1"/>
  <c r="OUH28" i="3" a="1"/>
  <c r="OUH28" i="3" s="1"/>
  <c r="OSN28" i="3" a="1"/>
  <c r="OSN28" i="3" s="1"/>
  <c r="OQE28" i="3" a="1"/>
  <c r="OQE28" i="3" s="1"/>
  <c r="OOP28" i="3" a="1"/>
  <c r="OOP28" i="3" s="1"/>
  <c r="OLZ28" i="3" a="1"/>
  <c r="OLZ28" i="3" s="1"/>
  <c r="OKR28" i="3" a="1"/>
  <c r="OKR28" i="3" s="1"/>
  <c r="OIB28" i="3" a="1"/>
  <c r="OIB28" i="3" s="1"/>
  <c r="OGX28" i="3" a="1"/>
  <c r="OGX28" i="3" s="1"/>
  <c r="OFU28" i="3" a="1"/>
  <c r="OFU28" i="3" s="1"/>
  <c r="OEX28" i="3" a="1"/>
  <c r="OEX28" i="3" s="1"/>
  <c r="OEB28" i="3" a="1"/>
  <c r="OEB28" i="3" s="1"/>
  <c r="OBA28" i="3" a="1"/>
  <c r="OBA28" i="3" s="1"/>
  <c r="OAF28" i="3" a="1"/>
  <c r="OAF28" i="3" s="1"/>
  <c r="NZI28" i="3" a="1"/>
  <c r="NZI28" i="3" s="1"/>
  <c r="NYF28" i="3" a="1"/>
  <c r="NYF28" i="3" s="1"/>
  <c r="NXJ28" i="3" a="1"/>
  <c r="NXJ28" i="3" s="1"/>
  <c r="NUO28" i="3" a="1"/>
  <c r="NUO28" i="3" s="1"/>
  <c r="NTN28" i="3" a="1"/>
  <c r="NTN28" i="3" s="1"/>
  <c r="NSQ28" i="3" a="1"/>
  <c r="NSQ28" i="3" s="1"/>
  <c r="NRN28" i="3" a="1"/>
  <c r="NRN28" i="3" s="1"/>
  <c r="NQR28" i="3" a="1"/>
  <c r="NQR28" i="3" s="1"/>
  <c r="NOX28" i="3" a="1"/>
  <c r="NOX28" i="3" s="1"/>
  <c r="NOD28" i="3" a="1"/>
  <c r="NOD28" i="3" s="1"/>
  <c r="NNE28" i="3" a="1"/>
  <c r="NNE28" i="3" s="1"/>
  <c r="NKT28" i="3" a="1"/>
  <c r="NKT28" i="3" s="1"/>
  <c r="NJZ28" i="3" a="1"/>
  <c r="NJZ28" i="3" s="1"/>
  <c r="NJA28" i="3" a="1"/>
  <c r="NJA28" i="3" s="1"/>
  <c r="NGP28" i="3" a="1"/>
  <c r="NGP28" i="3" s="1"/>
  <c r="NFV28" i="3" a="1"/>
  <c r="NFV28" i="3" s="1"/>
  <c r="NEW28" i="3" a="1"/>
  <c r="NEW28" i="3" s="1"/>
  <c r="NEE28" i="3" a="1"/>
  <c r="NEE28" i="3" s="1"/>
  <c r="NDN28" i="3" a="1"/>
  <c r="NDN28" i="3" s="1"/>
  <c r="NCR28" i="3" a="1"/>
  <c r="NCR28" i="3" s="1"/>
  <c r="NBD28" i="3" a="1"/>
  <c r="NBD28" i="3" s="1"/>
  <c r="NAM28" i="3" a="1"/>
  <c r="NAM28" i="3" s="1"/>
  <c r="MZV28" i="3" a="1"/>
  <c r="MZV28" i="3" s="1"/>
  <c r="MYZ28" i="3" a="1"/>
  <c r="MYZ28" i="3" s="1"/>
  <c r="MXL28" i="3" a="1"/>
  <c r="MXL28" i="3" s="1"/>
  <c r="MWU28" i="3" a="1"/>
  <c r="MWU28" i="3" s="1"/>
  <c r="MWD28" i="3" a="1"/>
  <c r="MWD28" i="3" s="1"/>
  <c r="MVM28" i="3" a="1"/>
  <c r="MVM28" i="3" s="1"/>
  <c r="MUO28" i="3" a="1"/>
  <c r="MUO28" i="3" s="1"/>
  <c r="MUD28" i="3" a="1"/>
  <c r="MUD28" i="3" s="1"/>
  <c r="MSO28" i="3" a="1"/>
  <c r="MSO28" i="3" s="1"/>
  <c r="MSF28" i="3" a="1"/>
  <c r="MSF28" i="3" s="1"/>
  <c r="MRU28" i="3" a="1"/>
  <c r="MRU28" i="3" s="1"/>
  <c r="MRJ28" i="3" a="1"/>
  <c r="MRJ28" i="3" s="1"/>
  <c r="MPU28" i="3" a="1"/>
  <c r="MPU28" i="3" s="1"/>
  <c r="MPL28" i="3" a="1"/>
  <c r="MPL28" i="3" s="1"/>
  <c r="MPA28" i="3" a="1"/>
  <c r="MPA28" i="3" s="1"/>
  <c r="MOP28" i="3" a="1"/>
  <c r="MOP28" i="3" s="1"/>
  <c r="MNA28" i="3" a="1"/>
  <c r="MNA28" i="3" s="1"/>
  <c r="MMR28" i="3" a="1"/>
  <c r="MMR28" i="3" s="1"/>
  <c r="MMG28" i="3" a="1"/>
  <c r="MMG28" i="3" s="1"/>
  <c r="MLV28" i="3" a="1"/>
  <c r="MLV28" i="3" s="1"/>
  <c r="MCB28" i="3" a="1"/>
  <c r="MCB28" i="3" s="1"/>
  <c r="MBT28" i="3" a="1"/>
  <c r="MBT28" i="3" s="1"/>
  <c r="MBE28" i="3" a="1"/>
  <c r="MBE28" i="3" s="1"/>
  <c r="MAR28" i="3" a="1"/>
  <c r="MAR28" i="3" s="1"/>
  <c r="MAE28" i="3" a="1"/>
  <c r="MAE28" i="3" s="1"/>
  <c r="LZX28" i="3" a="1"/>
  <c r="LZX28" i="3" s="1"/>
  <c r="LZK28" i="3" a="1"/>
  <c r="LZK28" i="3" s="1"/>
  <c r="LYX28" i="3" a="1"/>
  <c r="LYX28" i="3" s="1"/>
  <c r="LYK28" i="3" a="1"/>
  <c r="LYK28" i="3" s="1"/>
  <c r="LXX28" i="3" a="1"/>
  <c r="LXX28" i="3" s="1"/>
  <c r="LXK28" i="3" a="1"/>
  <c r="LXK28" i="3" s="1"/>
  <c r="LXD28" i="3" a="1"/>
  <c r="LXD28" i="3" s="1"/>
  <c r="LWQ28" i="3" a="1"/>
  <c r="LWQ28" i="3" s="1"/>
  <c r="LWD28" i="3" a="1"/>
  <c r="LWD28" i="3" s="1"/>
  <c r="LVQ28" i="3" a="1"/>
  <c r="LVQ28" i="3" s="1"/>
  <c r="LVD28" i="3" a="1"/>
  <c r="LVD28" i="3" s="1"/>
  <c r="LUQ28" i="3" a="1"/>
  <c r="LUQ28" i="3" s="1"/>
  <c r="LUJ28" i="3" a="1"/>
  <c r="LUJ28" i="3" s="1"/>
  <c r="LTW28" i="3" a="1"/>
  <c r="LTW28" i="3" s="1"/>
  <c r="LTJ28" i="3" a="1"/>
  <c r="LTJ28" i="3" s="1"/>
  <c r="LSW28" i="3" a="1"/>
  <c r="LSW28" i="3" s="1"/>
  <c r="LSJ28" i="3" a="1"/>
  <c r="LSJ28" i="3" s="1"/>
  <c r="LRW28" i="3" a="1"/>
  <c r="LRW28" i="3" s="1"/>
  <c r="LRP28" i="3" a="1"/>
  <c r="LRP28" i="3" s="1"/>
  <c r="LRC28" i="3" a="1"/>
  <c r="LRC28" i="3" s="1"/>
  <c r="LQP28" i="3" a="1"/>
  <c r="LQP28" i="3" s="1"/>
  <c r="LQC28" i="3" a="1"/>
  <c r="LQC28" i="3" s="1"/>
  <c r="LPP28" i="3" a="1"/>
  <c r="LPP28" i="3" s="1"/>
  <c r="LPC28" i="3" a="1"/>
  <c r="LPC28" i="3" s="1"/>
  <c r="LOV28" i="3" a="1"/>
  <c r="LOV28" i="3" s="1"/>
  <c r="LOI28" i="3" a="1"/>
  <c r="LOI28" i="3" s="1"/>
  <c r="LNV28" i="3" a="1"/>
  <c r="LNV28" i="3" s="1"/>
  <c r="LNI28" i="3" a="1"/>
  <c r="LNI28" i="3" s="1"/>
  <c r="LMV28" i="3" a="1"/>
  <c r="LMV28" i="3" s="1"/>
  <c r="LMI28" i="3" a="1"/>
  <c r="LMI28" i="3" s="1"/>
  <c r="LMB28" i="3" a="1"/>
  <c r="LMB28" i="3" s="1"/>
  <c r="LLO28" i="3" a="1"/>
  <c r="LLO28" i="3" s="1"/>
  <c r="LLB28" i="3" a="1"/>
  <c r="LLB28" i="3" s="1"/>
  <c r="SEZ28" i="3" a="1"/>
  <c r="SEZ28" i="3" s="1"/>
  <c r="RFP28" i="3" a="1"/>
  <c r="RFP28" i="3" s="1"/>
  <c r="QGQ28" i="3" a="1"/>
  <c r="QGQ28" i="3" s="1"/>
  <c r="POL28" i="3" a="1"/>
  <c r="POL28" i="3" s="1"/>
  <c r="PCR28" i="3" a="1"/>
  <c r="PCR28" i="3" s="1"/>
  <c r="OTR28" i="3" a="1"/>
  <c r="OTR28" i="3" s="1"/>
  <c r="OPT28" i="3" a="1"/>
  <c r="OPT28" i="3" s="1"/>
  <c r="OKE28" i="3" a="1"/>
  <c r="OKE28" i="3" s="1"/>
  <c r="OGO28" i="3" a="1"/>
  <c r="OGO28" i="3" s="1"/>
  <c r="OEP28" i="3" a="1"/>
  <c r="OEP28" i="3" s="1"/>
  <c r="OCC28" i="3" a="1"/>
  <c r="OCC28" i="3" s="1"/>
  <c r="NZV28" i="3" a="1"/>
  <c r="NZV28" i="3" s="1"/>
  <c r="NXV28" i="3" a="1"/>
  <c r="NXV28" i="3" s="1"/>
  <c r="NQQ28" i="3" a="1"/>
  <c r="NQQ28" i="3" s="1"/>
  <c r="NOU28" i="3" a="1"/>
  <c r="NOU28" i="3" s="1"/>
  <c r="NKR28" i="3" a="1"/>
  <c r="NKR28" i="3" s="1"/>
  <c r="NGO28" i="3" a="1"/>
  <c r="NGO28" i="3" s="1"/>
  <c r="NEU28" i="3" a="1"/>
  <c r="NEU28" i="3" s="1"/>
  <c r="NBC28" i="3" a="1"/>
  <c r="NBC28" i="3" s="1"/>
  <c r="MZN28" i="3" a="1"/>
  <c r="MZN28" i="3" s="1"/>
  <c r="MUU28" i="3" a="1"/>
  <c r="MUU28" i="3" s="1"/>
  <c r="MTR28" i="3" a="1"/>
  <c r="MTR28" i="3" s="1"/>
  <c r="MQA28" i="3" a="1"/>
  <c r="MQA28" i="3" s="1"/>
  <c r="MOZ28" i="3" a="1"/>
  <c r="MOZ28" i="3" s="1"/>
  <c r="MOC28" i="3" a="1"/>
  <c r="MOC28" i="3" s="1"/>
  <c r="MMZ28" i="3" a="1"/>
  <c r="MMZ28" i="3" s="1"/>
  <c r="MKG28" i="3" a="1"/>
  <c r="MKG28" i="3" s="1"/>
  <c r="MIO28" i="3" a="1"/>
  <c r="MIO28" i="3" s="1"/>
  <c r="MHV28" i="3" a="1"/>
  <c r="MHV28" i="3" s="1"/>
  <c r="MHC28" i="3" a="1"/>
  <c r="MHC28" i="3" s="1"/>
  <c r="MGC28" i="3" a="1"/>
  <c r="MGC28" i="3" s="1"/>
  <c r="MEK28" i="3" a="1"/>
  <c r="MEK28" i="3" s="1"/>
  <c r="MDR28" i="3" a="1"/>
  <c r="MDR28" i="3" s="1"/>
  <c r="MCY28" i="3" a="1"/>
  <c r="MCY28" i="3" s="1"/>
  <c r="MCA28" i="3" a="1"/>
  <c r="MCA28" i="3" s="1"/>
  <c r="MAC28" i="3" a="1"/>
  <c r="MAC28" i="3" s="1"/>
  <c r="LZO28" i="3" a="1"/>
  <c r="LZO28" i="3" s="1"/>
  <c r="LYW28" i="3" a="1"/>
  <c r="LYW28" i="3" s="1"/>
  <c r="LYI28" i="3" a="1"/>
  <c r="LYI28" i="3" s="1"/>
  <c r="LXQ28" i="3" a="1"/>
  <c r="LXQ28" i="3" s="1"/>
  <c r="LVH28" i="3" a="1"/>
  <c r="LVH28" i="3" s="1"/>
  <c r="LUP28" i="3" a="1"/>
  <c r="LUP28" i="3" s="1"/>
  <c r="LUB28" i="3" a="1"/>
  <c r="LUB28" i="3" s="1"/>
  <c r="LTN28" i="3" a="1"/>
  <c r="LTN28" i="3" s="1"/>
  <c r="LSV28" i="3" a="1"/>
  <c r="LSV28" i="3" s="1"/>
  <c r="LPG28" i="3" a="1"/>
  <c r="LPG28" i="3" s="1"/>
  <c r="LOO28" i="3" a="1"/>
  <c r="LOO28" i="3" s="1"/>
  <c r="LOA28" i="3" a="1"/>
  <c r="LOA28" i="3" s="1"/>
  <c r="LNM28" i="3" a="1"/>
  <c r="LNM28" i="3" s="1"/>
  <c r="LMU28" i="3" a="1"/>
  <c r="LMU28" i="3" s="1"/>
  <c r="LKM28" i="3" a="1"/>
  <c r="LKM28" i="3" s="1"/>
  <c r="LIS28" i="3" a="1"/>
  <c r="LIS28" i="3" s="1"/>
  <c r="LIF28" i="3" a="1"/>
  <c r="LIF28" i="3" s="1"/>
  <c r="LHS28" i="3" a="1"/>
  <c r="LHS28" i="3" s="1"/>
  <c r="LFY28" i="3" a="1"/>
  <c r="LFY28" i="3" s="1"/>
  <c r="LFL28" i="3" a="1"/>
  <c r="LFL28" i="3" s="1"/>
  <c r="LEY28" i="3" a="1"/>
  <c r="LEY28" i="3" s="1"/>
  <c r="LDE28" i="3" a="1"/>
  <c r="LDE28" i="3" s="1"/>
  <c r="LCR28" i="3" a="1"/>
  <c r="LCR28" i="3" s="1"/>
  <c r="LCE28" i="3" a="1"/>
  <c r="LCE28" i="3" s="1"/>
  <c r="LAK28" i="3" a="1"/>
  <c r="LAK28" i="3" s="1"/>
  <c r="KZX28" i="3" a="1"/>
  <c r="KZX28" i="3" s="1"/>
  <c r="KZK28" i="3" a="1"/>
  <c r="KZK28" i="3" s="1"/>
  <c r="KXQ28" i="3" a="1"/>
  <c r="KXQ28" i="3" s="1"/>
  <c r="KXD28" i="3" a="1"/>
  <c r="KXD28" i="3" s="1"/>
  <c r="KWQ28" i="3" a="1"/>
  <c r="KWQ28" i="3" s="1"/>
  <c r="KUW28" i="3" a="1"/>
  <c r="KUW28" i="3" s="1"/>
  <c r="KUJ28" i="3" a="1"/>
  <c r="KUJ28" i="3" s="1"/>
  <c r="KTW28" i="3" a="1"/>
  <c r="KTW28" i="3" s="1"/>
  <c r="KSC28" i="3" a="1"/>
  <c r="KSC28" i="3" s="1"/>
  <c r="KRP28" i="3" a="1"/>
  <c r="KRP28" i="3" s="1"/>
  <c r="KRC28" i="3" a="1"/>
  <c r="KRC28" i="3" s="1"/>
  <c r="KPI28" i="3" a="1"/>
  <c r="KPI28" i="3" s="1"/>
  <c r="KOV28" i="3" a="1"/>
  <c r="KOV28" i="3" s="1"/>
  <c r="KOI28" i="3" a="1"/>
  <c r="KOI28" i="3" s="1"/>
  <c r="KNW28" i="3" a="1"/>
  <c r="KNW28" i="3" s="1"/>
  <c r="KNK28" i="3" a="1"/>
  <c r="KNK28" i="3" s="1"/>
  <c r="KMY28" i="3" a="1"/>
  <c r="KMY28" i="3" s="1"/>
  <c r="KMM28" i="3" a="1"/>
  <c r="KMM28" i="3" s="1"/>
  <c r="KMA28" i="3" a="1"/>
  <c r="KMA28" i="3" s="1"/>
  <c r="KLO28" i="3" a="1"/>
  <c r="KLO28" i="3" s="1"/>
  <c r="KLC28" i="3" a="1"/>
  <c r="KLC28" i="3" s="1"/>
  <c r="KKQ28" i="3" a="1"/>
  <c r="KKQ28" i="3" s="1"/>
  <c r="KKE28" i="3" a="1"/>
  <c r="KKE28" i="3" s="1"/>
  <c r="KJS28" i="3" a="1"/>
  <c r="KJS28" i="3" s="1"/>
  <c r="KJG28" i="3" a="1"/>
  <c r="KJG28" i="3" s="1"/>
  <c r="KIU28" i="3" a="1"/>
  <c r="KIU28" i="3" s="1"/>
  <c r="KII28" i="3" a="1"/>
  <c r="KII28" i="3" s="1"/>
  <c r="KHW28" i="3" a="1"/>
  <c r="KHW28" i="3" s="1"/>
  <c r="KHK28" i="3" a="1"/>
  <c r="KHK28" i="3" s="1"/>
  <c r="KGY28" i="3" a="1"/>
  <c r="KGY28" i="3" s="1"/>
  <c r="KGM28" i="3" a="1"/>
  <c r="KGM28" i="3" s="1"/>
  <c r="KGA28" i="3" a="1"/>
  <c r="KGA28" i="3" s="1"/>
  <c r="KFO28" i="3" a="1"/>
  <c r="KFO28" i="3" s="1"/>
  <c r="KFC28" i="3" a="1"/>
  <c r="KFC28" i="3" s="1"/>
  <c r="KEQ28" i="3" a="1"/>
  <c r="KEQ28" i="3" s="1"/>
  <c r="KEE28" i="3" a="1"/>
  <c r="KEE28" i="3" s="1"/>
  <c r="KDS28" i="3" a="1"/>
  <c r="KDS28" i="3" s="1"/>
  <c r="KDG28" i="3" a="1"/>
  <c r="KDG28" i="3" s="1"/>
  <c r="KCV28" i="3" a="1"/>
  <c r="KCV28" i="3" s="1"/>
  <c r="KCK28" i="3" a="1"/>
  <c r="KCK28" i="3" s="1"/>
  <c r="KCA28" i="3" a="1"/>
  <c r="KCA28" i="3" s="1"/>
  <c r="KAV28" i="3" a="1"/>
  <c r="KAV28" i="3" s="1"/>
  <c r="KAM28" i="3" a="1"/>
  <c r="KAM28" i="3" s="1"/>
  <c r="KAC28" i="3" a="1"/>
  <c r="KAC28" i="3" s="1"/>
  <c r="JZU28" i="3" a="1"/>
  <c r="JZU28" i="3" s="1"/>
  <c r="JZK28" i="3" a="1"/>
  <c r="JZK28" i="3" s="1"/>
  <c r="JZC28" i="3" a="1"/>
  <c r="JZC28" i="3" s="1"/>
  <c r="JYS28" i="3" a="1"/>
  <c r="JYS28" i="3" s="1"/>
  <c r="JYK28" i="3" a="1"/>
  <c r="JYK28" i="3" s="1"/>
  <c r="JYA28" i="3" a="1"/>
  <c r="JYA28" i="3" s="1"/>
  <c r="JXS28" i="3" a="1"/>
  <c r="JXS28" i="3" s="1"/>
  <c r="JXI28" i="3" a="1"/>
  <c r="JXI28" i="3" s="1"/>
  <c r="JXA28" i="3" a="1"/>
  <c r="JXA28" i="3" s="1"/>
  <c r="JWQ28" i="3" a="1"/>
  <c r="JWQ28" i="3" s="1"/>
  <c r="JWI28" i="3" a="1"/>
  <c r="JWI28" i="3" s="1"/>
  <c r="JVY28" i="3" a="1"/>
  <c r="JVY28" i="3" s="1"/>
  <c r="JVQ28" i="3" a="1"/>
  <c r="JVQ28" i="3" s="1"/>
  <c r="JVG28" i="3" a="1"/>
  <c r="JVG28" i="3" s="1"/>
  <c r="JUY28" i="3" a="1"/>
  <c r="JUY28" i="3" s="1"/>
  <c r="JUO28" i="3" a="1"/>
  <c r="JUO28" i="3" s="1"/>
  <c r="JUG28" i="3" a="1"/>
  <c r="JUG28" i="3" s="1"/>
  <c r="JTW28" i="3" a="1"/>
  <c r="JTW28" i="3" s="1"/>
  <c r="JTO28" i="3" a="1"/>
  <c r="JTO28" i="3" s="1"/>
  <c r="JTE28" i="3" a="1"/>
  <c r="JTE28" i="3" s="1"/>
  <c r="JSW28" i="3" a="1"/>
  <c r="JSW28" i="3" s="1"/>
  <c r="JSM28" i="3" a="1"/>
  <c r="JSM28" i="3" s="1"/>
  <c r="JSE28" i="3" a="1"/>
  <c r="JSE28" i="3" s="1"/>
  <c r="JRU28" i="3" a="1"/>
  <c r="JRU28" i="3" s="1"/>
  <c r="JRM28" i="3" a="1"/>
  <c r="JRM28" i="3" s="1"/>
  <c r="JRC28" i="3" a="1"/>
  <c r="JRC28" i="3" s="1"/>
  <c r="JQN28" i="3" a="1"/>
  <c r="JQN28" i="3" s="1"/>
  <c r="JQE28" i="3" a="1"/>
  <c r="JQE28" i="3" s="1"/>
  <c r="JPP28" i="3" a="1"/>
  <c r="JPP28" i="3" s="1"/>
  <c r="JPH28" i="3" a="1"/>
  <c r="JPH28" i="3" s="1"/>
  <c r="JNX28" i="3" a="1"/>
  <c r="JNX28" i="3" s="1"/>
  <c r="JMN28" i="3" a="1"/>
  <c r="JMN28" i="3" s="1"/>
  <c r="SEU28" i="3" a="1"/>
  <c r="SEU28" i="3" s="1"/>
  <c r="QQE28" i="3" a="1"/>
  <c r="QQE28" i="3" s="1"/>
  <c r="PXC28" i="3" a="1"/>
  <c r="PXC28" i="3" s="1"/>
  <c r="PBD28" i="3" a="1"/>
  <c r="PBD28" i="3" s="1"/>
  <c r="OXH28" i="3" a="1"/>
  <c r="OXH28" i="3" s="1"/>
  <c r="OTQ28" i="3" a="1"/>
  <c r="OTQ28" i="3" s="1"/>
  <c r="OMY28" i="3" a="1"/>
  <c r="OMY28" i="3" s="1"/>
  <c r="OJF28" i="3" a="1"/>
  <c r="OJF28" i="3" s="1"/>
  <c r="OGN28" i="3" a="1"/>
  <c r="OGN28" i="3" s="1"/>
  <c r="OEN28" i="3" a="1"/>
  <c r="OEN28" i="3" s="1"/>
  <c r="NXI28" i="3" a="1"/>
  <c r="NXI28" i="3" s="1"/>
  <c r="NVD28" i="3" a="1"/>
  <c r="NVD28" i="3" s="1"/>
  <c r="NTC28" i="3" a="1"/>
  <c r="NTC28" i="3" s="1"/>
  <c r="NQP28" i="3" a="1"/>
  <c r="NQP28" i="3" s="1"/>
  <c r="NOO28" i="3" a="1"/>
  <c r="NOO28" i="3" s="1"/>
  <c r="NMK28" i="3" a="1"/>
  <c r="NMK28" i="3" s="1"/>
  <c r="NKQ28" i="3" a="1"/>
  <c r="NKQ28" i="3" s="1"/>
  <c r="NGN28" i="3" a="1"/>
  <c r="NGN28" i="3" s="1"/>
  <c r="NCQ28" i="3" a="1"/>
  <c r="NCQ28" i="3" s="1"/>
  <c r="MXK28" i="3" a="1"/>
  <c r="MXK28" i="3" s="1"/>
  <c r="MVX28" i="3" a="1"/>
  <c r="MVX28" i="3" s="1"/>
  <c r="MSU28" i="3" a="1"/>
  <c r="MSU28" i="3" s="1"/>
  <c r="MRT28" i="3" a="1"/>
  <c r="MRT28" i="3" s="1"/>
  <c r="MQW28" i="3" a="1"/>
  <c r="MQW28" i="3" s="1"/>
  <c r="MPT28" i="3" a="1"/>
  <c r="MPT28" i="3" s="1"/>
  <c r="MMC28" i="3" a="1"/>
  <c r="MMC28" i="3" s="1"/>
  <c r="MLB28" i="3" a="1"/>
  <c r="MLB28" i="3" s="1"/>
  <c r="MKF28" i="3" a="1"/>
  <c r="MKF28" i="3" s="1"/>
  <c r="MJM28" i="3" a="1"/>
  <c r="MJM28" i="3" s="1"/>
  <c r="MGW28" i="3" a="1"/>
  <c r="MGW28" i="3" s="1"/>
  <c r="MGB28" i="3" a="1"/>
  <c r="MGB28" i="3" s="1"/>
  <c r="MFI28" i="3" a="1"/>
  <c r="MFI28" i="3" s="1"/>
  <c r="MCS28" i="3" a="1"/>
  <c r="MCS28" i="3" s="1"/>
  <c r="MBZ28" i="3" a="1"/>
  <c r="MBZ28" i="3" s="1"/>
  <c r="MBI28" i="3" a="1"/>
  <c r="MBI28" i="3" s="1"/>
  <c r="MAQ28" i="3" a="1"/>
  <c r="MAQ28" i="3" s="1"/>
  <c r="LYH28" i="3" a="1"/>
  <c r="LYH28" i="3" s="1"/>
  <c r="LXP28" i="3" a="1"/>
  <c r="LXP28" i="3" s="1"/>
  <c r="LXB28" i="3" a="1"/>
  <c r="LXB28" i="3" s="1"/>
  <c r="LWJ28" i="3" a="1"/>
  <c r="LWJ28" i="3" s="1"/>
  <c r="LVV28" i="3" a="1"/>
  <c r="LVV28" i="3" s="1"/>
  <c r="LSG28" i="3" a="1"/>
  <c r="LSG28" i="3" s="1"/>
  <c r="LRO28" i="3" a="1"/>
  <c r="LRO28" i="3" s="1"/>
  <c r="LRA28" i="3" a="1"/>
  <c r="LRA28" i="3" s="1"/>
  <c r="LQI28" i="3" a="1"/>
  <c r="LQI28" i="3" s="1"/>
  <c r="LPU28" i="3" a="1"/>
  <c r="LPU28" i="3" s="1"/>
  <c r="LMT28" i="3" a="1"/>
  <c r="LMT28" i="3" s="1"/>
  <c r="LMF28" i="3" a="1"/>
  <c r="LMF28" i="3" s="1"/>
  <c r="LLN28" i="3" a="1"/>
  <c r="LLN28" i="3" s="1"/>
  <c r="LKZ28" i="3" a="1"/>
  <c r="LKZ28" i="3" s="1"/>
  <c r="LKI28" i="3" a="1"/>
  <c r="LKI28" i="3" s="1"/>
  <c r="LJV28" i="3" a="1"/>
  <c r="LJV28" i="3" s="1"/>
  <c r="LJI28" i="3" a="1"/>
  <c r="LJI28" i="3" s="1"/>
  <c r="LHO28" i="3" a="1"/>
  <c r="LHO28" i="3" s="1"/>
  <c r="LHB28" i="3" a="1"/>
  <c r="LHB28" i="3" s="1"/>
  <c r="LGO28" i="3" a="1"/>
  <c r="LGO28" i="3" s="1"/>
  <c r="LEU28" i="3" a="1"/>
  <c r="LEU28" i="3" s="1"/>
  <c r="LEH28" i="3" a="1"/>
  <c r="LEH28" i="3" s="1"/>
  <c r="LDU28" i="3" a="1"/>
  <c r="LDU28" i="3" s="1"/>
  <c r="LCA28" i="3" a="1"/>
  <c r="LCA28" i="3" s="1"/>
  <c r="LBN28" i="3" a="1"/>
  <c r="LBN28" i="3" s="1"/>
  <c r="LBA28" i="3" a="1"/>
  <c r="LBA28" i="3" s="1"/>
  <c r="KZG28" i="3" a="1"/>
  <c r="KZG28" i="3" s="1"/>
  <c r="KYT28" i="3" a="1"/>
  <c r="KYT28" i="3" s="1"/>
  <c r="KYG28" i="3" a="1"/>
  <c r="KYG28" i="3" s="1"/>
  <c r="KWM28" i="3" a="1"/>
  <c r="KWM28" i="3" s="1"/>
  <c r="KVZ28" i="3" a="1"/>
  <c r="KVZ28" i="3" s="1"/>
  <c r="KVM28" i="3" a="1"/>
  <c r="KVM28" i="3" s="1"/>
  <c r="KTS28" i="3" a="1"/>
  <c r="KTS28" i="3" s="1"/>
  <c r="KTF28" i="3" a="1"/>
  <c r="KTF28" i="3" s="1"/>
  <c r="KSS28" i="3" a="1"/>
  <c r="KSS28" i="3" s="1"/>
  <c r="KQY28" i="3" a="1"/>
  <c r="KQY28" i="3" s="1"/>
  <c r="KQL28" i="3" a="1"/>
  <c r="KQL28" i="3" s="1"/>
  <c r="KPY28" i="3" a="1"/>
  <c r="KPY28" i="3" s="1"/>
  <c r="KOF28" i="3" a="1"/>
  <c r="KOF28" i="3" s="1"/>
  <c r="KNT28" i="3" a="1"/>
  <c r="KNT28" i="3" s="1"/>
  <c r="KNH28" i="3" a="1"/>
  <c r="KNH28" i="3" s="1"/>
  <c r="KMV28" i="3" a="1"/>
  <c r="KMV28" i="3" s="1"/>
  <c r="KMJ28" i="3" a="1"/>
  <c r="KMJ28" i="3" s="1"/>
  <c r="KLX28" i="3" a="1"/>
  <c r="KLX28" i="3" s="1"/>
  <c r="KLL28" i="3" a="1"/>
  <c r="KLL28" i="3" s="1"/>
  <c r="KKZ28" i="3" a="1"/>
  <c r="KKZ28" i="3" s="1"/>
  <c r="KKN28" i="3" a="1"/>
  <c r="KKN28" i="3" s="1"/>
  <c r="KKB28" i="3" a="1"/>
  <c r="KKB28" i="3" s="1"/>
  <c r="KJP28" i="3" a="1"/>
  <c r="KJP28" i="3" s="1"/>
  <c r="KJD28" i="3" a="1"/>
  <c r="KJD28" i="3" s="1"/>
  <c r="KIR28" i="3" a="1"/>
  <c r="KIR28" i="3" s="1"/>
  <c r="KIF28" i="3" a="1"/>
  <c r="KIF28" i="3" s="1"/>
  <c r="KHT28" i="3" a="1"/>
  <c r="KHT28" i="3" s="1"/>
  <c r="KHH28" i="3" a="1"/>
  <c r="KHH28" i="3" s="1"/>
  <c r="KGV28" i="3" a="1"/>
  <c r="KGV28" i="3" s="1"/>
  <c r="KGJ28" i="3" a="1"/>
  <c r="KGJ28" i="3" s="1"/>
  <c r="KFX28" i="3" a="1"/>
  <c r="KFX28" i="3" s="1"/>
  <c r="KFL28" i="3" a="1"/>
  <c r="KFL28" i="3" s="1"/>
  <c r="KEZ28" i="3" a="1"/>
  <c r="KEZ28" i="3" s="1"/>
  <c r="KEN28" i="3" a="1"/>
  <c r="KEN28" i="3" s="1"/>
  <c r="KEB28" i="3" a="1"/>
  <c r="KEB28" i="3" s="1"/>
  <c r="KDP28" i="3" a="1"/>
  <c r="KDP28" i="3" s="1"/>
  <c r="KDE28" i="3" a="1"/>
  <c r="KDE28" i="3" s="1"/>
  <c r="KBZ28" i="3" a="1"/>
  <c r="KBZ28" i="3" s="1"/>
  <c r="KBQ28" i="3" a="1"/>
  <c r="KBQ28" i="3" s="1"/>
  <c r="KBF28" i="3" a="1"/>
  <c r="KBF28" i="3" s="1"/>
  <c r="KAU28" i="3" a="1"/>
  <c r="KAU28" i="3" s="1"/>
  <c r="KAL28" i="3" a="1"/>
  <c r="KAL28" i="3" s="1"/>
  <c r="JZT28" i="3" a="1"/>
  <c r="JZT28" i="3" s="1"/>
  <c r="JZB28" i="3" a="1"/>
  <c r="JZB28" i="3" s="1"/>
  <c r="JYJ28" i="3" a="1"/>
  <c r="JYJ28" i="3" s="1"/>
  <c r="JXR28" i="3" a="1"/>
  <c r="JXR28" i="3" s="1"/>
  <c r="JWZ28" i="3" a="1"/>
  <c r="JWZ28" i="3" s="1"/>
  <c r="JWH28" i="3" a="1"/>
  <c r="JWH28" i="3" s="1"/>
  <c r="JVP28" i="3" a="1"/>
  <c r="JVP28" i="3" s="1"/>
  <c r="JUX28" i="3" a="1"/>
  <c r="JUX28" i="3" s="1"/>
  <c r="JUF28" i="3" a="1"/>
  <c r="JUF28" i="3" s="1"/>
  <c r="JTN28" i="3" a="1"/>
  <c r="JTN28" i="3" s="1"/>
  <c r="JSV28" i="3" a="1"/>
  <c r="JSV28" i="3" s="1"/>
  <c r="JSD28" i="3" a="1"/>
  <c r="JSD28" i="3" s="1"/>
  <c r="JRL28" i="3" a="1"/>
  <c r="JRL28" i="3" s="1"/>
  <c r="JQU28" i="3" a="1"/>
  <c r="JQU28" i="3" s="1"/>
  <c r="JQM28" i="3" a="1"/>
  <c r="JQM28" i="3" s="1"/>
  <c r="JPW28" i="3" a="1"/>
  <c r="JPW28" i="3" s="1"/>
  <c r="JPO28" i="3" a="1"/>
  <c r="JPO28" i="3" s="1"/>
  <c r="JPG28" i="3" a="1"/>
  <c r="JPG28" i="3" s="1"/>
  <c r="JOZ28" i="3" a="1"/>
  <c r="JOZ28" i="3" s="1"/>
  <c r="JOS28" i="3" a="1"/>
  <c r="JOS28" i="3" s="1"/>
  <c r="JOL28" i="3" a="1"/>
  <c r="JOL28" i="3" s="1"/>
  <c r="JOE28" i="3" a="1"/>
  <c r="JOE28" i="3" s="1"/>
  <c r="JNW28" i="3" a="1"/>
  <c r="JNW28" i="3" s="1"/>
  <c r="JNP28" i="3" a="1"/>
  <c r="JNP28" i="3" s="1"/>
  <c r="JNI28" i="3" a="1"/>
  <c r="JNI28" i="3" s="1"/>
  <c r="JNB28" i="3" a="1"/>
  <c r="JNB28" i="3" s="1"/>
  <c r="JMU28" i="3" a="1"/>
  <c r="JMU28" i="3" s="1"/>
  <c r="JMM28" i="3" a="1"/>
  <c r="JMM28" i="3" s="1"/>
  <c r="JMF28" i="3" a="1"/>
  <c r="JMF28" i="3" s="1"/>
  <c r="JLY28" i="3" a="1"/>
  <c r="JLY28" i="3" s="1"/>
  <c r="JLR28" i="3" a="1"/>
  <c r="JLR28" i="3" s="1"/>
  <c r="JLL28" i="3" a="1"/>
  <c r="JLL28" i="3" s="1"/>
  <c r="JLF28" i="3" a="1"/>
  <c r="JLF28" i="3" s="1"/>
  <c r="JKZ28" i="3" a="1"/>
  <c r="JKZ28" i="3" s="1"/>
  <c r="JKT28" i="3" a="1"/>
  <c r="JKT28" i="3" s="1"/>
  <c r="JKN28" i="3" a="1"/>
  <c r="JKN28" i="3" s="1"/>
  <c r="JKH28" i="3" a="1"/>
  <c r="JKH28" i="3" s="1"/>
  <c r="JKB28" i="3" a="1"/>
  <c r="JKB28" i="3" s="1"/>
  <c r="JJV28" i="3" a="1"/>
  <c r="JJV28" i="3" s="1"/>
  <c r="JJP28" i="3" a="1"/>
  <c r="JJP28" i="3" s="1"/>
  <c r="JJJ28" i="3" a="1"/>
  <c r="JJJ28" i="3" s="1"/>
  <c r="JJD28" i="3" a="1"/>
  <c r="JJD28" i="3" s="1"/>
  <c r="JIX28" i="3" a="1"/>
  <c r="JIX28" i="3" s="1"/>
  <c r="JIR28" i="3" a="1"/>
  <c r="JIR28" i="3" s="1"/>
  <c r="JIL28" i="3" a="1"/>
  <c r="JIL28" i="3" s="1"/>
  <c r="JIF28" i="3" a="1"/>
  <c r="JIF28" i="3" s="1"/>
  <c r="JHZ28" i="3" a="1"/>
  <c r="JHZ28" i="3" s="1"/>
  <c r="JHT28" i="3" a="1"/>
  <c r="JHT28" i="3" s="1"/>
  <c r="JHN28" i="3" a="1"/>
  <c r="JHN28" i="3" s="1"/>
  <c r="JHH28" i="3" a="1"/>
  <c r="JHH28" i="3" s="1"/>
  <c r="JHB28" i="3" a="1"/>
  <c r="JHB28" i="3" s="1"/>
  <c r="JGV28" i="3" a="1"/>
  <c r="JGV28" i="3" s="1"/>
  <c r="JGP28" i="3" a="1"/>
  <c r="JGP28" i="3" s="1"/>
  <c r="JGJ28" i="3" a="1"/>
  <c r="JGJ28" i="3" s="1"/>
  <c r="JGD28" i="3" a="1"/>
  <c r="JGD28" i="3" s="1"/>
  <c r="JFX28" i="3" a="1"/>
  <c r="JFX28" i="3" s="1"/>
  <c r="JFR28" i="3" a="1"/>
  <c r="JFR28" i="3" s="1"/>
  <c r="JFL28" i="3" a="1"/>
  <c r="JFL28" i="3" s="1"/>
  <c r="JFF28" i="3" a="1"/>
  <c r="JFF28" i="3" s="1"/>
  <c r="JEZ28" i="3" a="1"/>
  <c r="JEZ28" i="3" s="1"/>
  <c r="JET28" i="3" a="1"/>
  <c r="JET28" i="3" s="1"/>
  <c r="JEN28" i="3" a="1"/>
  <c r="JEN28" i="3" s="1"/>
  <c r="JEH28" i="3" a="1"/>
  <c r="JEH28" i="3" s="1"/>
  <c r="JEB28" i="3" a="1"/>
  <c r="JEB28" i="3" s="1"/>
  <c r="JDV28" i="3" a="1"/>
  <c r="JDV28" i="3" s="1"/>
  <c r="JDP28" i="3" a="1"/>
  <c r="JDP28" i="3" s="1"/>
  <c r="JDJ28" i="3" a="1"/>
  <c r="JDJ28" i="3" s="1"/>
  <c r="JDD28" i="3" a="1"/>
  <c r="JDD28" i="3" s="1"/>
  <c r="JCX28" i="3" a="1"/>
  <c r="JCX28" i="3" s="1"/>
  <c r="JCR28" i="3" a="1"/>
  <c r="JCR28" i="3" s="1"/>
  <c r="JCL28" i="3" a="1"/>
  <c r="JCL28" i="3" s="1"/>
  <c r="JCF28" i="3" a="1"/>
  <c r="JCF28" i="3" s="1"/>
  <c r="JBZ28" i="3" a="1"/>
  <c r="JBZ28" i="3" s="1"/>
  <c r="JBT28" i="3" a="1"/>
  <c r="JBT28" i="3" s="1"/>
  <c r="JBN28" i="3" a="1"/>
  <c r="JBN28" i="3" s="1"/>
  <c r="JBH28" i="3" a="1"/>
  <c r="JBH28" i="3" s="1"/>
  <c r="JBB28" i="3" a="1"/>
  <c r="JBB28" i="3" s="1"/>
  <c r="JAV28" i="3" a="1"/>
  <c r="JAV28" i="3" s="1"/>
  <c r="JAP28" i="3" a="1"/>
  <c r="JAP28" i="3" s="1"/>
  <c r="JAJ28" i="3" a="1"/>
  <c r="JAJ28" i="3" s="1"/>
  <c r="JAD28" i="3" a="1"/>
  <c r="JAD28" i="3" s="1"/>
  <c r="IZX28" i="3" a="1"/>
  <c r="IZX28" i="3" s="1"/>
  <c r="IZR28" i="3" a="1"/>
  <c r="IZR28" i="3" s="1"/>
  <c r="IZL28" i="3" a="1"/>
  <c r="IZL28" i="3" s="1"/>
  <c r="IZF28" i="3" a="1"/>
  <c r="IZF28" i="3" s="1"/>
  <c r="IYZ28" i="3" a="1"/>
  <c r="IYZ28" i="3" s="1"/>
  <c r="IYT28" i="3" a="1"/>
  <c r="IYT28" i="3" s="1"/>
  <c r="IYN28" i="3" a="1"/>
  <c r="IYN28" i="3" s="1"/>
  <c r="IYH28" i="3" a="1"/>
  <c r="IYH28" i="3" s="1"/>
  <c r="IYB28" i="3" a="1"/>
  <c r="IYB28" i="3" s="1"/>
  <c r="IXV28" i="3" a="1"/>
  <c r="IXV28" i="3" s="1"/>
  <c r="IXP28" i="3" a="1"/>
  <c r="IXP28" i="3" s="1"/>
  <c r="IXJ28" i="3" a="1"/>
  <c r="IXJ28" i="3" s="1"/>
  <c r="IXD28" i="3" a="1"/>
  <c r="IXD28" i="3" s="1"/>
  <c r="IWX28" i="3" a="1"/>
  <c r="IWX28" i="3" s="1"/>
  <c r="IWR28" i="3" a="1"/>
  <c r="IWR28" i="3" s="1"/>
  <c r="IWL28" i="3" a="1"/>
  <c r="IWL28" i="3" s="1"/>
  <c r="IWF28" i="3" a="1"/>
  <c r="IWF28" i="3" s="1"/>
  <c r="IVZ28" i="3" a="1"/>
  <c r="IVZ28" i="3" s="1"/>
  <c r="IVT28" i="3" a="1"/>
  <c r="IVT28" i="3" s="1"/>
  <c r="IVN28" i="3" a="1"/>
  <c r="IVN28" i="3" s="1"/>
  <c r="IVH28" i="3" a="1"/>
  <c r="IVH28" i="3" s="1"/>
  <c r="IVB28" i="3" a="1"/>
  <c r="IVB28" i="3" s="1"/>
  <c r="IUV28" i="3" a="1"/>
  <c r="IUV28" i="3" s="1"/>
  <c r="IUP28" i="3" a="1"/>
  <c r="IUP28" i="3" s="1"/>
  <c r="IUJ28" i="3" a="1"/>
  <c r="IUJ28" i="3" s="1"/>
  <c r="IUD28" i="3" a="1"/>
  <c r="IUD28" i="3" s="1"/>
  <c r="ITX28" i="3" a="1"/>
  <c r="ITX28" i="3" s="1"/>
  <c r="ITR28" i="3" a="1"/>
  <c r="ITR28" i="3" s="1"/>
  <c r="ITL28" i="3" a="1"/>
  <c r="ITL28" i="3" s="1"/>
  <c r="ITF28" i="3" a="1"/>
  <c r="ITF28" i="3" s="1"/>
  <c r="ISZ28" i="3" a="1"/>
  <c r="ISZ28" i="3" s="1"/>
  <c r="IST28" i="3" a="1"/>
  <c r="IST28" i="3" s="1"/>
  <c r="ISN28" i="3" a="1"/>
  <c r="ISN28" i="3" s="1"/>
  <c r="ISH28" i="3" a="1"/>
  <c r="ISH28" i="3" s="1"/>
  <c r="ISB28" i="3" a="1"/>
  <c r="ISB28" i="3" s="1"/>
  <c r="IRV28" i="3" a="1"/>
  <c r="IRV28" i="3" s="1"/>
  <c r="IRP28" i="3" a="1"/>
  <c r="IRP28" i="3" s="1"/>
  <c r="IRJ28" i="3" a="1"/>
  <c r="IRJ28" i="3" s="1"/>
  <c r="IRD28" i="3" a="1"/>
  <c r="IRD28" i="3" s="1"/>
  <c r="IQX28" i="3" a="1"/>
  <c r="IQX28" i="3" s="1"/>
  <c r="IQR28" i="3" a="1"/>
  <c r="IQR28" i="3" s="1"/>
  <c r="IQL28" i="3" a="1"/>
  <c r="IQL28" i="3" s="1"/>
  <c r="IQF28" i="3" a="1"/>
  <c r="IQF28" i="3" s="1"/>
  <c r="IPZ28" i="3" a="1"/>
  <c r="IPZ28" i="3" s="1"/>
  <c r="IPT28" i="3" a="1"/>
  <c r="IPT28" i="3" s="1"/>
  <c r="IPN28" i="3" a="1"/>
  <c r="IPN28" i="3" s="1"/>
  <c r="IPH28" i="3" a="1"/>
  <c r="IPH28" i="3" s="1"/>
  <c r="IPB28" i="3" a="1"/>
  <c r="IPB28" i="3" s="1"/>
  <c r="IOV28" i="3" a="1"/>
  <c r="IOV28" i="3" s="1"/>
  <c r="IOP28" i="3" a="1"/>
  <c r="IOP28" i="3" s="1"/>
  <c r="IOJ28" i="3" a="1"/>
  <c r="IOJ28" i="3" s="1"/>
  <c r="IOD28" i="3" a="1"/>
  <c r="IOD28" i="3" s="1"/>
  <c r="INX28" i="3" a="1"/>
  <c r="INX28" i="3" s="1"/>
  <c r="INR28" i="3" a="1"/>
  <c r="INR28" i="3" s="1"/>
  <c r="INL28" i="3" a="1"/>
  <c r="INL28" i="3" s="1"/>
  <c r="INF28" i="3" a="1"/>
  <c r="INF28" i="3" s="1"/>
  <c r="IMZ28" i="3" a="1"/>
  <c r="IMZ28" i="3" s="1"/>
  <c r="IMT28" i="3" a="1"/>
  <c r="IMT28" i="3" s="1"/>
  <c r="IMN28" i="3" a="1"/>
  <c r="IMN28" i="3" s="1"/>
  <c r="IMH28" i="3" a="1"/>
  <c r="IMH28" i="3" s="1"/>
  <c r="IMB28" i="3" a="1"/>
  <c r="IMB28" i="3" s="1"/>
  <c r="ILV28" i="3" a="1"/>
  <c r="ILV28" i="3" s="1"/>
  <c r="ILP28" i="3" a="1"/>
  <c r="ILP28" i="3" s="1"/>
  <c r="ILJ28" i="3" a="1"/>
  <c r="ILJ28" i="3" s="1"/>
  <c r="ILD28" i="3" a="1"/>
  <c r="ILD28" i="3" s="1"/>
  <c r="SET28" i="3" a="1"/>
  <c r="SET28" i="3" s="1"/>
  <c r="QQC28" i="3" a="1"/>
  <c r="QQC28" i="3" s="1"/>
  <c r="PHU28" i="3" a="1"/>
  <c r="PHU28" i="3" s="1"/>
  <c r="PBB28" i="3" a="1"/>
  <c r="PBB28" i="3" s="1"/>
  <c r="OPS28" i="3" a="1"/>
  <c r="OPS28" i="3" s="1"/>
  <c r="OJB28" i="3" a="1"/>
  <c r="OJB28" i="3" s="1"/>
  <c r="ODU28" i="3" a="1"/>
  <c r="ODU28" i="3" s="1"/>
  <c r="OBV28" i="3" a="1"/>
  <c r="OBV28" i="3" s="1"/>
  <c r="NZU28" i="3" a="1"/>
  <c r="NZU28" i="3" s="1"/>
  <c r="NXB28" i="3" a="1"/>
  <c r="NXB28" i="3" s="1"/>
  <c r="NVB28" i="3" a="1"/>
  <c r="NVB28" i="3" s="1"/>
  <c r="NON28" i="3" a="1"/>
  <c r="NON28" i="3" s="1"/>
  <c r="NKK28" i="3" a="1"/>
  <c r="NKK28" i="3" s="1"/>
  <c r="NIG28" i="3" a="1"/>
  <c r="NIG28" i="3" s="1"/>
  <c r="NGM28" i="3" a="1"/>
  <c r="NGM28" i="3" s="1"/>
  <c r="NBB28" i="3" a="1"/>
  <c r="NBB28" i="3" s="1"/>
  <c r="MYY28" i="3" a="1"/>
  <c r="MYY28" i="3" s="1"/>
  <c r="MUN28" i="3" a="1"/>
  <c r="MUN28" i="3" s="1"/>
  <c r="MTQ28" i="3" a="1"/>
  <c r="MTQ28" i="3" s="1"/>
  <c r="MSN28" i="3" a="1"/>
  <c r="MSN28" i="3" s="1"/>
  <c r="MOW28" i="3" a="1"/>
  <c r="MOW28" i="3" s="1"/>
  <c r="MNV28" i="3" a="1"/>
  <c r="MNV28" i="3" s="1"/>
  <c r="MMY28" i="3" a="1"/>
  <c r="MMY28" i="3" s="1"/>
  <c r="MMB28" i="3" a="1"/>
  <c r="MMB28" i="3" s="1"/>
  <c r="MJG28" i="3" a="1"/>
  <c r="MJG28" i="3" s="1"/>
  <c r="MIN28" i="3" a="1"/>
  <c r="MIN28" i="3" s="1"/>
  <c r="MHU28" i="3" a="1"/>
  <c r="MHU28" i="3" s="1"/>
  <c r="MGU28" i="3" a="1"/>
  <c r="MGU28" i="3" s="1"/>
  <c r="MFC28" i="3" a="1"/>
  <c r="MFC28" i="3" s="1"/>
  <c r="MEJ28" i="3" a="1"/>
  <c r="MEJ28" i="3" s="1"/>
  <c r="MDQ28" i="3" a="1"/>
  <c r="MDQ28" i="3" s="1"/>
  <c r="MCQ28" i="3" a="1"/>
  <c r="MCQ28" i="3" s="1"/>
  <c r="MBY28" i="3" a="1"/>
  <c r="MBY28" i="3" s="1"/>
  <c r="MAP28" i="3" a="1"/>
  <c r="MAP28" i="3" s="1"/>
  <c r="MAB28" i="3" a="1"/>
  <c r="MAB28" i="3" s="1"/>
  <c r="LZJ28" i="3" a="1"/>
  <c r="LZJ28" i="3" s="1"/>
  <c r="LYV28" i="3" a="1"/>
  <c r="LYV28" i="3" s="1"/>
  <c r="LYD28" i="3" a="1"/>
  <c r="LYD28" i="3" s="1"/>
  <c r="LUO28" i="3" a="1"/>
  <c r="LUO28" i="3" s="1"/>
  <c r="LUA28" i="3" a="1"/>
  <c r="LUA28" i="3" s="1"/>
  <c r="LTI28" i="3" a="1"/>
  <c r="LTI28" i="3" s="1"/>
  <c r="LSU28" i="3" a="1"/>
  <c r="LSU28" i="3" s="1"/>
  <c r="LSC28" i="3" a="1"/>
  <c r="LSC28" i="3" s="1"/>
  <c r="LPT28" i="3" a="1"/>
  <c r="LPT28" i="3" s="1"/>
  <c r="LPB28" i="3" a="1"/>
  <c r="LPB28" i="3" s="1"/>
  <c r="LON28" i="3" a="1"/>
  <c r="LON28" i="3" s="1"/>
  <c r="LNZ28" i="3" a="1"/>
  <c r="LNZ28" i="3" s="1"/>
  <c r="LNH28" i="3" a="1"/>
  <c r="LNH28" i="3" s="1"/>
  <c r="LJE28" i="3" a="1"/>
  <c r="LJE28" i="3" s="1"/>
  <c r="LIR28" i="3" a="1"/>
  <c r="LIR28" i="3" s="1"/>
  <c r="LIE28" i="3" a="1"/>
  <c r="LIE28" i="3" s="1"/>
  <c r="LGK28" i="3" a="1"/>
  <c r="LGK28" i="3" s="1"/>
  <c r="LFX28" i="3" a="1"/>
  <c r="LFX28" i="3" s="1"/>
  <c r="LFK28" i="3" a="1"/>
  <c r="LFK28" i="3" s="1"/>
  <c r="LDQ28" i="3" a="1"/>
  <c r="LDQ28" i="3" s="1"/>
  <c r="LDD28" i="3" a="1"/>
  <c r="LDD28" i="3" s="1"/>
  <c r="LCQ28" i="3" a="1"/>
  <c r="LCQ28" i="3" s="1"/>
  <c r="LAW28" i="3" a="1"/>
  <c r="LAW28" i="3" s="1"/>
  <c r="LAJ28" i="3" a="1"/>
  <c r="LAJ28" i="3" s="1"/>
  <c r="KZW28" i="3" a="1"/>
  <c r="KZW28" i="3" s="1"/>
  <c r="KYC28" i="3" a="1"/>
  <c r="KYC28" i="3" s="1"/>
  <c r="KXP28" i="3" a="1"/>
  <c r="KXP28" i="3" s="1"/>
  <c r="KXC28" i="3" a="1"/>
  <c r="KXC28" i="3" s="1"/>
  <c r="KVI28" i="3" a="1"/>
  <c r="KVI28" i="3" s="1"/>
  <c r="KUV28" i="3" a="1"/>
  <c r="KUV28" i="3" s="1"/>
  <c r="KUI28" i="3" a="1"/>
  <c r="KUI28" i="3" s="1"/>
  <c r="KSO28" i="3" a="1"/>
  <c r="KSO28" i="3" s="1"/>
  <c r="KSB28" i="3" a="1"/>
  <c r="KSB28" i="3" s="1"/>
  <c r="KRO28" i="3" a="1"/>
  <c r="KRO28" i="3" s="1"/>
  <c r="KPU28" i="3" a="1"/>
  <c r="KPU28" i="3" s="1"/>
  <c r="KPH28" i="3" a="1"/>
  <c r="KPH28" i="3" s="1"/>
  <c r="KOU28" i="3" a="1"/>
  <c r="KOU28" i="3" s="1"/>
  <c r="KOE28" i="3" a="1"/>
  <c r="KOE28" i="3" s="1"/>
  <c r="KNS28" i="3" a="1"/>
  <c r="KNS28" i="3" s="1"/>
  <c r="KNG28" i="3" a="1"/>
  <c r="KNG28" i="3" s="1"/>
  <c r="KMU28" i="3" a="1"/>
  <c r="KMU28" i="3" s="1"/>
  <c r="KMI28" i="3" a="1"/>
  <c r="KMI28" i="3" s="1"/>
  <c r="KLW28" i="3" a="1"/>
  <c r="KLW28" i="3" s="1"/>
  <c r="KLK28" i="3" a="1"/>
  <c r="KLK28" i="3" s="1"/>
  <c r="KKY28" i="3" a="1"/>
  <c r="KKY28" i="3" s="1"/>
  <c r="KKM28" i="3" a="1"/>
  <c r="KKM28" i="3" s="1"/>
  <c r="KKA28" i="3" a="1"/>
  <c r="KKA28" i="3" s="1"/>
  <c r="KJO28" i="3" a="1"/>
  <c r="KJO28" i="3" s="1"/>
  <c r="KJC28" i="3" a="1"/>
  <c r="KJC28" i="3" s="1"/>
  <c r="KIQ28" i="3" a="1"/>
  <c r="KIQ28" i="3" s="1"/>
  <c r="KIE28" i="3" a="1"/>
  <c r="KIE28" i="3" s="1"/>
  <c r="KHS28" i="3" a="1"/>
  <c r="KHS28" i="3" s="1"/>
  <c r="KHG28" i="3" a="1"/>
  <c r="KHG28" i="3" s="1"/>
  <c r="KGU28" i="3" a="1"/>
  <c r="KGU28" i="3" s="1"/>
  <c r="KGI28" i="3" a="1"/>
  <c r="KGI28" i="3" s="1"/>
  <c r="KFW28" i="3" a="1"/>
  <c r="KFW28" i="3" s="1"/>
  <c r="KFK28" i="3" a="1"/>
  <c r="KFK28" i="3" s="1"/>
  <c r="KEY28" i="3" a="1"/>
  <c r="KEY28" i="3" s="1"/>
  <c r="KEM28" i="3" a="1"/>
  <c r="KEM28" i="3" s="1"/>
  <c r="KEA28" i="3" a="1"/>
  <c r="KEA28" i="3" s="1"/>
  <c r="KDO28" i="3" a="1"/>
  <c r="KDO28" i="3" s="1"/>
  <c r="KDD28" i="3" a="1"/>
  <c r="KDD28" i="3" s="1"/>
  <c r="KCU28" i="3" a="1"/>
  <c r="KCU28" i="3" s="1"/>
  <c r="KCJ28" i="3" a="1"/>
  <c r="KCJ28" i="3" s="1"/>
  <c r="KBY28" i="3" a="1"/>
  <c r="KBY28" i="3" s="1"/>
  <c r="KBO28" i="3" a="1"/>
  <c r="KBO28" i="3" s="1"/>
  <c r="KAK28" i="3" a="1"/>
  <c r="KAK28" i="3" s="1"/>
  <c r="KAB28" i="3" a="1"/>
  <c r="KAB28" i="3" s="1"/>
  <c r="JZS28" i="3" a="1"/>
  <c r="JZS28" i="3" s="1"/>
  <c r="JZJ28" i="3" a="1"/>
  <c r="JZJ28" i="3" s="1"/>
  <c r="JZA28" i="3" a="1"/>
  <c r="JZA28" i="3" s="1"/>
  <c r="JYR28" i="3" a="1"/>
  <c r="JYR28" i="3" s="1"/>
  <c r="JYI28" i="3" a="1"/>
  <c r="JYI28" i="3" s="1"/>
  <c r="JXZ28" i="3" a="1"/>
  <c r="JXZ28" i="3" s="1"/>
  <c r="JXQ28" i="3" a="1"/>
  <c r="JXQ28" i="3" s="1"/>
  <c r="JXH28" i="3" a="1"/>
  <c r="JXH28" i="3" s="1"/>
  <c r="JWY28" i="3" a="1"/>
  <c r="JWY28" i="3" s="1"/>
  <c r="JWP28" i="3" a="1"/>
  <c r="JWP28" i="3" s="1"/>
  <c r="JWG28" i="3" a="1"/>
  <c r="JWG28" i="3" s="1"/>
  <c r="JVX28" i="3" a="1"/>
  <c r="JVX28" i="3" s="1"/>
  <c r="JVO28" i="3" a="1"/>
  <c r="JVO28" i="3" s="1"/>
  <c r="JVF28" i="3" a="1"/>
  <c r="JVF28" i="3" s="1"/>
  <c r="JUW28" i="3" a="1"/>
  <c r="JUW28" i="3" s="1"/>
  <c r="JUN28" i="3" a="1"/>
  <c r="JUN28" i="3" s="1"/>
  <c r="JUE28" i="3" a="1"/>
  <c r="JUE28" i="3" s="1"/>
  <c r="JTV28" i="3" a="1"/>
  <c r="JTV28" i="3" s="1"/>
  <c r="JTM28" i="3" a="1"/>
  <c r="JTM28" i="3" s="1"/>
  <c r="JTD28" i="3" a="1"/>
  <c r="JTD28" i="3" s="1"/>
  <c r="JSU28" i="3" a="1"/>
  <c r="JSU28" i="3" s="1"/>
  <c r="JSL28" i="3" a="1"/>
  <c r="JSL28" i="3" s="1"/>
  <c r="JSC28" i="3" a="1"/>
  <c r="JSC28" i="3" s="1"/>
  <c r="JRT28" i="3" a="1"/>
  <c r="JRT28" i="3" s="1"/>
  <c r="JRK28" i="3" a="1"/>
  <c r="JRK28" i="3" s="1"/>
  <c r="JRB28" i="3" a="1"/>
  <c r="JRB28" i="3" s="1"/>
  <c r="JQL28" i="3" a="1"/>
  <c r="JQL28" i="3" s="1"/>
  <c r="JQD28" i="3" a="1"/>
  <c r="JQD28" i="3" s="1"/>
  <c r="JPN28" i="3" a="1"/>
  <c r="JPN28" i="3" s="1"/>
  <c r="JOD28" i="3" a="1"/>
  <c r="JOD28" i="3" s="1"/>
  <c r="JMT28" i="3" a="1"/>
  <c r="JMT28" i="3" s="1"/>
  <c r="QFC28" i="3" a="1"/>
  <c r="QFC28" i="3" s="1"/>
  <c r="POA28" i="3" a="1"/>
  <c r="POA28" i="3" s="1"/>
  <c r="PBA28" i="3" a="1"/>
  <c r="PBA28" i="3" s="1"/>
  <c r="OXB28" i="3" a="1"/>
  <c r="OXB28" i="3" s="1"/>
  <c r="OSM28" i="3" a="1"/>
  <c r="OSM28" i="3" s="1"/>
  <c r="OLV28" i="3" a="1"/>
  <c r="OLV28" i="3" s="1"/>
  <c r="OGM28" i="3" a="1"/>
  <c r="OGM28" i="3" s="1"/>
  <c r="ODT28" i="3" a="1"/>
  <c r="ODT28" i="3" s="1"/>
  <c r="OBT28" i="3" a="1"/>
  <c r="OBT28" i="3" s="1"/>
  <c r="NVA28" i="3" a="1"/>
  <c r="NVA28" i="3" s="1"/>
  <c r="NSJ28" i="3" a="1"/>
  <c r="NSJ28" i="3" s="1"/>
  <c r="NQI28" i="3" a="1"/>
  <c r="NQI28" i="3" s="1"/>
  <c r="NOC28" i="3" a="1"/>
  <c r="NOC28" i="3" s="1"/>
  <c r="NKJ28" i="3" a="1"/>
  <c r="NKJ28" i="3" s="1"/>
  <c r="NGG28" i="3" a="1"/>
  <c r="NGG28" i="3" s="1"/>
  <c r="NED28" i="3" a="1"/>
  <c r="NED28" i="3" s="1"/>
  <c r="NCP28" i="3" a="1"/>
  <c r="NCP28" i="3" s="1"/>
  <c r="MXJ28" i="3" a="1"/>
  <c r="MXJ28" i="3" s="1"/>
  <c r="MRQ28" i="3" a="1"/>
  <c r="MRQ28" i="3" s="1"/>
  <c r="MQP28" i="3" a="1"/>
  <c r="MQP28" i="3" s="1"/>
  <c r="MPS28" i="3" a="1"/>
  <c r="MPS28" i="3" s="1"/>
  <c r="MOV28" i="3" a="1"/>
  <c r="MOV28" i="3" s="1"/>
  <c r="MKY28" i="3" a="1"/>
  <c r="MKY28" i="3" s="1"/>
  <c r="MKE28" i="3" a="1"/>
  <c r="MKE28" i="3" s="1"/>
  <c r="MHO28" i="3" a="1"/>
  <c r="MHO28" i="3" s="1"/>
  <c r="MGT28" i="3" a="1"/>
  <c r="MGT28" i="3" s="1"/>
  <c r="MGA28" i="3" a="1"/>
  <c r="MGA28" i="3" s="1"/>
  <c r="MDK28" i="3" a="1"/>
  <c r="MDK28" i="3" s="1"/>
  <c r="MCP28" i="3" a="1"/>
  <c r="MCP28" i="3" s="1"/>
  <c r="MBX28" i="3" a="1"/>
  <c r="MBX28" i="3" s="1"/>
  <c r="MBD28" i="3" a="1"/>
  <c r="MBD28" i="3" s="1"/>
  <c r="LXO28" i="3" a="1"/>
  <c r="LXO28" i="3" s="1"/>
  <c r="LWW28" i="3" a="1"/>
  <c r="LWW28" i="3" s="1"/>
  <c r="LWI28" i="3" a="1"/>
  <c r="LWI28" i="3" s="1"/>
  <c r="LVU28" i="3" a="1"/>
  <c r="LVU28" i="3" s="1"/>
  <c r="LVC28" i="3" a="1"/>
  <c r="LVC28" i="3" s="1"/>
  <c r="LST28" i="3" a="1"/>
  <c r="LST28" i="3" s="1"/>
  <c r="LSB28" i="3" a="1"/>
  <c r="LSB28" i="3" s="1"/>
  <c r="LRN28" i="3" a="1"/>
  <c r="LRN28" i="3" s="1"/>
  <c r="LQV28" i="3" a="1"/>
  <c r="LQV28" i="3" s="1"/>
  <c r="LQH28" i="3" a="1"/>
  <c r="LQH28" i="3" s="1"/>
  <c r="LMS28" i="3" a="1"/>
  <c r="LMS28" i="3" s="1"/>
  <c r="LMA28" i="3" a="1"/>
  <c r="LMA28" i="3" s="1"/>
  <c r="LLM28" i="3" a="1"/>
  <c r="LLM28" i="3" s="1"/>
  <c r="LKU28" i="3" a="1"/>
  <c r="LKU28" i="3" s="1"/>
  <c r="LKH28" i="3" a="1"/>
  <c r="LKH28" i="3" s="1"/>
  <c r="LJU28" i="3" a="1"/>
  <c r="LJU28" i="3" s="1"/>
  <c r="LIA28" i="3" a="1"/>
  <c r="LIA28" i="3" s="1"/>
  <c r="LHN28" i="3" a="1"/>
  <c r="LHN28" i="3" s="1"/>
  <c r="LHA28" i="3" a="1"/>
  <c r="LHA28" i="3" s="1"/>
  <c r="LFG28" i="3" a="1"/>
  <c r="LFG28" i="3" s="1"/>
  <c r="LET28" i="3" a="1"/>
  <c r="LET28" i="3" s="1"/>
  <c r="LEG28" i="3" a="1"/>
  <c r="LEG28" i="3" s="1"/>
  <c r="LCM28" i="3" a="1"/>
  <c r="LCM28" i="3" s="1"/>
  <c r="LBZ28" i="3" a="1"/>
  <c r="LBZ28" i="3" s="1"/>
  <c r="LBM28" i="3" a="1"/>
  <c r="LBM28" i="3" s="1"/>
  <c r="KZS28" i="3" a="1"/>
  <c r="KZS28" i="3" s="1"/>
  <c r="KZF28" i="3" a="1"/>
  <c r="KZF28" i="3" s="1"/>
  <c r="KYS28" i="3" a="1"/>
  <c r="KYS28" i="3" s="1"/>
  <c r="KWY28" i="3" a="1"/>
  <c r="KWY28" i="3" s="1"/>
  <c r="KWL28" i="3" a="1"/>
  <c r="KWL28" i="3" s="1"/>
  <c r="KVY28" i="3" a="1"/>
  <c r="KVY28" i="3" s="1"/>
  <c r="KUE28" i="3" a="1"/>
  <c r="KUE28" i="3" s="1"/>
  <c r="KTR28" i="3" a="1"/>
  <c r="KTR28" i="3" s="1"/>
  <c r="KTE28" i="3" a="1"/>
  <c r="KTE28" i="3" s="1"/>
  <c r="KRK28" i="3" a="1"/>
  <c r="KRK28" i="3" s="1"/>
  <c r="KQX28" i="3" a="1"/>
  <c r="KQX28" i="3" s="1"/>
  <c r="KQK28" i="3" a="1"/>
  <c r="KQK28" i="3" s="1"/>
  <c r="KOQ28" i="3" a="1"/>
  <c r="KOQ28" i="3" s="1"/>
  <c r="KDC28" i="3" a="1"/>
  <c r="KDC28" i="3" s="1"/>
  <c r="KCS28" i="3" a="1"/>
  <c r="KCS28" i="3" s="1"/>
  <c r="KBN28" i="3" a="1"/>
  <c r="KBN28" i="3" s="1"/>
  <c r="KBE28" i="3" a="1"/>
  <c r="KBE28" i="3" s="1"/>
  <c r="KAT28" i="3" a="1"/>
  <c r="KAT28" i="3" s="1"/>
  <c r="KAJ28" i="3" a="1"/>
  <c r="KAJ28" i="3" s="1"/>
  <c r="JZR28" i="3" a="1"/>
  <c r="JZR28" i="3" s="1"/>
  <c r="JYZ28" i="3" a="1"/>
  <c r="JYZ28" i="3" s="1"/>
  <c r="JYH28" i="3" a="1"/>
  <c r="JYH28" i="3" s="1"/>
  <c r="JXP28" i="3" a="1"/>
  <c r="JXP28" i="3" s="1"/>
  <c r="JWX28" i="3" a="1"/>
  <c r="JWX28" i="3" s="1"/>
  <c r="JWF28" i="3" a="1"/>
  <c r="JWF28" i="3" s="1"/>
  <c r="JVN28" i="3" a="1"/>
  <c r="JVN28" i="3" s="1"/>
  <c r="JUV28" i="3" a="1"/>
  <c r="JUV28" i="3" s="1"/>
  <c r="JUD28" i="3" a="1"/>
  <c r="JUD28" i="3" s="1"/>
  <c r="JTL28" i="3" a="1"/>
  <c r="JTL28" i="3" s="1"/>
  <c r="JST28" i="3" a="1"/>
  <c r="JST28" i="3" s="1"/>
  <c r="JSB28" i="3" a="1"/>
  <c r="JSB28" i="3" s="1"/>
  <c r="JRJ28" i="3" a="1"/>
  <c r="JRJ28" i="3" s="1"/>
  <c r="JQT28" i="3" a="1"/>
  <c r="JQT28" i="3" s="1"/>
  <c r="JQK28" i="3" a="1"/>
  <c r="JQK28" i="3" s="1"/>
  <c r="JPV28" i="3" a="1"/>
  <c r="JPV28" i="3" s="1"/>
  <c r="JPM28" i="3" a="1"/>
  <c r="JPM28" i="3" s="1"/>
  <c r="JPF28" i="3" a="1"/>
  <c r="JPF28" i="3" s="1"/>
  <c r="JOY28" i="3" a="1"/>
  <c r="JOY28" i="3" s="1"/>
  <c r="JOR28" i="3" a="1"/>
  <c r="JOR28" i="3" s="1"/>
  <c r="JOK28" i="3" a="1"/>
  <c r="JOK28" i="3" s="1"/>
  <c r="JOC28" i="3" a="1"/>
  <c r="JOC28" i="3" s="1"/>
  <c r="JNV28" i="3" a="1"/>
  <c r="JNV28" i="3" s="1"/>
  <c r="JNO28" i="3" a="1"/>
  <c r="JNO28" i="3" s="1"/>
  <c r="JNH28" i="3" a="1"/>
  <c r="JNH28" i="3" s="1"/>
  <c r="JNA28" i="3" a="1"/>
  <c r="JNA28" i="3" s="1"/>
  <c r="JMS28" i="3" a="1"/>
  <c r="JMS28" i="3" s="1"/>
  <c r="JML28" i="3" a="1"/>
  <c r="JML28" i="3" s="1"/>
  <c r="JME28" i="3" a="1"/>
  <c r="JME28" i="3" s="1"/>
  <c r="JLX28" i="3" a="1"/>
  <c r="JLX28" i="3" s="1"/>
  <c r="JLQ28" i="3" a="1"/>
  <c r="JLQ28" i="3" s="1"/>
  <c r="JLK28" i="3" a="1"/>
  <c r="JLK28" i="3" s="1"/>
  <c r="JLE28" i="3" a="1"/>
  <c r="JLE28" i="3" s="1"/>
  <c r="JKY28" i="3" a="1"/>
  <c r="JKY28" i="3" s="1"/>
  <c r="JKS28" i="3" a="1"/>
  <c r="JKS28" i="3" s="1"/>
  <c r="JKM28" i="3" a="1"/>
  <c r="JKM28" i="3" s="1"/>
  <c r="JKG28" i="3" a="1"/>
  <c r="JKG28" i="3" s="1"/>
  <c r="JKA28" i="3" a="1"/>
  <c r="JKA28" i="3" s="1"/>
  <c r="JJU28" i="3" a="1"/>
  <c r="JJU28" i="3" s="1"/>
  <c r="JJO28" i="3" a="1"/>
  <c r="JJO28" i="3" s="1"/>
  <c r="JJI28" i="3" a="1"/>
  <c r="JJI28" i="3" s="1"/>
  <c r="JJC28" i="3" a="1"/>
  <c r="JJC28" i="3" s="1"/>
  <c r="JIW28" i="3" a="1"/>
  <c r="JIW28" i="3" s="1"/>
  <c r="JIQ28" i="3" a="1"/>
  <c r="JIQ28" i="3" s="1"/>
  <c r="JIK28" i="3" a="1"/>
  <c r="JIK28" i="3" s="1"/>
  <c r="JIE28" i="3" a="1"/>
  <c r="JIE28" i="3" s="1"/>
  <c r="JHY28" i="3" a="1"/>
  <c r="JHY28" i="3" s="1"/>
  <c r="JHS28" i="3" a="1"/>
  <c r="JHS28" i="3" s="1"/>
  <c r="JHM28" i="3" a="1"/>
  <c r="JHM28" i="3" s="1"/>
  <c r="JHG28" i="3" a="1"/>
  <c r="JHG28" i="3" s="1"/>
  <c r="JHA28" i="3" a="1"/>
  <c r="JHA28" i="3" s="1"/>
  <c r="JGU28" i="3" a="1"/>
  <c r="JGU28" i="3" s="1"/>
  <c r="JGO28" i="3" a="1"/>
  <c r="JGO28" i="3" s="1"/>
  <c r="JGI28" i="3" a="1"/>
  <c r="JGI28" i="3" s="1"/>
  <c r="JGC28" i="3" a="1"/>
  <c r="JGC28" i="3" s="1"/>
  <c r="JFW28" i="3" a="1"/>
  <c r="JFW28" i="3" s="1"/>
  <c r="JFQ28" i="3" a="1"/>
  <c r="JFQ28" i="3" s="1"/>
  <c r="JFK28" i="3" a="1"/>
  <c r="JFK28" i="3" s="1"/>
  <c r="JFE28" i="3" a="1"/>
  <c r="JFE28" i="3" s="1"/>
  <c r="JEY28" i="3" a="1"/>
  <c r="JEY28" i="3" s="1"/>
  <c r="JES28" i="3" a="1"/>
  <c r="JES28" i="3" s="1"/>
  <c r="JEM28" i="3" a="1"/>
  <c r="JEM28" i="3" s="1"/>
  <c r="JEG28" i="3" a="1"/>
  <c r="JEG28" i="3" s="1"/>
  <c r="JEA28" i="3" a="1"/>
  <c r="JEA28" i="3" s="1"/>
  <c r="JDU28" i="3" a="1"/>
  <c r="JDU28" i="3" s="1"/>
  <c r="JDO28" i="3" a="1"/>
  <c r="JDO28" i="3" s="1"/>
  <c r="JDI28" i="3" a="1"/>
  <c r="JDI28" i="3" s="1"/>
  <c r="JDC28" i="3" a="1"/>
  <c r="JDC28" i="3" s="1"/>
  <c r="JCW28" i="3" a="1"/>
  <c r="JCW28" i="3" s="1"/>
  <c r="JCQ28" i="3" a="1"/>
  <c r="JCQ28" i="3" s="1"/>
  <c r="JCK28" i="3" a="1"/>
  <c r="JCK28" i="3" s="1"/>
  <c r="JCE28" i="3" a="1"/>
  <c r="JCE28" i="3" s="1"/>
  <c r="JBY28" i="3" a="1"/>
  <c r="JBY28" i="3" s="1"/>
  <c r="JBS28" i="3" a="1"/>
  <c r="JBS28" i="3" s="1"/>
  <c r="JBM28" i="3" a="1"/>
  <c r="JBM28" i="3" s="1"/>
  <c r="JBG28" i="3" a="1"/>
  <c r="JBG28" i="3" s="1"/>
  <c r="JBA28" i="3" a="1"/>
  <c r="JBA28" i="3" s="1"/>
  <c r="JAU28" i="3" a="1"/>
  <c r="JAU28" i="3" s="1"/>
  <c r="JAO28" i="3" a="1"/>
  <c r="JAO28" i="3" s="1"/>
  <c r="JAI28" i="3" a="1"/>
  <c r="JAI28" i="3" s="1"/>
  <c r="JAC28" i="3" a="1"/>
  <c r="JAC28" i="3" s="1"/>
  <c r="IZW28" i="3" a="1"/>
  <c r="IZW28" i="3" s="1"/>
  <c r="IZQ28" i="3" a="1"/>
  <c r="IZQ28" i="3" s="1"/>
  <c r="IZK28" i="3" a="1"/>
  <c r="IZK28" i="3" s="1"/>
  <c r="IZE28" i="3" a="1"/>
  <c r="IZE28" i="3" s="1"/>
  <c r="IYY28" i="3" a="1"/>
  <c r="IYY28" i="3" s="1"/>
  <c r="IYS28" i="3" a="1"/>
  <c r="IYS28" i="3" s="1"/>
  <c r="IYM28" i="3" a="1"/>
  <c r="IYM28" i="3" s="1"/>
  <c r="IYG28" i="3" a="1"/>
  <c r="IYG28" i="3" s="1"/>
  <c r="IYA28" i="3" a="1"/>
  <c r="IYA28" i="3" s="1"/>
  <c r="IXU28" i="3" a="1"/>
  <c r="IXU28" i="3" s="1"/>
  <c r="IXO28" i="3" a="1"/>
  <c r="IXO28" i="3" s="1"/>
  <c r="IXI28" i="3" a="1"/>
  <c r="IXI28" i="3" s="1"/>
  <c r="IXC28" i="3" a="1"/>
  <c r="IXC28" i="3" s="1"/>
  <c r="IWW28" i="3" a="1"/>
  <c r="IWW28" i="3" s="1"/>
  <c r="IWQ28" i="3" a="1"/>
  <c r="IWQ28" i="3" s="1"/>
  <c r="IWK28" i="3" a="1"/>
  <c r="IWK28" i="3" s="1"/>
  <c r="IWE28" i="3" a="1"/>
  <c r="IWE28" i="3" s="1"/>
  <c r="RYL28" i="3" a="1"/>
  <c r="RYL28" i="3" s="1"/>
  <c r="RAB28" i="3" a="1"/>
  <c r="RAB28" i="3" s="1"/>
  <c r="PUG28" i="3" a="1"/>
  <c r="PUG28" i="3" s="1"/>
  <c r="PFT28" i="3" a="1"/>
  <c r="PFT28" i="3" s="1"/>
  <c r="PAV28" i="3" a="1"/>
  <c r="PAV28" i="3" s="1"/>
  <c r="OVV28" i="3" a="1"/>
  <c r="OVV28" i="3" s="1"/>
  <c r="OPR28" i="3" a="1"/>
  <c r="OPR28" i="3" s="1"/>
  <c r="OJA28" i="3" a="1"/>
  <c r="OJA28" i="3" s="1"/>
  <c r="OBS28" i="3" a="1"/>
  <c r="OBS28" i="3" s="1"/>
  <c r="NZB28" i="3" a="1"/>
  <c r="NZB28" i="3" s="1"/>
  <c r="NXA28" i="3" a="1"/>
  <c r="NXA28" i="3" s="1"/>
  <c r="NUH28" i="3" a="1"/>
  <c r="NUH28" i="3" s="1"/>
  <c r="NSH28" i="3" a="1"/>
  <c r="NSH28" i="3" s="1"/>
  <c r="NNW28" i="3" a="1"/>
  <c r="NNW28" i="3" s="1"/>
  <c r="NMD28" i="3" a="1"/>
  <c r="NMD28" i="3" s="1"/>
  <c r="NJY28" i="3" a="1"/>
  <c r="NJY28" i="3" s="1"/>
  <c r="NGF28" i="3" a="1"/>
  <c r="NGF28" i="3" s="1"/>
  <c r="NAL28" i="3" a="1"/>
  <c r="NAL28" i="3" s="1"/>
  <c r="MYX28" i="3" a="1"/>
  <c r="MYX28" i="3" s="1"/>
  <c r="MVL28" i="3" a="1"/>
  <c r="MVL28" i="3" s="1"/>
  <c r="MUK28" i="3" a="1"/>
  <c r="MUK28" i="3" s="1"/>
  <c r="MTJ28" i="3" a="1"/>
  <c r="MTJ28" i="3" s="1"/>
  <c r="MSM28" i="3" a="1"/>
  <c r="MSM28" i="3" s="1"/>
  <c r="MRP28" i="3" a="1"/>
  <c r="MRP28" i="3" s="1"/>
  <c r="MNS28" i="3" a="1"/>
  <c r="MNS28" i="3" s="1"/>
  <c r="MMX28" i="3" a="1"/>
  <c r="MMX28" i="3" s="1"/>
  <c r="MLU28" i="3" a="1"/>
  <c r="MLU28" i="3" s="1"/>
  <c r="MKX28" i="3" a="1"/>
  <c r="MKX28" i="3" s="1"/>
  <c r="MJY28" i="3" a="1"/>
  <c r="MJY28" i="3" s="1"/>
  <c r="MJF28" i="3" a="1"/>
  <c r="MJF28" i="3" s="1"/>
  <c r="MIM28" i="3" a="1"/>
  <c r="MIM28" i="3" s="1"/>
  <c r="MHM28" i="3" a="1"/>
  <c r="MHM28" i="3" s="1"/>
  <c r="MFU28" i="3" a="1"/>
  <c r="MFU28" i="3" s="1"/>
  <c r="MFB28" i="3" a="1"/>
  <c r="MFB28" i="3" s="1"/>
  <c r="MEI28" i="3" a="1"/>
  <c r="MEI28" i="3" s="1"/>
  <c r="MDI28" i="3" a="1"/>
  <c r="MDI28" i="3" s="1"/>
  <c r="MBS28" i="3" a="1"/>
  <c r="MBS28" i="3" s="1"/>
  <c r="MAO28" i="3" a="1"/>
  <c r="MAO28" i="3" s="1"/>
  <c r="LZW28" i="3" a="1"/>
  <c r="LZW28" i="3" s="1"/>
  <c r="LZI28" i="3" a="1"/>
  <c r="LZI28" i="3" s="1"/>
  <c r="LYQ28" i="3" a="1"/>
  <c r="LYQ28" i="3" s="1"/>
  <c r="LYC28" i="3" a="1"/>
  <c r="LYC28" i="3" s="1"/>
  <c r="LVB28" i="3" a="1"/>
  <c r="LVB28" i="3" s="1"/>
  <c r="LUN28" i="3" a="1"/>
  <c r="LUN28" i="3" s="1"/>
  <c r="LTV28" i="3" a="1"/>
  <c r="LTV28" i="3" s="1"/>
  <c r="LTH28" i="3" a="1"/>
  <c r="LTH28" i="3" s="1"/>
  <c r="LSP28" i="3" a="1"/>
  <c r="LSP28" i="3" s="1"/>
  <c r="LPA28" i="3" a="1"/>
  <c r="LPA28" i="3" s="1"/>
  <c r="LOM28" i="3" a="1"/>
  <c r="LOM28" i="3" s="1"/>
  <c r="LNU28" i="3" a="1"/>
  <c r="LNU28" i="3" s="1"/>
  <c r="LNG28" i="3" a="1"/>
  <c r="LNG28" i="3" s="1"/>
  <c r="LMO28" i="3" a="1"/>
  <c r="LMO28" i="3" s="1"/>
  <c r="LJQ28" i="3" a="1"/>
  <c r="LJQ28" i="3" s="1"/>
  <c r="LJD28" i="3" a="1"/>
  <c r="LJD28" i="3" s="1"/>
  <c r="LIQ28" i="3" a="1"/>
  <c r="LIQ28" i="3" s="1"/>
  <c r="LGW28" i="3" a="1"/>
  <c r="LGW28" i="3" s="1"/>
  <c r="LGJ28" i="3" a="1"/>
  <c r="LGJ28" i="3" s="1"/>
  <c r="LFW28" i="3" a="1"/>
  <c r="LFW28" i="3" s="1"/>
  <c r="LEC28" i="3" a="1"/>
  <c r="LEC28" i="3" s="1"/>
  <c r="LDP28" i="3" a="1"/>
  <c r="LDP28" i="3" s="1"/>
  <c r="LDC28" i="3" a="1"/>
  <c r="LDC28" i="3" s="1"/>
  <c r="LBI28" i="3" a="1"/>
  <c r="LBI28" i="3" s="1"/>
  <c r="LAV28" i="3" a="1"/>
  <c r="LAV28" i="3" s="1"/>
  <c r="LAI28" i="3" a="1"/>
  <c r="LAI28" i="3" s="1"/>
  <c r="KYO28" i="3" a="1"/>
  <c r="KYO28" i="3" s="1"/>
  <c r="KYB28" i="3" a="1"/>
  <c r="KYB28" i="3" s="1"/>
  <c r="KXO28" i="3" a="1"/>
  <c r="KXO28" i="3" s="1"/>
  <c r="KVU28" i="3" a="1"/>
  <c r="KVU28" i="3" s="1"/>
  <c r="KVH28" i="3" a="1"/>
  <c r="KVH28" i="3" s="1"/>
  <c r="KUU28" i="3" a="1"/>
  <c r="KUU28" i="3" s="1"/>
  <c r="KTA28" i="3" a="1"/>
  <c r="KTA28" i="3" s="1"/>
  <c r="KSN28" i="3" a="1"/>
  <c r="KSN28" i="3" s="1"/>
  <c r="KSA28" i="3" a="1"/>
  <c r="KSA28" i="3" s="1"/>
  <c r="KQG28" i="3" a="1"/>
  <c r="KQG28" i="3" s="1"/>
  <c r="KPT28" i="3" a="1"/>
  <c r="KPT28" i="3" s="1"/>
  <c r="KPG28" i="3" a="1"/>
  <c r="KPG28" i="3" s="1"/>
  <c r="KOD28" i="3" a="1"/>
  <c r="KOD28" i="3" s="1"/>
  <c r="KNR28" i="3" a="1"/>
  <c r="KNR28" i="3" s="1"/>
  <c r="KNF28" i="3" a="1"/>
  <c r="KNF28" i="3" s="1"/>
  <c r="KMT28" i="3" a="1"/>
  <c r="KMT28" i="3" s="1"/>
  <c r="KMH28" i="3" a="1"/>
  <c r="KMH28" i="3" s="1"/>
  <c r="KLV28" i="3" a="1"/>
  <c r="KLV28" i="3" s="1"/>
  <c r="KLJ28" i="3" a="1"/>
  <c r="KLJ28" i="3" s="1"/>
  <c r="KKX28" i="3" a="1"/>
  <c r="KKX28" i="3" s="1"/>
  <c r="KKL28" i="3" a="1"/>
  <c r="KKL28" i="3" s="1"/>
  <c r="KJZ28" i="3" a="1"/>
  <c r="KJZ28" i="3" s="1"/>
  <c r="KJN28" i="3" a="1"/>
  <c r="KJN28" i="3" s="1"/>
  <c r="KJB28" i="3" a="1"/>
  <c r="KJB28" i="3" s="1"/>
  <c r="KIP28" i="3" a="1"/>
  <c r="KIP28" i="3" s="1"/>
  <c r="KID28" i="3" a="1"/>
  <c r="KID28" i="3" s="1"/>
  <c r="KHR28" i="3" a="1"/>
  <c r="KHR28" i="3" s="1"/>
  <c r="KHF28" i="3" a="1"/>
  <c r="KHF28" i="3" s="1"/>
  <c r="KGT28" i="3" a="1"/>
  <c r="KGT28" i="3" s="1"/>
  <c r="KGH28" i="3" a="1"/>
  <c r="KGH28" i="3" s="1"/>
  <c r="KFV28" i="3" a="1"/>
  <c r="KFV28" i="3" s="1"/>
  <c r="KFJ28" i="3" a="1"/>
  <c r="KFJ28" i="3" s="1"/>
  <c r="KEX28" i="3" a="1"/>
  <c r="KEX28" i="3" s="1"/>
  <c r="KEL28" i="3" a="1"/>
  <c r="KEL28" i="3" s="1"/>
  <c r="KDZ28" i="3" a="1"/>
  <c r="KDZ28" i="3" s="1"/>
  <c r="KDN28" i="3" a="1"/>
  <c r="KDN28" i="3" s="1"/>
  <c r="KCR28" i="3" a="1"/>
  <c r="KCR28" i="3" s="1"/>
  <c r="KCI28" i="3" a="1"/>
  <c r="KCI28" i="3" s="1"/>
  <c r="KBX28" i="3" a="1"/>
  <c r="KBX28" i="3" s="1"/>
  <c r="KBM28" i="3" a="1"/>
  <c r="KBM28" i="3" s="1"/>
  <c r="KBC28" i="3" a="1"/>
  <c r="KBC28" i="3" s="1"/>
  <c r="KAI28" i="3" a="1"/>
  <c r="KAI28" i="3" s="1"/>
  <c r="KAA28" i="3" a="1"/>
  <c r="KAA28" i="3" s="1"/>
  <c r="JZQ28" i="3" a="1"/>
  <c r="JZQ28" i="3" s="1"/>
  <c r="JZI28" i="3" a="1"/>
  <c r="JZI28" i="3" s="1"/>
  <c r="JYY28" i="3" a="1"/>
  <c r="JYY28" i="3" s="1"/>
  <c r="JYQ28" i="3" a="1"/>
  <c r="JYQ28" i="3" s="1"/>
  <c r="JYG28" i="3" a="1"/>
  <c r="JYG28" i="3" s="1"/>
  <c r="JXY28" i="3" a="1"/>
  <c r="JXY28" i="3" s="1"/>
  <c r="JXO28" i="3" a="1"/>
  <c r="JXO28" i="3" s="1"/>
  <c r="JXG28" i="3" a="1"/>
  <c r="JXG28" i="3" s="1"/>
  <c r="JWW28" i="3" a="1"/>
  <c r="JWW28" i="3" s="1"/>
  <c r="JWO28" i="3" a="1"/>
  <c r="JWO28" i="3" s="1"/>
  <c r="JWE28" i="3" a="1"/>
  <c r="JWE28" i="3" s="1"/>
  <c r="JVW28" i="3" a="1"/>
  <c r="JVW28" i="3" s="1"/>
  <c r="JVM28" i="3" a="1"/>
  <c r="JVM28" i="3" s="1"/>
  <c r="JVE28" i="3" a="1"/>
  <c r="JVE28" i="3" s="1"/>
  <c r="JUU28" i="3" a="1"/>
  <c r="JUU28" i="3" s="1"/>
  <c r="JUM28" i="3" a="1"/>
  <c r="JUM28" i="3" s="1"/>
  <c r="JUC28" i="3" a="1"/>
  <c r="JUC28" i="3" s="1"/>
  <c r="JTU28" i="3" a="1"/>
  <c r="JTU28" i="3" s="1"/>
  <c r="JTK28" i="3" a="1"/>
  <c r="JTK28" i="3" s="1"/>
  <c r="JTC28" i="3" a="1"/>
  <c r="JTC28" i="3" s="1"/>
  <c r="JSS28" i="3" a="1"/>
  <c r="JSS28" i="3" s="1"/>
  <c r="JSK28" i="3" a="1"/>
  <c r="JSK28" i="3" s="1"/>
  <c r="JSA28" i="3" a="1"/>
  <c r="JSA28" i="3" s="1"/>
  <c r="JRS28" i="3" a="1"/>
  <c r="JRS28" i="3" s="1"/>
  <c r="JRI28" i="3" a="1"/>
  <c r="JRI28" i="3" s="1"/>
  <c r="JRA28" i="3" a="1"/>
  <c r="JRA28" i="3" s="1"/>
  <c r="JQS28" i="3" a="1"/>
  <c r="JQS28" i="3" s="1"/>
  <c r="JQC28" i="3" a="1"/>
  <c r="JQC28" i="3" s="1"/>
  <c r="JPU28" i="3" a="1"/>
  <c r="JPU28" i="3" s="1"/>
  <c r="JOJ28" i="3" a="1"/>
  <c r="JOJ28" i="3" s="1"/>
  <c r="JMZ28" i="3" a="1"/>
  <c r="JMZ28" i="3" s="1"/>
  <c r="QYD28" i="3" a="1"/>
  <c r="QYD28" i="3" s="1"/>
  <c r="QOO28" i="3" a="1"/>
  <c r="QOO28" i="3" s="1"/>
  <c r="PFL28" i="3" a="1"/>
  <c r="PFL28" i="3" s="1"/>
  <c r="PAJ28" i="3" a="1"/>
  <c r="PAJ28" i="3" s="1"/>
  <c r="OSL28" i="3" a="1"/>
  <c r="OSL28" i="3" s="1"/>
  <c r="OLU28" i="3" a="1"/>
  <c r="OLU28" i="3" s="1"/>
  <c r="OFT28" i="3" a="1"/>
  <c r="OFT28" i="3" s="1"/>
  <c r="ODS28" i="3" a="1"/>
  <c r="ODS28" i="3" s="1"/>
  <c r="OAZ28" i="3" a="1"/>
  <c r="OAZ28" i="3" s="1"/>
  <c r="NYZ28" i="3" a="1"/>
  <c r="NYZ28" i="3" s="1"/>
  <c r="NSG28" i="3" a="1"/>
  <c r="NSG28" i="3" s="1"/>
  <c r="NNV28" i="3" a="1"/>
  <c r="NNV28" i="3" s="1"/>
  <c r="NMC28" i="3" a="1"/>
  <c r="NMC28" i="3" s="1"/>
  <c r="NJS28" i="3" a="1"/>
  <c r="NJS28" i="3" s="1"/>
  <c r="NHZ28" i="3" a="1"/>
  <c r="NHZ28" i="3" s="1"/>
  <c r="NFU28" i="3" a="1"/>
  <c r="NFU28" i="3" s="1"/>
  <c r="NDX28" i="3" a="1"/>
  <c r="NDX28" i="3" s="1"/>
  <c r="NCJ28" i="3" a="1"/>
  <c r="NCJ28" i="3" s="1"/>
  <c r="MWT28" i="3" a="1"/>
  <c r="MWT28" i="3" s="1"/>
  <c r="MUJ28" i="3" a="1"/>
  <c r="MUJ28" i="3" s="1"/>
  <c r="MQM28" i="3" a="1"/>
  <c r="MQM28" i="3" s="1"/>
  <c r="MPR28" i="3" a="1"/>
  <c r="MPR28" i="3" s="1"/>
  <c r="MOO28" i="3" a="1"/>
  <c r="MOO28" i="3" s="1"/>
  <c r="MNR28" i="3" a="1"/>
  <c r="MNR28" i="3" s="1"/>
  <c r="MIG28" i="3" a="1"/>
  <c r="MIG28" i="3" s="1"/>
  <c r="MHL28" i="3" a="1"/>
  <c r="MHL28" i="3" s="1"/>
  <c r="MGS28" i="3" a="1"/>
  <c r="MGS28" i="3" s="1"/>
  <c r="MEC28" i="3" a="1"/>
  <c r="MEC28" i="3" s="1"/>
  <c r="MDH28" i="3" a="1"/>
  <c r="MDH28" i="3" s="1"/>
  <c r="MCO28" i="3" a="1"/>
  <c r="MCO28" i="3" s="1"/>
  <c r="MBR28" i="3" a="1"/>
  <c r="MBR28" i="3" s="1"/>
  <c r="MBC28" i="3" a="1"/>
  <c r="MBC28" i="3" s="1"/>
  <c r="MAK28" i="3" a="1"/>
  <c r="MAK28" i="3" s="1"/>
  <c r="LYB28" i="3" a="1"/>
  <c r="LYB28" i="3" s="1"/>
  <c r="LXJ28" i="3" a="1"/>
  <c r="LXJ28" i="3" s="1"/>
  <c r="LWV28" i="3" a="1"/>
  <c r="LWV28" i="3" s="1"/>
  <c r="LWH28" i="3" a="1"/>
  <c r="LWH28" i="3" s="1"/>
  <c r="LVP28" i="3" a="1"/>
  <c r="LVP28" i="3" s="1"/>
  <c r="LSA28" i="3" a="1"/>
  <c r="LSA28" i="3" s="1"/>
  <c r="LRI28" i="3" a="1"/>
  <c r="LRI28" i="3" s="1"/>
  <c r="LQU28" i="3" a="1"/>
  <c r="LQU28" i="3" s="1"/>
  <c r="LQG28" i="3" a="1"/>
  <c r="LQG28" i="3" s="1"/>
  <c r="LPO28" i="3" a="1"/>
  <c r="LPO28" i="3" s="1"/>
  <c r="LNF28" i="3" a="1"/>
  <c r="LNF28" i="3" s="1"/>
  <c r="LMN28" i="3" a="1"/>
  <c r="LMN28" i="3" s="1"/>
  <c r="LLZ28" i="3" a="1"/>
  <c r="LLZ28" i="3" s="1"/>
  <c r="LLH28" i="3" a="1"/>
  <c r="LLH28" i="3" s="1"/>
  <c r="LKT28" i="3" a="1"/>
  <c r="LKT28" i="3" s="1"/>
  <c r="LKG28" i="3" a="1"/>
  <c r="LKG28" i="3" s="1"/>
  <c r="LIM28" i="3" a="1"/>
  <c r="LIM28" i="3" s="1"/>
  <c r="LHZ28" i="3" a="1"/>
  <c r="LHZ28" i="3" s="1"/>
  <c r="LHM28" i="3" a="1"/>
  <c r="LHM28" i="3" s="1"/>
  <c r="LFS28" i="3" a="1"/>
  <c r="LFS28" i="3" s="1"/>
  <c r="LFF28" i="3" a="1"/>
  <c r="LFF28" i="3" s="1"/>
  <c r="LES28" i="3" a="1"/>
  <c r="LES28" i="3" s="1"/>
  <c r="LCY28" i="3" a="1"/>
  <c r="LCY28" i="3" s="1"/>
  <c r="LCL28" i="3" a="1"/>
  <c r="LCL28" i="3" s="1"/>
  <c r="LBY28" i="3" a="1"/>
  <c r="LBY28" i="3" s="1"/>
  <c r="LAE28" i="3" a="1"/>
  <c r="LAE28" i="3" s="1"/>
  <c r="KZR28" i="3" a="1"/>
  <c r="KZR28" i="3" s="1"/>
  <c r="KZE28" i="3" a="1"/>
  <c r="KZE28" i="3" s="1"/>
  <c r="KXK28" i="3" a="1"/>
  <c r="KXK28" i="3" s="1"/>
  <c r="KWX28" i="3" a="1"/>
  <c r="KWX28" i="3" s="1"/>
  <c r="KWK28" i="3" a="1"/>
  <c r="KWK28" i="3" s="1"/>
  <c r="KUQ28" i="3" a="1"/>
  <c r="KUQ28" i="3" s="1"/>
  <c r="KUD28" i="3" a="1"/>
  <c r="KUD28" i="3" s="1"/>
  <c r="KTQ28" i="3" a="1"/>
  <c r="KTQ28" i="3" s="1"/>
  <c r="KRW28" i="3" a="1"/>
  <c r="KRW28" i="3" s="1"/>
  <c r="KRJ28" i="3" a="1"/>
  <c r="KRJ28" i="3" s="1"/>
  <c r="KQW28" i="3" a="1"/>
  <c r="KQW28" i="3" s="1"/>
  <c r="KPC28" i="3" a="1"/>
  <c r="KPC28" i="3" s="1"/>
  <c r="KOP28" i="3" a="1"/>
  <c r="KOP28" i="3" s="1"/>
  <c r="KDB28" i="3" a="1"/>
  <c r="KDB28" i="3" s="1"/>
  <c r="KCQ28" i="3" a="1"/>
  <c r="KCQ28" i="3" s="1"/>
  <c r="KCG28" i="3" a="1"/>
  <c r="KCG28" i="3" s="1"/>
  <c r="KBB28" i="3" a="1"/>
  <c r="KBB28" i="3" s="1"/>
  <c r="KAS28" i="3" a="1"/>
  <c r="KAS28" i="3" s="1"/>
  <c r="JZZ28" i="3" a="1"/>
  <c r="JZZ28" i="3" s="1"/>
  <c r="JZH28" i="3" a="1"/>
  <c r="JZH28" i="3" s="1"/>
  <c r="JYP28" i="3" a="1"/>
  <c r="JYP28" i="3" s="1"/>
  <c r="JXX28" i="3" a="1"/>
  <c r="JXX28" i="3" s="1"/>
  <c r="JXF28" i="3" a="1"/>
  <c r="JXF28" i="3" s="1"/>
  <c r="JWN28" i="3" a="1"/>
  <c r="JWN28" i="3" s="1"/>
  <c r="JVV28" i="3" a="1"/>
  <c r="JVV28" i="3" s="1"/>
  <c r="JVD28" i="3" a="1"/>
  <c r="JVD28" i="3" s="1"/>
  <c r="JUL28" i="3" a="1"/>
  <c r="JUL28" i="3" s="1"/>
  <c r="JTT28" i="3" a="1"/>
  <c r="JTT28" i="3" s="1"/>
  <c r="JTB28" i="3" a="1"/>
  <c r="JTB28" i="3" s="1"/>
  <c r="JSJ28" i="3" a="1"/>
  <c r="JSJ28" i="3" s="1"/>
  <c r="JRR28" i="3" a="1"/>
  <c r="JRR28" i="3" s="1"/>
  <c r="JQR28" i="3" a="1"/>
  <c r="JQR28" i="3" s="1"/>
  <c r="JQJ28" i="3" a="1"/>
  <c r="JQJ28" i="3" s="1"/>
  <c r="JPT28" i="3" a="1"/>
  <c r="JPT28" i="3" s="1"/>
  <c r="JPL28" i="3" a="1"/>
  <c r="JPL28" i="3" s="1"/>
  <c r="JPE28" i="3" a="1"/>
  <c r="JPE28" i="3" s="1"/>
  <c r="JOX28" i="3" a="1"/>
  <c r="JOX28" i="3" s="1"/>
  <c r="JOQ28" i="3" a="1"/>
  <c r="JOQ28" i="3" s="1"/>
  <c r="JOI28" i="3" a="1"/>
  <c r="JOI28" i="3" s="1"/>
  <c r="JOB28" i="3" a="1"/>
  <c r="JOB28" i="3" s="1"/>
  <c r="JNU28" i="3" a="1"/>
  <c r="JNU28" i="3" s="1"/>
  <c r="JNN28" i="3" a="1"/>
  <c r="JNN28" i="3" s="1"/>
  <c r="JNG28" i="3" a="1"/>
  <c r="JNG28" i="3" s="1"/>
  <c r="JMY28" i="3" a="1"/>
  <c r="JMY28" i="3" s="1"/>
  <c r="JMR28" i="3" a="1"/>
  <c r="JMR28" i="3" s="1"/>
  <c r="JMK28" i="3" a="1"/>
  <c r="JMK28" i="3" s="1"/>
  <c r="JMD28" i="3" a="1"/>
  <c r="JMD28" i="3" s="1"/>
  <c r="JLW28" i="3" a="1"/>
  <c r="JLW28" i="3" s="1"/>
  <c r="JLP28" i="3" a="1"/>
  <c r="JLP28" i="3" s="1"/>
  <c r="JLJ28" i="3" a="1"/>
  <c r="JLJ28" i="3" s="1"/>
  <c r="JLD28" i="3" a="1"/>
  <c r="JLD28" i="3" s="1"/>
  <c r="JKX28" i="3" a="1"/>
  <c r="JKX28" i="3" s="1"/>
  <c r="JKR28" i="3" a="1"/>
  <c r="JKR28" i="3" s="1"/>
  <c r="JKL28" i="3" a="1"/>
  <c r="JKL28" i="3" s="1"/>
  <c r="JKF28" i="3" a="1"/>
  <c r="JKF28" i="3" s="1"/>
  <c r="JJZ28" i="3" a="1"/>
  <c r="JJZ28" i="3" s="1"/>
  <c r="JJT28" i="3" a="1"/>
  <c r="JJT28" i="3" s="1"/>
  <c r="JJN28" i="3" a="1"/>
  <c r="JJN28" i="3" s="1"/>
  <c r="JJH28" i="3" a="1"/>
  <c r="JJH28" i="3" s="1"/>
  <c r="JJB28" i="3" a="1"/>
  <c r="JJB28" i="3" s="1"/>
  <c r="JIV28" i="3" a="1"/>
  <c r="JIV28" i="3" s="1"/>
  <c r="JIP28" i="3" a="1"/>
  <c r="JIP28" i="3" s="1"/>
  <c r="JIJ28" i="3" a="1"/>
  <c r="JIJ28" i="3" s="1"/>
  <c r="JID28" i="3" a="1"/>
  <c r="JID28" i="3" s="1"/>
  <c r="JHX28" i="3" a="1"/>
  <c r="JHX28" i="3" s="1"/>
  <c r="JHR28" i="3" a="1"/>
  <c r="JHR28" i="3" s="1"/>
  <c r="JHL28" i="3" a="1"/>
  <c r="JHL28" i="3" s="1"/>
  <c r="JHF28" i="3" a="1"/>
  <c r="JHF28" i="3" s="1"/>
  <c r="JGZ28" i="3" a="1"/>
  <c r="JGZ28" i="3" s="1"/>
  <c r="JGT28" i="3" a="1"/>
  <c r="JGT28" i="3" s="1"/>
  <c r="JGN28" i="3" a="1"/>
  <c r="JGN28" i="3" s="1"/>
  <c r="JGH28" i="3" a="1"/>
  <c r="JGH28" i="3" s="1"/>
  <c r="JGB28" i="3" a="1"/>
  <c r="JGB28" i="3" s="1"/>
  <c r="JFV28" i="3" a="1"/>
  <c r="JFV28" i="3" s="1"/>
  <c r="JFP28" i="3" a="1"/>
  <c r="JFP28" i="3" s="1"/>
  <c r="JFJ28" i="3" a="1"/>
  <c r="JFJ28" i="3" s="1"/>
  <c r="JFD28" i="3" a="1"/>
  <c r="JFD28" i="3" s="1"/>
  <c r="JEX28" i="3" a="1"/>
  <c r="JEX28" i="3" s="1"/>
  <c r="JER28" i="3" a="1"/>
  <c r="JER28" i="3" s="1"/>
  <c r="JEL28" i="3" a="1"/>
  <c r="JEL28" i="3" s="1"/>
  <c r="JEF28" i="3" a="1"/>
  <c r="JEF28" i="3" s="1"/>
  <c r="JDZ28" i="3" a="1"/>
  <c r="JDZ28" i="3" s="1"/>
  <c r="JDT28" i="3" a="1"/>
  <c r="JDT28" i="3" s="1"/>
  <c r="JDN28" i="3" a="1"/>
  <c r="JDN28" i="3" s="1"/>
  <c r="JDH28" i="3" a="1"/>
  <c r="JDH28" i="3" s="1"/>
  <c r="JDB28" i="3" a="1"/>
  <c r="JDB28" i="3" s="1"/>
  <c r="JCV28" i="3" a="1"/>
  <c r="JCV28" i="3" s="1"/>
  <c r="JCP28" i="3" a="1"/>
  <c r="JCP28" i="3" s="1"/>
  <c r="JCJ28" i="3" a="1"/>
  <c r="JCJ28" i="3" s="1"/>
  <c r="JCD28" i="3" a="1"/>
  <c r="JCD28" i="3" s="1"/>
  <c r="JBX28" i="3" a="1"/>
  <c r="JBX28" i="3" s="1"/>
  <c r="JBR28" i="3" a="1"/>
  <c r="JBR28" i="3" s="1"/>
  <c r="JBL28" i="3" a="1"/>
  <c r="JBL28" i="3" s="1"/>
  <c r="JBF28" i="3" a="1"/>
  <c r="JBF28" i="3" s="1"/>
  <c r="JAZ28" i="3" a="1"/>
  <c r="JAZ28" i="3" s="1"/>
  <c r="JAT28" i="3" a="1"/>
  <c r="JAT28" i="3" s="1"/>
  <c r="JAN28" i="3" a="1"/>
  <c r="JAN28" i="3" s="1"/>
  <c r="JAH28" i="3" a="1"/>
  <c r="JAH28" i="3" s="1"/>
  <c r="JAB28" i="3" a="1"/>
  <c r="JAB28" i="3" s="1"/>
  <c r="IZV28" i="3" a="1"/>
  <c r="IZV28" i="3" s="1"/>
  <c r="IZP28" i="3" a="1"/>
  <c r="IZP28" i="3" s="1"/>
  <c r="IZJ28" i="3" a="1"/>
  <c r="IZJ28" i="3" s="1"/>
  <c r="IZD28" i="3" a="1"/>
  <c r="IZD28" i="3" s="1"/>
  <c r="IYX28" i="3" a="1"/>
  <c r="IYX28" i="3" s="1"/>
  <c r="IYR28" i="3" a="1"/>
  <c r="IYR28" i="3" s="1"/>
  <c r="IYL28" i="3" a="1"/>
  <c r="IYL28" i="3" s="1"/>
  <c r="IYF28" i="3" a="1"/>
  <c r="IYF28" i="3" s="1"/>
  <c r="IXZ28" i="3" a="1"/>
  <c r="IXZ28" i="3" s="1"/>
  <c r="IXT28" i="3" a="1"/>
  <c r="IXT28" i="3" s="1"/>
  <c r="IXN28" i="3" a="1"/>
  <c r="IXN28" i="3" s="1"/>
  <c r="IXH28" i="3" a="1"/>
  <c r="IXH28" i="3" s="1"/>
  <c r="IXB28" i="3" a="1"/>
  <c r="IXB28" i="3" s="1"/>
  <c r="IWV28" i="3" a="1"/>
  <c r="IWV28" i="3" s="1"/>
  <c r="IWP28" i="3" a="1"/>
  <c r="IWP28" i="3" s="1"/>
  <c r="IWJ28" i="3" a="1"/>
  <c r="IWJ28" i="3" s="1"/>
  <c r="IWD28" i="3" a="1"/>
  <c r="IWD28" i="3" s="1"/>
  <c r="IVX28" i="3" a="1"/>
  <c r="IVX28" i="3" s="1"/>
  <c r="IVR28" i="3" a="1"/>
  <c r="IVR28" i="3" s="1"/>
  <c r="IVL28" i="3" a="1"/>
  <c r="IVL28" i="3" s="1"/>
  <c r="IVF28" i="3" a="1"/>
  <c r="IVF28" i="3" s="1"/>
  <c r="IUZ28" i="3" a="1"/>
  <c r="IUZ28" i="3" s="1"/>
  <c r="IUT28" i="3" a="1"/>
  <c r="IUT28" i="3" s="1"/>
  <c r="IUN28" i="3" a="1"/>
  <c r="IUN28" i="3" s="1"/>
  <c r="IUH28" i="3" a="1"/>
  <c r="IUH28" i="3" s="1"/>
  <c r="IUB28" i="3" a="1"/>
  <c r="IUB28" i="3" s="1"/>
  <c r="ITV28" i="3" a="1"/>
  <c r="ITV28" i="3" s="1"/>
  <c r="ITP28" i="3" a="1"/>
  <c r="ITP28" i="3" s="1"/>
  <c r="ITJ28" i="3" a="1"/>
  <c r="ITJ28" i="3" s="1"/>
  <c r="ITD28" i="3" a="1"/>
  <c r="ITD28" i="3" s="1"/>
  <c r="ISX28" i="3" a="1"/>
  <c r="ISX28" i="3" s="1"/>
  <c r="ISR28" i="3" a="1"/>
  <c r="ISR28" i="3" s="1"/>
  <c r="ISL28" i="3" a="1"/>
  <c r="ISL28" i="3" s="1"/>
  <c r="ISF28" i="3" a="1"/>
  <c r="ISF28" i="3" s="1"/>
  <c r="IRZ28" i="3" a="1"/>
  <c r="IRZ28" i="3" s="1"/>
  <c r="IRT28" i="3" a="1"/>
  <c r="IRT28" i="3" s="1"/>
  <c r="IRN28" i="3" a="1"/>
  <c r="IRN28" i="3" s="1"/>
  <c r="IRH28" i="3" a="1"/>
  <c r="IRH28" i="3" s="1"/>
  <c r="IRB28" i="3" a="1"/>
  <c r="IRB28" i="3" s="1"/>
  <c r="IQV28" i="3" a="1"/>
  <c r="IQV28" i="3" s="1"/>
  <c r="IQP28" i="3" a="1"/>
  <c r="IQP28" i="3" s="1"/>
  <c r="IQJ28" i="3" a="1"/>
  <c r="IQJ28" i="3" s="1"/>
  <c r="IQD28" i="3" a="1"/>
  <c r="IQD28" i="3" s="1"/>
  <c r="IPX28" i="3" a="1"/>
  <c r="IPX28" i="3" s="1"/>
  <c r="IPR28" i="3" a="1"/>
  <c r="IPR28" i="3" s="1"/>
  <c r="IPL28" i="3" a="1"/>
  <c r="IPL28" i="3" s="1"/>
  <c r="IPF28" i="3" a="1"/>
  <c r="IPF28" i="3" s="1"/>
  <c r="IOZ28" i="3" a="1"/>
  <c r="IOZ28" i="3" s="1"/>
  <c r="IOT28" i="3" a="1"/>
  <c r="IOT28" i="3" s="1"/>
  <c r="ION28" i="3" a="1"/>
  <c r="ION28" i="3" s="1"/>
  <c r="IOH28" i="3" a="1"/>
  <c r="IOH28" i="3" s="1"/>
  <c r="IOB28" i="3" a="1"/>
  <c r="IOB28" i="3" s="1"/>
  <c r="INV28" i="3" a="1"/>
  <c r="INV28" i="3" s="1"/>
  <c r="INP28" i="3" a="1"/>
  <c r="INP28" i="3" s="1"/>
  <c r="INJ28" i="3" a="1"/>
  <c r="INJ28" i="3" s="1"/>
  <c r="IND28" i="3" a="1"/>
  <c r="IND28" i="3" s="1"/>
  <c r="IMX28" i="3" a="1"/>
  <c r="IMX28" i="3" s="1"/>
  <c r="IMR28" i="3" a="1"/>
  <c r="IMR28" i="3" s="1"/>
  <c r="IML28" i="3" a="1"/>
  <c r="IML28" i="3" s="1"/>
  <c r="IMF28" i="3" a="1"/>
  <c r="IMF28" i="3" s="1"/>
  <c r="ILZ28" i="3" a="1"/>
  <c r="ILZ28" i="3" s="1"/>
  <c r="ILT28" i="3" a="1"/>
  <c r="ILT28" i="3" s="1"/>
  <c r="ILN28" i="3" a="1"/>
  <c r="ILN28" i="3" s="1"/>
  <c r="ILH28" i="3" a="1"/>
  <c r="ILH28" i="3" s="1"/>
  <c r="ILB28" i="3" a="1"/>
  <c r="ILB28" i="3" s="1"/>
  <c r="IKV28" i="3" a="1"/>
  <c r="IKV28" i="3" s="1"/>
  <c r="IKP28" i="3" a="1"/>
  <c r="IKP28" i="3" s="1"/>
  <c r="IKJ28" i="3" a="1"/>
  <c r="IKJ28" i="3" s="1"/>
  <c r="IKD28" i="3" a="1"/>
  <c r="IKD28" i="3" s="1"/>
  <c r="IJX28" i="3" a="1"/>
  <c r="IJX28" i="3" s="1"/>
  <c r="IJR28" i="3" a="1"/>
  <c r="IJR28" i="3" s="1"/>
  <c r="IJL28" i="3" a="1"/>
  <c r="IJL28" i="3" s="1"/>
  <c r="IJF28" i="3" a="1"/>
  <c r="IJF28" i="3" s="1"/>
  <c r="IIZ28" i="3" a="1"/>
  <c r="IIZ28" i="3" s="1"/>
  <c r="IIT28" i="3" a="1"/>
  <c r="IIT28" i="3" s="1"/>
  <c r="IIN28" i="3" a="1"/>
  <c r="IIN28" i="3" s="1"/>
  <c r="IIH28" i="3" a="1"/>
  <c r="IIH28" i="3" s="1"/>
  <c r="IIB28" i="3" a="1"/>
  <c r="IIB28" i="3" s="1"/>
  <c r="IHV28" i="3" a="1"/>
  <c r="IHV28" i="3" s="1"/>
  <c r="IHP28" i="3" a="1"/>
  <c r="IHP28" i="3" s="1"/>
  <c r="IHJ28" i="3" a="1"/>
  <c r="IHJ28" i="3" s="1"/>
  <c r="IHD28" i="3" a="1"/>
  <c r="IHD28" i="3" s="1"/>
  <c r="IGX28" i="3" a="1"/>
  <c r="IGX28" i="3" s="1"/>
  <c r="IGR28" i="3" a="1"/>
  <c r="IGR28" i="3" s="1"/>
  <c r="IGL28" i="3" a="1"/>
  <c r="IGL28" i="3" s="1"/>
  <c r="IGF28" i="3" a="1"/>
  <c r="IGF28" i="3" s="1"/>
  <c r="IFZ28" i="3" a="1"/>
  <c r="IFZ28" i="3" s="1"/>
  <c r="IFT28" i="3" a="1"/>
  <c r="IFT28" i="3" s="1"/>
  <c r="IFN28" i="3" a="1"/>
  <c r="IFN28" i="3" s="1"/>
  <c r="IFH28" i="3" a="1"/>
  <c r="IFH28" i="3" s="1"/>
  <c r="IFB28" i="3" a="1"/>
  <c r="IFB28" i="3" s="1"/>
  <c r="QUU28" i="3" a="1"/>
  <c r="QUU28" i="3" s="1"/>
  <c r="QKQ28" i="3" a="1"/>
  <c r="QKQ28" i="3" s="1"/>
  <c r="PRB28" i="3" a="1"/>
  <c r="PRB28" i="3" s="1"/>
  <c r="OHW28" i="3" a="1"/>
  <c r="OHW28" i="3" s="1"/>
  <c r="OFJ28" i="3" a="1"/>
  <c r="OFJ28" i="3" s="1"/>
  <c r="OCX28" i="3" a="1"/>
  <c r="OCX28" i="3" s="1"/>
  <c r="NWE28" i="3" a="1"/>
  <c r="NWE28" i="3" s="1"/>
  <c r="NUF28" i="3" a="1"/>
  <c r="NUF28" i="3" s="1"/>
  <c r="NRM28" i="3" a="1"/>
  <c r="NRM28" i="3" s="1"/>
  <c r="NPN28" i="3" a="1"/>
  <c r="NPN28" i="3" s="1"/>
  <c r="NND28" i="3" a="1"/>
  <c r="NND28" i="3" s="1"/>
  <c r="NLK28" i="3" a="1"/>
  <c r="NLK28" i="3" s="1"/>
  <c r="NJQ28" i="3" a="1"/>
  <c r="NJQ28" i="3" s="1"/>
  <c r="NHH28" i="3" a="1"/>
  <c r="NHH28" i="3" s="1"/>
  <c r="NBT28" i="3" a="1"/>
  <c r="NBT28" i="3" s="1"/>
  <c r="NAE28" i="3" a="1"/>
  <c r="NAE28" i="3" s="1"/>
  <c r="MUZ28" i="3" a="1"/>
  <c r="MUZ28" i="3" s="1"/>
  <c r="MSC28" i="3" a="1"/>
  <c r="MSC28" i="3" s="1"/>
  <c r="MRH28" i="3" a="1"/>
  <c r="MRH28" i="3" s="1"/>
  <c r="MQE28" i="3" a="1"/>
  <c r="MQE28" i="3" s="1"/>
  <c r="MPH28" i="3" a="1"/>
  <c r="MPH28" i="3" s="1"/>
  <c r="MLK28" i="3" a="1"/>
  <c r="MLK28" i="3" s="1"/>
  <c r="MKP28" i="3" a="1"/>
  <c r="MKP28" i="3" s="1"/>
  <c r="MJW28" i="3" a="1"/>
  <c r="MJW28" i="3" s="1"/>
  <c r="MIW28" i="3" a="1"/>
  <c r="MIW28" i="3" s="1"/>
  <c r="MHE28" i="3" a="1"/>
  <c r="MHE28" i="3" s="1"/>
  <c r="MGL28" i="3" a="1"/>
  <c r="MGL28" i="3" s="1"/>
  <c r="MFS28" i="3" a="1"/>
  <c r="MFS28" i="3" s="1"/>
  <c r="MES28" i="3" a="1"/>
  <c r="MES28" i="3" s="1"/>
  <c r="MDA28" i="3" a="1"/>
  <c r="MDA28" i="3" s="1"/>
  <c r="MCH28" i="3" a="1"/>
  <c r="MCH28" i="3" s="1"/>
  <c r="MAI28" i="3" a="1"/>
  <c r="MAI28" i="3" s="1"/>
  <c r="LZQ28" i="3" a="1"/>
  <c r="LZQ28" i="3" s="1"/>
  <c r="RMA28" i="3" a="1"/>
  <c r="RMA28" i="3" s="1"/>
  <c r="OYV28" i="3" a="1"/>
  <c r="OYV28" i="3" s="1"/>
  <c r="OCP28" i="3" a="1"/>
  <c r="OCP28" i="3" s="1"/>
  <c r="NWH28" i="3" a="1"/>
  <c r="NWH28" i="3" s="1"/>
  <c r="NDG28" i="3" a="1"/>
  <c r="NDG28" i="3" s="1"/>
  <c r="MYR28" i="3" a="1"/>
  <c r="MYR28" i="3" s="1"/>
  <c r="MSX28" i="3" a="1"/>
  <c r="MSX28" i="3" s="1"/>
  <c r="MOD28" i="3" a="1"/>
  <c r="MOD28" i="3" s="1"/>
  <c r="MLT28" i="3" a="1"/>
  <c r="MLT28" i="3" s="1"/>
  <c r="MJQ28" i="3" a="1"/>
  <c r="MJQ28" i="3" s="1"/>
  <c r="MDS28" i="3" a="1"/>
  <c r="MDS28" i="3" s="1"/>
  <c r="LZB28" i="3" a="1"/>
  <c r="LZB28" i="3" s="1"/>
  <c r="LUC28" i="3" a="1"/>
  <c r="LUC28" i="3" s="1"/>
  <c r="LTA28" i="3" a="1"/>
  <c r="LTA28" i="3" s="1"/>
  <c r="LPH28" i="3" a="1"/>
  <c r="LPH28" i="3" s="1"/>
  <c r="LOB28" i="3" a="1"/>
  <c r="LOB28" i="3" s="1"/>
  <c r="LKN28" i="3" a="1"/>
  <c r="LKN28" i="3" s="1"/>
  <c r="LIG28" i="3" a="1"/>
  <c r="LIG28" i="3" s="1"/>
  <c r="LHG28" i="3" a="1"/>
  <c r="LHG28" i="3" s="1"/>
  <c r="LEZ28" i="3" a="1"/>
  <c r="LEZ28" i="3" s="1"/>
  <c r="LCS28" i="3" a="1"/>
  <c r="LCS28" i="3" s="1"/>
  <c r="LBS28" i="3" a="1"/>
  <c r="LBS28" i="3" s="1"/>
  <c r="KZL28" i="3" a="1"/>
  <c r="KZL28" i="3" s="1"/>
  <c r="KXE28" i="3" a="1"/>
  <c r="KXE28" i="3" s="1"/>
  <c r="KWE28" i="3" a="1"/>
  <c r="KWE28" i="3" s="1"/>
  <c r="KTX28" i="3" a="1"/>
  <c r="KTX28" i="3" s="1"/>
  <c r="KRQ28" i="3" a="1"/>
  <c r="KRQ28" i="3" s="1"/>
  <c r="KQQ28" i="3" a="1"/>
  <c r="KQQ28" i="3" s="1"/>
  <c r="KOJ28" i="3" a="1"/>
  <c r="KOJ28" i="3" s="1"/>
  <c r="KNL28" i="3" a="1"/>
  <c r="KNL28" i="3" s="1"/>
  <c r="KMN28" i="3" a="1"/>
  <c r="KMN28" i="3" s="1"/>
  <c r="KLP28" i="3" a="1"/>
  <c r="KLP28" i="3" s="1"/>
  <c r="KKR28" i="3" a="1"/>
  <c r="KKR28" i="3" s="1"/>
  <c r="KJT28" i="3" a="1"/>
  <c r="KJT28" i="3" s="1"/>
  <c r="KIV28" i="3" a="1"/>
  <c r="KIV28" i="3" s="1"/>
  <c r="KHX28" i="3" a="1"/>
  <c r="KHX28" i="3" s="1"/>
  <c r="KGZ28" i="3" a="1"/>
  <c r="KGZ28" i="3" s="1"/>
  <c r="KGB28" i="3" a="1"/>
  <c r="KGB28" i="3" s="1"/>
  <c r="KFD28" i="3" a="1"/>
  <c r="KFD28" i="3" s="1"/>
  <c r="KEF28" i="3" a="1"/>
  <c r="KEF28" i="3" s="1"/>
  <c r="KDH28" i="3" a="1"/>
  <c r="KDH28" i="3" s="1"/>
  <c r="KCM28" i="3" a="1"/>
  <c r="KCM28" i="3" s="1"/>
  <c r="KAY28" i="3" a="1"/>
  <c r="KAY28" i="3" s="1"/>
  <c r="KAE28" i="3" a="1"/>
  <c r="KAE28" i="3" s="1"/>
  <c r="JZM28" i="3" a="1"/>
  <c r="JZM28" i="3" s="1"/>
  <c r="JYU28" i="3" a="1"/>
  <c r="JYU28" i="3" s="1"/>
  <c r="JYC28" i="3" a="1"/>
  <c r="JYC28" i="3" s="1"/>
  <c r="JXK28" i="3" a="1"/>
  <c r="JXK28" i="3" s="1"/>
  <c r="JWS28" i="3" a="1"/>
  <c r="JWS28" i="3" s="1"/>
  <c r="JWA28" i="3" a="1"/>
  <c r="JWA28" i="3" s="1"/>
  <c r="JVI28" i="3" a="1"/>
  <c r="JVI28" i="3" s="1"/>
  <c r="JUQ28" i="3" a="1"/>
  <c r="JUQ28" i="3" s="1"/>
  <c r="JTY28" i="3" a="1"/>
  <c r="JTY28" i="3" s="1"/>
  <c r="JTG28" i="3" a="1"/>
  <c r="JTG28" i="3" s="1"/>
  <c r="JSO28" i="3" a="1"/>
  <c r="JSO28" i="3" s="1"/>
  <c r="JRW28" i="3" a="1"/>
  <c r="JRW28" i="3" s="1"/>
  <c r="JRE28" i="3" a="1"/>
  <c r="JRE28" i="3" s="1"/>
  <c r="JQO28" i="3" a="1"/>
  <c r="JQO28" i="3" s="1"/>
  <c r="JNR28" i="3" a="1"/>
  <c r="JNR28" i="3" s="1"/>
  <c r="IVV28" i="3" a="1"/>
  <c r="IVV28" i="3" s="1"/>
  <c r="IVK28" i="3" a="1"/>
  <c r="IVK28" i="3" s="1"/>
  <c r="IVA28" i="3" a="1"/>
  <c r="IVA28" i="3" s="1"/>
  <c r="ITM28" i="3" a="1"/>
  <c r="ITM28" i="3" s="1"/>
  <c r="ITB28" i="3" a="1"/>
  <c r="ITB28" i="3" s="1"/>
  <c r="ISQ28" i="3" a="1"/>
  <c r="ISQ28" i="3" s="1"/>
  <c r="ISG28" i="3" a="1"/>
  <c r="ISG28" i="3" s="1"/>
  <c r="IQS28" i="3" a="1"/>
  <c r="IQS28" i="3" s="1"/>
  <c r="IQH28" i="3" a="1"/>
  <c r="IQH28" i="3" s="1"/>
  <c r="IPW28" i="3" a="1"/>
  <c r="IPW28" i="3" s="1"/>
  <c r="IPM28" i="3" a="1"/>
  <c r="IPM28" i="3" s="1"/>
  <c r="IKW28" i="3" a="1"/>
  <c r="IKW28" i="3" s="1"/>
  <c r="IKG28" i="3" a="1"/>
  <c r="IKG28" i="3" s="1"/>
  <c r="IJY28" i="3" a="1"/>
  <c r="IJY28" i="3" s="1"/>
  <c r="IJI28" i="3" a="1"/>
  <c r="IJI28" i="3" s="1"/>
  <c r="IJA28" i="3" a="1"/>
  <c r="IJA28" i="3" s="1"/>
  <c r="IHX28" i="3" a="1"/>
  <c r="IHX28" i="3" s="1"/>
  <c r="IHQ28" i="3" a="1"/>
  <c r="IHQ28" i="3" s="1"/>
  <c r="IGN28" i="3" a="1"/>
  <c r="IGN28" i="3" s="1"/>
  <c r="IGG28" i="3" a="1"/>
  <c r="IGG28" i="3" s="1"/>
  <c r="IFD28" i="3" a="1"/>
  <c r="IFD28" i="3" s="1"/>
  <c r="IEW28" i="3" a="1"/>
  <c r="IEW28" i="3" s="1"/>
  <c r="IEJ28" i="3" a="1"/>
  <c r="IEJ28" i="3" s="1"/>
  <c r="IDW28" i="3" a="1"/>
  <c r="IDW28" i="3" s="1"/>
  <c r="IDJ28" i="3" a="1"/>
  <c r="IDJ28" i="3" s="1"/>
  <c r="ICW28" i="3" a="1"/>
  <c r="ICW28" i="3" s="1"/>
  <c r="ICP28" i="3" a="1"/>
  <c r="ICP28" i="3" s="1"/>
  <c r="ICC28" i="3" a="1"/>
  <c r="ICC28" i="3" s="1"/>
  <c r="IBP28" i="3" a="1"/>
  <c r="IBP28" i="3" s="1"/>
  <c r="IBC28" i="3" a="1"/>
  <c r="IBC28" i="3" s="1"/>
  <c r="IAP28" i="3" a="1"/>
  <c r="IAP28" i="3" s="1"/>
  <c r="IAC28" i="3" a="1"/>
  <c r="IAC28" i="3" s="1"/>
  <c r="HZV28" i="3" a="1"/>
  <c r="HZV28" i="3" s="1"/>
  <c r="HZI28" i="3" a="1"/>
  <c r="HZI28" i="3" s="1"/>
  <c r="HYV28" i="3" a="1"/>
  <c r="HYV28" i="3" s="1"/>
  <c r="HYI28" i="3" a="1"/>
  <c r="HYI28" i="3" s="1"/>
  <c r="HXV28" i="3" a="1"/>
  <c r="HXV28" i="3" s="1"/>
  <c r="HXI28" i="3" a="1"/>
  <c r="HXI28" i="3" s="1"/>
  <c r="HXB28" i="3" a="1"/>
  <c r="HXB28" i="3" s="1"/>
  <c r="HWO28" i="3" a="1"/>
  <c r="HWO28" i="3" s="1"/>
  <c r="HWB28" i="3" a="1"/>
  <c r="HWB28" i="3" s="1"/>
  <c r="HVO28" i="3" a="1"/>
  <c r="HVO28" i="3" s="1"/>
  <c r="HVB28" i="3" a="1"/>
  <c r="HVB28" i="3" s="1"/>
  <c r="HUO28" i="3" a="1"/>
  <c r="HUO28" i="3" s="1"/>
  <c r="HUH28" i="3" a="1"/>
  <c r="HUH28" i="3" s="1"/>
  <c r="HTU28" i="3" a="1"/>
  <c r="HTU28" i="3" s="1"/>
  <c r="HTH28" i="3" a="1"/>
  <c r="HTH28" i="3" s="1"/>
  <c r="HSU28" i="3" a="1"/>
  <c r="HSU28" i="3" s="1"/>
  <c r="HSH28" i="3" a="1"/>
  <c r="HSH28" i="3" s="1"/>
  <c r="HRU28" i="3" a="1"/>
  <c r="HRU28" i="3" s="1"/>
  <c r="HRN28" i="3" a="1"/>
  <c r="HRN28" i="3" s="1"/>
  <c r="HRA28" i="3" a="1"/>
  <c r="HRA28" i="3" s="1"/>
  <c r="HQN28" i="3" a="1"/>
  <c r="HQN28" i="3" s="1"/>
  <c r="HQA28" i="3" a="1"/>
  <c r="HQA28" i="3" s="1"/>
  <c r="HPN28" i="3" a="1"/>
  <c r="HPN28" i="3" s="1"/>
  <c r="HPA28" i="3" a="1"/>
  <c r="HPA28" i="3" s="1"/>
  <c r="HOT28" i="3" a="1"/>
  <c r="HOT28" i="3" s="1"/>
  <c r="HOG28" i="3" a="1"/>
  <c r="HOG28" i="3" s="1"/>
  <c r="HNT28" i="3" a="1"/>
  <c r="HNT28" i="3" s="1"/>
  <c r="HNN28" i="3" a="1"/>
  <c r="HNN28" i="3" s="1"/>
  <c r="HNH28" i="3" a="1"/>
  <c r="HNH28" i="3" s="1"/>
  <c r="HNB28" i="3" a="1"/>
  <c r="HNB28" i="3" s="1"/>
  <c r="HMV28" i="3" a="1"/>
  <c r="HMV28" i="3" s="1"/>
  <c r="HMP28" i="3" a="1"/>
  <c r="HMP28" i="3" s="1"/>
  <c r="HMJ28" i="3" a="1"/>
  <c r="HMJ28" i="3" s="1"/>
  <c r="HMD28" i="3" a="1"/>
  <c r="HMD28" i="3" s="1"/>
  <c r="HLX28" i="3" a="1"/>
  <c r="HLX28" i="3" s="1"/>
  <c r="HLR28" i="3" a="1"/>
  <c r="HLR28" i="3" s="1"/>
  <c r="HLL28" i="3" a="1"/>
  <c r="HLL28" i="3" s="1"/>
  <c r="HLF28" i="3" a="1"/>
  <c r="HLF28" i="3" s="1"/>
  <c r="HKZ28" i="3" a="1"/>
  <c r="HKZ28" i="3" s="1"/>
  <c r="HKT28" i="3" a="1"/>
  <c r="HKT28" i="3" s="1"/>
  <c r="HKN28" i="3" a="1"/>
  <c r="HKN28" i="3" s="1"/>
  <c r="HKH28" i="3" a="1"/>
  <c r="HKH28" i="3" s="1"/>
  <c r="HKB28" i="3" a="1"/>
  <c r="HKB28" i="3" s="1"/>
  <c r="HJV28" i="3" a="1"/>
  <c r="HJV28" i="3" s="1"/>
  <c r="HJP28" i="3" a="1"/>
  <c r="HJP28" i="3" s="1"/>
  <c r="HJJ28" i="3" a="1"/>
  <c r="HJJ28" i="3" s="1"/>
  <c r="HJD28" i="3" a="1"/>
  <c r="HJD28" i="3" s="1"/>
  <c r="HIX28" i="3" a="1"/>
  <c r="HIX28" i="3" s="1"/>
  <c r="HIR28" i="3" a="1"/>
  <c r="HIR28" i="3" s="1"/>
  <c r="HIL28" i="3" a="1"/>
  <c r="HIL28" i="3" s="1"/>
  <c r="HIF28" i="3" a="1"/>
  <c r="HIF28" i="3" s="1"/>
  <c r="HHZ28" i="3" a="1"/>
  <c r="HHZ28" i="3" s="1"/>
  <c r="HHT28" i="3" a="1"/>
  <c r="HHT28" i="3" s="1"/>
  <c r="HHN28" i="3" a="1"/>
  <c r="HHN28" i="3" s="1"/>
  <c r="HHH28" i="3" a="1"/>
  <c r="HHH28" i="3" s="1"/>
  <c r="HHB28" i="3" a="1"/>
  <c r="HHB28" i="3" s="1"/>
  <c r="HGV28" i="3" a="1"/>
  <c r="HGV28" i="3" s="1"/>
  <c r="HGP28" i="3" a="1"/>
  <c r="HGP28" i="3" s="1"/>
  <c r="HGJ28" i="3" a="1"/>
  <c r="HGJ28" i="3" s="1"/>
  <c r="HGD28" i="3" a="1"/>
  <c r="HGD28" i="3" s="1"/>
  <c r="HFX28" i="3" a="1"/>
  <c r="HFX28" i="3" s="1"/>
  <c r="HFR28" i="3" a="1"/>
  <c r="HFR28" i="3" s="1"/>
  <c r="HFL28" i="3" a="1"/>
  <c r="HFL28" i="3" s="1"/>
  <c r="HFF28" i="3" a="1"/>
  <c r="HFF28" i="3" s="1"/>
  <c r="HEZ28" i="3" a="1"/>
  <c r="HEZ28" i="3" s="1"/>
  <c r="HET28" i="3" a="1"/>
  <c r="HET28" i="3" s="1"/>
  <c r="HEN28" i="3" a="1"/>
  <c r="HEN28" i="3" s="1"/>
  <c r="HEH28" i="3" a="1"/>
  <c r="HEH28" i="3" s="1"/>
  <c r="HEB28" i="3" a="1"/>
  <c r="HEB28" i="3" s="1"/>
  <c r="HDV28" i="3" a="1"/>
  <c r="HDV28" i="3" s="1"/>
  <c r="HDP28" i="3" a="1"/>
  <c r="HDP28" i="3" s="1"/>
  <c r="HDJ28" i="3" a="1"/>
  <c r="HDJ28" i="3" s="1"/>
  <c r="HDD28" i="3" a="1"/>
  <c r="HDD28" i="3" s="1"/>
  <c r="HCX28" i="3" a="1"/>
  <c r="HCX28" i="3" s="1"/>
  <c r="HCR28" i="3" a="1"/>
  <c r="HCR28" i="3" s="1"/>
  <c r="HCL28" i="3" a="1"/>
  <c r="HCL28" i="3" s="1"/>
  <c r="HCF28" i="3" a="1"/>
  <c r="HCF28" i="3" s="1"/>
  <c r="HBZ28" i="3" a="1"/>
  <c r="HBZ28" i="3" s="1"/>
  <c r="HBT28" i="3" a="1"/>
  <c r="HBT28" i="3" s="1"/>
  <c r="HBN28" i="3" a="1"/>
  <c r="HBN28" i="3" s="1"/>
  <c r="HBH28" i="3" a="1"/>
  <c r="HBH28" i="3" s="1"/>
  <c r="HBB28" i="3" a="1"/>
  <c r="HBB28" i="3" s="1"/>
  <c r="HAV28" i="3" a="1"/>
  <c r="HAV28" i="3" s="1"/>
  <c r="HAP28" i="3" a="1"/>
  <c r="HAP28" i="3" s="1"/>
  <c r="HAJ28" i="3" a="1"/>
  <c r="HAJ28" i="3" s="1"/>
  <c r="HAD28" i="3" a="1"/>
  <c r="HAD28" i="3" s="1"/>
  <c r="GZX28" i="3" a="1"/>
  <c r="GZX28" i="3" s="1"/>
  <c r="GZR28" i="3" a="1"/>
  <c r="GZR28" i="3" s="1"/>
  <c r="GZL28" i="3" a="1"/>
  <c r="GZL28" i="3" s="1"/>
  <c r="GZF28" i="3" a="1"/>
  <c r="GZF28" i="3" s="1"/>
  <c r="GYZ28" i="3" a="1"/>
  <c r="GYZ28" i="3" s="1"/>
  <c r="GYT28" i="3" a="1"/>
  <c r="GYT28" i="3" s="1"/>
  <c r="GYN28" i="3" a="1"/>
  <c r="GYN28" i="3" s="1"/>
  <c r="GYH28" i="3" a="1"/>
  <c r="GYH28" i="3" s="1"/>
  <c r="GYB28" i="3" a="1"/>
  <c r="GYB28" i="3" s="1"/>
  <c r="GXV28" i="3" a="1"/>
  <c r="GXV28" i="3" s="1"/>
  <c r="GXP28" i="3" a="1"/>
  <c r="GXP28" i="3" s="1"/>
  <c r="GXJ28" i="3" a="1"/>
  <c r="GXJ28" i="3" s="1"/>
  <c r="GXD28" i="3" a="1"/>
  <c r="GXD28" i="3" s="1"/>
  <c r="GWX28" i="3" a="1"/>
  <c r="GWX28" i="3" s="1"/>
  <c r="GWR28" i="3" a="1"/>
  <c r="GWR28" i="3" s="1"/>
  <c r="GWL28" i="3" a="1"/>
  <c r="GWL28" i="3" s="1"/>
  <c r="GWF28" i="3" a="1"/>
  <c r="GWF28" i="3" s="1"/>
  <c r="GVZ28" i="3" a="1"/>
  <c r="GVZ28" i="3" s="1"/>
  <c r="GVT28" i="3" a="1"/>
  <c r="GVT28" i="3" s="1"/>
  <c r="GVN28" i="3" a="1"/>
  <c r="GVN28" i="3" s="1"/>
  <c r="GVH28" i="3" a="1"/>
  <c r="GVH28" i="3" s="1"/>
  <c r="GVB28" i="3" a="1"/>
  <c r="GVB28" i="3" s="1"/>
  <c r="GUV28" i="3" a="1"/>
  <c r="GUV28" i="3" s="1"/>
  <c r="GUP28" i="3" a="1"/>
  <c r="GUP28" i="3" s="1"/>
  <c r="GUJ28" i="3" a="1"/>
  <c r="GUJ28" i="3" s="1"/>
  <c r="GUD28" i="3" a="1"/>
  <c r="GUD28" i="3" s="1"/>
  <c r="GTX28" i="3" a="1"/>
  <c r="GTX28" i="3" s="1"/>
  <c r="GTR28" i="3" a="1"/>
  <c r="GTR28" i="3" s="1"/>
  <c r="GTL28" i="3" a="1"/>
  <c r="GTL28" i="3" s="1"/>
  <c r="GTF28" i="3" a="1"/>
  <c r="GTF28" i="3" s="1"/>
  <c r="GSZ28" i="3" a="1"/>
  <c r="GSZ28" i="3" s="1"/>
  <c r="GST28" i="3" a="1"/>
  <c r="GST28" i="3" s="1"/>
  <c r="GSN28" i="3" a="1"/>
  <c r="GSN28" i="3" s="1"/>
  <c r="GSH28" i="3" a="1"/>
  <c r="GSH28" i="3" s="1"/>
  <c r="GSB28" i="3" a="1"/>
  <c r="GSB28" i="3" s="1"/>
  <c r="GRV28" i="3" a="1"/>
  <c r="GRV28" i="3" s="1"/>
  <c r="GRP28" i="3" a="1"/>
  <c r="GRP28" i="3" s="1"/>
  <c r="GRJ28" i="3" a="1"/>
  <c r="GRJ28" i="3" s="1"/>
  <c r="GRD28" i="3" a="1"/>
  <c r="GRD28" i="3" s="1"/>
  <c r="GQX28" i="3" a="1"/>
  <c r="GQX28" i="3" s="1"/>
  <c r="GQR28" i="3" a="1"/>
  <c r="GQR28" i="3" s="1"/>
  <c r="GQL28" i="3" a="1"/>
  <c r="GQL28" i="3" s="1"/>
  <c r="GQF28" i="3" a="1"/>
  <c r="GQF28" i="3" s="1"/>
  <c r="GPZ28" i="3" a="1"/>
  <c r="GPZ28" i="3" s="1"/>
  <c r="GPT28" i="3" a="1"/>
  <c r="GPT28" i="3" s="1"/>
  <c r="GPN28" i="3" a="1"/>
  <c r="GPN28" i="3" s="1"/>
  <c r="GPH28" i="3" a="1"/>
  <c r="GPH28" i="3" s="1"/>
  <c r="GPB28" i="3" a="1"/>
  <c r="GPB28" i="3" s="1"/>
  <c r="GOV28" i="3" a="1"/>
  <c r="GOV28" i="3" s="1"/>
  <c r="GOP28" i="3" a="1"/>
  <c r="GOP28" i="3" s="1"/>
  <c r="GOJ28" i="3" a="1"/>
  <c r="GOJ28" i="3" s="1"/>
  <c r="GOD28" i="3" a="1"/>
  <c r="GOD28" i="3" s="1"/>
  <c r="GNX28" i="3" a="1"/>
  <c r="GNX28" i="3" s="1"/>
  <c r="GNR28" i="3" a="1"/>
  <c r="GNR28" i="3" s="1"/>
  <c r="GNL28" i="3" a="1"/>
  <c r="GNL28" i="3" s="1"/>
  <c r="GNF28" i="3" a="1"/>
  <c r="GNF28" i="3" s="1"/>
  <c r="GMZ28" i="3" a="1"/>
  <c r="GMZ28" i="3" s="1"/>
  <c r="GMT28" i="3" a="1"/>
  <c r="GMT28" i="3" s="1"/>
  <c r="GMN28" i="3" a="1"/>
  <c r="GMN28" i="3" s="1"/>
  <c r="GMH28" i="3" a="1"/>
  <c r="GMH28" i="3" s="1"/>
  <c r="GMB28" i="3" a="1"/>
  <c r="GMB28" i="3" s="1"/>
  <c r="GLV28" i="3" a="1"/>
  <c r="GLV28" i="3" s="1"/>
  <c r="GLP28" i="3" a="1"/>
  <c r="GLP28" i="3" s="1"/>
  <c r="GLJ28" i="3" a="1"/>
  <c r="GLJ28" i="3" s="1"/>
  <c r="GLD28" i="3" a="1"/>
  <c r="GLD28" i="3" s="1"/>
  <c r="GKX28" i="3" a="1"/>
  <c r="GKX28" i="3" s="1"/>
  <c r="GKR28" i="3" a="1"/>
  <c r="GKR28" i="3" s="1"/>
  <c r="GKL28" i="3" a="1"/>
  <c r="GKL28" i="3" s="1"/>
  <c r="GKF28" i="3" a="1"/>
  <c r="GKF28" i="3" s="1"/>
  <c r="GJZ28" i="3" a="1"/>
  <c r="GJZ28" i="3" s="1"/>
  <c r="GJT28" i="3" a="1"/>
  <c r="GJT28" i="3" s="1"/>
  <c r="GJN28" i="3" a="1"/>
  <c r="GJN28" i="3" s="1"/>
  <c r="GJH28" i="3" a="1"/>
  <c r="GJH28" i="3" s="1"/>
  <c r="GJB28" i="3" a="1"/>
  <c r="GJB28" i="3" s="1"/>
  <c r="GIV28" i="3" a="1"/>
  <c r="GIV28" i="3" s="1"/>
  <c r="GIP28" i="3" a="1"/>
  <c r="GIP28" i="3" s="1"/>
  <c r="GIJ28" i="3" a="1"/>
  <c r="GIJ28" i="3" s="1"/>
  <c r="GID28" i="3" a="1"/>
  <c r="GID28" i="3" s="1"/>
  <c r="GHX28" i="3" a="1"/>
  <c r="GHX28" i="3" s="1"/>
  <c r="GHR28" i="3" a="1"/>
  <c r="GHR28" i="3" s="1"/>
  <c r="GHL28" i="3" a="1"/>
  <c r="GHL28" i="3" s="1"/>
  <c r="GHF28" i="3" a="1"/>
  <c r="GHF28" i="3" s="1"/>
  <c r="GGZ28" i="3" a="1"/>
  <c r="GGZ28" i="3" s="1"/>
  <c r="GGT28" i="3" a="1"/>
  <c r="GGT28" i="3" s="1"/>
  <c r="GGN28" i="3" a="1"/>
  <c r="GGN28" i="3" s="1"/>
  <c r="GGH28" i="3" a="1"/>
  <c r="GGH28" i="3" s="1"/>
  <c r="GGB28" i="3" a="1"/>
  <c r="GGB28" i="3" s="1"/>
  <c r="GFV28" i="3" a="1"/>
  <c r="GFV28" i="3" s="1"/>
  <c r="GFP28" i="3" a="1"/>
  <c r="GFP28" i="3" s="1"/>
  <c r="GFJ28" i="3" a="1"/>
  <c r="GFJ28" i="3" s="1"/>
  <c r="GFD28" i="3" a="1"/>
  <c r="GFD28" i="3" s="1"/>
  <c r="GEX28" i="3" a="1"/>
  <c r="GEX28" i="3" s="1"/>
  <c r="GER28" i="3" a="1"/>
  <c r="GER28" i="3" s="1"/>
  <c r="GEL28" i="3" a="1"/>
  <c r="GEL28" i="3" s="1"/>
  <c r="GEF28" i="3" a="1"/>
  <c r="GEF28" i="3" s="1"/>
  <c r="GDZ28" i="3" a="1"/>
  <c r="GDZ28" i="3" s="1"/>
  <c r="GDT28" i="3" a="1"/>
  <c r="GDT28" i="3" s="1"/>
  <c r="GDN28" i="3" a="1"/>
  <c r="GDN28" i="3" s="1"/>
  <c r="GDH28" i="3" a="1"/>
  <c r="GDH28" i="3" s="1"/>
  <c r="GDB28" i="3" a="1"/>
  <c r="GDB28" i="3" s="1"/>
  <c r="GCV28" i="3" a="1"/>
  <c r="GCV28" i="3" s="1"/>
  <c r="GCP28" i="3" a="1"/>
  <c r="GCP28" i="3" s="1"/>
  <c r="GCJ28" i="3" a="1"/>
  <c r="GCJ28" i="3" s="1"/>
  <c r="GCD28" i="3" a="1"/>
  <c r="GCD28" i="3" s="1"/>
  <c r="GBX28" i="3" a="1"/>
  <c r="GBX28" i="3" s="1"/>
  <c r="GBR28" i="3" a="1"/>
  <c r="GBR28" i="3" s="1"/>
  <c r="GBL28" i="3" a="1"/>
  <c r="GBL28" i="3" s="1"/>
  <c r="GBF28" i="3" a="1"/>
  <c r="GBF28" i="3" s="1"/>
  <c r="GAZ28" i="3" a="1"/>
  <c r="GAZ28" i="3" s="1"/>
  <c r="GAT28" i="3" a="1"/>
  <c r="GAT28" i="3" s="1"/>
  <c r="GAN28" i="3" a="1"/>
  <c r="GAN28" i="3" s="1"/>
  <c r="GAH28" i="3" a="1"/>
  <c r="GAH28" i="3" s="1"/>
  <c r="GAB28" i="3" a="1"/>
  <c r="GAB28" i="3" s="1"/>
  <c r="FZV28" i="3" a="1"/>
  <c r="FZV28" i="3" s="1"/>
  <c r="FZP28" i="3" a="1"/>
  <c r="FZP28" i="3" s="1"/>
  <c r="FZJ28" i="3" a="1"/>
  <c r="FZJ28" i="3" s="1"/>
  <c r="FZD28" i="3" a="1"/>
  <c r="FZD28" i="3" s="1"/>
  <c r="FYX28" i="3" a="1"/>
  <c r="FYX28" i="3" s="1"/>
  <c r="FYR28" i="3" a="1"/>
  <c r="FYR28" i="3" s="1"/>
  <c r="FYL28" i="3" a="1"/>
  <c r="FYL28" i="3" s="1"/>
  <c r="FYF28" i="3" a="1"/>
  <c r="FYF28" i="3" s="1"/>
  <c r="FXZ28" i="3" a="1"/>
  <c r="FXZ28" i="3" s="1"/>
  <c r="FXT28" i="3" a="1"/>
  <c r="FXT28" i="3" s="1"/>
  <c r="FXN28" i="3" a="1"/>
  <c r="FXN28" i="3" s="1"/>
  <c r="FXH28" i="3" a="1"/>
  <c r="FXH28" i="3" s="1"/>
  <c r="FXB28" i="3" a="1"/>
  <c r="FXB28" i="3" s="1"/>
  <c r="FWV28" i="3" a="1"/>
  <c r="FWV28" i="3" s="1"/>
  <c r="FWP28" i="3" a="1"/>
  <c r="FWP28" i="3" s="1"/>
  <c r="FWJ28" i="3" a="1"/>
  <c r="FWJ28" i="3" s="1"/>
  <c r="FWD28" i="3" a="1"/>
  <c r="FWD28" i="3" s="1"/>
  <c r="FVX28" i="3" a="1"/>
  <c r="FVX28" i="3" s="1"/>
  <c r="FVR28" i="3" a="1"/>
  <c r="FVR28" i="3" s="1"/>
  <c r="FVL28" i="3" a="1"/>
  <c r="FVL28" i="3" s="1"/>
  <c r="FVF28" i="3" a="1"/>
  <c r="FVF28" i="3" s="1"/>
  <c r="FUZ28" i="3" a="1"/>
  <c r="FUZ28" i="3" s="1"/>
  <c r="FUT28" i="3" a="1"/>
  <c r="FUT28" i="3" s="1"/>
  <c r="FUN28" i="3" a="1"/>
  <c r="FUN28" i="3" s="1"/>
  <c r="FUH28" i="3" a="1"/>
  <c r="FUH28" i="3" s="1"/>
  <c r="FUB28" i="3" a="1"/>
  <c r="FUB28" i="3" s="1"/>
  <c r="FTV28" i="3" a="1"/>
  <c r="FTV28" i="3" s="1"/>
  <c r="FTP28" i="3" a="1"/>
  <c r="FTP28" i="3" s="1"/>
  <c r="FTJ28" i="3" a="1"/>
  <c r="FTJ28" i="3" s="1"/>
  <c r="FTD28" i="3" a="1"/>
  <c r="FTD28" i="3" s="1"/>
  <c r="FSX28" i="3" a="1"/>
  <c r="FSX28" i="3" s="1"/>
  <c r="FSR28" i="3" a="1"/>
  <c r="FSR28" i="3" s="1"/>
  <c r="FSL28" i="3" a="1"/>
  <c r="FSL28" i="3" s="1"/>
  <c r="FSF28" i="3" a="1"/>
  <c r="FSF28" i="3" s="1"/>
  <c r="FRZ28" i="3" a="1"/>
  <c r="FRZ28" i="3" s="1"/>
  <c r="FRT28" i="3" a="1"/>
  <c r="FRT28" i="3" s="1"/>
  <c r="FRN28" i="3" a="1"/>
  <c r="FRN28" i="3" s="1"/>
  <c r="FRH28" i="3" a="1"/>
  <c r="FRH28" i="3" s="1"/>
  <c r="FRB28" i="3" a="1"/>
  <c r="FRB28" i="3" s="1"/>
  <c r="FQV28" i="3" a="1"/>
  <c r="FQV28" i="3" s="1"/>
  <c r="FQP28" i="3" a="1"/>
  <c r="FQP28" i="3" s="1"/>
  <c r="FQJ28" i="3" a="1"/>
  <c r="FQJ28" i="3" s="1"/>
  <c r="FQD28" i="3" a="1"/>
  <c r="FQD28" i="3" s="1"/>
  <c r="FPX28" i="3" a="1"/>
  <c r="FPX28" i="3" s="1"/>
  <c r="FPR28" i="3" a="1"/>
  <c r="FPR28" i="3" s="1"/>
  <c r="FPL28" i="3" a="1"/>
  <c r="FPL28" i="3" s="1"/>
  <c r="FPF28" i="3" a="1"/>
  <c r="FPF28" i="3" s="1"/>
  <c r="FOZ28" i="3" a="1"/>
  <c r="FOZ28" i="3" s="1"/>
  <c r="FOT28" i="3" a="1"/>
  <c r="FOT28" i="3" s="1"/>
  <c r="FON28" i="3" a="1"/>
  <c r="FON28" i="3" s="1"/>
  <c r="FOH28" i="3" a="1"/>
  <c r="FOH28" i="3" s="1"/>
  <c r="FOB28" i="3" a="1"/>
  <c r="FOB28" i="3" s="1"/>
  <c r="FNV28" i="3" a="1"/>
  <c r="FNV28" i="3" s="1"/>
  <c r="FNP28" i="3" a="1"/>
  <c r="FNP28" i="3" s="1"/>
  <c r="FNJ28" i="3" a="1"/>
  <c r="FNJ28" i="3" s="1"/>
  <c r="FND28" i="3" a="1"/>
  <c r="FND28" i="3" s="1"/>
  <c r="FMX28" i="3" a="1"/>
  <c r="FMX28" i="3" s="1"/>
  <c r="FMR28" i="3" a="1"/>
  <c r="FMR28" i="3" s="1"/>
  <c r="FML28" i="3" a="1"/>
  <c r="FML28" i="3" s="1"/>
  <c r="FMF28" i="3" a="1"/>
  <c r="FMF28" i="3" s="1"/>
  <c r="FLZ28" i="3" a="1"/>
  <c r="FLZ28" i="3" s="1"/>
  <c r="FLT28" i="3" a="1"/>
  <c r="FLT28" i="3" s="1"/>
  <c r="FLN28" i="3" a="1"/>
  <c r="FLN28" i="3" s="1"/>
  <c r="FLH28" i="3" a="1"/>
  <c r="FLH28" i="3" s="1"/>
  <c r="FLB28" i="3" a="1"/>
  <c r="FLB28" i="3" s="1"/>
  <c r="FKV28" i="3" a="1"/>
  <c r="FKV28" i="3" s="1"/>
  <c r="FKP28" i="3" a="1"/>
  <c r="FKP28" i="3" s="1"/>
  <c r="FKJ28" i="3" a="1"/>
  <c r="FKJ28" i="3" s="1"/>
  <c r="FKD28" i="3" a="1"/>
  <c r="FKD28" i="3" s="1"/>
  <c r="FJX28" i="3" a="1"/>
  <c r="FJX28" i="3" s="1"/>
  <c r="FJR28" i="3" a="1"/>
  <c r="FJR28" i="3" s="1"/>
  <c r="FJL28" i="3" a="1"/>
  <c r="FJL28" i="3" s="1"/>
  <c r="FJF28" i="3" a="1"/>
  <c r="FJF28" i="3" s="1"/>
  <c r="FIZ28" i="3" a="1"/>
  <c r="FIZ28" i="3" s="1"/>
  <c r="FIT28" i="3" a="1"/>
  <c r="FIT28" i="3" s="1"/>
  <c r="FIN28" i="3" a="1"/>
  <c r="FIN28" i="3" s="1"/>
  <c r="FIH28" i="3" a="1"/>
  <c r="FIH28" i="3" s="1"/>
  <c r="FIB28" i="3" a="1"/>
  <c r="FIB28" i="3" s="1"/>
  <c r="FHV28" i="3" a="1"/>
  <c r="FHV28" i="3" s="1"/>
  <c r="FHP28" i="3" a="1"/>
  <c r="FHP28" i="3" s="1"/>
  <c r="FHJ28" i="3" a="1"/>
  <c r="FHJ28" i="3" s="1"/>
  <c r="FHD28" i="3" a="1"/>
  <c r="FHD28" i="3" s="1"/>
  <c r="FGX28" i="3" a="1"/>
  <c r="FGX28" i="3" s="1"/>
  <c r="FGR28" i="3" a="1"/>
  <c r="FGR28" i="3" s="1"/>
  <c r="FGL28" i="3" a="1"/>
  <c r="FGL28" i="3" s="1"/>
  <c r="FGF28" i="3" a="1"/>
  <c r="FGF28" i="3" s="1"/>
  <c r="FFZ28" i="3" a="1"/>
  <c r="FFZ28" i="3" s="1"/>
  <c r="FFT28" i="3" a="1"/>
  <c r="FFT28" i="3" s="1"/>
  <c r="FFN28" i="3" a="1"/>
  <c r="FFN28" i="3" s="1"/>
  <c r="FFH28" i="3" a="1"/>
  <c r="FFH28" i="3" s="1"/>
  <c r="FFB28" i="3" a="1"/>
  <c r="FFB28" i="3" s="1"/>
  <c r="FEV28" i="3" a="1"/>
  <c r="FEV28" i="3" s="1"/>
  <c r="FEP28" i="3" a="1"/>
  <c r="FEP28" i="3" s="1"/>
  <c r="FEJ28" i="3" a="1"/>
  <c r="FEJ28" i="3" s="1"/>
  <c r="FED28" i="3" a="1"/>
  <c r="FED28" i="3" s="1"/>
  <c r="FDX28" i="3" a="1"/>
  <c r="FDX28" i="3" s="1"/>
  <c r="FDR28" i="3" a="1"/>
  <c r="FDR28" i="3" s="1"/>
  <c r="FDL28" i="3" a="1"/>
  <c r="FDL28" i="3" s="1"/>
  <c r="FDF28" i="3" a="1"/>
  <c r="FDF28" i="3" s="1"/>
  <c r="FCZ28" i="3" a="1"/>
  <c r="FCZ28" i="3" s="1"/>
  <c r="FCT28" i="3" a="1"/>
  <c r="FCT28" i="3" s="1"/>
  <c r="FCN28" i="3" a="1"/>
  <c r="FCN28" i="3" s="1"/>
  <c r="FCH28" i="3" a="1"/>
  <c r="FCH28" i="3" s="1"/>
  <c r="FCB28" i="3" a="1"/>
  <c r="FCB28" i="3" s="1"/>
  <c r="FBV28" i="3" a="1"/>
  <c r="FBV28" i="3" s="1"/>
  <c r="FBP28" i="3" a="1"/>
  <c r="FBP28" i="3" s="1"/>
  <c r="FBJ28" i="3" a="1"/>
  <c r="FBJ28" i="3" s="1"/>
  <c r="FBD28" i="3" a="1"/>
  <c r="FBD28" i="3" s="1"/>
  <c r="FAX28" i="3" a="1"/>
  <c r="FAX28" i="3" s="1"/>
  <c r="FAR28" i="3" a="1"/>
  <c r="FAR28" i="3" s="1"/>
  <c r="FAL28" i="3" a="1"/>
  <c r="FAL28" i="3" s="1"/>
  <c r="FAF28" i="3" a="1"/>
  <c r="FAF28" i="3" s="1"/>
  <c r="EZZ28" i="3" a="1"/>
  <c r="EZZ28" i="3" s="1"/>
  <c r="EZT28" i="3" a="1"/>
  <c r="EZT28" i="3" s="1"/>
  <c r="EZN28" i="3" a="1"/>
  <c r="EZN28" i="3" s="1"/>
  <c r="EZH28" i="3" a="1"/>
  <c r="EZH28" i="3" s="1"/>
  <c r="EZB28" i="3" a="1"/>
  <c r="EZB28" i="3" s="1"/>
  <c r="EYV28" i="3" a="1"/>
  <c r="EYV28" i="3" s="1"/>
  <c r="EYP28" i="3" a="1"/>
  <c r="EYP28" i="3" s="1"/>
  <c r="EYJ28" i="3" a="1"/>
  <c r="EYJ28" i="3" s="1"/>
  <c r="EYD28" i="3" a="1"/>
  <c r="EYD28" i="3" s="1"/>
  <c r="EXX28" i="3" a="1"/>
  <c r="EXX28" i="3" s="1"/>
  <c r="EXR28" i="3" a="1"/>
  <c r="EXR28" i="3" s="1"/>
  <c r="EXL28" i="3" a="1"/>
  <c r="EXL28" i="3" s="1"/>
  <c r="EXF28" i="3" a="1"/>
  <c r="EXF28" i="3" s="1"/>
  <c r="EWZ28" i="3" a="1"/>
  <c r="EWZ28" i="3" s="1"/>
  <c r="EWT28" i="3" a="1"/>
  <c r="EWT28" i="3" s="1"/>
  <c r="EWN28" i="3" a="1"/>
  <c r="EWN28" i="3" s="1"/>
  <c r="EWH28" i="3" a="1"/>
  <c r="EWH28" i="3" s="1"/>
  <c r="EWB28" i="3" a="1"/>
  <c r="EWB28" i="3" s="1"/>
  <c r="EVV28" i="3" a="1"/>
  <c r="EVV28" i="3" s="1"/>
  <c r="EVP28" i="3" a="1"/>
  <c r="EVP28" i="3" s="1"/>
  <c r="EVJ28" i="3" a="1"/>
  <c r="EVJ28" i="3" s="1"/>
  <c r="EVD28" i="3" a="1"/>
  <c r="EVD28" i="3" s="1"/>
  <c r="EUX28" i="3" a="1"/>
  <c r="EUX28" i="3" s="1"/>
  <c r="EUR28" i="3" a="1"/>
  <c r="EUR28" i="3" s="1"/>
  <c r="EUL28" i="3" a="1"/>
  <c r="EUL28" i="3" s="1"/>
  <c r="EUF28" i="3" a="1"/>
  <c r="EUF28" i="3" s="1"/>
  <c r="ETZ28" i="3" a="1"/>
  <c r="ETZ28" i="3" s="1"/>
  <c r="ETT28" i="3" a="1"/>
  <c r="ETT28" i="3" s="1"/>
  <c r="ETN28" i="3" a="1"/>
  <c r="ETN28" i="3" s="1"/>
  <c r="ETH28" i="3" a="1"/>
  <c r="ETH28" i="3" s="1"/>
  <c r="ETB28" i="3" a="1"/>
  <c r="ETB28" i="3" s="1"/>
  <c r="ESV28" i="3" a="1"/>
  <c r="ESV28" i="3" s="1"/>
  <c r="ESP28" i="3" a="1"/>
  <c r="ESP28" i="3" s="1"/>
  <c r="ESJ28" i="3" a="1"/>
  <c r="ESJ28" i="3" s="1"/>
  <c r="ESD28" i="3" a="1"/>
  <c r="ESD28" i="3" s="1"/>
  <c r="ERX28" i="3" a="1"/>
  <c r="ERX28" i="3" s="1"/>
  <c r="ERR28" i="3" a="1"/>
  <c r="ERR28" i="3" s="1"/>
  <c r="ERL28" i="3" a="1"/>
  <c r="ERL28" i="3" s="1"/>
  <c r="ERF28" i="3" a="1"/>
  <c r="ERF28" i="3" s="1"/>
  <c r="EQZ28" i="3" a="1"/>
  <c r="EQZ28" i="3" s="1"/>
  <c r="EQT28" i="3" a="1"/>
  <c r="EQT28" i="3" s="1"/>
  <c r="EQN28" i="3" a="1"/>
  <c r="EQN28" i="3" s="1"/>
  <c r="EQH28" i="3" a="1"/>
  <c r="EQH28" i="3" s="1"/>
  <c r="EQB28" i="3" a="1"/>
  <c r="EQB28" i="3" s="1"/>
  <c r="EPV28" i="3" a="1"/>
  <c r="EPV28" i="3" s="1"/>
  <c r="EPP28" i="3" a="1"/>
  <c r="EPP28" i="3" s="1"/>
  <c r="EPJ28" i="3" a="1"/>
  <c r="EPJ28" i="3" s="1"/>
  <c r="EPD28" i="3" a="1"/>
  <c r="EPD28" i="3" s="1"/>
  <c r="PKV28" i="3" a="1"/>
  <c r="PKV28" i="3" s="1"/>
  <c r="OOO28" i="3" a="1"/>
  <c r="OOO28" i="3" s="1"/>
  <c r="OHL28" i="3" a="1"/>
  <c r="OHL28" i="3" s="1"/>
  <c r="NWF28" i="3" a="1"/>
  <c r="NWF28" i="3" s="1"/>
  <c r="NRL28" i="3" a="1"/>
  <c r="NRL28" i="3" s="1"/>
  <c r="NHG28" i="3" a="1"/>
  <c r="NHG28" i="3" s="1"/>
  <c r="NDF28" i="3" a="1"/>
  <c r="NDF28" i="3" s="1"/>
  <c r="MYH28" i="3" a="1"/>
  <c r="MYH28" i="3" s="1"/>
  <c r="MUW28" i="3" a="1"/>
  <c r="MUW28" i="3" s="1"/>
  <c r="MSL28" i="3" a="1"/>
  <c r="MSL28" i="3" s="1"/>
  <c r="MJO28" i="3" a="1"/>
  <c r="MJO28" i="3" s="1"/>
  <c r="MFM28" i="3" a="1"/>
  <c r="MFM28" i="3" s="1"/>
  <c r="MBQ28" i="3" a="1"/>
  <c r="MBQ28" i="3" s="1"/>
  <c r="MAD28" i="3" a="1"/>
  <c r="MAD28" i="3" s="1"/>
  <c r="LXU28" i="3" a="1"/>
  <c r="LXU28" i="3" s="1"/>
  <c r="LWO28" i="3" a="1"/>
  <c r="LWO28" i="3" s="1"/>
  <c r="LVI28" i="3" a="1"/>
  <c r="LVI28" i="3" s="1"/>
  <c r="LRT28" i="3" a="1"/>
  <c r="LRT28" i="3" s="1"/>
  <c r="LQN28" i="3" a="1"/>
  <c r="LQN28" i="3" s="1"/>
  <c r="LLS28" i="3" a="1"/>
  <c r="LLS28" i="3" s="1"/>
  <c r="LJJ28" i="3" a="1"/>
  <c r="LJJ28" i="3" s="1"/>
  <c r="LHC28" i="3" a="1"/>
  <c r="LHC28" i="3" s="1"/>
  <c r="LGC28" i="3" a="1"/>
  <c r="LGC28" i="3" s="1"/>
  <c r="LDV28" i="3" a="1"/>
  <c r="LDV28" i="3" s="1"/>
  <c r="LBO28" i="3" a="1"/>
  <c r="LBO28" i="3" s="1"/>
  <c r="LAO28" i="3" a="1"/>
  <c r="LAO28" i="3" s="1"/>
  <c r="KYH28" i="3" a="1"/>
  <c r="KYH28" i="3" s="1"/>
  <c r="KWA28" i="3" a="1"/>
  <c r="KWA28" i="3" s="1"/>
  <c r="KVA28" i="3" a="1"/>
  <c r="KVA28" i="3" s="1"/>
  <c r="KST28" i="3" a="1"/>
  <c r="KST28" i="3" s="1"/>
  <c r="KQM28" i="3" a="1"/>
  <c r="KQM28" i="3" s="1"/>
  <c r="KPM28" i="3" a="1"/>
  <c r="KPM28" i="3" s="1"/>
  <c r="KCL28" i="3" a="1"/>
  <c r="KCL28" i="3" s="1"/>
  <c r="KBR28" i="3" a="1"/>
  <c r="KBR28" i="3" s="1"/>
  <c r="KAW28" i="3" a="1"/>
  <c r="KAW28" i="3" s="1"/>
  <c r="KAD28" i="3" a="1"/>
  <c r="KAD28" i="3" s="1"/>
  <c r="JZL28" i="3" a="1"/>
  <c r="JZL28" i="3" s="1"/>
  <c r="JYT28" i="3" a="1"/>
  <c r="JYT28" i="3" s="1"/>
  <c r="JYB28" i="3" a="1"/>
  <c r="JYB28" i="3" s="1"/>
  <c r="JXJ28" i="3" a="1"/>
  <c r="JXJ28" i="3" s="1"/>
  <c r="JWR28" i="3" a="1"/>
  <c r="JWR28" i="3" s="1"/>
  <c r="JVZ28" i="3" a="1"/>
  <c r="JVZ28" i="3" s="1"/>
  <c r="JVH28" i="3" a="1"/>
  <c r="JVH28" i="3" s="1"/>
  <c r="JUP28" i="3" a="1"/>
  <c r="JUP28" i="3" s="1"/>
  <c r="JTX28" i="3" a="1"/>
  <c r="JTX28" i="3" s="1"/>
  <c r="JTF28" i="3" a="1"/>
  <c r="JTF28" i="3" s="1"/>
  <c r="JSN28" i="3" a="1"/>
  <c r="JSN28" i="3" s="1"/>
  <c r="JRV28" i="3" a="1"/>
  <c r="JRV28" i="3" s="1"/>
  <c r="JRD28" i="3" a="1"/>
  <c r="JRD28" i="3" s="1"/>
  <c r="JPX28" i="3" a="1"/>
  <c r="JPX28" i="3" s="1"/>
  <c r="JPI28" i="3" a="1"/>
  <c r="JPI28" i="3" s="1"/>
  <c r="JOT28" i="3" a="1"/>
  <c r="JOT28" i="3" s="1"/>
  <c r="JOF28" i="3" a="1"/>
  <c r="JOF28" i="3" s="1"/>
  <c r="JNQ28" i="3" a="1"/>
  <c r="JNQ28" i="3" s="1"/>
  <c r="JNC28" i="3" a="1"/>
  <c r="JNC28" i="3" s="1"/>
  <c r="JMO28" i="3" a="1"/>
  <c r="JMO28" i="3" s="1"/>
  <c r="JLZ28" i="3" a="1"/>
  <c r="JLZ28" i="3" s="1"/>
  <c r="JLM28" i="3" a="1"/>
  <c r="JLM28" i="3" s="1"/>
  <c r="JLA28" i="3" a="1"/>
  <c r="JLA28" i="3" s="1"/>
  <c r="JKO28" i="3" a="1"/>
  <c r="JKO28" i="3" s="1"/>
  <c r="JKC28" i="3" a="1"/>
  <c r="JKC28" i="3" s="1"/>
  <c r="JJQ28" i="3" a="1"/>
  <c r="JJQ28" i="3" s="1"/>
  <c r="JJE28" i="3" a="1"/>
  <c r="JJE28" i="3" s="1"/>
  <c r="JIS28" i="3" a="1"/>
  <c r="JIS28" i="3" s="1"/>
  <c r="JIG28" i="3" a="1"/>
  <c r="JIG28" i="3" s="1"/>
  <c r="JHU28" i="3" a="1"/>
  <c r="JHU28" i="3" s="1"/>
  <c r="JHI28" i="3" a="1"/>
  <c r="JHI28" i="3" s="1"/>
  <c r="JGW28" i="3" a="1"/>
  <c r="JGW28" i="3" s="1"/>
  <c r="JGK28" i="3" a="1"/>
  <c r="JGK28" i="3" s="1"/>
  <c r="JFY28" i="3" a="1"/>
  <c r="JFY28" i="3" s="1"/>
  <c r="JFM28" i="3" a="1"/>
  <c r="JFM28" i="3" s="1"/>
  <c r="JFA28" i="3" a="1"/>
  <c r="JFA28" i="3" s="1"/>
  <c r="JEO28" i="3" a="1"/>
  <c r="JEO28" i="3" s="1"/>
  <c r="JEC28" i="3" a="1"/>
  <c r="JEC28" i="3" s="1"/>
  <c r="JDQ28" i="3" a="1"/>
  <c r="JDQ28" i="3" s="1"/>
  <c r="JDE28" i="3" a="1"/>
  <c r="JDE28" i="3" s="1"/>
  <c r="JCS28" i="3" a="1"/>
  <c r="JCS28" i="3" s="1"/>
  <c r="JCG28" i="3" a="1"/>
  <c r="JCG28" i="3" s="1"/>
  <c r="JBU28" i="3" a="1"/>
  <c r="JBU28" i="3" s="1"/>
  <c r="JBI28" i="3" a="1"/>
  <c r="JBI28" i="3" s="1"/>
  <c r="JAW28" i="3" a="1"/>
  <c r="JAW28" i="3" s="1"/>
  <c r="JAK28" i="3" a="1"/>
  <c r="JAK28" i="3" s="1"/>
  <c r="IZY28" i="3" a="1"/>
  <c r="IZY28" i="3" s="1"/>
  <c r="IZM28" i="3" a="1"/>
  <c r="IZM28" i="3" s="1"/>
  <c r="IZA28" i="3" a="1"/>
  <c r="IZA28" i="3" s="1"/>
  <c r="IYO28" i="3" a="1"/>
  <c r="IYO28" i="3" s="1"/>
  <c r="IYC28" i="3" a="1"/>
  <c r="IYC28" i="3" s="1"/>
  <c r="IXQ28" i="3" a="1"/>
  <c r="IXQ28" i="3" s="1"/>
  <c r="IXE28" i="3" a="1"/>
  <c r="IXE28" i="3" s="1"/>
  <c r="IWS28" i="3" a="1"/>
  <c r="IWS28" i="3" s="1"/>
  <c r="IWG28" i="3" a="1"/>
  <c r="IWG28" i="3" s="1"/>
  <c r="IUQ28" i="3" a="1"/>
  <c r="IUQ28" i="3" s="1"/>
  <c r="IUF28" i="3" a="1"/>
  <c r="IUF28" i="3" s="1"/>
  <c r="ITU28" i="3" a="1"/>
  <c r="ITU28" i="3" s="1"/>
  <c r="ITK28" i="3" a="1"/>
  <c r="ITK28" i="3" s="1"/>
  <c r="IRW28" i="3" a="1"/>
  <c r="IRW28" i="3" s="1"/>
  <c r="IRL28" i="3" a="1"/>
  <c r="IRL28" i="3" s="1"/>
  <c r="IRA28" i="3" a="1"/>
  <c r="IRA28" i="3" s="1"/>
  <c r="IQQ28" i="3" a="1"/>
  <c r="IQQ28" i="3" s="1"/>
  <c r="IPC28" i="3" a="1"/>
  <c r="IPC28" i="3" s="1"/>
  <c r="IOR28" i="3" a="1"/>
  <c r="IOR28" i="3" s="1"/>
  <c r="IOG28" i="3" a="1"/>
  <c r="IOG28" i="3" s="1"/>
  <c r="INY28" i="3" a="1"/>
  <c r="INY28" i="3" s="1"/>
  <c r="INO28" i="3" a="1"/>
  <c r="INO28" i="3" s="1"/>
  <c r="ING28" i="3" a="1"/>
  <c r="ING28" i="3" s="1"/>
  <c r="IMW28" i="3" a="1"/>
  <c r="IMW28" i="3" s="1"/>
  <c r="IMO28" i="3" a="1"/>
  <c r="IMO28" i="3" s="1"/>
  <c r="IME28" i="3" a="1"/>
  <c r="IME28" i="3" s="1"/>
  <c r="ILW28" i="3" a="1"/>
  <c r="ILW28" i="3" s="1"/>
  <c r="ILM28" i="3" a="1"/>
  <c r="ILM28" i="3" s="1"/>
  <c r="ILE28" i="3" a="1"/>
  <c r="ILE28" i="3" s="1"/>
  <c r="IKN28" i="3" a="1"/>
  <c r="IKN28" i="3" s="1"/>
  <c r="IKF28" i="3" a="1"/>
  <c r="IKF28" i="3" s="1"/>
  <c r="IJP28" i="3" a="1"/>
  <c r="IJP28" i="3" s="1"/>
  <c r="IJH28" i="3" a="1"/>
  <c r="IJH28" i="3" s="1"/>
  <c r="IIS28" i="3" a="1"/>
  <c r="IIS28" i="3" s="1"/>
  <c r="IIL28" i="3" a="1"/>
  <c r="IIL28" i="3" s="1"/>
  <c r="IIE28" i="3" a="1"/>
  <c r="IIE28" i="3" s="1"/>
  <c r="IHI28" i="3" a="1"/>
  <c r="IHI28" i="3" s="1"/>
  <c r="IHB28" i="3" a="1"/>
  <c r="IHB28" i="3" s="1"/>
  <c r="IGU28" i="3" a="1"/>
  <c r="IGU28" i="3" s="1"/>
  <c r="IFY28" i="3" a="1"/>
  <c r="IFY28" i="3" s="1"/>
  <c r="IFR28" i="3" a="1"/>
  <c r="IFR28" i="3" s="1"/>
  <c r="IFK28" i="3" a="1"/>
  <c r="IFK28" i="3" s="1"/>
  <c r="IEP28" i="3" a="1"/>
  <c r="IEP28" i="3" s="1"/>
  <c r="IEC28" i="3" a="1"/>
  <c r="IEC28" i="3" s="1"/>
  <c r="IDP28" i="3" a="1"/>
  <c r="IDP28" i="3" s="1"/>
  <c r="IDC28" i="3" a="1"/>
  <c r="IDC28" i="3" s="1"/>
  <c r="ICV28" i="3" a="1"/>
  <c r="ICV28" i="3" s="1"/>
  <c r="ICI28" i="3" a="1"/>
  <c r="ICI28" i="3" s="1"/>
  <c r="IBV28" i="3" a="1"/>
  <c r="IBV28" i="3" s="1"/>
  <c r="IBI28" i="3" a="1"/>
  <c r="IBI28" i="3" s="1"/>
  <c r="IAV28" i="3" a="1"/>
  <c r="IAV28" i="3" s="1"/>
  <c r="IAI28" i="3" a="1"/>
  <c r="IAI28" i="3" s="1"/>
  <c r="IAB28" i="3" a="1"/>
  <c r="IAB28" i="3" s="1"/>
  <c r="HZO28" i="3" a="1"/>
  <c r="HZO28" i="3" s="1"/>
  <c r="HZB28" i="3" a="1"/>
  <c r="HZB28" i="3" s="1"/>
  <c r="HYO28" i="3" a="1"/>
  <c r="HYO28" i="3" s="1"/>
  <c r="HYB28" i="3" a="1"/>
  <c r="HYB28" i="3" s="1"/>
  <c r="HXO28" i="3" a="1"/>
  <c r="HXO28" i="3" s="1"/>
  <c r="HXH28" i="3" a="1"/>
  <c r="HXH28" i="3" s="1"/>
  <c r="HWU28" i="3" a="1"/>
  <c r="HWU28" i="3" s="1"/>
  <c r="HWH28" i="3" a="1"/>
  <c r="HWH28" i="3" s="1"/>
  <c r="HVU28" i="3" a="1"/>
  <c r="HVU28" i="3" s="1"/>
  <c r="HVH28" i="3" a="1"/>
  <c r="HVH28" i="3" s="1"/>
  <c r="HUU28" i="3" a="1"/>
  <c r="HUU28" i="3" s="1"/>
  <c r="HUN28" i="3" a="1"/>
  <c r="HUN28" i="3" s="1"/>
  <c r="HUA28" i="3" a="1"/>
  <c r="HUA28" i="3" s="1"/>
  <c r="HTN28" i="3" a="1"/>
  <c r="HTN28" i="3" s="1"/>
  <c r="HTA28" i="3" a="1"/>
  <c r="HTA28" i="3" s="1"/>
  <c r="HSN28" i="3" a="1"/>
  <c r="HSN28" i="3" s="1"/>
  <c r="HSA28" i="3" a="1"/>
  <c r="HSA28" i="3" s="1"/>
  <c r="HRT28" i="3" a="1"/>
  <c r="HRT28" i="3" s="1"/>
  <c r="HRG28" i="3" a="1"/>
  <c r="HRG28" i="3" s="1"/>
  <c r="HQT28" i="3" a="1"/>
  <c r="HQT28" i="3" s="1"/>
  <c r="HQG28" i="3" a="1"/>
  <c r="HQG28" i="3" s="1"/>
  <c r="HPT28" i="3" a="1"/>
  <c r="HPT28" i="3" s="1"/>
  <c r="HPG28" i="3" a="1"/>
  <c r="HPG28" i="3" s="1"/>
  <c r="HOZ28" i="3" a="1"/>
  <c r="HOZ28" i="3" s="1"/>
  <c r="HOM28" i="3" a="1"/>
  <c r="HOM28" i="3" s="1"/>
  <c r="HNZ28" i="3" a="1"/>
  <c r="HNZ28" i="3" s="1"/>
  <c r="OXI28" i="3" a="1"/>
  <c r="OXI28" i="3" s="1"/>
  <c r="NWD28" i="3" a="1"/>
  <c r="NWD28" i="3" s="1"/>
  <c r="NRD28" i="3" a="1"/>
  <c r="NRD28" i="3" s="1"/>
  <c r="NLL28" i="3" a="1"/>
  <c r="NLL28" i="3" s="1"/>
  <c r="NHF28" i="3" a="1"/>
  <c r="NHF28" i="3" s="1"/>
  <c r="NBZ28" i="3" a="1"/>
  <c r="NBZ28" i="3" s="1"/>
  <c r="MYB28" i="3" a="1"/>
  <c r="MYB28" i="3" s="1"/>
  <c r="MQD28" i="3" a="1"/>
  <c r="MQD28" i="3" s="1"/>
  <c r="MLJ28" i="3" a="1"/>
  <c r="MLJ28" i="3" s="1"/>
  <c r="MJN28" i="3" a="1"/>
  <c r="MJN28" i="3" s="1"/>
  <c r="MHK28" i="3" a="1"/>
  <c r="MHK28" i="3" s="1"/>
  <c r="MFK28" i="3" a="1"/>
  <c r="MFK28" i="3" s="1"/>
  <c r="MBK28" i="3" a="1"/>
  <c r="MBK28" i="3" s="1"/>
  <c r="LYP28" i="3" a="1"/>
  <c r="LYP28" i="3" s="1"/>
  <c r="LVA28" i="3" a="1"/>
  <c r="LVA28" i="3" s="1"/>
  <c r="LTU28" i="3" a="1"/>
  <c r="LTU28" i="3" s="1"/>
  <c r="LSO28" i="3" a="1"/>
  <c r="LSO28" i="3" s="1"/>
  <c r="LOZ28" i="3" a="1"/>
  <c r="LOZ28" i="3" s="1"/>
  <c r="LNT28" i="3" a="1"/>
  <c r="LNT28" i="3" s="1"/>
  <c r="LKC28" i="3" a="1"/>
  <c r="LKC28" i="3" s="1"/>
  <c r="LJC28" i="3" a="1"/>
  <c r="LJC28" i="3" s="1"/>
  <c r="LGV28" i="3" a="1"/>
  <c r="LGV28" i="3" s="1"/>
  <c r="LEO28" i="3" a="1"/>
  <c r="LEO28" i="3" s="1"/>
  <c r="LDO28" i="3" a="1"/>
  <c r="LDO28" i="3" s="1"/>
  <c r="LBH28" i="3" a="1"/>
  <c r="LBH28" i="3" s="1"/>
  <c r="KZA28" i="3" a="1"/>
  <c r="KZA28" i="3" s="1"/>
  <c r="KYA28" i="3" a="1"/>
  <c r="KYA28" i="3" s="1"/>
  <c r="KVT28" i="3" a="1"/>
  <c r="KVT28" i="3" s="1"/>
  <c r="KTM28" i="3" a="1"/>
  <c r="KTM28" i="3" s="1"/>
  <c r="KSM28" i="3" a="1"/>
  <c r="KSM28" i="3" s="1"/>
  <c r="KQF28" i="3" a="1"/>
  <c r="KQF28" i="3" s="1"/>
  <c r="KOC28" i="3" a="1"/>
  <c r="KOC28" i="3" s="1"/>
  <c r="KNE28" i="3" a="1"/>
  <c r="KNE28" i="3" s="1"/>
  <c r="KMG28" i="3" a="1"/>
  <c r="KMG28" i="3" s="1"/>
  <c r="KLI28" i="3" a="1"/>
  <c r="KLI28" i="3" s="1"/>
  <c r="KKK28" i="3" a="1"/>
  <c r="KKK28" i="3" s="1"/>
  <c r="KJM28" i="3" a="1"/>
  <c r="KJM28" i="3" s="1"/>
  <c r="KIO28" i="3" a="1"/>
  <c r="KIO28" i="3" s="1"/>
  <c r="KHQ28" i="3" a="1"/>
  <c r="KHQ28" i="3" s="1"/>
  <c r="KGS28" i="3" a="1"/>
  <c r="KGS28" i="3" s="1"/>
  <c r="KFU28" i="3" a="1"/>
  <c r="KFU28" i="3" s="1"/>
  <c r="KEW28" i="3" a="1"/>
  <c r="KEW28" i="3" s="1"/>
  <c r="KDY28" i="3" a="1"/>
  <c r="KDY28" i="3" s="1"/>
  <c r="KCF28" i="3" a="1"/>
  <c r="KCF28" i="3" s="1"/>
  <c r="KBL28" i="3" a="1"/>
  <c r="KBL28" i="3" s="1"/>
  <c r="KAQ28" i="3" a="1"/>
  <c r="KAQ28" i="3" s="1"/>
  <c r="JZY28" i="3" a="1"/>
  <c r="JZY28" i="3" s="1"/>
  <c r="JZG28" i="3" a="1"/>
  <c r="JZG28" i="3" s="1"/>
  <c r="JYO28" i="3" a="1"/>
  <c r="JYO28" i="3" s="1"/>
  <c r="JXW28" i="3" a="1"/>
  <c r="JXW28" i="3" s="1"/>
  <c r="JXE28" i="3" a="1"/>
  <c r="JXE28" i="3" s="1"/>
  <c r="JWM28" i="3" a="1"/>
  <c r="JWM28" i="3" s="1"/>
  <c r="JVU28" i="3" a="1"/>
  <c r="JVU28" i="3" s="1"/>
  <c r="JVC28" i="3" a="1"/>
  <c r="JVC28" i="3" s="1"/>
  <c r="JUK28" i="3" a="1"/>
  <c r="JUK28" i="3" s="1"/>
  <c r="JTS28" i="3" a="1"/>
  <c r="JTS28" i="3" s="1"/>
  <c r="JTA28" i="3" a="1"/>
  <c r="JTA28" i="3" s="1"/>
  <c r="JSI28" i="3" a="1"/>
  <c r="JSI28" i="3" s="1"/>
  <c r="JRQ28" i="3" a="1"/>
  <c r="JRQ28" i="3" s="1"/>
  <c r="JQZ28" i="3" a="1"/>
  <c r="JQZ28" i="3" s="1"/>
  <c r="JPS28" i="3" a="1"/>
  <c r="JPS28" i="3" s="1"/>
  <c r="JOP28" i="3" a="1"/>
  <c r="JOP28" i="3" s="1"/>
  <c r="JLV28" i="3" a="1"/>
  <c r="JLV28" i="3" s="1"/>
  <c r="IVU28" i="3" a="1"/>
  <c r="IVU28" i="3" s="1"/>
  <c r="IVJ28" i="3" a="1"/>
  <c r="IVJ28" i="3" s="1"/>
  <c r="IUY28" i="3" a="1"/>
  <c r="IUY28" i="3" s="1"/>
  <c r="IUO28" i="3" a="1"/>
  <c r="IUO28" i="3" s="1"/>
  <c r="ITA28" i="3" a="1"/>
  <c r="ITA28" i="3" s="1"/>
  <c r="ISP28" i="3" a="1"/>
  <c r="ISP28" i="3" s="1"/>
  <c r="ISE28" i="3" a="1"/>
  <c r="ISE28" i="3" s="1"/>
  <c r="IRU28" i="3" a="1"/>
  <c r="IRU28" i="3" s="1"/>
  <c r="IQG28" i="3" a="1"/>
  <c r="IQG28" i="3" s="1"/>
  <c r="IPV28" i="3" a="1"/>
  <c r="IPV28" i="3" s="1"/>
  <c r="IPK28" i="3" a="1"/>
  <c r="IPK28" i="3" s="1"/>
  <c r="IPA28" i="3" a="1"/>
  <c r="IPA28" i="3" s="1"/>
  <c r="IKU28" i="3" a="1"/>
  <c r="IKU28" i="3" s="1"/>
  <c r="IJW28" i="3" a="1"/>
  <c r="IJW28" i="3" s="1"/>
  <c r="IID28" i="3" a="1"/>
  <c r="IID28" i="3" s="1"/>
  <c r="IHW28" i="3" a="1"/>
  <c r="IHW28" i="3" s="1"/>
  <c r="IGT28" i="3" a="1"/>
  <c r="IGT28" i="3" s="1"/>
  <c r="IGM28" i="3" a="1"/>
  <c r="IGM28" i="3" s="1"/>
  <c r="IFJ28" i="3" a="1"/>
  <c r="IFJ28" i="3" s="1"/>
  <c r="IFC28" i="3" a="1"/>
  <c r="IFC28" i="3" s="1"/>
  <c r="IEV28" i="3" a="1"/>
  <c r="IEV28" i="3" s="1"/>
  <c r="IEI28" i="3" a="1"/>
  <c r="IEI28" i="3" s="1"/>
  <c r="IDV28" i="3" a="1"/>
  <c r="IDV28" i="3" s="1"/>
  <c r="IDI28" i="3" a="1"/>
  <c r="IDI28" i="3" s="1"/>
  <c r="IDB28" i="3" a="1"/>
  <c r="IDB28" i="3" s="1"/>
  <c r="ICO28" i="3" a="1"/>
  <c r="ICO28" i="3" s="1"/>
  <c r="ICB28" i="3" a="1"/>
  <c r="ICB28" i="3" s="1"/>
  <c r="IBO28" i="3" a="1"/>
  <c r="IBO28" i="3" s="1"/>
  <c r="IBB28" i="3" a="1"/>
  <c r="IBB28" i="3" s="1"/>
  <c r="IAO28" i="3" a="1"/>
  <c r="IAO28" i="3" s="1"/>
  <c r="IAH28" i="3" a="1"/>
  <c r="IAH28" i="3" s="1"/>
  <c r="HZU28" i="3" a="1"/>
  <c r="HZU28" i="3" s="1"/>
  <c r="HZH28" i="3" a="1"/>
  <c r="HZH28" i="3" s="1"/>
  <c r="HYU28" i="3" a="1"/>
  <c r="HYU28" i="3" s="1"/>
  <c r="HYH28" i="3" a="1"/>
  <c r="HYH28" i="3" s="1"/>
  <c r="HXU28" i="3" a="1"/>
  <c r="HXU28" i="3" s="1"/>
  <c r="HXN28" i="3" a="1"/>
  <c r="HXN28" i="3" s="1"/>
  <c r="HXA28" i="3" a="1"/>
  <c r="HXA28" i="3" s="1"/>
  <c r="HWN28" i="3" a="1"/>
  <c r="HWN28" i="3" s="1"/>
  <c r="HWA28" i="3" a="1"/>
  <c r="HWA28" i="3" s="1"/>
  <c r="HVN28" i="3" a="1"/>
  <c r="HVN28" i="3" s="1"/>
  <c r="HVA28" i="3" a="1"/>
  <c r="HVA28" i="3" s="1"/>
  <c r="HUT28" i="3" a="1"/>
  <c r="HUT28" i="3" s="1"/>
  <c r="HUG28" i="3" a="1"/>
  <c r="HUG28" i="3" s="1"/>
  <c r="HTT28" i="3" a="1"/>
  <c r="HTT28" i="3" s="1"/>
  <c r="HTG28" i="3" a="1"/>
  <c r="HTG28" i="3" s="1"/>
  <c r="HST28" i="3" a="1"/>
  <c r="HST28" i="3" s="1"/>
  <c r="HSG28" i="3" a="1"/>
  <c r="HSG28" i="3" s="1"/>
  <c r="HRZ28" i="3" a="1"/>
  <c r="HRZ28" i="3" s="1"/>
  <c r="HRM28" i="3" a="1"/>
  <c r="HRM28" i="3" s="1"/>
  <c r="HQZ28" i="3" a="1"/>
  <c r="HQZ28" i="3" s="1"/>
  <c r="HQM28" i="3" a="1"/>
  <c r="HQM28" i="3" s="1"/>
  <c r="HPZ28" i="3" a="1"/>
  <c r="HPZ28" i="3" s="1"/>
  <c r="HPM28" i="3" a="1"/>
  <c r="HPM28" i="3" s="1"/>
  <c r="HPF28" i="3" a="1"/>
  <c r="HPF28" i="3" s="1"/>
  <c r="HOS28" i="3" a="1"/>
  <c r="HOS28" i="3" s="1"/>
  <c r="HOF28" i="3" a="1"/>
  <c r="HOF28" i="3" s="1"/>
  <c r="HNS28" i="3" a="1"/>
  <c r="HNS28" i="3" s="1"/>
  <c r="HNM28" i="3" a="1"/>
  <c r="HNM28" i="3" s="1"/>
  <c r="HNG28" i="3" a="1"/>
  <c r="HNG28" i="3" s="1"/>
  <c r="HNA28" i="3" a="1"/>
  <c r="HNA28" i="3" s="1"/>
  <c r="HMU28" i="3" a="1"/>
  <c r="HMU28" i="3" s="1"/>
  <c r="HMO28" i="3" a="1"/>
  <c r="HMO28" i="3" s="1"/>
  <c r="HMI28" i="3" a="1"/>
  <c r="HMI28" i="3" s="1"/>
  <c r="HMC28" i="3" a="1"/>
  <c r="HMC28" i="3" s="1"/>
  <c r="HLW28" i="3" a="1"/>
  <c r="HLW28" i="3" s="1"/>
  <c r="HLQ28" i="3" a="1"/>
  <c r="HLQ28" i="3" s="1"/>
  <c r="HLK28" i="3" a="1"/>
  <c r="HLK28" i="3" s="1"/>
  <c r="HLE28" i="3" a="1"/>
  <c r="HLE28" i="3" s="1"/>
  <c r="HKY28" i="3" a="1"/>
  <c r="HKY28" i="3" s="1"/>
  <c r="HKS28" i="3" a="1"/>
  <c r="HKS28" i="3" s="1"/>
  <c r="HKM28" i="3" a="1"/>
  <c r="HKM28" i="3" s="1"/>
  <c r="HKG28" i="3" a="1"/>
  <c r="HKG28" i="3" s="1"/>
  <c r="HKA28" i="3" a="1"/>
  <c r="HKA28" i="3" s="1"/>
  <c r="HJU28" i="3" a="1"/>
  <c r="HJU28" i="3" s="1"/>
  <c r="HJO28" i="3" a="1"/>
  <c r="HJO28" i="3" s="1"/>
  <c r="HJI28" i="3" a="1"/>
  <c r="HJI28" i="3" s="1"/>
  <c r="HJC28" i="3" a="1"/>
  <c r="HJC28" i="3" s="1"/>
  <c r="HIW28" i="3" a="1"/>
  <c r="HIW28" i="3" s="1"/>
  <c r="HIQ28" i="3" a="1"/>
  <c r="HIQ28" i="3" s="1"/>
  <c r="HIK28" i="3" a="1"/>
  <c r="HIK28" i="3" s="1"/>
  <c r="HIE28" i="3" a="1"/>
  <c r="HIE28" i="3" s="1"/>
  <c r="HHY28" i="3" a="1"/>
  <c r="HHY28" i="3" s="1"/>
  <c r="HHS28" i="3" a="1"/>
  <c r="HHS28" i="3" s="1"/>
  <c r="HHM28" i="3" a="1"/>
  <c r="HHM28" i="3" s="1"/>
  <c r="HHG28" i="3" a="1"/>
  <c r="HHG28" i="3" s="1"/>
  <c r="HHA28" i="3" a="1"/>
  <c r="HHA28" i="3" s="1"/>
  <c r="HGU28" i="3" a="1"/>
  <c r="HGU28" i="3" s="1"/>
  <c r="HGO28" i="3" a="1"/>
  <c r="HGO28" i="3" s="1"/>
  <c r="HGI28" i="3" a="1"/>
  <c r="HGI28" i="3" s="1"/>
  <c r="HGC28" i="3" a="1"/>
  <c r="HGC28" i="3" s="1"/>
  <c r="HFW28" i="3" a="1"/>
  <c r="HFW28" i="3" s="1"/>
  <c r="HFQ28" i="3" a="1"/>
  <c r="HFQ28" i="3" s="1"/>
  <c r="HFK28" i="3" a="1"/>
  <c r="HFK28" i="3" s="1"/>
  <c r="HFE28" i="3" a="1"/>
  <c r="HFE28" i="3" s="1"/>
  <c r="HEY28" i="3" a="1"/>
  <c r="HEY28" i="3" s="1"/>
  <c r="HES28" i="3" a="1"/>
  <c r="HES28" i="3" s="1"/>
  <c r="HEM28" i="3" a="1"/>
  <c r="HEM28" i="3" s="1"/>
  <c r="HEG28" i="3" a="1"/>
  <c r="HEG28" i="3" s="1"/>
  <c r="HEA28" i="3" a="1"/>
  <c r="HEA28" i="3" s="1"/>
  <c r="HDU28" i="3" a="1"/>
  <c r="HDU28" i="3" s="1"/>
  <c r="HDO28" i="3" a="1"/>
  <c r="HDO28" i="3" s="1"/>
  <c r="HDI28" i="3" a="1"/>
  <c r="HDI28" i="3" s="1"/>
  <c r="HDC28" i="3" a="1"/>
  <c r="HDC28" i="3" s="1"/>
  <c r="HCW28" i="3" a="1"/>
  <c r="HCW28" i="3" s="1"/>
  <c r="HCQ28" i="3" a="1"/>
  <c r="HCQ28" i="3" s="1"/>
  <c r="HCK28" i="3" a="1"/>
  <c r="HCK28" i="3" s="1"/>
  <c r="HCE28" i="3" a="1"/>
  <c r="HCE28" i="3" s="1"/>
  <c r="HBY28" i="3" a="1"/>
  <c r="HBY28" i="3" s="1"/>
  <c r="HBS28" i="3" a="1"/>
  <c r="HBS28" i="3" s="1"/>
  <c r="HBM28" i="3" a="1"/>
  <c r="HBM28" i="3" s="1"/>
  <c r="HBG28" i="3" a="1"/>
  <c r="HBG28" i="3" s="1"/>
  <c r="HBA28" i="3" a="1"/>
  <c r="HBA28" i="3" s="1"/>
  <c r="HAU28" i="3" a="1"/>
  <c r="HAU28" i="3" s="1"/>
  <c r="HAO28" i="3" a="1"/>
  <c r="HAO28" i="3" s="1"/>
  <c r="HAI28" i="3" a="1"/>
  <c r="HAI28" i="3" s="1"/>
  <c r="HAC28" i="3" a="1"/>
  <c r="HAC28" i="3" s="1"/>
  <c r="GZW28" i="3" a="1"/>
  <c r="GZW28" i="3" s="1"/>
  <c r="GZQ28" i="3" a="1"/>
  <c r="GZQ28" i="3" s="1"/>
  <c r="GZK28" i="3" a="1"/>
  <c r="GZK28" i="3" s="1"/>
  <c r="GZE28" i="3" a="1"/>
  <c r="GZE28" i="3" s="1"/>
  <c r="GYY28" i="3" a="1"/>
  <c r="GYY28" i="3" s="1"/>
  <c r="GYS28" i="3" a="1"/>
  <c r="GYS28" i="3" s="1"/>
  <c r="GYM28" i="3" a="1"/>
  <c r="GYM28" i="3" s="1"/>
  <c r="GYG28" i="3" a="1"/>
  <c r="GYG28" i="3" s="1"/>
  <c r="GYA28" i="3" a="1"/>
  <c r="GYA28" i="3" s="1"/>
  <c r="GXU28" i="3" a="1"/>
  <c r="GXU28" i="3" s="1"/>
  <c r="GXO28" i="3" a="1"/>
  <c r="GXO28" i="3" s="1"/>
  <c r="GXI28" i="3" a="1"/>
  <c r="GXI28" i="3" s="1"/>
  <c r="GXC28" i="3" a="1"/>
  <c r="GXC28" i="3" s="1"/>
  <c r="GWW28" i="3" a="1"/>
  <c r="GWW28" i="3" s="1"/>
  <c r="GWQ28" i="3" a="1"/>
  <c r="GWQ28" i="3" s="1"/>
  <c r="GWK28" i="3" a="1"/>
  <c r="GWK28" i="3" s="1"/>
  <c r="GWE28" i="3" a="1"/>
  <c r="GWE28" i="3" s="1"/>
  <c r="GVY28" i="3" a="1"/>
  <c r="GVY28" i="3" s="1"/>
  <c r="GVS28" i="3" a="1"/>
  <c r="GVS28" i="3" s="1"/>
  <c r="GVM28" i="3" a="1"/>
  <c r="GVM28" i="3" s="1"/>
  <c r="GVG28" i="3" a="1"/>
  <c r="GVG28" i="3" s="1"/>
  <c r="GVA28" i="3" a="1"/>
  <c r="GVA28" i="3" s="1"/>
  <c r="GUU28" i="3" a="1"/>
  <c r="GUU28" i="3" s="1"/>
  <c r="GUO28" i="3" a="1"/>
  <c r="GUO28" i="3" s="1"/>
  <c r="GUI28" i="3" a="1"/>
  <c r="GUI28" i="3" s="1"/>
  <c r="GUC28" i="3" a="1"/>
  <c r="GUC28" i="3" s="1"/>
  <c r="GTW28" i="3" a="1"/>
  <c r="GTW28" i="3" s="1"/>
  <c r="GTQ28" i="3" a="1"/>
  <c r="GTQ28" i="3" s="1"/>
  <c r="GTK28" i="3" a="1"/>
  <c r="GTK28" i="3" s="1"/>
  <c r="GTE28" i="3" a="1"/>
  <c r="GTE28" i="3" s="1"/>
  <c r="GSY28" i="3" a="1"/>
  <c r="GSY28" i="3" s="1"/>
  <c r="GSS28" i="3" a="1"/>
  <c r="GSS28" i="3" s="1"/>
  <c r="GSM28" i="3" a="1"/>
  <c r="GSM28" i="3" s="1"/>
  <c r="GSG28" i="3" a="1"/>
  <c r="GSG28" i="3" s="1"/>
  <c r="GSA28" i="3" a="1"/>
  <c r="GSA28" i="3" s="1"/>
  <c r="GRU28" i="3" a="1"/>
  <c r="GRU28" i="3" s="1"/>
  <c r="GRO28" i="3" a="1"/>
  <c r="GRO28" i="3" s="1"/>
  <c r="GRI28" i="3" a="1"/>
  <c r="GRI28" i="3" s="1"/>
  <c r="GRC28" i="3" a="1"/>
  <c r="GRC28" i="3" s="1"/>
  <c r="GQW28" i="3" a="1"/>
  <c r="GQW28" i="3" s="1"/>
  <c r="GQQ28" i="3" a="1"/>
  <c r="GQQ28" i="3" s="1"/>
  <c r="GQK28" i="3" a="1"/>
  <c r="GQK28" i="3" s="1"/>
  <c r="GQE28" i="3" a="1"/>
  <c r="GQE28" i="3" s="1"/>
  <c r="GPY28" i="3" a="1"/>
  <c r="GPY28" i="3" s="1"/>
  <c r="GPS28" i="3" a="1"/>
  <c r="GPS28" i="3" s="1"/>
  <c r="GPM28" i="3" a="1"/>
  <c r="GPM28" i="3" s="1"/>
  <c r="GPG28" i="3" a="1"/>
  <c r="GPG28" i="3" s="1"/>
  <c r="GPA28" i="3" a="1"/>
  <c r="GPA28" i="3" s="1"/>
  <c r="GOU28" i="3" a="1"/>
  <c r="GOU28" i="3" s="1"/>
  <c r="GOO28" i="3" a="1"/>
  <c r="GOO28" i="3" s="1"/>
  <c r="GOI28" i="3" a="1"/>
  <c r="GOI28" i="3" s="1"/>
  <c r="GOC28" i="3" a="1"/>
  <c r="GOC28" i="3" s="1"/>
  <c r="GNW28" i="3" a="1"/>
  <c r="GNW28" i="3" s="1"/>
  <c r="GNQ28" i="3" a="1"/>
  <c r="GNQ28" i="3" s="1"/>
  <c r="GNK28" i="3" a="1"/>
  <c r="GNK28" i="3" s="1"/>
  <c r="GNE28" i="3" a="1"/>
  <c r="GNE28" i="3" s="1"/>
  <c r="GMY28" i="3" a="1"/>
  <c r="GMY28" i="3" s="1"/>
  <c r="GMS28" i="3" a="1"/>
  <c r="GMS28" i="3" s="1"/>
  <c r="GMM28" i="3" a="1"/>
  <c r="GMM28" i="3" s="1"/>
  <c r="GMG28" i="3" a="1"/>
  <c r="GMG28" i="3" s="1"/>
  <c r="GMA28" i="3" a="1"/>
  <c r="GMA28" i="3" s="1"/>
  <c r="GLU28" i="3" a="1"/>
  <c r="GLU28" i="3" s="1"/>
  <c r="GLO28" i="3" a="1"/>
  <c r="GLO28" i="3" s="1"/>
  <c r="GLI28" i="3" a="1"/>
  <c r="GLI28" i="3" s="1"/>
  <c r="GLC28" i="3" a="1"/>
  <c r="GLC28" i="3" s="1"/>
  <c r="GKW28" i="3" a="1"/>
  <c r="GKW28" i="3" s="1"/>
  <c r="GKQ28" i="3" a="1"/>
  <c r="GKQ28" i="3" s="1"/>
  <c r="GKK28" i="3" a="1"/>
  <c r="GKK28" i="3" s="1"/>
  <c r="GKE28" i="3" a="1"/>
  <c r="GKE28" i="3" s="1"/>
  <c r="GJY28" i="3" a="1"/>
  <c r="GJY28" i="3" s="1"/>
  <c r="GJS28" i="3" a="1"/>
  <c r="GJS28" i="3" s="1"/>
  <c r="GJM28" i="3" a="1"/>
  <c r="GJM28" i="3" s="1"/>
  <c r="GJG28" i="3" a="1"/>
  <c r="GJG28" i="3" s="1"/>
  <c r="GJA28" i="3" a="1"/>
  <c r="GJA28" i="3" s="1"/>
  <c r="GIU28" i="3" a="1"/>
  <c r="GIU28" i="3" s="1"/>
  <c r="GIO28" i="3" a="1"/>
  <c r="GIO28" i="3" s="1"/>
  <c r="GII28" i="3" a="1"/>
  <c r="GII28" i="3" s="1"/>
  <c r="GIC28" i="3" a="1"/>
  <c r="GIC28" i="3" s="1"/>
  <c r="GHW28" i="3" a="1"/>
  <c r="GHW28" i="3" s="1"/>
  <c r="GHQ28" i="3" a="1"/>
  <c r="GHQ28" i="3" s="1"/>
  <c r="GHK28" i="3" a="1"/>
  <c r="GHK28" i="3" s="1"/>
  <c r="GHE28" i="3" a="1"/>
  <c r="GHE28" i="3" s="1"/>
  <c r="GGY28" i="3" a="1"/>
  <c r="GGY28" i="3" s="1"/>
  <c r="GGS28" i="3" a="1"/>
  <c r="GGS28" i="3" s="1"/>
  <c r="GGM28" i="3" a="1"/>
  <c r="GGM28" i="3" s="1"/>
  <c r="GGG28" i="3" a="1"/>
  <c r="GGG28" i="3" s="1"/>
  <c r="GGA28" i="3" a="1"/>
  <c r="GGA28" i="3" s="1"/>
  <c r="GFU28" i="3" a="1"/>
  <c r="GFU28" i="3" s="1"/>
  <c r="GFO28" i="3" a="1"/>
  <c r="GFO28" i="3" s="1"/>
  <c r="GFI28" i="3" a="1"/>
  <c r="GFI28" i="3" s="1"/>
  <c r="GFC28" i="3" a="1"/>
  <c r="GFC28" i="3" s="1"/>
  <c r="GEW28" i="3" a="1"/>
  <c r="GEW28" i="3" s="1"/>
  <c r="GEQ28" i="3" a="1"/>
  <c r="GEQ28" i="3" s="1"/>
  <c r="GEK28" i="3" a="1"/>
  <c r="GEK28" i="3" s="1"/>
  <c r="GEE28" i="3" a="1"/>
  <c r="GEE28" i="3" s="1"/>
  <c r="GDY28" i="3" a="1"/>
  <c r="GDY28" i="3" s="1"/>
  <c r="GDS28" i="3" a="1"/>
  <c r="GDS28" i="3" s="1"/>
  <c r="GDM28" i="3" a="1"/>
  <c r="GDM28" i="3" s="1"/>
  <c r="GDG28" i="3" a="1"/>
  <c r="GDG28" i="3" s="1"/>
  <c r="GDA28" i="3" a="1"/>
  <c r="GDA28" i="3" s="1"/>
  <c r="GCU28" i="3" a="1"/>
  <c r="GCU28" i="3" s="1"/>
  <c r="GCO28" i="3" a="1"/>
  <c r="GCO28" i="3" s="1"/>
  <c r="GCI28" i="3" a="1"/>
  <c r="GCI28" i="3" s="1"/>
  <c r="GCC28" i="3" a="1"/>
  <c r="GCC28" i="3" s="1"/>
  <c r="GBW28" i="3" a="1"/>
  <c r="GBW28" i="3" s="1"/>
  <c r="GBQ28" i="3" a="1"/>
  <c r="GBQ28" i="3" s="1"/>
  <c r="GBK28" i="3" a="1"/>
  <c r="GBK28" i="3" s="1"/>
  <c r="GBE28" i="3" a="1"/>
  <c r="GBE28" i="3" s="1"/>
  <c r="GAY28" i="3" a="1"/>
  <c r="GAY28" i="3" s="1"/>
  <c r="GAS28" i="3" a="1"/>
  <c r="GAS28" i="3" s="1"/>
  <c r="GAM28" i="3" a="1"/>
  <c r="GAM28" i="3" s="1"/>
  <c r="GAG28" i="3" a="1"/>
  <c r="GAG28" i="3" s="1"/>
  <c r="GAA28" i="3" a="1"/>
  <c r="GAA28" i="3" s="1"/>
  <c r="FZU28" i="3" a="1"/>
  <c r="FZU28" i="3" s="1"/>
  <c r="FZO28" i="3" a="1"/>
  <c r="FZO28" i="3" s="1"/>
  <c r="FZI28" i="3" a="1"/>
  <c r="FZI28" i="3" s="1"/>
  <c r="FZC28" i="3" a="1"/>
  <c r="FZC28" i="3" s="1"/>
  <c r="FYW28" i="3" a="1"/>
  <c r="FYW28" i="3" s="1"/>
  <c r="FYQ28" i="3" a="1"/>
  <c r="FYQ28" i="3" s="1"/>
  <c r="FYK28" i="3" a="1"/>
  <c r="FYK28" i="3" s="1"/>
  <c r="FYE28" i="3" a="1"/>
  <c r="FYE28" i="3" s="1"/>
  <c r="FXY28" i="3" a="1"/>
  <c r="FXY28" i="3" s="1"/>
  <c r="FXS28" i="3" a="1"/>
  <c r="FXS28" i="3" s="1"/>
  <c r="FXM28" i="3" a="1"/>
  <c r="FXM28" i="3" s="1"/>
  <c r="FXG28" i="3" a="1"/>
  <c r="FXG28" i="3" s="1"/>
  <c r="FXA28" i="3" a="1"/>
  <c r="FXA28" i="3" s="1"/>
  <c r="FWU28" i="3" a="1"/>
  <c r="FWU28" i="3" s="1"/>
  <c r="FWO28" i="3" a="1"/>
  <c r="FWO28" i="3" s="1"/>
  <c r="FWI28" i="3" a="1"/>
  <c r="FWI28" i="3" s="1"/>
  <c r="FWC28" i="3" a="1"/>
  <c r="FWC28" i="3" s="1"/>
  <c r="FVW28" i="3" a="1"/>
  <c r="FVW28" i="3" s="1"/>
  <c r="FVQ28" i="3" a="1"/>
  <c r="FVQ28" i="3" s="1"/>
  <c r="FVK28" i="3" a="1"/>
  <c r="FVK28" i="3" s="1"/>
  <c r="FVE28" i="3" a="1"/>
  <c r="FVE28" i="3" s="1"/>
  <c r="FUY28" i="3" a="1"/>
  <c r="FUY28" i="3" s="1"/>
  <c r="FUS28" i="3" a="1"/>
  <c r="FUS28" i="3" s="1"/>
  <c r="FUM28" i="3" a="1"/>
  <c r="FUM28" i="3" s="1"/>
  <c r="FUG28" i="3" a="1"/>
  <c r="FUG28" i="3" s="1"/>
  <c r="FUA28" i="3" a="1"/>
  <c r="FUA28" i="3" s="1"/>
  <c r="FTU28" i="3" a="1"/>
  <c r="FTU28" i="3" s="1"/>
  <c r="FTO28" i="3" a="1"/>
  <c r="FTO28" i="3" s="1"/>
  <c r="FTI28" i="3" a="1"/>
  <c r="FTI28" i="3" s="1"/>
  <c r="FTC28" i="3" a="1"/>
  <c r="FTC28" i="3" s="1"/>
  <c r="FSW28" i="3" a="1"/>
  <c r="FSW28" i="3" s="1"/>
  <c r="FSQ28" i="3" a="1"/>
  <c r="FSQ28" i="3" s="1"/>
  <c r="FSK28" i="3" a="1"/>
  <c r="FSK28" i="3" s="1"/>
  <c r="FSE28" i="3" a="1"/>
  <c r="FSE28" i="3" s="1"/>
  <c r="FRY28" i="3" a="1"/>
  <c r="FRY28" i="3" s="1"/>
  <c r="FRS28" i="3" a="1"/>
  <c r="FRS28" i="3" s="1"/>
  <c r="FRM28" i="3" a="1"/>
  <c r="FRM28" i="3" s="1"/>
  <c r="FRG28" i="3" a="1"/>
  <c r="FRG28" i="3" s="1"/>
  <c r="FRA28" i="3" a="1"/>
  <c r="FRA28" i="3" s="1"/>
  <c r="FQU28" i="3" a="1"/>
  <c r="FQU28" i="3" s="1"/>
  <c r="FQO28" i="3" a="1"/>
  <c r="FQO28" i="3" s="1"/>
  <c r="FQI28" i="3" a="1"/>
  <c r="FQI28" i="3" s="1"/>
  <c r="FQC28" i="3" a="1"/>
  <c r="FQC28" i="3" s="1"/>
  <c r="FPW28" i="3" a="1"/>
  <c r="FPW28" i="3" s="1"/>
  <c r="FPQ28" i="3" a="1"/>
  <c r="FPQ28" i="3" s="1"/>
  <c r="FPK28" i="3" a="1"/>
  <c r="FPK28" i="3" s="1"/>
  <c r="FPE28" i="3" a="1"/>
  <c r="FPE28" i="3" s="1"/>
  <c r="FOY28" i="3" a="1"/>
  <c r="FOY28" i="3" s="1"/>
  <c r="FOS28" i="3" a="1"/>
  <c r="FOS28" i="3" s="1"/>
  <c r="FOM28" i="3" a="1"/>
  <c r="FOM28" i="3" s="1"/>
  <c r="FOG28" i="3" a="1"/>
  <c r="FOG28" i="3" s="1"/>
  <c r="FOA28" i="3" a="1"/>
  <c r="FOA28" i="3" s="1"/>
  <c r="FNU28" i="3" a="1"/>
  <c r="FNU28" i="3" s="1"/>
  <c r="FNO28" i="3" a="1"/>
  <c r="FNO28" i="3" s="1"/>
  <c r="FNI28" i="3" a="1"/>
  <c r="FNI28" i="3" s="1"/>
  <c r="FNC28" i="3" a="1"/>
  <c r="FNC28" i="3" s="1"/>
  <c r="FMW28" i="3" a="1"/>
  <c r="FMW28" i="3" s="1"/>
  <c r="FMQ28" i="3" a="1"/>
  <c r="FMQ28" i="3" s="1"/>
  <c r="FMK28" i="3" a="1"/>
  <c r="FMK28" i="3" s="1"/>
  <c r="FME28" i="3" a="1"/>
  <c r="FME28" i="3" s="1"/>
  <c r="FLY28" i="3" a="1"/>
  <c r="FLY28" i="3" s="1"/>
  <c r="FLS28" i="3" a="1"/>
  <c r="FLS28" i="3" s="1"/>
  <c r="FLM28" i="3" a="1"/>
  <c r="FLM28" i="3" s="1"/>
  <c r="FLG28" i="3" a="1"/>
  <c r="FLG28" i="3" s="1"/>
  <c r="FLA28" i="3" a="1"/>
  <c r="FLA28" i="3" s="1"/>
  <c r="FKU28" i="3" a="1"/>
  <c r="FKU28" i="3" s="1"/>
  <c r="FKO28" i="3" a="1"/>
  <c r="FKO28" i="3" s="1"/>
  <c r="FKI28" i="3" a="1"/>
  <c r="FKI28" i="3" s="1"/>
  <c r="FKC28" i="3" a="1"/>
  <c r="FKC28" i="3" s="1"/>
  <c r="FJW28" i="3" a="1"/>
  <c r="FJW28" i="3" s="1"/>
  <c r="FJQ28" i="3" a="1"/>
  <c r="FJQ28" i="3" s="1"/>
  <c r="FJK28" i="3" a="1"/>
  <c r="FJK28" i="3" s="1"/>
  <c r="FJE28" i="3" a="1"/>
  <c r="FJE28" i="3" s="1"/>
  <c r="FIY28" i="3" a="1"/>
  <c r="FIY28" i="3" s="1"/>
  <c r="FIS28" i="3" a="1"/>
  <c r="FIS28" i="3" s="1"/>
  <c r="FIM28" i="3" a="1"/>
  <c r="FIM28" i="3" s="1"/>
  <c r="FIG28" i="3" a="1"/>
  <c r="FIG28" i="3" s="1"/>
  <c r="FIA28" i="3" a="1"/>
  <c r="FIA28" i="3" s="1"/>
  <c r="FHU28" i="3" a="1"/>
  <c r="FHU28" i="3" s="1"/>
  <c r="FHO28" i="3" a="1"/>
  <c r="FHO28" i="3" s="1"/>
  <c r="FHI28" i="3" a="1"/>
  <c r="FHI28" i="3" s="1"/>
  <c r="FHC28" i="3" a="1"/>
  <c r="FHC28" i="3" s="1"/>
  <c r="FGW28" i="3" a="1"/>
  <c r="FGW28" i="3" s="1"/>
  <c r="FGQ28" i="3" a="1"/>
  <c r="FGQ28" i="3" s="1"/>
  <c r="FGK28" i="3" a="1"/>
  <c r="FGK28" i="3" s="1"/>
  <c r="FGE28" i="3" a="1"/>
  <c r="FGE28" i="3" s="1"/>
  <c r="FFY28" i="3" a="1"/>
  <c r="FFY28" i="3" s="1"/>
  <c r="FFS28" i="3" a="1"/>
  <c r="FFS28" i="3" s="1"/>
  <c r="FFM28" i="3" a="1"/>
  <c r="FFM28" i="3" s="1"/>
  <c r="FFG28" i="3" a="1"/>
  <c r="FFG28" i="3" s="1"/>
  <c r="FFA28" i="3" a="1"/>
  <c r="FFA28" i="3" s="1"/>
  <c r="FEU28" i="3" a="1"/>
  <c r="FEU28" i="3" s="1"/>
  <c r="FEO28" i="3" a="1"/>
  <c r="FEO28" i="3" s="1"/>
  <c r="FEI28" i="3" a="1"/>
  <c r="FEI28" i="3" s="1"/>
  <c r="FEC28" i="3" a="1"/>
  <c r="FEC28" i="3" s="1"/>
  <c r="FDW28" i="3" a="1"/>
  <c r="FDW28" i="3" s="1"/>
  <c r="FDQ28" i="3" a="1"/>
  <c r="FDQ28" i="3" s="1"/>
  <c r="FDK28" i="3" a="1"/>
  <c r="FDK28" i="3" s="1"/>
  <c r="FDE28" i="3" a="1"/>
  <c r="FDE28" i="3" s="1"/>
  <c r="FCY28" i="3" a="1"/>
  <c r="FCY28" i="3" s="1"/>
  <c r="FCS28" i="3" a="1"/>
  <c r="FCS28" i="3" s="1"/>
  <c r="FCM28" i="3" a="1"/>
  <c r="FCM28" i="3" s="1"/>
  <c r="FCG28" i="3" a="1"/>
  <c r="FCG28" i="3" s="1"/>
  <c r="FCA28" i="3" a="1"/>
  <c r="FCA28" i="3" s="1"/>
  <c r="FBU28" i="3" a="1"/>
  <c r="FBU28" i="3" s="1"/>
  <c r="FBO28" i="3" a="1"/>
  <c r="FBO28" i="3" s="1"/>
  <c r="FBI28" i="3" a="1"/>
  <c r="FBI28" i="3" s="1"/>
  <c r="FBC28" i="3" a="1"/>
  <c r="FBC28" i="3" s="1"/>
  <c r="FAW28" i="3" a="1"/>
  <c r="FAW28" i="3" s="1"/>
  <c r="FAQ28" i="3" a="1"/>
  <c r="FAQ28" i="3" s="1"/>
  <c r="FAK28" i="3" a="1"/>
  <c r="FAK28" i="3" s="1"/>
  <c r="FAE28" i="3" a="1"/>
  <c r="FAE28" i="3" s="1"/>
  <c r="EZY28" i="3" a="1"/>
  <c r="EZY28" i="3" s="1"/>
  <c r="EZS28" i="3" a="1"/>
  <c r="EZS28" i="3" s="1"/>
  <c r="EZM28" i="3" a="1"/>
  <c r="EZM28" i="3" s="1"/>
  <c r="EZG28" i="3" a="1"/>
  <c r="EZG28" i="3" s="1"/>
  <c r="EZA28" i="3" a="1"/>
  <c r="EZA28" i="3" s="1"/>
  <c r="EYU28" i="3" a="1"/>
  <c r="EYU28" i="3" s="1"/>
  <c r="EYO28" i="3" a="1"/>
  <c r="EYO28" i="3" s="1"/>
  <c r="EYI28" i="3" a="1"/>
  <c r="EYI28" i="3" s="1"/>
  <c r="EYC28" i="3" a="1"/>
  <c r="EYC28" i="3" s="1"/>
  <c r="EXW28" i="3" a="1"/>
  <c r="EXW28" i="3" s="1"/>
  <c r="EXQ28" i="3" a="1"/>
  <c r="EXQ28" i="3" s="1"/>
  <c r="EXK28" i="3" a="1"/>
  <c r="EXK28" i="3" s="1"/>
  <c r="EXE28" i="3" a="1"/>
  <c r="EXE28" i="3" s="1"/>
  <c r="EWY28" i="3" a="1"/>
  <c r="EWY28" i="3" s="1"/>
  <c r="EWS28" i="3" a="1"/>
  <c r="EWS28" i="3" s="1"/>
  <c r="EWM28" i="3" a="1"/>
  <c r="EWM28" i="3" s="1"/>
  <c r="EWG28" i="3" a="1"/>
  <c r="EWG28" i="3" s="1"/>
  <c r="EWA28" i="3" a="1"/>
  <c r="EWA28" i="3" s="1"/>
  <c r="EVU28" i="3" a="1"/>
  <c r="EVU28" i="3" s="1"/>
  <c r="EVO28" i="3" a="1"/>
  <c r="EVO28" i="3" s="1"/>
  <c r="EVI28" i="3" a="1"/>
  <c r="EVI28" i="3" s="1"/>
  <c r="EVC28" i="3" a="1"/>
  <c r="EVC28" i="3" s="1"/>
  <c r="EUW28" i="3" a="1"/>
  <c r="EUW28" i="3" s="1"/>
  <c r="EUQ28" i="3" a="1"/>
  <c r="EUQ28" i="3" s="1"/>
  <c r="EUK28" i="3" a="1"/>
  <c r="EUK28" i="3" s="1"/>
  <c r="EUE28" i="3" a="1"/>
  <c r="EUE28" i="3" s="1"/>
  <c r="ETY28" i="3" a="1"/>
  <c r="ETY28" i="3" s="1"/>
  <c r="ETS28" i="3" a="1"/>
  <c r="ETS28" i="3" s="1"/>
  <c r="ETM28" i="3" a="1"/>
  <c r="ETM28" i="3" s="1"/>
  <c r="ETG28" i="3" a="1"/>
  <c r="ETG28" i="3" s="1"/>
  <c r="ETA28" i="3" a="1"/>
  <c r="ETA28" i="3" s="1"/>
  <c r="ESU28" i="3" a="1"/>
  <c r="ESU28" i="3" s="1"/>
  <c r="ESO28" i="3" a="1"/>
  <c r="ESO28" i="3" s="1"/>
  <c r="ESI28" i="3" a="1"/>
  <c r="ESI28" i="3" s="1"/>
  <c r="ESC28" i="3" a="1"/>
  <c r="ESC28" i="3" s="1"/>
  <c r="ERW28" i="3" a="1"/>
  <c r="ERW28" i="3" s="1"/>
  <c r="ERQ28" i="3" a="1"/>
  <c r="ERQ28" i="3" s="1"/>
  <c r="ERK28" i="3" a="1"/>
  <c r="ERK28" i="3" s="1"/>
  <c r="ERE28" i="3" a="1"/>
  <c r="ERE28" i="3" s="1"/>
  <c r="EQY28" i="3" a="1"/>
  <c r="EQY28" i="3" s="1"/>
  <c r="EQS28" i="3" a="1"/>
  <c r="EQS28" i="3" s="1"/>
  <c r="EQM28" i="3" a="1"/>
  <c r="EQM28" i="3" s="1"/>
  <c r="EQG28" i="3" a="1"/>
  <c r="EQG28" i="3" s="1"/>
  <c r="EQA28" i="3" a="1"/>
  <c r="EQA28" i="3" s="1"/>
  <c r="EPU28" i="3" a="1"/>
  <c r="EPU28" i="3" s="1"/>
  <c r="EPO28" i="3" a="1"/>
  <c r="EPO28" i="3" s="1"/>
  <c r="EPI28" i="3" a="1"/>
  <c r="EPI28" i="3" s="1"/>
  <c r="EPC28" i="3" a="1"/>
  <c r="EPC28" i="3" s="1"/>
  <c r="EOW28" i="3" a="1"/>
  <c r="EOW28" i="3" s="1"/>
  <c r="EOQ28" i="3" a="1"/>
  <c r="EOQ28" i="3" s="1"/>
  <c r="EOK28" i="3" a="1"/>
  <c r="EOK28" i="3" s="1"/>
  <c r="EOE28" i="3" a="1"/>
  <c r="EOE28" i="3" s="1"/>
  <c r="ENY28" i="3" a="1"/>
  <c r="ENY28" i="3" s="1"/>
  <c r="ENS28" i="3" a="1"/>
  <c r="ENS28" i="3" s="1"/>
  <c r="ENM28" i="3" a="1"/>
  <c r="ENM28" i="3" s="1"/>
  <c r="ENG28" i="3" a="1"/>
  <c r="ENG28" i="3" s="1"/>
  <c r="ENA28" i="3" a="1"/>
  <c r="ENA28" i="3" s="1"/>
  <c r="EMU28" i="3" a="1"/>
  <c r="EMU28" i="3" s="1"/>
  <c r="EMO28" i="3" a="1"/>
  <c r="EMO28" i="3" s="1"/>
  <c r="EMI28" i="3" a="1"/>
  <c r="EMI28" i="3" s="1"/>
  <c r="EMC28" i="3" a="1"/>
  <c r="EMC28" i="3" s="1"/>
  <c r="ELW28" i="3" a="1"/>
  <c r="ELW28" i="3" s="1"/>
  <c r="ELQ28" i="3" a="1"/>
  <c r="ELQ28" i="3" s="1"/>
  <c r="ELK28" i="3" a="1"/>
  <c r="ELK28" i="3" s="1"/>
  <c r="ELE28" i="3" a="1"/>
  <c r="ELE28" i="3" s="1"/>
  <c r="EKY28" i="3" a="1"/>
  <c r="EKY28" i="3" s="1"/>
  <c r="EKS28" i="3" a="1"/>
  <c r="EKS28" i="3" s="1"/>
  <c r="EKM28" i="3" a="1"/>
  <c r="EKM28" i="3" s="1"/>
  <c r="EKG28" i="3" a="1"/>
  <c r="EKG28" i="3" s="1"/>
  <c r="EKA28" i="3" a="1"/>
  <c r="EKA28" i="3" s="1"/>
  <c r="EJU28" i="3" a="1"/>
  <c r="EJU28" i="3" s="1"/>
  <c r="EJO28" i="3" a="1"/>
  <c r="EJO28" i="3" s="1"/>
  <c r="EJI28" i="3" a="1"/>
  <c r="EJI28" i="3" s="1"/>
  <c r="EJC28" i="3" a="1"/>
  <c r="EJC28" i="3" s="1"/>
  <c r="EIW28" i="3" a="1"/>
  <c r="EIW28" i="3" s="1"/>
  <c r="EIQ28" i="3" a="1"/>
  <c r="EIQ28" i="3" s="1"/>
  <c r="EIK28" i="3" a="1"/>
  <c r="EIK28" i="3" s="1"/>
  <c r="EIE28" i="3" a="1"/>
  <c r="EIE28" i="3" s="1"/>
  <c r="EHY28" i="3" a="1"/>
  <c r="EHY28" i="3" s="1"/>
  <c r="EHS28" i="3" a="1"/>
  <c r="EHS28" i="3" s="1"/>
  <c r="EHM28" i="3" a="1"/>
  <c r="EHM28" i="3" s="1"/>
  <c r="EHG28" i="3" a="1"/>
  <c r="EHG28" i="3" s="1"/>
  <c r="EHA28" i="3" a="1"/>
  <c r="EHA28" i="3" s="1"/>
  <c r="EGU28" i="3" a="1"/>
  <c r="EGU28" i="3" s="1"/>
  <c r="EGO28" i="3" a="1"/>
  <c r="EGO28" i="3" s="1"/>
  <c r="EGI28" i="3" a="1"/>
  <c r="EGI28" i="3" s="1"/>
  <c r="EGC28" i="3" a="1"/>
  <c r="EGC28" i="3" s="1"/>
  <c r="EFW28" i="3" a="1"/>
  <c r="EFW28" i="3" s="1"/>
  <c r="EFQ28" i="3" a="1"/>
  <c r="EFQ28" i="3" s="1"/>
  <c r="EFK28" i="3" a="1"/>
  <c r="EFK28" i="3" s="1"/>
  <c r="EFE28" i="3" a="1"/>
  <c r="EFE28" i="3" s="1"/>
  <c r="EEY28" i="3" a="1"/>
  <c r="EEY28" i="3" s="1"/>
  <c r="EES28" i="3" a="1"/>
  <c r="EES28" i="3" s="1"/>
  <c r="EEM28" i="3" a="1"/>
  <c r="EEM28" i="3" s="1"/>
  <c r="EEG28" i="3" a="1"/>
  <c r="EEG28" i="3" s="1"/>
  <c r="EEA28" i="3" a="1"/>
  <c r="EEA28" i="3" s="1"/>
  <c r="EDU28" i="3" a="1"/>
  <c r="EDU28" i="3" s="1"/>
  <c r="EDO28" i="3" a="1"/>
  <c r="EDO28" i="3" s="1"/>
  <c r="EDI28" i="3" a="1"/>
  <c r="EDI28" i="3" s="1"/>
  <c r="EDC28" i="3" a="1"/>
  <c r="EDC28" i="3" s="1"/>
  <c r="ECW28" i="3" a="1"/>
  <c r="ECW28" i="3" s="1"/>
  <c r="ECQ28" i="3" a="1"/>
  <c r="ECQ28" i="3" s="1"/>
  <c r="ECK28" i="3" a="1"/>
  <c r="ECK28" i="3" s="1"/>
  <c r="ECE28" i="3" a="1"/>
  <c r="ECE28" i="3" s="1"/>
  <c r="EBY28" i="3" a="1"/>
  <c r="EBY28" i="3" s="1"/>
  <c r="EBS28" i="3" a="1"/>
  <c r="EBS28" i="3" s="1"/>
  <c r="EBM28" i="3" a="1"/>
  <c r="EBM28" i="3" s="1"/>
  <c r="EBG28" i="3" a="1"/>
  <c r="EBG28" i="3" s="1"/>
  <c r="EBA28" i="3" a="1"/>
  <c r="EBA28" i="3" s="1"/>
  <c r="EAU28" i="3" a="1"/>
  <c r="EAU28" i="3" s="1"/>
  <c r="EAO28" i="3" a="1"/>
  <c r="EAO28" i="3" s="1"/>
  <c r="EAI28" i="3" a="1"/>
  <c r="EAI28" i="3" s="1"/>
  <c r="EAC28" i="3" a="1"/>
  <c r="EAC28" i="3" s="1"/>
  <c r="DZW28" i="3" a="1"/>
  <c r="DZW28" i="3" s="1"/>
  <c r="DZQ28" i="3" a="1"/>
  <c r="DZQ28" i="3" s="1"/>
  <c r="DZK28" i="3" a="1"/>
  <c r="DZK28" i="3" s="1"/>
  <c r="DZE28" i="3" a="1"/>
  <c r="DZE28" i="3" s="1"/>
  <c r="DYY28" i="3" a="1"/>
  <c r="DYY28" i="3" s="1"/>
  <c r="DYS28" i="3" a="1"/>
  <c r="DYS28" i="3" s="1"/>
  <c r="DYM28" i="3" a="1"/>
  <c r="DYM28" i="3" s="1"/>
  <c r="DYG28" i="3" a="1"/>
  <c r="DYG28" i="3" s="1"/>
  <c r="DYA28" i="3" a="1"/>
  <c r="DYA28" i="3" s="1"/>
  <c r="DXU28" i="3" a="1"/>
  <c r="DXU28" i="3" s="1"/>
  <c r="DXO28" i="3" a="1"/>
  <c r="DXO28" i="3" s="1"/>
  <c r="DXI28" i="3" a="1"/>
  <c r="DXI28" i="3" s="1"/>
  <c r="DXC28" i="3" a="1"/>
  <c r="DXC28" i="3" s="1"/>
  <c r="DWW28" i="3" a="1"/>
  <c r="DWW28" i="3" s="1"/>
  <c r="DWQ28" i="3" a="1"/>
  <c r="DWQ28" i="3" s="1"/>
  <c r="DWK28" i="3" a="1"/>
  <c r="DWK28" i="3" s="1"/>
  <c r="DWE28" i="3" a="1"/>
  <c r="DWE28" i="3" s="1"/>
  <c r="DVY28" i="3" a="1"/>
  <c r="DVY28" i="3" s="1"/>
  <c r="DVS28" i="3" a="1"/>
  <c r="DVS28" i="3" s="1"/>
  <c r="DVM28" i="3" a="1"/>
  <c r="DVM28" i="3" s="1"/>
  <c r="DVG28" i="3" a="1"/>
  <c r="DVG28" i="3" s="1"/>
  <c r="DVA28" i="3" a="1"/>
  <c r="DVA28" i="3" s="1"/>
  <c r="DUU28" i="3" a="1"/>
  <c r="DUU28" i="3" s="1"/>
  <c r="DUO28" i="3" a="1"/>
  <c r="DUO28" i="3" s="1"/>
  <c r="DUI28" i="3" a="1"/>
  <c r="DUI28" i="3" s="1"/>
  <c r="DUC28" i="3" a="1"/>
  <c r="DUC28" i="3" s="1"/>
  <c r="QBC28" i="3" a="1"/>
  <c r="QBC28" i="3" s="1"/>
  <c r="OVU28" i="3" a="1"/>
  <c r="OVU28" i="3" s="1"/>
  <c r="OOC28" i="3" a="1"/>
  <c r="OOC28" i="3" s="1"/>
  <c r="OGV28" i="3" a="1"/>
  <c r="OGV28" i="3" s="1"/>
  <c r="OAY28" i="3" a="1"/>
  <c r="OAY28" i="3" s="1"/>
  <c r="NPP28" i="3" a="1"/>
  <c r="NPP28" i="3" s="1"/>
  <c r="NLJ28" i="3" a="1"/>
  <c r="NLJ28" i="3" s="1"/>
  <c r="NHE28" i="3" a="1"/>
  <c r="NHE28" i="3" s="1"/>
  <c r="MYA28" i="3" a="1"/>
  <c r="MYA28" i="3" s="1"/>
  <c r="MSB28" i="3" a="1"/>
  <c r="MSB28" i="3" s="1"/>
  <c r="MNK28" i="3" a="1"/>
  <c r="MNK28" i="3" s="1"/>
  <c r="MJE28" i="3" a="1"/>
  <c r="MJE28" i="3" s="1"/>
  <c r="MFJ28" i="3" a="1"/>
  <c r="MFJ28" i="3" s="1"/>
  <c r="MDG28" i="3" a="1"/>
  <c r="MDG28" i="3" s="1"/>
  <c r="LZV28" i="3" a="1"/>
  <c r="LZV28" i="3" s="1"/>
  <c r="LXI28" i="3" a="1"/>
  <c r="LXI28" i="3" s="1"/>
  <c r="LWC28" i="3" a="1"/>
  <c r="LWC28" i="3" s="1"/>
  <c r="LUW28" i="3" a="1"/>
  <c r="LUW28" i="3" s="1"/>
  <c r="LSN28" i="3" a="1"/>
  <c r="LSN28" i="3" s="1"/>
  <c r="LRH28" i="3" a="1"/>
  <c r="LRH28" i="3" s="1"/>
  <c r="LQB28" i="3" a="1"/>
  <c r="LQB28" i="3" s="1"/>
  <c r="LMM28" i="3" a="1"/>
  <c r="LMM28" i="3" s="1"/>
  <c r="LLG28" i="3" a="1"/>
  <c r="LLG28" i="3" s="1"/>
  <c r="LIY28" i="3" a="1"/>
  <c r="LIY28" i="3" s="1"/>
  <c r="LHY28" i="3" a="1"/>
  <c r="LHY28" i="3" s="1"/>
  <c r="LFR28" i="3" a="1"/>
  <c r="LFR28" i="3" s="1"/>
  <c r="LDK28" i="3" a="1"/>
  <c r="LDK28" i="3" s="1"/>
  <c r="LCK28" i="3" a="1"/>
  <c r="LCK28" i="3" s="1"/>
  <c r="LAD28" i="3" a="1"/>
  <c r="LAD28" i="3" s="1"/>
  <c r="KXW28" i="3" a="1"/>
  <c r="KXW28" i="3" s="1"/>
  <c r="KWW28" i="3" a="1"/>
  <c r="KWW28" i="3" s="1"/>
  <c r="KUP28" i="3" a="1"/>
  <c r="KUP28" i="3" s="1"/>
  <c r="KSI28" i="3" a="1"/>
  <c r="KSI28" i="3" s="1"/>
  <c r="KRI28" i="3" a="1"/>
  <c r="KRI28" i="3" s="1"/>
  <c r="KPB28" i="3" a="1"/>
  <c r="KPB28" i="3" s="1"/>
  <c r="KNZ28" i="3" a="1"/>
  <c r="KNZ28" i="3" s="1"/>
  <c r="KNB28" i="3" a="1"/>
  <c r="KNB28" i="3" s="1"/>
  <c r="KMD28" i="3" a="1"/>
  <c r="KMD28" i="3" s="1"/>
  <c r="KLF28" i="3" a="1"/>
  <c r="KLF28" i="3" s="1"/>
  <c r="KKH28" i="3" a="1"/>
  <c r="KKH28" i="3" s="1"/>
  <c r="KJJ28" i="3" a="1"/>
  <c r="KJJ28" i="3" s="1"/>
  <c r="KIL28" i="3" a="1"/>
  <c r="KIL28" i="3" s="1"/>
  <c r="KHN28" i="3" a="1"/>
  <c r="KHN28" i="3" s="1"/>
  <c r="KGP28" i="3" a="1"/>
  <c r="KGP28" i="3" s="1"/>
  <c r="KFR28" i="3" a="1"/>
  <c r="KFR28" i="3" s="1"/>
  <c r="KET28" i="3" a="1"/>
  <c r="KET28" i="3" s="1"/>
  <c r="KDV28" i="3" a="1"/>
  <c r="KDV28" i="3" s="1"/>
  <c r="KDA28" i="3" a="1"/>
  <c r="KDA28" i="3" s="1"/>
  <c r="KCE28" i="3" a="1"/>
  <c r="KCE28" i="3" s="1"/>
  <c r="KAP28" i="3" a="1"/>
  <c r="KAP28" i="3" s="1"/>
  <c r="JZX28" i="3" a="1"/>
  <c r="JZX28" i="3" s="1"/>
  <c r="JZF28" i="3" a="1"/>
  <c r="JZF28" i="3" s="1"/>
  <c r="JYN28" i="3" a="1"/>
  <c r="JYN28" i="3" s="1"/>
  <c r="JXV28" i="3" a="1"/>
  <c r="JXV28" i="3" s="1"/>
  <c r="JXD28" i="3" a="1"/>
  <c r="JXD28" i="3" s="1"/>
  <c r="JWL28" i="3" a="1"/>
  <c r="JWL28" i="3" s="1"/>
  <c r="JVT28" i="3" a="1"/>
  <c r="JVT28" i="3" s="1"/>
  <c r="JVB28" i="3" a="1"/>
  <c r="JVB28" i="3" s="1"/>
  <c r="JUJ28" i="3" a="1"/>
  <c r="JUJ28" i="3" s="1"/>
  <c r="JTR28" i="3" a="1"/>
  <c r="JTR28" i="3" s="1"/>
  <c r="JSZ28" i="3" a="1"/>
  <c r="JSZ28" i="3" s="1"/>
  <c r="JSH28" i="3" a="1"/>
  <c r="JSH28" i="3" s="1"/>
  <c r="JRP28" i="3" a="1"/>
  <c r="JRP28" i="3" s="1"/>
  <c r="JQY28" i="3" a="1"/>
  <c r="JQY28" i="3" s="1"/>
  <c r="JQI28" i="3" a="1"/>
  <c r="JQI28" i="3" s="1"/>
  <c r="JPD28" i="3" a="1"/>
  <c r="JPD28" i="3" s="1"/>
  <c r="JOO28" i="3" a="1"/>
  <c r="JOO28" i="3" s="1"/>
  <c r="JOA28" i="3" a="1"/>
  <c r="JOA28" i="3" s="1"/>
  <c r="JNM28" i="3" a="1"/>
  <c r="JNM28" i="3" s="1"/>
  <c r="JMX28" i="3" a="1"/>
  <c r="JMX28" i="3" s="1"/>
  <c r="JMJ28" i="3" a="1"/>
  <c r="JMJ28" i="3" s="1"/>
  <c r="JLU28" i="3" a="1"/>
  <c r="JLU28" i="3" s="1"/>
  <c r="JLI28" i="3" a="1"/>
  <c r="JLI28" i="3" s="1"/>
  <c r="JKW28" i="3" a="1"/>
  <c r="JKW28" i="3" s="1"/>
  <c r="JKK28" i="3" a="1"/>
  <c r="JKK28" i="3" s="1"/>
  <c r="JJY28" i="3" a="1"/>
  <c r="JJY28" i="3" s="1"/>
  <c r="JJM28" i="3" a="1"/>
  <c r="JJM28" i="3" s="1"/>
  <c r="JJA28" i="3" a="1"/>
  <c r="JJA28" i="3" s="1"/>
  <c r="JIO28" i="3" a="1"/>
  <c r="JIO28" i="3" s="1"/>
  <c r="JIC28" i="3" a="1"/>
  <c r="JIC28" i="3" s="1"/>
  <c r="JHQ28" i="3" a="1"/>
  <c r="JHQ28" i="3" s="1"/>
  <c r="JHE28" i="3" a="1"/>
  <c r="JHE28" i="3" s="1"/>
  <c r="JGS28" i="3" a="1"/>
  <c r="JGS28" i="3" s="1"/>
  <c r="JGG28" i="3" a="1"/>
  <c r="JGG28" i="3" s="1"/>
  <c r="JFU28" i="3" a="1"/>
  <c r="JFU28" i="3" s="1"/>
  <c r="JFI28" i="3" a="1"/>
  <c r="JFI28" i="3" s="1"/>
  <c r="JEW28" i="3" a="1"/>
  <c r="JEW28" i="3" s="1"/>
  <c r="JEK28" i="3" a="1"/>
  <c r="JEK28" i="3" s="1"/>
  <c r="JDY28" i="3" a="1"/>
  <c r="JDY28" i="3" s="1"/>
  <c r="JDM28" i="3" a="1"/>
  <c r="JDM28" i="3" s="1"/>
  <c r="JDA28" i="3" a="1"/>
  <c r="JDA28" i="3" s="1"/>
  <c r="JCO28" i="3" a="1"/>
  <c r="JCO28" i="3" s="1"/>
  <c r="JCC28" i="3" a="1"/>
  <c r="JCC28" i="3" s="1"/>
  <c r="JBQ28" i="3" a="1"/>
  <c r="JBQ28" i="3" s="1"/>
  <c r="JBE28" i="3" a="1"/>
  <c r="JBE28" i="3" s="1"/>
  <c r="JAS28" i="3" a="1"/>
  <c r="JAS28" i="3" s="1"/>
  <c r="JAG28" i="3" a="1"/>
  <c r="JAG28" i="3" s="1"/>
  <c r="IZU28" i="3" a="1"/>
  <c r="IZU28" i="3" s="1"/>
  <c r="IZI28" i="3" a="1"/>
  <c r="IZI28" i="3" s="1"/>
  <c r="IYW28" i="3" a="1"/>
  <c r="IYW28" i="3" s="1"/>
  <c r="IYK28" i="3" a="1"/>
  <c r="IYK28" i="3" s="1"/>
  <c r="IXY28" i="3" a="1"/>
  <c r="IXY28" i="3" s="1"/>
  <c r="IXM28" i="3" a="1"/>
  <c r="IXM28" i="3" s="1"/>
  <c r="IXA28" i="3" a="1"/>
  <c r="IXA28" i="3" s="1"/>
  <c r="IWO28" i="3" a="1"/>
  <c r="IWO28" i="3" s="1"/>
  <c r="IWC28" i="3" a="1"/>
  <c r="IWC28" i="3" s="1"/>
  <c r="IVS28" i="3" a="1"/>
  <c r="IVS28" i="3" s="1"/>
  <c r="IUE28" i="3" a="1"/>
  <c r="IUE28" i="3" s="1"/>
  <c r="ITT28" i="3" a="1"/>
  <c r="ITT28" i="3" s="1"/>
  <c r="ITI28" i="3" a="1"/>
  <c r="ITI28" i="3" s="1"/>
  <c r="ISY28" i="3" a="1"/>
  <c r="ISY28" i="3" s="1"/>
  <c r="IRK28" i="3" a="1"/>
  <c r="IRK28" i="3" s="1"/>
  <c r="IQZ28" i="3" a="1"/>
  <c r="IQZ28" i="3" s="1"/>
  <c r="IQO28" i="3" a="1"/>
  <c r="IQO28" i="3" s="1"/>
  <c r="IQE28" i="3" a="1"/>
  <c r="IQE28" i="3" s="1"/>
  <c r="IOQ28" i="3" a="1"/>
  <c r="IOQ28" i="3" s="1"/>
  <c r="IOF28" i="3" a="1"/>
  <c r="IOF28" i="3" s="1"/>
  <c r="INW28" i="3" a="1"/>
  <c r="INW28" i="3" s="1"/>
  <c r="INN28" i="3" a="1"/>
  <c r="INN28" i="3" s="1"/>
  <c r="INE28" i="3" a="1"/>
  <c r="INE28" i="3" s="1"/>
  <c r="IMV28" i="3" a="1"/>
  <c r="IMV28" i="3" s="1"/>
  <c r="IMM28" i="3" a="1"/>
  <c r="IMM28" i="3" s="1"/>
  <c r="IMD28" i="3" a="1"/>
  <c r="IMD28" i="3" s="1"/>
  <c r="ILU28" i="3" a="1"/>
  <c r="ILU28" i="3" s="1"/>
  <c r="ILL28" i="3" a="1"/>
  <c r="ILL28" i="3" s="1"/>
  <c r="ILC28" i="3" a="1"/>
  <c r="ILC28" i="3" s="1"/>
  <c r="IKM28" i="3" a="1"/>
  <c r="IKM28" i="3" s="1"/>
  <c r="IKE28" i="3" a="1"/>
  <c r="IKE28" i="3" s="1"/>
  <c r="IJO28" i="3" a="1"/>
  <c r="IJO28" i="3" s="1"/>
  <c r="IJG28" i="3" a="1"/>
  <c r="IJG28" i="3" s="1"/>
  <c r="IIY28" i="3" a="1"/>
  <c r="IIY28" i="3" s="1"/>
  <c r="IIR28" i="3" a="1"/>
  <c r="IIR28" i="3" s="1"/>
  <c r="IIK28" i="3" a="1"/>
  <c r="IIK28" i="3" s="1"/>
  <c r="IHO28" i="3" a="1"/>
  <c r="IHO28" i="3" s="1"/>
  <c r="IHH28" i="3" a="1"/>
  <c r="IHH28" i="3" s="1"/>
  <c r="IHA28" i="3" a="1"/>
  <c r="IHA28" i="3" s="1"/>
  <c r="IGE28" i="3" a="1"/>
  <c r="IGE28" i="3" s="1"/>
  <c r="IFX28" i="3" a="1"/>
  <c r="IFX28" i="3" s="1"/>
  <c r="IFQ28" i="3" a="1"/>
  <c r="IFQ28" i="3" s="1"/>
  <c r="IEO28" i="3" a="1"/>
  <c r="IEO28" i="3" s="1"/>
  <c r="IEB28" i="3" a="1"/>
  <c r="IEB28" i="3" s="1"/>
  <c r="IDO28" i="3" a="1"/>
  <c r="IDO28" i="3" s="1"/>
  <c r="IDH28" i="3" a="1"/>
  <c r="IDH28" i="3" s="1"/>
  <c r="ICU28" i="3" a="1"/>
  <c r="ICU28" i="3" s="1"/>
  <c r="ICH28" i="3" a="1"/>
  <c r="ICH28" i="3" s="1"/>
  <c r="IBU28" i="3" a="1"/>
  <c r="IBU28" i="3" s="1"/>
  <c r="IBH28" i="3" a="1"/>
  <c r="IBH28" i="3" s="1"/>
  <c r="IAU28" i="3" a="1"/>
  <c r="IAU28" i="3" s="1"/>
  <c r="IAN28" i="3" a="1"/>
  <c r="IAN28" i="3" s="1"/>
  <c r="IAA28" i="3" a="1"/>
  <c r="IAA28" i="3" s="1"/>
  <c r="HZN28" i="3" a="1"/>
  <c r="HZN28" i="3" s="1"/>
  <c r="HZA28" i="3" a="1"/>
  <c r="HZA28" i="3" s="1"/>
  <c r="HYN28" i="3" a="1"/>
  <c r="HYN28" i="3" s="1"/>
  <c r="HYA28" i="3" a="1"/>
  <c r="HYA28" i="3" s="1"/>
  <c r="HXT28" i="3" a="1"/>
  <c r="HXT28" i="3" s="1"/>
  <c r="HXG28" i="3" a="1"/>
  <c r="HXG28" i="3" s="1"/>
  <c r="HWT28" i="3" a="1"/>
  <c r="HWT28" i="3" s="1"/>
  <c r="HWG28" i="3" a="1"/>
  <c r="HWG28" i="3" s="1"/>
  <c r="HVT28" i="3" a="1"/>
  <c r="HVT28" i="3" s="1"/>
  <c r="HVG28" i="3" a="1"/>
  <c r="HVG28" i="3" s="1"/>
  <c r="HUZ28" i="3" a="1"/>
  <c r="HUZ28" i="3" s="1"/>
  <c r="HUM28" i="3" a="1"/>
  <c r="HUM28" i="3" s="1"/>
  <c r="HTZ28" i="3" a="1"/>
  <c r="HTZ28" i="3" s="1"/>
  <c r="HTM28" i="3" a="1"/>
  <c r="HTM28" i="3" s="1"/>
  <c r="HSZ28" i="3" a="1"/>
  <c r="HSZ28" i="3" s="1"/>
  <c r="HSM28" i="3" a="1"/>
  <c r="HSM28" i="3" s="1"/>
  <c r="HSF28" i="3" a="1"/>
  <c r="HSF28" i="3" s="1"/>
  <c r="HRS28" i="3" a="1"/>
  <c r="HRS28" i="3" s="1"/>
  <c r="HRF28" i="3" a="1"/>
  <c r="HRF28" i="3" s="1"/>
  <c r="HQS28" i="3" a="1"/>
  <c r="HQS28" i="3" s="1"/>
  <c r="HQF28" i="3" a="1"/>
  <c r="HQF28" i="3" s="1"/>
  <c r="HPS28" i="3" a="1"/>
  <c r="HPS28" i="3" s="1"/>
  <c r="HPL28" i="3" a="1"/>
  <c r="HPL28" i="3" s="1"/>
  <c r="HOY28" i="3" a="1"/>
  <c r="HOY28" i="3" s="1"/>
  <c r="HOL28" i="3" a="1"/>
  <c r="HOL28" i="3" s="1"/>
  <c r="HNY28" i="3" a="1"/>
  <c r="HNY28" i="3" s="1"/>
  <c r="QYC28" i="3" a="1"/>
  <c r="QYC28" i="3" s="1"/>
  <c r="PIF28" i="3" a="1"/>
  <c r="PIF28" i="3" s="1"/>
  <c r="OVF28" i="3" a="1"/>
  <c r="OVF28" i="3" s="1"/>
  <c r="ONK28" i="3" a="1"/>
  <c r="ONK28" i="3" s="1"/>
  <c r="OFR28" i="3" a="1"/>
  <c r="OFR28" i="3" s="1"/>
  <c r="OAR28" i="3" a="1"/>
  <c r="OAR28" i="3" s="1"/>
  <c r="NVK28" i="3" a="1"/>
  <c r="NVK28" i="3" s="1"/>
  <c r="NPO28" i="3" a="1"/>
  <c r="NPO28" i="3" s="1"/>
  <c r="NLI28" i="3" a="1"/>
  <c r="NLI28" i="3" s="1"/>
  <c r="NFO28" i="3" a="1"/>
  <c r="NFO28" i="3" s="1"/>
  <c r="NBS28" i="3" a="1"/>
  <c r="NBS28" i="3" s="1"/>
  <c r="MUC28" i="3" a="1"/>
  <c r="MUC28" i="3" s="1"/>
  <c r="MNJ28" i="3" a="1"/>
  <c r="MNJ28" i="3" s="1"/>
  <c r="MLI28" i="3" a="1"/>
  <c r="MLI28" i="3" s="1"/>
  <c r="MIY28" i="3" a="1"/>
  <c r="MIY28" i="3" s="1"/>
  <c r="MHD28" i="3" a="1"/>
  <c r="MHD28" i="3" s="1"/>
  <c r="MFA28" i="3" a="1"/>
  <c r="MFA28" i="3" s="1"/>
  <c r="MBJ28" i="3" a="1"/>
  <c r="MBJ28" i="3" s="1"/>
  <c r="LYO28" i="3" a="1"/>
  <c r="LYO28" i="3" s="1"/>
  <c r="LUV28" i="3" a="1"/>
  <c r="LUV28" i="3" s="1"/>
  <c r="LTP28" i="3" a="1"/>
  <c r="LTP28" i="3" s="1"/>
  <c r="LOU28" i="3" a="1"/>
  <c r="LOU28" i="3" s="1"/>
  <c r="LNO28" i="3" a="1"/>
  <c r="LNO28" i="3" s="1"/>
  <c r="LKB28" i="3" a="1"/>
  <c r="LKB28" i="3" s="1"/>
  <c r="LHU28" i="3" a="1"/>
  <c r="LHU28" i="3" s="1"/>
  <c r="LGU28" i="3" a="1"/>
  <c r="LGU28" i="3" s="1"/>
  <c r="LEN28" i="3" a="1"/>
  <c r="LEN28" i="3" s="1"/>
  <c r="LCG28" i="3" a="1"/>
  <c r="LCG28" i="3" s="1"/>
  <c r="LBG28" i="3" a="1"/>
  <c r="LBG28" i="3" s="1"/>
  <c r="KYZ28" i="3" a="1"/>
  <c r="KYZ28" i="3" s="1"/>
  <c r="KWS28" i="3" a="1"/>
  <c r="KWS28" i="3" s="1"/>
  <c r="KVS28" i="3" a="1"/>
  <c r="KVS28" i="3" s="1"/>
  <c r="KTL28" i="3" a="1"/>
  <c r="KTL28" i="3" s="1"/>
  <c r="KRE28" i="3" a="1"/>
  <c r="KRE28" i="3" s="1"/>
  <c r="KQE28" i="3" a="1"/>
  <c r="KQE28" i="3" s="1"/>
  <c r="KNY28" i="3" a="1"/>
  <c r="KNY28" i="3" s="1"/>
  <c r="KNA28" i="3" a="1"/>
  <c r="KNA28" i="3" s="1"/>
  <c r="KMC28" i="3" a="1"/>
  <c r="KMC28" i="3" s="1"/>
  <c r="KLE28" i="3" a="1"/>
  <c r="KLE28" i="3" s="1"/>
  <c r="KKG28" i="3" a="1"/>
  <c r="KKG28" i="3" s="1"/>
  <c r="KJI28" i="3" a="1"/>
  <c r="KJI28" i="3" s="1"/>
  <c r="KIK28" i="3" a="1"/>
  <c r="KIK28" i="3" s="1"/>
  <c r="KHM28" i="3" a="1"/>
  <c r="KHM28" i="3" s="1"/>
  <c r="KGO28" i="3" a="1"/>
  <c r="KGO28" i="3" s="1"/>
  <c r="KFQ28" i="3" a="1"/>
  <c r="KFQ28" i="3" s="1"/>
  <c r="KES28" i="3" a="1"/>
  <c r="KES28" i="3" s="1"/>
  <c r="KDU28" i="3" a="1"/>
  <c r="KDU28" i="3" s="1"/>
  <c r="KCY28" i="3" a="1"/>
  <c r="KCY28" i="3" s="1"/>
  <c r="KBK28" i="3" a="1"/>
  <c r="KBK28" i="3" s="1"/>
  <c r="KAO28" i="3" a="1"/>
  <c r="KAO28" i="3" s="1"/>
  <c r="JZW28" i="3" a="1"/>
  <c r="JZW28" i="3" s="1"/>
  <c r="JZE28" i="3" a="1"/>
  <c r="JZE28" i="3" s="1"/>
  <c r="JYM28" i="3" a="1"/>
  <c r="JYM28" i="3" s="1"/>
  <c r="JXU28" i="3" a="1"/>
  <c r="JXU28" i="3" s="1"/>
  <c r="JXC28" i="3" a="1"/>
  <c r="JXC28" i="3" s="1"/>
  <c r="JWK28" i="3" a="1"/>
  <c r="JWK28" i="3" s="1"/>
  <c r="JVS28" i="3" a="1"/>
  <c r="JVS28" i="3" s="1"/>
  <c r="JVA28" i="3" a="1"/>
  <c r="JVA28" i="3" s="1"/>
  <c r="JUI28" i="3" a="1"/>
  <c r="JUI28" i="3" s="1"/>
  <c r="JTQ28" i="3" a="1"/>
  <c r="JTQ28" i="3" s="1"/>
  <c r="JSY28" i="3" a="1"/>
  <c r="JSY28" i="3" s="1"/>
  <c r="JSG28" i="3" a="1"/>
  <c r="JSG28" i="3" s="1"/>
  <c r="JRO28" i="3" a="1"/>
  <c r="JRO28" i="3" s="1"/>
  <c r="JQX28" i="3" a="1"/>
  <c r="JQX28" i="3" s="1"/>
  <c r="JPR28" i="3" a="1"/>
  <c r="JPR28" i="3" s="1"/>
  <c r="JNL28" i="3" a="1"/>
  <c r="JNL28" i="3" s="1"/>
  <c r="IVI28" i="3" a="1"/>
  <c r="IVI28" i="3" s="1"/>
  <c r="IUX28" i="3" a="1"/>
  <c r="IUX28" i="3" s="1"/>
  <c r="IUM28" i="3" a="1"/>
  <c r="IUM28" i="3" s="1"/>
  <c r="IUC28" i="3" a="1"/>
  <c r="IUC28" i="3" s="1"/>
  <c r="ISO28" i="3" a="1"/>
  <c r="ISO28" i="3" s="1"/>
  <c r="ISD28" i="3" a="1"/>
  <c r="ISD28" i="3" s="1"/>
  <c r="IRS28" i="3" a="1"/>
  <c r="IRS28" i="3" s="1"/>
  <c r="IRI28" i="3" a="1"/>
  <c r="IRI28" i="3" s="1"/>
  <c r="IPU28" i="3" a="1"/>
  <c r="IPU28" i="3" s="1"/>
  <c r="IPJ28" i="3" a="1"/>
  <c r="IPJ28" i="3" s="1"/>
  <c r="IOY28" i="3" a="1"/>
  <c r="IOY28" i="3" s="1"/>
  <c r="IOO28" i="3" a="1"/>
  <c r="IOO28" i="3" s="1"/>
  <c r="IKT28" i="3" a="1"/>
  <c r="IKT28" i="3" s="1"/>
  <c r="IKL28" i="3" a="1"/>
  <c r="IKL28" i="3" s="1"/>
  <c r="IJV28" i="3" a="1"/>
  <c r="IJV28" i="3" s="1"/>
  <c r="IJN28" i="3" a="1"/>
  <c r="IJN28" i="3" s="1"/>
  <c r="IIJ28" i="3" a="1"/>
  <c r="IIJ28" i="3" s="1"/>
  <c r="IIC28" i="3" a="1"/>
  <c r="IIC28" i="3" s="1"/>
  <c r="IGZ28" i="3" a="1"/>
  <c r="IGZ28" i="3" s="1"/>
  <c r="IGS28" i="3" a="1"/>
  <c r="IGS28" i="3" s="1"/>
  <c r="IFP28" i="3" a="1"/>
  <c r="IFP28" i="3" s="1"/>
  <c r="IFI28" i="3" a="1"/>
  <c r="IFI28" i="3" s="1"/>
  <c r="IEU28" i="3" a="1"/>
  <c r="IEU28" i="3" s="1"/>
  <c r="IEH28" i="3" a="1"/>
  <c r="IEH28" i="3" s="1"/>
  <c r="IDU28" i="3" a="1"/>
  <c r="IDU28" i="3" s="1"/>
  <c r="IDN28" i="3" a="1"/>
  <c r="IDN28" i="3" s="1"/>
  <c r="IDA28" i="3" a="1"/>
  <c r="IDA28" i="3" s="1"/>
  <c r="ICN28" i="3" a="1"/>
  <c r="ICN28" i="3" s="1"/>
  <c r="ICA28" i="3" a="1"/>
  <c r="ICA28" i="3" s="1"/>
  <c r="IBN28" i="3" a="1"/>
  <c r="IBN28" i="3" s="1"/>
  <c r="IBA28" i="3" a="1"/>
  <c r="IBA28" i="3" s="1"/>
  <c r="IAT28" i="3" a="1"/>
  <c r="IAT28" i="3" s="1"/>
  <c r="IAG28" i="3" a="1"/>
  <c r="IAG28" i="3" s="1"/>
  <c r="HZT28" i="3" a="1"/>
  <c r="HZT28" i="3" s="1"/>
  <c r="HZG28" i="3" a="1"/>
  <c r="HZG28" i="3" s="1"/>
  <c r="HYT28" i="3" a="1"/>
  <c r="HYT28" i="3" s="1"/>
  <c r="HYG28" i="3" a="1"/>
  <c r="HYG28" i="3" s="1"/>
  <c r="HXZ28" i="3" a="1"/>
  <c r="HXZ28" i="3" s="1"/>
  <c r="HXM28" i="3" a="1"/>
  <c r="HXM28" i="3" s="1"/>
  <c r="HWZ28" i="3" a="1"/>
  <c r="HWZ28" i="3" s="1"/>
  <c r="HWM28" i="3" a="1"/>
  <c r="HWM28" i="3" s="1"/>
  <c r="HVZ28" i="3" a="1"/>
  <c r="HVZ28" i="3" s="1"/>
  <c r="HVM28" i="3" a="1"/>
  <c r="HVM28" i="3" s="1"/>
  <c r="HVF28" i="3" a="1"/>
  <c r="HVF28" i="3" s="1"/>
  <c r="HUS28" i="3" a="1"/>
  <c r="HUS28" i="3" s="1"/>
  <c r="HUF28" i="3" a="1"/>
  <c r="HUF28" i="3" s="1"/>
  <c r="HTS28" i="3" a="1"/>
  <c r="HTS28" i="3" s="1"/>
  <c r="HTF28" i="3" a="1"/>
  <c r="HTF28" i="3" s="1"/>
  <c r="HSS28" i="3" a="1"/>
  <c r="HSS28" i="3" s="1"/>
  <c r="HSL28" i="3" a="1"/>
  <c r="HSL28" i="3" s="1"/>
  <c r="HRY28" i="3" a="1"/>
  <c r="HRY28" i="3" s="1"/>
  <c r="HRL28" i="3" a="1"/>
  <c r="HRL28" i="3" s="1"/>
  <c r="HQY28" i="3" a="1"/>
  <c r="HQY28" i="3" s="1"/>
  <c r="HQL28" i="3" a="1"/>
  <c r="HQL28" i="3" s="1"/>
  <c r="HPY28" i="3" a="1"/>
  <c r="HPY28" i="3" s="1"/>
  <c r="HPR28" i="3" a="1"/>
  <c r="HPR28" i="3" s="1"/>
  <c r="HPE28" i="3" a="1"/>
  <c r="HPE28" i="3" s="1"/>
  <c r="HOR28" i="3" a="1"/>
  <c r="HOR28" i="3" s="1"/>
  <c r="HOE28" i="3" a="1"/>
  <c r="HOE28" i="3" s="1"/>
  <c r="HNR28" i="3" a="1"/>
  <c r="HNR28" i="3" s="1"/>
  <c r="HNL28" i="3" a="1"/>
  <c r="HNL28" i="3" s="1"/>
  <c r="HNF28" i="3" a="1"/>
  <c r="HNF28" i="3" s="1"/>
  <c r="HMZ28" i="3" a="1"/>
  <c r="HMZ28" i="3" s="1"/>
  <c r="HMT28" i="3" a="1"/>
  <c r="HMT28" i="3" s="1"/>
  <c r="HMN28" i="3" a="1"/>
  <c r="HMN28" i="3" s="1"/>
  <c r="HMH28" i="3" a="1"/>
  <c r="HMH28" i="3" s="1"/>
  <c r="HMB28" i="3" a="1"/>
  <c r="HMB28" i="3" s="1"/>
  <c r="HLV28" i="3" a="1"/>
  <c r="HLV28" i="3" s="1"/>
  <c r="HLP28" i="3" a="1"/>
  <c r="HLP28" i="3" s="1"/>
  <c r="HLJ28" i="3" a="1"/>
  <c r="HLJ28" i="3" s="1"/>
  <c r="HLD28" i="3" a="1"/>
  <c r="HLD28" i="3" s="1"/>
  <c r="HKX28" i="3" a="1"/>
  <c r="HKX28" i="3" s="1"/>
  <c r="HKR28" i="3" a="1"/>
  <c r="HKR28" i="3" s="1"/>
  <c r="HKL28" i="3" a="1"/>
  <c r="HKL28" i="3" s="1"/>
  <c r="HKF28" i="3" a="1"/>
  <c r="HKF28" i="3" s="1"/>
  <c r="HJZ28" i="3" a="1"/>
  <c r="HJZ28" i="3" s="1"/>
  <c r="HJT28" i="3" a="1"/>
  <c r="HJT28" i="3" s="1"/>
  <c r="HJN28" i="3" a="1"/>
  <c r="HJN28" i="3" s="1"/>
  <c r="HJH28" i="3" a="1"/>
  <c r="HJH28" i="3" s="1"/>
  <c r="HJB28" i="3" a="1"/>
  <c r="HJB28" i="3" s="1"/>
  <c r="HIV28" i="3" a="1"/>
  <c r="HIV28" i="3" s="1"/>
  <c r="HIP28" i="3" a="1"/>
  <c r="HIP28" i="3" s="1"/>
  <c r="HIJ28" i="3" a="1"/>
  <c r="HIJ28" i="3" s="1"/>
  <c r="HID28" i="3" a="1"/>
  <c r="HID28" i="3" s="1"/>
  <c r="HHX28" i="3" a="1"/>
  <c r="HHX28" i="3" s="1"/>
  <c r="HHR28" i="3" a="1"/>
  <c r="HHR28" i="3" s="1"/>
  <c r="HHL28" i="3" a="1"/>
  <c r="HHL28" i="3" s="1"/>
  <c r="HHF28" i="3" a="1"/>
  <c r="HHF28" i="3" s="1"/>
  <c r="HGZ28" i="3" a="1"/>
  <c r="HGZ28" i="3" s="1"/>
  <c r="HGT28" i="3" a="1"/>
  <c r="HGT28" i="3" s="1"/>
  <c r="HGN28" i="3" a="1"/>
  <c r="HGN28" i="3" s="1"/>
  <c r="HGH28" i="3" a="1"/>
  <c r="HGH28" i="3" s="1"/>
  <c r="HGB28" i="3" a="1"/>
  <c r="HGB28" i="3" s="1"/>
  <c r="HFV28" i="3" a="1"/>
  <c r="HFV28" i="3" s="1"/>
  <c r="HFP28" i="3" a="1"/>
  <c r="HFP28" i="3" s="1"/>
  <c r="HFJ28" i="3" a="1"/>
  <c r="HFJ28" i="3" s="1"/>
  <c r="HFD28" i="3" a="1"/>
  <c r="HFD28" i="3" s="1"/>
  <c r="HEX28" i="3" a="1"/>
  <c r="HEX28" i="3" s="1"/>
  <c r="HER28" i="3" a="1"/>
  <c r="HER28" i="3" s="1"/>
  <c r="HEL28" i="3" a="1"/>
  <c r="HEL28" i="3" s="1"/>
  <c r="HEF28" i="3" a="1"/>
  <c r="HEF28" i="3" s="1"/>
  <c r="HDZ28" i="3" a="1"/>
  <c r="HDZ28" i="3" s="1"/>
  <c r="HDT28" i="3" a="1"/>
  <c r="HDT28" i="3" s="1"/>
  <c r="HDN28" i="3" a="1"/>
  <c r="HDN28" i="3" s="1"/>
  <c r="HDH28" i="3" a="1"/>
  <c r="HDH28" i="3" s="1"/>
  <c r="HDB28" i="3" a="1"/>
  <c r="HDB28" i="3" s="1"/>
  <c r="HCV28" i="3" a="1"/>
  <c r="HCV28" i="3" s="1"/>
  <c r="HCP28" i="3" a="1"/>
  <c r="HCP28" i="3" s="1"/>
  <c r="HCJ28" i="3" a="1"/>
  <c r="HCJ28" i="3" s="1"/>
  <c r="HCD28" i="3" a="1"/>
  <c r="HCD28" i="3" s="1"/>
  <c r="HBX28" i="3" a="1"/>
  <c r="HBX28" i="3" s="1"/>
  <c r="HBR28" i="3" a="1"/>
  <c r="HBR28" i="3" s="1"/>
  <c r="HBL28" i="3" a="1"/>
  <c r="HBL28" i="3" s="1"/>
  <c r="HBF28" i="3" a="1"/>
  <c r="HBF28" i="3" s="1"/>
  <c r="HAZ28" i="3" a="1"/>
  <c r="HAZ28" i="3" s="1"/>
  <c r="HAT28" i="3" a="1"/>
  <c r="HAT28" i="3" s="1"/>
  <c r="HAN28" i="3" a="1"/>
  <c r="HAN28" i="3" s="1"/>
  <c r="HAH28" i="3" a="1"/>
  <c r="HAH28" i="3" s="1"/>
  <c r="HAB28" i="3" a="1"/>
  <c r="HAB28" i="3" s="1"/>
  <c r="GZV28" i="3" a="1"/>
  <c r="GZV28" i="3" s="1"/>
  <c r="GZP28" i="3" a="1"/>
  <c r="GZP28" i="3" s="1"/>
  <c r="GZJ28" i="3" a="1"/>
  <c r="GZJ28" i="3" s="1"/>
  <c r="GZD28" i="3" a="1"/>
  <c r="GZD28" i="3" s="1"/>
  <c r="GYX28" i="3" a="1"/>
  <c r="GYX28" i="3" s="1"/>
  <c r="GYR28" i="3" a="1"/>
  <c r="GYR28" i="3" s="1"/>
  <c r="GYL28" i="3" a="1"/>
  <c r="GYL28" i="3" s="1"/>
  <c r="GYF28" i="3" a="1"/>
  <c r="GYF28" i="3" s="1"/>
  <c r="GXZ28" i="3" a="1"/>
  <c r="GXZ28" i="3" s="1"/>
  <c r="GXT28" i="3" a="1"/>
  <c r="GXT28" i="3" s="1"/>
  <c r="GXN28" i="3" a="1"/>
  <c r="GXN28" i="3" s="1"/>
  <c r="GXH28" i="3" a="1"/>
  <c r="GXH28" i="3" s="1"/>
  <c r="GXB28" i="3" a="1"/>
  <c r="GXB28" i="3" s="1"/>
  <c r="GWV28" i="3" a="1"/>
  <c r="GWV28" i="3" s="1"/>
  <c r="GWP28" i="3" a="1"/>
  <c r="GWP28" i="3" s="1"/>
  <c r="GWJ28" i="3" a="1"/>
  <c r="GWJ28" i="3" s="1"/>
  <c r="GWD28" i="3" a="1"/>
  <c r="GWD28" i="3" s="1"/>
  <c r="GVX28" i="3" a="1"/>
  <c r="GVX28" i="3" s="1"/>
  <c r="GVR28" i="3" a="1"/>
  <c r="GVR28" i="3" s="1"/>
  <c r="GVL28" i="3" a="1"/>
  <c r="GVL28" i="3" s="1"/>
  <c r="GVF28" i="3" a="1"/>
  <c r="GVF28" i="3" s="1"/>
  <c r="GUZ28" i="3" a="1"/>
  <c r="GUZ28" i="3" s="1"/>
  <c r="GUT28" i="3" a="1"/>
  <c r="GUT28" i="3" s="1"/>
  <c r="GUN28" i="3" a="1"/>
  <c r="GUN28" i="3" s="1"/>
  <c r="GUH28" i="3" a="1"/>
  <c r="GUH28" i="3" s="1"/>
  <c r="GUB28" i="3" a="1"/>
  <c r="GUB28" i="3" s="1"/>
  <c r="GTV28" i="3" a="1"/>
  <c r="GTV28" i="3" s="1"/>
  <c r="GTP28" i="3" a="1"/>
  <c r="GTP28" i="3" s="1"/>
  <c r="GTJ28" i="3" a="1"/>
  <c r="GTJ28" i="3" s="1"/>
  <c r="GTD28" i="3" a="1"/>
  <c r="GTD28" i="3" s="1"/>
  <c r="GSX28" i="3" a="1"/>
  <c r="GSX28" i="3" s="1"/>
  <c r="GSR28" i="3" a="1"/>
  <c r="GSR28" i="3" s="1"/>
  <c r="GSL28" i="3" a="1"/>
  <c r="GSL28" i="3" s="1"/>
  <c r="GSF28" i="3" a="1"/>
  <c r="GSF28" i="3" s="1"/>
  <c r="GRZ28" i="3" a="1"/>
  <c r="GRZ28" i="3" s="1"/>
  <c r="GRT28" i="3" a="1"/>
  <c r="GRT28" i="3" s="1"/>
  <c r="GRN28" i="3" a="1"/>
  <c r="GRN28" i="3" s="1"/>
  <c r="GRH28" i="3" a="1"/>
  <c r="GRH28" i="3" s="1"/>
  <c r="GRB28" i="3" a="1"/>
  <c r="GRB28" i="3" s="1"/>
  <c r="GQV28" i="3" a="1"/>
  <c r="GQV28" i="3" s="1"/>
  <c r="GQP28" i="3" a="1"/>
  <c r="GQP28" i="3" s="1"/>
  <c r="GQJ28" i="3" a="1"/>
  <c r="GQJ28" i="3" s="1"/>
  <c r="GQD28" i="3" a="1"/>
  <c r="GQD28" i="3" s="1"/>
  <c r="GPX28" i="3" a="1"/>
  <c r="GPX28" i="3" s="1"/>
  <c r="GPR28" i="3" a="1"/>
  <c r="GPR28" i="3" s="1"/>
  <c r="GPL28" i="3" a="1"/>
  <c r="GPL28" i="3" s="1"/>
  <c r="GPF28" i="3" a="1"/>
  <c r="GPF28" i="3" s="1"/>
  <c r="GOZ28" i="3" a="1"/>
  <c r="GOZ28" i="3" s="1"/>
  <c r="GOT28" i="3" a="1"/>
  <c r="GOT28" i="3" s="1"/>
  <c r="GON28" i="3" a="1"/>
  <c r="GON28" i="3" s="1"/>
  <c r="GOH28" i="3" a="1"/>
  <c r="GOH28" i="3" s="1"/>
  <c r="GOB28" i="3" a="1"/>
  <c r="GOB28" i="3" s="1"/>
  <c r="GNV28" i="3" a="1"/>
  <c r="GNV28" i="3" s="1"/>
  <c r="GNP28" i="3" a="1"/>
  <c r="GNP28" i="3" s="1"/>
  <c r="GNJ28" i="3" a="1"/>
  <c r="GNJ28" i="3" s="1"/>
  <c r="GND28" i="3" a="1"/>
  <c r="GND28" i="3" s="1"/>
  <c r="GMX28" i="3" a="1"/>
  <c r="GMX28" i="3" s="1"/>
  <c r="GMR28" i="3" a="1"/>
  <c r="GMR28" i="3" s="1"/>
  <c r="GML28" i="3" a="1"/>
  <c r="GML28" i="3" s="1"/>
  <c r="GMF28" i="3" a="1"/>
  <c r="GMF28" i="3" s="1"/>
  <c r="GLZ28" i="3" a="1"/>
  <c r="GLZ28" i="3" s="1"/>
  <c r="GLT28" i="3" a="1"/>
  <c r="GLT28" i="3" s="1"/>
  <c r="GLN28" i="3" a="1"/>
  <c r="GLN28" i="3" s="1"/>
  <c r="GLH28" i="3" a="1"/>
  <c r="GLH28" i="3" s="1"/>
  <c r="GLB28" i="3" a="1"/>
  <c r="GLB28" i="3" s="1"/>
  <c r="GKV28" i="3" a="1"/>
  <c r="GKV28" i="3" s="1"/>
  <c r="GKP28" i="3" a="1"/>
  <c r="GKP28" i="3" s="1"/>
  <c r="GKJ28" i="3" a="1"/>
  <c r="GKJ28" i="3" s="1"/>
  <c r="GKD28" i="3" a="1"/>
  <c r="GKD28" i="3" s="1"/>
  <c r="GJX28" i="3" a="1"/>
  <c r="GJX28" i="3" s="1"/>
  <c r="GJR28" i="3" a="1"/>
  <c r="GJR28" i="3" s="1"/>
  <c r="GJL28" i="3" a="1"/>
  <c r="GJL28" i="3" s="1"/>
  <c r="GJF28" i="3" a="1"/>
  <c r="GJF28" i="3" s="1"/>
  <c r="GIZ28" i="3" a="1"/>
  <c r="GIZ28" i="3" s="1"/>
  <c r="GIT28" i="3" a="1"/>
  <c r="GIT28" i="3" s="1"/>
  <c r="GIN28" i="3" a="1"/>
  <c r="GIN28" i="3" s="1"/>
  <c r="GIH28" i="3" a="1"/>
  <c r="GIH28" i="3" s="1"/>
  <c r="GIB28" i="3" a="1"/>
  <c r="GIB28" i="3" s="1"/>
  <c r="GHV28" i="3" a="1"/>
  <c r="GHV28" i="3" s="1"/>
  <c r="GHP28" i="3" a="1"/>
  <c r="GHP28" i="3" s="1"/>
  <c r="GHJ28" i="3" a="1"/>
  <c r="GHJ28" i="3" s="1"/>
  <c r="GHD28" i="3" a="1"/>
  <c r="GHD28" i="3" s="1"/>
  <c r="GGX28" i="3" a="1"/>
  <c r="GGX28" i="3" s="1"/>
  <c r="GGR28" i="3" a="1"/>
  <c r="GGR28" i="3" s="1"/>
  <c r="GGL28" i="3" a="1"/>
  <c r="GGL28" i="3" s="1"/>
  <c r="GGF28" i="3" a="1"/>
  <c r="GGF28" i="3" s="1"/>
  <c r="GFZ28" i="3" a="1"/>
  <c r="GFZ28" i="3" s="1"/>
  <c r="GFT28" i="3" a="1"/>
  <c r="GFT28" i="3" s="1"/>
  <c r="GFN28" i="3" a="1"/>
  <c r="GFN28" i="3" s="1"/>
  <c r="GFH28" i="3" a="1"/>
  <c r="GFH28" i="3" s="1"/>
  <c r="GFB28" i="3" a="1"/>
  <c r="GFB28" i="3" s="1"/>
  <c r="GEV28" i="3" a="1"/>
  <c r="GEV28" i="3" s="1"/>
  <c r="GEP28" i="3" a="1"/>
  <c r="GEP28" i="3" s="1"/>
  <c r="GEJ28" i="3" a="1"/>
  <c r="GEJ28" i="3" s="1"/>
  <c r="GED28" i="3" a="1"/>
  <c r="GED28" i="3" s="1"/>
  <c r="GDX28" i="3" a="1"/>
  <c r="GDX28" i="3" s="1"/>
  <c r="GDR28" i="3" a="1"/>
  <c r="GDR28" i="3" s="1"/>
  <c r="GDL28" i="3" a="1"/>
  <c r="GDL28" i="3" s="1"/>
  <c r="GDF28" i="3" a="1"/>
  <c r="GDF28" i="3" s="1"/>
  <c r="GCZ28" i="3" a="1"/>
  <c r="GCZ28" i="3" s="1"/>
  <c r="GCT28" i="3" a="1"/>
  <c r="GCT28" i="3" s="1"/>
  <c r="GCN28" i="3" a="1"/>
  <c r="GCN28" i="3" s="1"/>
  <c r="GCH28" i="3" a="1"/>
  <c r="GCH28" i="3" s="1"/>
  <c r="GCB28" i="3" a="1"/>
  <c r="GCB28" i="3" s="1"/>
  <c r="GBV28" i="3" a="1"/>
  <c r="GBV28" i="3" s="1"/>
  <c r="GBP28" i="3" a="1"/>
  <c r="GBP28" i="3" s="1"/>
  <c r="GBJ28" i="3" a="1"/>
  <c r="GBJ28" i="3" s="1"/>
  <c r="GBD28" i="3" a="1"/>
  <c r="GBD28" i="3" s="1"/>
  <c r="GAX28" i="3" a="1"/>
  <c r="GAX28" i="3" s="1"/>
  <c r="GAR28" i="3" a="1"/>
  <c r="GAR28" i="3" s="1"/>
  <c r="GAL28" i="3" a="1"/>
  <c r="GAL28" i="3" s="1"/>
  <c r="GAF28" i="3" a="1"/>
  <c r="GAF28" i="3" s="1"/>
  <c r="FZZ28" i="3" a="1"/>
  <c r="FZZ28" i="3" s="1"/>
  <c r="FZT28" i="3" a="1"/>
  <c r="FZT28" i="3" s="1"/>
  <c r="FZN28" i="3" a="1"/>
  <c r="FZN28" i="3" s="1"/>
  <c r="FZH28" i="3" a="1"/>
  <c r="FZH28" i="3" s="1"/>
  <c r="FZB28" i="3" a="1"/>
  <c r="FZB28" i="3" s="1"/>
  <c r="FYV28" i="3" a="1"/>
  <c r="FYV28" i="3" s="1"/>
  <c r="FYP28" i="3" a="1"/>
  <c r="FYP28" i="3" s="1"/>
  <c r="FYJ28" i="3" a="1"/>
  <c r="FYJ28" i="3" s="1"/>
  <c r="FYD28" i="3" a="1"/>
  <c r="FYD28" i="3" s="1"/>
  <c r="FXX28" i="3" a="1"/>
  <c r="FXX28" i="3" s="1"/>
  <c r="FXR28" i="3" a="1"/>
  <c r="FXR28" i="3" s="1"/>
  <c r="FXL28" i="3" a="1"/>
  <c r="FXL28" i="3" s="1"/>
  <c r="FXF28" i="3" a="1"/>
  <c r="FXF28" i="3" s="1"/>
  <c r="FWZ28" i="3" a="1"/>
  <c r="FWZ28" i="3" s="1"/>
  <c r="FWT28" i="3" a="1"/>
  <c r="FWT28" i="3" s="1"/>
  <c r="FWN28" i="3" a="1"/>
  <c r="FWN28" i="3" s="1"/>
  <c r="FWH28" i="3" a="1"/>
  <c r="FWH28" i="3" s="1"/>
  <c r="FWB28" i="3" a="1"/>
  <c r="FWB28" i="3" s="1"/>
  <c r="FVV28" i="3" a="1"/>
  <c r="FVV28" i="3" s="1"/>
  <c r="FVP28" i="3" a="1"/>
  <c r="FVP28" i="3" s="1"/>
  <c r="FVJ28" i="3" a="1"/>
  <c r="FVJ28" i="3" s="1"/>
  <c r="FVD28" i="3" a="1"/>
  <c r="FVD28" i="3" s="1"/>
  <c r="FUX28" i="3" a="1"/>
  <c r="FUX28" i="3" s="1"/>
  <c r="FUR28" i="3" a="1"/>
  <c r="FUR28" i="3" s="1"/>
  <c r="FUL28" i="3" a="1"/>
  <c r="FUL28" i="3" s="1"/>
  <c r="FUF28" i="3" a="1"/>
  <c r="FUF28" i="3" s="1"/>
  <c r="FTZ28" i="3" a="1"/>
  <c r="FTZ28" i="3" s="1"/>
  <c r="FTT28" i="3" a="1"/>
  <c r="FTT28" i="3" s="1"/>
  <c r="FTN28" i="3" a="1"/>
  <c r="FTN28" i="3" s="1"/>
  <c r="FTH28" i="3" a="1"/>
  <c r="FTH28" i="3" s="1"/>
  <c r="FTB28" i="3" a="1"/>
  <c r="FTB28" i="3" s="1"/>
  <c r="FSV28" i="3" a="1"/>
  <c r="FSV28" i="3" s="1"/>
  <c r="FSP28" i="3" a="1"/>
  <c r="FSP28" i="3" s="1"/>
  <c r="FSJ28" i="3" a="1"/>
  <c r="FSJ28" i="3" s="1"/>
  <c r="FSD28" i="3" a="1"/>
  <c r="FSD28" i="3" s="1"/>
  <c r="FRX28" i="3" a="1"/>
  <c r="FRX28" i="3" s="1"/>
  <c r="FRR28" i="3" a="1"/>
  <c r="FRR28" i="3" s="1"/>
  <c r="FRL28" i="3" a="1"/>
  <c r="FRL28" i="3" s="1"/>
  <c r="FRF28" i="3" a="1"/>
  <c r="FRF28" i="3" s="1"/>
  <c r="FQZ28" i="3" a="1"/>
  <c r="FQZ28" i="3" s="1"/>
  <c r="FQT28" i="3" a="1"/>
  <c r="FQT28" i="3" s="1"/>
  <c r="FQN28" i="3" a="1"/>
  <c r="FQN28" i="3" s="1"/>
  <c r="FQH28" i="3" a="1"/>
  <c r="FQH28" i="3" s="1"/>
  <c r="FQB28" i="3" a="1"/>
  <c r="FQB28" i="3" s="1"/>
  <c r="FPV28" i="3" a="1"/>
  <c r="FPV28" i="3" s="1"/>
  <c r="FPP28" i="3" a="1"/>
  <c r="FPP28" i="3" s="1"/>
  <c r="FPJ28" i="3" a="1"/>
  <c r="FPJ28" i="3" s="1"/>
  <c r="FPD28" i="3" a="1"/>
  <c r="FPD28" i="3" s="1"/>
  <c r="FOX28" i="3" a="1"/>
  <c r="FOX28" i="3" s="1"/>
  <c r="FOR28" i="3" a="1"/>
  <c r="FOR28" i="3" s="1"/>
  <c r="FOL28" i="3" a="1"/>
  <c r="FOL28" i="3" s="1"/>
  <c r="FOF28" i="3" a="1"/>
  <c r="FOF28" i="3" s="1"/>
  <c r="FNZ28" i="3" a="1"/>
  <c r="FNZ28" i="3" s="1"/>
  <c r="FNT28" i="3" a="1"/>
  <c r="FNT28" i="3" s="1"/>
  <c r="FNN28" i="3" a="1"/>
  <c r="FNN28" i="3" s="1"/>
  <c r="FNH28" i="3" a="1"/>
  <c r="FNH28" i="3" s="1"/>
  <c r="FNB28" i="3" a="1"/>
  <c r="FNB28" i="3" s="1"/>
  <c r="FMV28" i="3" a="1"/>
  <c r="FMV28" i="3" s="1"/>
  <c r="FMP28" i="3" a="1"/>
  <c r="FMP28" i="3" s="1"/>
  <c r="FMJ28" i="3" a="1"/>
  <c r="FMJ28" i="3" s="1"/>
  <c r="FMD28" i="3" a="1"/>
  <c r="FMD28" i="3" s="1"/>
  <c r="FLX28" i="3" a="1"/>
  <c r="FLX28" i="3" s="1"/>
  <c r="FLR28" i="3" a="1"/>
  <c r="FLR28" i="3" s="1"/>
  <c r="FLL28" i="3" a="1"/>
  <c r="FLL28" i="3" s="1"/>
  <c r="FLF28" i="3" a="1"/>
  <c r="FLF28" i="3" s="1"/>
  <c r="FKZ28" i="3" a="1"/>
  <c r="FKZ28" i="3" s="1"/>
  <c r="FKT28" i="3" a="1"/>
  <c r="FKT28" i="3" s="1"/>
  <c r="FKN28" i="3" a="1"/>
  <c r="FKN28" i="3" s="1"/>
  <c r="FKH28" i="3" a="1"/>
  <c r="FKH28" i="3" s="1"/>
  <c r="FKB28" i="3" a="1"/>
  <c r="FKB28" i="3" s="1"/>
  <c r="FJV28" i="3" a="1"/>
  <c r="FJV28" i="3" s="1"/>
  <c r="FJP28" i="3" a="1"/>
  <c r="FJP28" i="3" s="1"/>
  <c r="FJJ28" i="3" a="1"/>
  <c r="FJJ28" i="3" s="1"/>
  <c r="FJD28" i="3" a="1"/>
  <c r="FJD28" i="3" s="1"/>
  <c r="FIX28" i="3" a="1"/>
  <c r="FIX28" i="3" s="1"/>
  <c r="FIR28" i="3" a="1"/>
  <c r="FIR28" i="3" s="1"/>
  <c r="FIL28" i="3" a="1"/>
  <c r="FIL28" i="3" s="1"/>
  <c r="FIF28" i="3" a="1"/>
  <c r="FIF28" i="3" s="1"/>
  <c r="FHZ28" i="3" a="1"/>
  <c r="FHZ28" i="3" s="1"/>
  <c r="FHT28" i="3" a="1"/>
  <c r="FHT28" i="3" s="1"/>
  <c r="FHN28" i="3" a="1"/>
  <c r="FHN28" i="3" s="1"/>
  <c r="FHH28" i="3" a="1"/>
  <c r="FHH28" i="3" s="1"/>
  <c r="FHB28" i="3" a="1"/>
  <c r="FHB28" i="3" s="1"/>
  <c r="FGV28" i="3" a="1"/>
  <c r="FGV28" i="3" s="1"/>
  <c r="FGP28" i="3" a="1"/>
  <c r="FGP28" i="3" s="1"/>
  <c r="FGJ28" i="3" a="1"/>
  <c r="FGJ28" i="3" s="1"/>
  <c r="FGD28" i="3" a="1"/>
  <c r="FGD28" i="3" s="1"/>
  <c r="FFX28" i="3" a="1"/>
  <c r="FFX28" i="3" s="1"/>
  <c r="FFR28" i="3" a="1"/>
  <c r="FFR28" i="3" s="1"/>
  <c r="FFL28" i="3" a="1"/>
  <c r="FFL28" i="3" s="1"/>
  <c r="FFF28" i="3" a="1"/>
  <c r="FFF28" i="3" s="1"/>
  <c r="FEZ28" i="3" a="1"/>
  <c r="FEZ28" i="3" s="1"/>
  <c r="FET28" i="3" a="1"/>
  <c r="FET28" i="3" s="1"/>
  <c r="FEN28" i="3" a="1"/>
  <c r="FEN28" i="3" s="1"/>
  <c r="FEH28" i="3" a="1"/>
  <c r="FEH28" i="3" s="1"/>
  <c r="FEB28" i="3" a="1"/>
  <c r="FEB28" i="3" s="1"/>
  <c r="FDV28" i="3" a="1"/>
  <c r="FDV28" i="3" s="1"/>
  <c r="FDP28" i="3" a="1"/>
  <c r="FDP28" i="3" s="1"/>
  <c r="FDJ28" i="3" a="1"/>
  <c r="FDJ28" i="3" s="1"/>
  <c r="FDD28" i="3" a="1"/>
  <c r="FDD28" i="3" s="1"/>
  <c r="FCX28" i="3" a="1"/>
  <c r="FCX28" i="3" s="1"/>
  <c r="FCR28" i="3" a="1"/>
  <c r="FCR28" i="3" s="1"/>
  <c r="FCL28" i="3" a="1"/>
  <c r="FCL28" i="3" s="1"/>
  <c r="FCF28" i="3" a="1"/>
  <c r="FCF28" i="3" s="1"/>
  <c r="FBZ28" i="3" a="1"/>
  <c r="FBZ28" i="3" s="1"/>
  <c r="FBT28" i="3" a="1"/>
  <c r="FBT28" i="3" s="1"/>
  <c r="FBN28" i="3" a="1"/>
  <c r="FBN28" i="3" s="1"/>
  <c r="FBH28" i="3" a="1"/>
  <c r="FBH28" i="3" s="1"/>
  <c r="FBB28" i="3" a="1"/>
  <c r="FBB28" i="3" s="1"/>
  <c r="FAV28" i="3" a="1"/>
  <c r="FAV28" i="3" s="1"/>
  <c r="FAP28" i="3" a="1"/>
  <c r="FAP28" i="3" s="1"/>
  <c r="FAJ28" i="3" a="1"/>
  <c r="FAJ28" i="3" s="1"/>
  <c r="FAD28" i="3" a="1"/>
  <c r="FAD28" i="3" s="1"/>
  <c r="EZX28" i="3" a="1"/>
  <c r="EZX28" i="3" s="1"/>
  <c r="EZR28" i="3" a="1"/>
  <c r="EZR28" i="3" s="1"/>
  <c r="EZL28" i="3" a="1"/>
  <c r="EZL28" i="3" s="1"/>
  <c r="EZF28" i="3" a="1"/>
  <c r="EZF28" i="3" s="1"/>
  <c r="EYZ28" i="3" a="1"/>
  <c r="EYZ28" i="3" s="1"/>
  <c r="EYT28" i="3" a="1"/>
  <c r="EYT28" i="3" s="1"/>
  <c r="EYN28" i="3" a="1"/>
  <c r="EYN28" i="3" s="1"/>
  <c r="EYH28" i="3" a="1"/>
  <c r="EYH28" i="3" s="1"/>
  <c r="EYB28" i="3" a="1"/>
  <c r="EYB28" i="3" s="1"/>
  <c r="EXV28" i="3" a="1"/>
  <c r="EXV28" i="3" s="1"/>
  <c r="EXP28" i="3" a="1"/>
  <c r="EXP28" i="3" s="1"/>
  <c r="EXJ28" i="3" a="1"/>
  <c r="EXJ28" i="3" s="1"/>
  <c r="EXD28" i="3" a="1"/>
  <c r="EXD28" i="3" s="1"/>
  <c r="EWX28" i="3" a="1"/>
  <c r="EWX28" i="3" s="1"/>
  <c r="EWR28" i="3" a="1"/>
  <c r="EWR28" i="3" s="1"/>
  <c r="EWL28" i="3" a="1"/>
  <c r="EWL28" i="3" s="1"/>
  <c r="EWF28" i="3" a="1"/>
  <c r="EWF28" i="3" s="1"/>
  <c r="EVZ28" i="3" a="1"/>
  <c r="EVZ28" i="3" s="1"/>
  <c r="EVT28" i="3" a="1"/>
  <c r="EVT28" i="3" s="1"/>
  <c r="EVN28" i="3" a="1"/>
  <c r="EVN28" i="3" s="1"/>
  <c r="EVH28" i="3" a="1"/>
  <c r="EVH28" i="3" s="1"/>
  <c r="EVB28" i="3" a="1"/>
  <c r="EVB28" i="3" s="1"/>
  <c r="EUV28" i="3" a="1"/>
  <c r="EUV28" i="3" s="1"/>
  <c r="EUP28" i="3" a="1"/>
  <c r="EUP28" i="3" s="1"/>
  <c r="EUJ28" i="3" a="1"/>
  <c r="EUJ28" i="3" s="1"/>
  <c r="EUD28" i="3" a="1"/>
  <c r="EUD28" i="3" s="1"/>
  <c r="ETX28" i="3" a="1"/>
  <c r="ETX28" i="3" s="1"/>
  <c r="ETR28" i="3" a="1"/>
  <c r="ETR28" i="3" s="1"/>
  <c r="ETL28" i="3" a="1"/>
  <c r="ETL28" i="3" s="1"/>
  <c r="ETF28" i="3" a="1"/>
  <c r="ETF28" i="3" s="1"/>
  <c r="ESZ28" i="3" a="1"/>
  <c r="ESZ28" i="3" s="1"/>
  <c r="EST28" i="3" a="1"/>
  <c r="EST28" i="3" s="1"/>
  <c r="ESN28" i="3" a="1"/>
  <c r="ESN28" i="3" s="1"/>
  <c r="ESH28" i="3" a="1"/>
  <c r="ESH28" i="3" s="1"/>
  <c r="ESB28" i="3" a="1"/>
  <c r="ESB28" i="3" s="1"/>
  <c r="ERV28" i="3" a="1"/>
  <c r="ERV28" i="3" s="1"/>
  <c r="ERP28" i="3" a="1"/>
  <c r="ERP28" i="3" s="1"/>
  <c r="ERJ28" i="3" a="1"/>
  <c r="ERJ28" i="3" s="1"/>
  <c r="ERD28" i="3" a="1"/>
  <c r="ERD28" i="3" s="1"/>
  <c r="EQX28" i="3" a="1"/>
  <c r="EQX28" i="3" s="1"/>
  <c r="EQR28" i="3" a="1"/>
  <c r="EQR28" i="3" s="1"/>
  <c r="EQL28" i="3" a="1"/>
  <c r="EQL28" i="3" s="1"/>
  <c r="EQF28" i="3" a="1"/>
  <c r="EQF28" i="3" s="1"/>
  <c r="EPZ28" i="3" a="1"/>
  <c r="EPZ28" i="3" s="1"/>
  <c r="EPT28" i="3" a="1"/>
  <c r="EPT28" i="3" s="1"/>
  <c r="EPN28" i="3" a="1"/>
  <c r="EPN28" i="3" s="1"/>
  <c r="EPH28" i="3" a="1"/>
  <c r="EPH28" i="3" s="1"/>
  <c r="EPB28" i="3" a="1"/>
  <c r="EPB28" i="3" s="1"/>
  <c r="EOV28" i="3" a="1"/>
  <c r="EOV28" i="3" s="1"/>
  <c r="EOP28" i="3" a="1"/>
  <c r="EOP28" i="3" s="1"/>
  <c r="EOJ28" i="3" a="1"/>
  <c r="EOJ28" i="3" s="1"/>
  <c r="EOD28" i="3" a="1"/>
  <c r="EOD28" i="3" s="1"/>
  <c r="ENX28" i="3" a="1"/>
  <c r="ENX28" i="3" s="1"/>
  <c r="ENR28" i="3" a="1"/>
  <c r="ENR28" i="3" s="1"/>
  <c r="ENL28" i="3" a="1"/>
  <c r="ENL28" i="3" s="1"/>
  <c r="ENF28" i="3" a="1"/>
  <c r="ENF28" i="3" s="1"/>
  <c r="EMZ28" i="3" a="1"/>
  <c r="EMZ28" i="3" s="1"/>
  <c r="EMT28" i="3" a="1"/>
  <c r="EMT28" i="3" s="1"/>
  <c r="EMN28" i="3" a="1"/>
  <c r="EMN28" i="3" s="1"/>
  <c r="EMH28" i="3" a="1"/>
  <c r="EMH28" i="3" s="1"/>
  <c r="EMB28" i="3" a="1"/>
  <c r="EMB28" i="3" s="1"/>
  <c r="ELV28" i="3" a="1"/>
  <c r="ELV28" i="3" s="1"/>
  <c r="ELP28" i="3" a="1"/>
  <c r="ELP28" i="3" s="1"/>
  <c r="ELJ28" i="3" a="1"/>
  <c r="ELJ28" i="3" s="1"/>
  <c r="ELD28" i="3" a="1"/>
  <c r="ELD28" i="3" s="1"/>
  <c r="EKX28" i="3" a="1"/>
  <c r="EKX28" i="3" s="1"/>
  <c r="EKR28" i="3" a="1"/>
  <c r="EKR28" i="3" s="1"/>
  <c r="EKL28" i="3" a="1"/>
  <c r="EKL28" i="3" s="1"/>
  <c r="EKF28" i="3" a="1"/>
  <c r="EKF28" i="3" s="1"/>
  <c r="EJZ28" i="3" a="1"/>
  <c r="EJZ28" i="3" s="1"/>
  <c r="EJT28" i="3" a="1"/>
  <c r="EJT28" i="3" s="1"/>
  <c r="EJN28" i="3" a="1"/>
  <c r="EJN28" i="3" s="1"/>
  <c r="EJH28" i="3" a="1"/>
  <c r="EJH28" i="3" s="1"/>
  <c r="EJB28" i="3" a="1"/>
  <c r="EJB28" i="3" s="1"/>
  <c r="EIV28" i="3" a="1"/>
  <c r="EIV28" i="3" s="1"/>
  <c r="EIP28" i="3" a="1"/>
  <c r="EIP28" i="3" s="1"/>
  <c r="EIJ28" i="3" a="1"/>
  <c r="EIJ28" i="3" s="1"/>
  <c r="EID28" i="3" a="1"/>
  <c r="EID28" i="3" s="1"/>
  <c r="EHX28" i="3" a="1"/>
  <c r="EHX28" i="3" s="1"/>
  <c r="EHR28" i="3" a="1"/>
  <c r="EHR28" i="3" s="1"/>
  <c r="EHL28" i="3" a="1"/>
  <c r="EHL28" i="3" s="1"/>
  <c r="EHF28" i="3" a="1"/>
  <c r="EHF28" i="3" s="1"/>
  <c r="EGZ28" i="3" a="1"/>
  <c r="EGZ28" i="3" s="1"/>
  <c r="EGT28" i="3" a="1"/>
  <c r="EGT28" i="3" s="1"/>
  <c r="EGN28" i="3" a="1"/>
  <c r="EGN28" i="3" s="1"/>
  <c r="EGH28" i="3" a="1"/>
  <c r="EGH28" i="3" s="1"/>
  <c r="EGB28" i="3" a="1"/>
  <c r="EGB28" i="3" s="1"/>
  <c r="EFV28" i="3" a="1"/>
  <c r="EFV28" i="3" s="1"/>
  <c r="EFP28" i="3" a="1"/>
  <c r="EFP28" i="3" s="1"/>
  <c r="EFJ28" i="3" a="1"/>
  <c r="EFJ28" i="3" s="1"/>
  <c r="EFD28" i="3" a="1"/>
  <c r="EFD28" i="3" s="1"/>
  <c r="EEX28" i="3" a="1"/>
  <c r="EEX28" i="3" s="1"/>
  <c r="EER28" i="3" a="1"/>
  <c r="EER28" i="3" s="1"/>
  <c r="EEL28" i="3" a="1"/>
  <c r="EEL28" i="3" s="1"/>
  <c r="EEF28" i="3" a="1"/>
  <c r="EEF28" i="3" s="1"/>
  <c r="EDZ28" i="3" a="1"/>
  <c r="EDZ28" i="3" s="1"/>
  <c r="EDT28" i="3" a="1"/>
  <c r="EDT28" i="3" s="1"/>
  <c r="EDN28" i="3" a="1"/>
  <c r="EDN28" i="3" s="1"/>
  <c r="EDH28" i="3" a="1"/>
  <c r="EDH28" i="3" s="1"/>
  <c r="EDB28" i="3" a="1"/>
  <c r="EDB28" i="3" s="1"/>
  <c r="ECV28" i="3" a="1"/>
  <c r="ECV28" i="3" s="1"/>
  <c r="ECP28" i="3" a="1"/>
  <c r="ECP28" i="3" s="1"/>
  <c r="ECJ28" i="3" a="1"/>
  <c r="ECJ28" i="3" s="1"/>
  <c r="ECD28" i="3" a="1"/>
  <c r="ECD28" i="3" s="1"/>
  <c r="EBX28" i="3" a="1"/>
  <c r="EBX28" i="3" s="1"/>
  <c r="EBR28" i="3" a="1"/>
  <c r="EBR28" i="3" s="1"/>
  <c r="EBL28" i="3" a="1"/>
  <c r="EBL28" i="3" s="1"/>
  <c r="EBF28" i="3" a="1"/>
  <c r="EBF28" i="3" s="1"/>
  <c r="EAZ28" i="3" a="1"/>
  <c r="EAZ28" i="3" s="1"/>
  <c r="EAT28" i="3" a="1"/>
  <c r="EAT28" i="3" s="1"/>
  <c r="EAN28" i="3" a="1"/>
  <c r="EAN28" i="3" s="1"/>
  <c r="EAH28" i="3" a="1"/>
  <c r="EAH28" i="3" s="1"/>
  <c r="EAB28" i="3" a="1"/>
  <c r="EAB28" i="3" s="1"/>
  <c r="DZV28" i="3" a="1"/>
  <c r="DZV28" i="3" s="1"/>
  <c r="DZP28" i="3" a="1"/>
  <c r="DZP28" i="3" s="1"/>
  <c r="DZJ28" i="3" a="1"/>
  <c r="DZJ28" i="3" s="1"/>
  <c r="DZD28" i="3" a="1"/>
  <c r="DZD28" i="3" s="1"/>
  <c r="DYX28" i="3" a="1"/>
  <c r="DYX28" i="3" s="1"/>
  <c r="DYR28" i="3" a="1"/>
  <c r="DYR28" i="3" s="1"/>
  <c r="DYL28" i="3" a="1"/>
  <c r="DYL28" i="3" s="1"/>
  <c r="DYF28" i="3" a="1"/>
  <c r="DYF28" i="3" s="1"/>
  <c r="DXZ28" i="3" a="1"/>
  <c r="DXZ28" i="3" s="1"/>
  <c r="DXT28" i="3" a="1"/>
  <c r="DXT28" i="3" s="1"/>
  <c r="DXN28" i="3" a="1"/>
  <c r="DXN28" i="3" s="1"/>
  <c r="DXH28" i="3" a="1"/>
  <c r="DXH28" i="3" s="1"/>
  <c r="DXB28" i="3" a="1"/>
  <c r="DXB28" i="3" s="1"/>
  <c r="DWV28" i="3" a="1"/>
  <c r="DWV28" i="3" s="1"/>
  <c r="DWP28" i="3" a="1"/>
  <c r="DWP28" i="3" s="1"/>
  <c r="DWJ28" i="3" a="1"/>
  <c r="DWJ28" i="3" s="1"/>
  <c r="DWD28" i="3" a="1"/>
  <c r="DWD28" i="3" s="1"/>
  <c r="DVX28" i="3" a="1"/>
  <c r="DVX28" i="3" s="1"/>
  <c r="DVR28" i="3" a="1"/>
  <c r="DVR28" i="3" s="1"/>
  <c r="DVL28" i="3" a="1"/>
  <c r="DVL28" i="3" s="1"/>
  <c r="DVF28" i="3" a="1"/>
  <c r="DVF28" i="3" s="1"/>
  <c r="DUZ28" i="3" a="1"/>
  <c r="DUZ28" i="3" s="1"/>
  <c r="DUT28" i="3" a="1"/>
  <c r="DUT28" i="3" s="1"/>
  <c r="DUN28" i="3" a="1"/>
  <c r="DUN28" i="3" s="1"/>
  <c r="DUH28" i="3" a="1"/>
  <c r="DUH28" i="3" s="1"/>
  <c r="DUB28" i="3" a="1"/>
  <c r="DUB28" i="3" s="1"/>
  <c r="DTV28" i="3" a="1"/>
  <c r="DTV28" i="3" s="1"/>
  <c r="DTP28" i="3" a="1"/>
  <c r="DTP28" i="3" s="1"/>
  <c r="DTJ28" i="3" a="1"/>
  <c r="DTJ28" i="3" s="1"/>
  <c r="DTD28" i="3" a="1"/>
  <c r="DTD28" i="3" s="1"/>
  <c r="DSX28" i="3" a="1"/>
  <c r="DSX28" i="3" s="1"/>
  <c r="DSR28" i="3" a="1"/>
  <c r="DSR28" i="3" s="1"/>
  <c r="DSL28" i="3" a="1"/>
  <c r="DSL28" i="3" s="1"/>
  <c r="DSF28" i="3" a="1"/>
  <c r="DSF28" i="3" s="1"/>
  <c r="DRZ28" i="3" a="1"/>
  <c r="DRZ28" i="3" s="1"/>
  <c r="OMZ28" i="3" a="1"/>
  <c r="OMZ28" i="3" s="1"/>
  <c r="OFQ28" i="3" a="1"/>
  <c r="OFQ28" i="3" s="1"/>
  <c r="OAD28" i="3" a="1"/>
  <c r="OAD28" i="3" s="1"/>
  <c r="NUG28" i="3" a="1"/>
  <c r="NUG28" i="3" s="1"/>
  <c r="NPM28" i="3" a="1"/>
  <c r="NPM28" i="3" s="1"/>
  <c r="NKS28" i="3" a="1"/>
  <c r="NKS28" i="3" s="1"/>
  <c r="NFN28" i="3" a="1"/>
  <c r="NFN28" i="3" s="1"/>
  <c r="MUB28" i="3" a="1"/>
  <c r="MUB28" i="3" s="1"/>
  <c r="MSA28" i="3" a="1"/>
  <c r="MSA28" i="3" s="1"/>
  <c r="MPI28" i="3" a="1"/>
  <c r="MPI28" i="3" s="1"/>
  <c r="MKQ28" i="3" a="1"/>
  <c r="MKQ28" i="3" s="1"/>
  <c r="MIV28" i="3" a="1"/>
  <c r="MIV28" i="3" s="1"/>
  <c r="MEU28" i="3" a="1"/>
  <c r="MEU28" i="3" s="1"/>
  <c r="MCZ28" i="3" a="1"/>
  <c r="MCZ28" i="3" s="1"/>
  <c r="MBB28" i="3" a="1"/>
  <c r="MBB28" i="3" s="1"/>
  <c r="LXH28" i="3" a="1"/>
  <c r="LXH28" i="3" s="1"/>
  <c r="LWB28" i="3" a="1"/>
  <c r="LWB28" i="3" s="1"/>
  <c r="LRG28" i="3" a="1"/>
  <c r="LRG28" i="3" s="1"/>
  <c r="LQA28" i="3" a="1"/>
  <c r="LQA28" i="3" s="1"/>
  <c r="LMH28" i="3" a="1"/>
  <c r="LMH28" i="3" s="1"/>
  <c r="LLF28" i="3" a="1"/>
  <c r="LLF28" i="3" s="1"/>
  <c r="LIX28" i="3" a="1"/>
  <c r="LIX28" i="3" s="1"/>
  <c r="LGQ28" i="3" a="1"/>
  <c r="LGQ28" i="3" s="1"/>
  <c r="LFQ28" i="3" a="1"/>
  <c r="LFQ28" i="3" s="1"/>
  <c r="LDJ28" i="3" a="1"/>
  <c r="LDJ28" i="3" s="1"/>
  <c r="LBC28" i="3" a="1"/>
  <c r="LBC28" i="3" s="1"/>
  <c r="LAC28" i="3" a="1"/>
  <c r="LAC28" i="3" s="1"/>
  <c r="KXV28" i="3" a="1"/>
  <c r="KXV28" i="3" s="1"/>
  <c r="KVO28" i="3" a="1"/>
  <c r="KVO28" i="3" s="1"/>
  <c r="KUO28" i="3" a="1"/>
  <c r="KUO28" i="3" s="1"/>
  <c r="KSH28" i="3" a="1"/>
  <c r="KSH28" i="3" s="1"/>
  <c r="KQA28" i="3" a="1"/>
  <c r="KQA28" i="3" s="1"/>
  <c r="KPA28" i="3" a="1"/>
  <c r="KPA28" i="3" s="1"/>
  <c r="KCX28" i="3" a="1"/>
  <c r="KCX28" i="3" s="1"/>
  <c r="KCD28" i="3" a="1"/>
  <c r="KCD28" i="3" s="1"/>
  <c r="KBI28" i="3" a="1"/>
  <c r="KBI28" i="3" s="1"/>
  <c r="JQW28" i="3" a="1"/>
  <c r="JQW28" i="3" s="1"/>
  <c r="JQH28" i="3" a="1"/>
  <c r="JQH28" i="3" s="1"/>
  <c r="JPC28" i="3" a="1"/>
  <c r="JPC28" i="3" s="1"/>
  <c r="JON28" i="3" a="1"/>
  <c r="JON28" i="3" s="1"/>
  <c r="JNZ28" i="3" a="1"/>
  <c r="JNZ28" i="3" s="1"/>
  <c r="JNK28" i="3" a="1"/>
  <c r="JNK28" i="3" s="1"/>
  <c r="JMW28" i="3" a="1"/>
  <c r="JMW28" i="3" s="1"/>
  <c r="JMI28" i="3" a="1"/>
  <c r="JMI28" i="3" s="1"/>
  <c r="JLT28" i="3" a="1"/>
  <c r="JLT28" i="3" s="1"/>
  <c r="JLH28" i="3" a="1"/>
  <c r="JLH28" i="3" s="1"/>
  <c r="JKV28" i="3" a="1"/>
  <c r="JKV28" i="3" s="1"/>
  <c r="JKJ28" i="3" a="1"/>
  <c r="JKJ28" i="3" s="1"/>
  <c r="JJX28" i="3" a="1"/>
  <c r="JJX28" i="3" s="1"/>
  <c r="JJL28" i="3" a="1"/>
  <c r="JJL28" i="3" s="1"/>
  <c r="JIZ28" i="3" a="1"/>
  <c r="JIZ28" i="3" s="1"/>
  <c r="JIN28" i="3" a="1"/>
  <c r="JIN28" i="3" s="1"/>
  <c r="JIB28" i="3" a="1"/>
  <c r="JIB28" i="3" s="1"/>
  <c r="JHP28" i="3" a="1"/>
  <c r="JHP28" i="3" s="1"/>
  <c r="JHD28" i="3" a="1"/>
  <c r="JHD28" i="3" s="1"/>
  <c r="JGR28" i="3" a="1"/>
  <c r="JGR28" i="3" s="1"/>
  <c r="JGF28" i="3" a="1"/>
  <c r="JGF28" i="3" s="1"/>
  <c r="JFT28" i="3" a="1"/>
  <c r="JFT28" i="3" s="1"/>
  <c r="JFH28" i="3" a="1"/>
  <c r="JFH28" i="3" s="1"/>
  <c r="JEV28" i="3" a="1"/>
  <c r="JEV28" i="3" s="1"/>
  <c r="JEJ28" i="3" a="1"/>
  <c r="JEJ28" i="3" s="1"/>
  <c r="JDX28" i="3" a="1"/>
  <c r="JDX28" i="3" s="1"/>
  <c r="JDL28" i="3" a="1"/>
  <c r="JDL28" i="3" s="1"/>
  <c r="JCZ28" i="3" a="1"/>
  <c r="JCZ28" i="3" s="1"/>
  <c r="JCN28" i="3" a="1"/>
  <c r="JCN28" i="3" s="1"/>
  <c r="JCB28" i="3" a="1"/>
  <c r="JCB28" i="3" s="1"/>
  <c r="JBP28" i="3" a="1"/>
  <c r="JBP28" i="3" s="1"/>
  <c r="JBD28" i="3" a="1"/>
  <c r="JBD28" i="3" s="1"/>
  <c r="JAR28" i="3" a="1"/>
  <c r="JAR28" i="3" s="1"/>
  <c r="JAF28" i="3" a="1"/>
  <c r="JAF28" i="3" s="1"/>
  <c r="IZT28" i="3" a="1"/>
  <c r="IZT28" i="3" s="1"/>
  <c r="IZH28" i="3" a="1"/>
  <c r="IZH28" i="3" s="1"/>
  <c r="IYV28" i="3" a="1"/>
  <c r="IYV28" i="3" s="1"/>
  <c r="IYJ28" i="3" a="1"/>
  <c r="IYJ28" i="3" s="1"/>
  <c r="IXX28" i="3" a="1"/>
  <c r="IXX28" i="3" s="1"/>
  <c r="IXL28" i="3" a="1"/>
  <c r="IXL28" i="3" s="1"/>
  <c r="IWZ28" i="3" a="1"/>
  <c r="IWZ28" i="3" s="1"/>
  <c r="IWN28" i="3" a="1"/>
  <c r="IWN28" i="3" s="1"/>
  <c r="IWB28" i="3" a="1"/>
  <c r="IWB28" i="3" s="1"/>
  <c r="IVQ28" i="3" a="1"/>
  <c r="IVQ28" i="3" s="1"/>
  <c r="IVG28" i="3" a="1"/>
  <c r="IVG28" i="3" s="1"/>
  <c r="ITS28" i="3" a="1"/>
  <c r="ITS28" i="3" s="1"/>
  <c r="ITH28" i="3" a="1"/>
  <c r="ITH28" i="3" s="1"/>
  <c r="ISW28" i="3" a="1"/>
  <c r="ISW28" i="3" s="1"/>
  <c r="ISM28" i="3" a="1"/>
  <c r="ISM28" i="3" s="1"/>
  <c r="IQY28" i="3" a="1"/>
  <c r="IQY28" i="3" s="1"/>
  <c r="IQN28" i="3" a="1"/>
  <c r="IQN28" i="3" s="1"/>
  <c r="IQC28" i="3" a="1"/>
  <c r="IQC28" i="3" s="1"/>
  <c r="IPS28" i="3" a="1"/>
  <c r="IPS28" i="3" s="1"/>
  <c r="IOE28" i="3" a="1"/>
  <c r="IOE28" i="3" s="1"/>
  <c r="INU28" i="3" a="1"/>
  <c r="INU28" i="3" s="1"/>
  <c r="INM28" i="3" a="1"/>
  <c r="INM28" i="3" s="1"/>
  <c r="INC28" i="3" a="1"/>
  <c r="INC28" i="3" s="1"/>
  <c r="IMU28" i="3" a="1"/>
  <c r="IMU28" i="3" s="1"/>
  <c r="IMK28" i="3" a="1"/>
  <c r="IMK28" i="3" s="1"/>
  <c r="IMC28" i="3" a="1"/>
  <c r="IMC28" i="3" s="1"/>
  <c r="ILS28" i="3" a="1"/>
  <c r="ILS28" i="3" s="1"/>
  <c r="ILK28" i="3" a="1"/>
  <c r="ILK28" i="3" s="1"/>
  <c r="ILA28" i="3" a="1"/>
  <c r="ILA28" i="3" s="1"/>
  <c r="IKC28" i="3" a="1"/>
  <c r="IKC28" i="3" s="1"/>
  <c r="IJE28" i="3" a="1"/>
  <c r="IJE28" i="3" s="1"/>
  <c r="IIX28" i="3" a="1"/>
  <c r="IIX28" i="3" s="1"/>
  <c r="IIQ28" i="3" a="1"/>
  <c r="IIQ28" i="3" s="1"/>
  <c r="IHU28" i="3" a="1"/>
  <c r="IHU28" i="3" s="1"/>
  <c r="IHN28" i="3" a="1"/>
  <c r="IHN28" i="3" s="1"/>
  <c r="IHG28" i="3" a="1"/>
  <c r="IHG28" i="3" s="1"/>
  <c r="IGK28" i="3" a="1"/>
  <c r="IGK28" i="3" s="1"/>
  <c r="IGD28" i="3" a="1"/>
  <c r="IGD28" i="3" s="1"/>
  <c r="IFW28" i="3" a="1"/>
  <c r="IFW28" i="3" s="1"/>
  <c r="IFA28" i="3" a="1"/>
  <c r="IFA28" i="3" s="1"/>
  <c r="IEN28" i="3" a="1"/>
  <c r="IEN28" i="3" s="1"/>
  <c r="IEA28" i="3" a="1"/>
  <c r="IEA28" i="3" s="1"/>
  <c r="IDT28" i="3" a="1"/>
  <c r="IDT28" i="3" s="1"/>
  <c r="IDG28" i="3" a="1"/>
  <c r="IDG28" i="3" s="1"/>
  <c r="ICT28" i="3" a="1"/>
  <c r="ICT28" i="3" s="1"/>
  <c r="ICG28" i="3" a="1"/>
  <c r="ICG28" i="3" s="1"/>
  <c r="IBT28" i="3" a="1"/>
  <c r="IBT28" i="3" s="1"/>
  <c r="IBG28" i="3" a="1"/>
  <c r="IBG28" i="3" s="1"/>
  <c r="IAZ28" i="3" a="1"/>
  <c r="IAZ28" i="3" s="1"/>
  <c r="IAM28" i="3" a="1"/>
  <c r="IAM28" i="3" s="1"/>
  <c r="HZZ28" i="3" a="1"/>
  <c r="HZZ28" i="3" s="1"/>
  <c r="HZM28" i="3" a="1"/>
  <c r="HZM28" i="3" s="1"/>
  <c r="HYZ28" i="3" a="1"/>
  <c r="HYZ28" i="3" s="1"/>
  <c r="HYM28" i="3" a="1"/>
  <c r="HYM28" i="3" s="1"/>
  <c r="HYF28" i="3" a="1"/>
  <c r="HYF28" i="3" s="1"/>
  <c r="HXS28" i="3" a="1"/>
  <c r="HXS28" i="3" s="1"/>
  <c r="HXF28" i="3" a="1"/>
  <c r="HXF28" i="3" s="1"/>
  <c r="HWS28" i="3" a="1"/>
  <c r="HWS28" i="3" s="1"/>
  <c r="HWF28" i="3" a="1"/>
  <c r="HWF28" i="3" s="1"/>
  <c r="HVS28" i="3" a="1"/>
  <c r="HVS28" i="3" s="1"/>
  <c r="HVL28" i="3" a="1"/>
  <c r="HVL28" i="3" s="1"/>
  <c r="HUY28" i="3" a="1"/>
  <c r="HUY28" i="3" s="1"/>
  <c r="HUL28" i="3" a="1"/>
  <c r="HUL28" i="3" s="1"/>
  <c r="HTY28" i="3" a="1"/>
  <c r="HTY28" i="3" s="1"/>
  <c r="HTL28" i="3" a="1"/>
  <c r="HTL28" i="3" s="1"/>
  <c r="HSY28" i="3" a="1"/>
  <c r="HSY28" i="3" s="1"/>
  <c r="HSR28" i="3" a="1"/>
  <c r="HSR28" i="3" s="1"/>
  <c r="HSE28" i="3" a="1"/>
  <c r="HSE28" i="3" s="1"/>
  <c r="HRR28" i="3" a="1"/>
  <c r="HRR28" i="3" s="1"/>
  <c r="HRE28" i="3" a="1"/>
  <c r="HRE28" i="3" s="1"/>
  <c r="HQR28" i="3" a="1"/>
  <c r="HQR28" i="3" s="1"/>
  <c r="HQE28" i="3" a="1"/>
  <c r="HQE28" i="3" s="1"/>
  <c r="HPX28" i="3" a="1"/>
  <c r="HPX28" i="3" s="1"/>
  <c r="HPK28" i="3" a="1"/>
  <c r="HPK28" i="3" s="1"/>
  <c r="HOX28" i="3" a="1"/>
  <c r="HOX28" i="3" s="1"/>
  <c r="HOK28" i="3" a="1"/>
  <c r="HOK28" i="3" s="1"/>
  <c r="HNX28" i="3" a="1"/>
  <c r="HNX28" i="3" s="1"/>
  <c r="PEV28" i="3" a="1"/>
  <c r="PEV28" i="3" s="1"/>
  <c r="OAC28" i="3" a="1"/>
  <c r="OAC28" i="3" s="1"/>
  <c r="NOW28" i="3" a="1"/>
  <c r="NOW28" i="3" s="1"/>
  <c r="NJR28" i="3" a="1"/>
  <c r="NJR28" i="3" s="1"/>
  <c r="NFM28" i="3" a="1"/>
  <c r="NFM28" i="3" s="1"/>
  <c r="MWN28" i="3" a="1"/>
  <c r="MWN28" i="3" s="1"/>
  <c r="MRI28" i="3" a="1"/>
  <c r="MRI28" i="3" s="1"/>
  <c r="MNG28" i="3" a="1"/>
  <c r="MNG28" i="3" s="1"/>
  <c r="MGM28" i="3" a="1"/>
  <c r="MGM28" i="3" s="1"/>
  <c r="MER28" i="3" a="1"/>
  <c r="MER28" i="3" s="1"/>
  <c r="MAX28" i="3" a="1"/>
  <c r="MAX28" i="3" s="1"/>
  <c r="LZP28" i="3" a="1"/>
  <c r="LZP28" i="3" s="1"/>
  <c r="LYJ28" i="3" a="1"/>
  <c r="LYJ28" i="3" s="1"/>
  <c r="LUU28" i="3" a="1"/>
  <c r="LUU28" i="3" s="1"/>
  <c r="LTO28" i="3" a="1"/>
  <c r="LTO28" i="3" s="1"/>
  <c r="LSI28" i="3" a="1"/>
  <c r="LSI28" i="3" s="1"/>
  <c r="LPZ28" i="3" a="1"/>
  <c r="LPZ28" i="3" s="1"/>
  <c r="LOT28" i="3" a="1"/>
  <c r="LOT28" i="3" s="1"/>
  <c r="LNN28" i="3" a="1"/>
  <c r="LNN28" i="3" s="1"/>
  <c r="LKA28" i="3" a="1"/>
  <c r="LKA28" i="3" s="1"/>
  <c r="LHT28" i="3" a="1"/>
  <c r="LHT28" i="3" s="1"/>
  <c r="LFM28" i="3" a="1"/>
  <c r="LFM28" i="3" s="1"/>
  <c r="LEM28" i="3" a="1"/>
  <c r="LEM28" i="3" s="1"/>
  <c r="LCF28" i="3" a="1"/>
  <c r="LCF28" i="3" s="1"/>
  <c r="KZY28" i="3" a="1"/>
  <c r="KZY28" i="3" s="1"/>
  <c r="KYY28" i="3" a="1"/>
  <c r="KYY28" i="3" s="1"/>
  <c r="KWR28" i="3" a="1"/>
  <c r="KWR28" i="3" s="1"/>
  <c r="KUK28" i="3" a="1"/>
  <c r="KUK28" i="3" s="1"/>
  <c r="KTK28" i="3" a="1"/>
  <c r="KTK28" i="3" s="1"/>
  <c r="KRD28" i="3" a="1"/>
  <c r="KRD28" i="3" s="1"/>
  <c r="KOW28" i="3" a="1"/>
  <c r="KOW28" i="3" s="1"/>
  <c r="KNX28" i="3" a="1"/>
  <c r="KNX28" i="3" s="1"/>
  <c r="KMZ28" i="3" a="1"/>
  <c r="KMZ28" i="3" s="1"/>
  <c r="KMB28" i="3" a="1"/>
  <c r="KMB28" i="3" s="1"/>
  <c r="KLD28" i="3" a="1"/>
  <c r="KLD28" i="3" s="1"/>
  <c r="KKF28" i="3" a="1"/>
  <c r="KKF28" i="3" s="1"/>
  <c r="KJH28" i="3" a="1"/>
  <c r="KJH28" i="3" s="1"/>
  <c r="KIJ28" i="3" a="1"/>
  <c r="KIJ28" i="3" s="1"/>
  <c r="KHL28" i="3" a="1"/>
  <c r="KHL28" i="3" s="1"/>
  <c r="KGN28" i="3" a="1"/>
  <c r="KGN28" i="3" s="1"/>
  <c r="KFP28" i="3" a="1"/>
  <c r="KFP28" i="3" s="1"/>
  <c r="KER28" i="3" a="1"/>
  <c r="KER28" i="3" s="1"/>
  <c r="KDT28" i="3" a="1"/>
  <c r="KDT28" i="3" s="1"/>
  <c r="KCW28" i="3" a="1"/>
  <c r="KCW28" i="3" s="1"/>
  <c r="KBH28" i="3" a="1"/>
  <c r="KBH28" i="3" s="1"/>
  <c r="KAN28" i="3" a="1"/>
  <c r="KAN28" i="3" s="1"/>
  <c r="JZV28" i="3" a="1"/>
  <c r="JZV28" i="3" s="1"/>
  <c r="JZD28" i="3" a="1"/>
  <c r="JZD28" i="3" s="1"/>
  <c r="JYL28" i="3" a="1"/>
  <c r="JYL28" i="3" s="1"/>
  <c r="JXT28" i="3" a="1"/>
  <c r="JXT28" i="3" s="1"/>
  <c r="JXB28" i="3" a="1"/>
  <c r="JXB28" i="3" s="1"/>
  <c r="JWJ28" i="3" a="1"/>
  <c r="JWJ28" i="3" s="1"/>
  <c r="JVR28" i="3" a="1"/>
  <c r="JVR28" i="3" s="1"/>
  <c r="JUZ28" i="3" a="1"/>
  <c r="JUZ28" i="3" s="1"/>
  <c r="JUH28" i="3" a="1"/>
  <c r="JUH28" i="3" s="1"/>
  <c r="JTP28" i="3" a="1"/>
  <c r="JTP28" i="3" s="1"/>
  <c r="JSX28" i="3" a="1"/>
  <c r="JSX28" i="3" s="1"/>
  <c r="JSF28" i="3" a="1"/>
  <c r="JSF28" i="3" s="1"/>
  <c r="JRN28" i="3" a="1"/>
  <c r="JRN28" i="3" s="1"/>
  <c r="JQG28" i="3" a="1"/>
  <c r="JQG28" i="3" s="1"/>
  <c r="JPQ28" i="3" a="1"/>
  <c r="JPQ28" i="3" s="1"/>
  <c r="JPB28" i="3" a="1"/>
  <c r="JPB28" i="3" s="1"/>
  <c r="JMH28" i="3" a="1"/>
  <c r="JMH28" i="3" s="1"/>
  <c r="IUW28" i="3" a="1"/>
  <c r="IUW28" i="3" s="1"/>
  <c r="IUL28" i="3" a="1"/>
  <c r="IUL28" i="3" s="1"/>
  <c r="IUA28" i="3" a="1"/>
  <c r="IUA28" i="3" s="1"/>
  <c r="ITQ28" i="3" a="1"/>
  <c r="ITQ28" i="3" s="1"/>
  <c r="ISC28" i="3" a="1"/>
  <c r="ISC28" i="3" s="1"/>
  <c r="IRR28" i="3" a="1"/>
  <c r="IRR28" i="3" s="1"/>
  <c r="IRG28" i="3" a="1"/>
  <c r="IRG28" i="3" s="1"/>
  <c r="IQW28" i="3" a="1"/>
  <c r="IQW28" i="3" s="1"/>
  <c r="IPI28" i="3" a="1"/>
  <c r="IPI28" i="3" s="1"/>
  <c r="IOX28" i="3" a="1"/>
  <c r="IOX28" i="3" s="1"/>
  <c r="IOM28" i="3" a="1"/>
  <c r="IOM28" i="3" s="1"/>
  <c r="IKS28" i="3" a="1"/>
  <c r="IKS28" i="3" s="1"/>
  <c r="IKK28" i="3" a="1"/>
  <c r="IKK28" i="3" s="1"/>
  <c r="IJU28" i="3" a="1"/>
  <c r="IJU28" i="3" s="1"/>
  <c r="IJM28" i="3" a="1"/>
  <c r="IJM28" i="3" s="1"/>
  <c r="IIP28" i="3" a="1"/>
  <c r="IIP28" i="3" s="1"/>
  <c r="III28" i="3" a="1"/>
  <c r="III28" i="3" s="1"/>
  <c r="IHF28" i="3" a="1"/>
  <c r="IHF28" i="3" s="1"/>
  <c r="IGY28" i="3" a="1"/>
  <c r="IGY28" i="3" s="1"/>
  <c r="IFV28" i="3" a="1"/>
  <c r="IFV28" i="3" s="1"/>
  <c r="IFO28" i="3" a="1"/>
  <c r="IFO28" i="3" s="1"/>
  <c r="IET28" i="3" a="1"/>
  <c r="IET28" i="3" s="1"/>
  <c r="IEG28" i="3" a="1"/>
  <c r="IEG28" i="3" s="1"/>
  <c r="IDZ28" i="3" a="1"/>
  <c r="IDZ28" i="3" s="1"/>
  <c r="IDM28" i="3" a="1"/>
  <c r="IDM28" i="3" s="1"/>
  <c r="ICZ28" i="3" a="1"/>
  <c r="ICZ28" i="3" s="1"/>
  <c r="ICM28" i="3" a="1"/>
  <c r="ICM28" i="3" s="1"/>
  <c r="IBZ28" i="3" a="1"/>
  <c r="IBZ28" i="3" s="1"/>
  <c r="IBM28" i="3" a="1"/>
  <c r="IBM28" i="3" s="1"/>
  <c r="IBF28" i="3" a="1"/>
  <c r="IBF28" i="3" s="1"/>
  <c r="IAS28" i="3" a="1"/>
  <c r="IAS28" i="3" s="1"/>
  <c r="IAF28" i="3" a="1"/>
  <c r="IAF28" i="3" s="1"/>
  <c r="HZS28" i="3" a="1"/>
  <c r="HZS28" i="3" s="1"/>
  <c r="HZF28" i="3" a="1"/>
  <c r="HZF28" i="3" s="1"/>
  <c r="HYS28" i="3" a="1"/>
  <c r="HYS28" i="3" s="1"/>
  <c r="HYL28" i="3" a="1"/>
  <c r="HYL28" i="3" s="1"/>
  <c r="HXY28" i="3" a="1"/>
  <c r="HXY28" i="3" s="1"/>
  <c r="HXL28" i="3" a="1"/>
  <c r="HXL28" i="3" s="1"/>
  <c r="HWY28" i="3" a="1"/>
  <c r="HWY28" i="3" s="1"/>
  <c r="HWL28" i="3" a="1"/>
  <c r="HWL28" i="3" s="1"/>
  <c r="HVY28" i="3" a="1"/>
  <c r="HVY28" i="3" s="1"/>
  <c r="HVR28" i="3" a="1"/>
  <c r="HVR28" i="3" s="1"/>
  <c r="HVE28" i="3" a="1"/>
  <c r="HVE28" i="3" s="1"/>
  <c r="HUR28" i="3" a="1"/>
  <c r="HUR28" i="3" s="1"/>
  <c r="HUE28" i="3" a="1"/>
  <c r="HUE28" i="3" s="1"/>
  <c r="HTR28" i="3" a="1"/>
  <c r="HTR28" i="3" s="1"/>
  <c r="HTE28" i="3" a="1"/>
  <c r="HTE28" i="3" s="1"/>
  <c r="HSX28" i="3" a="1"/>
  <c r="HSX28" i="3" s="1"/>
  <c r="HSK28" i="3" a="1"/>
  <c r="HSK28" i="3" s="1"/>
  <c r="HRX28" i="3" a="1"/>
  <c r="HRX28" i="3" s="1"/>
  <c r="HRK28" i="3" a="1"/>
  <c r="HRK28" i="3" s="1"/>
  <c r="HQX28" i="3" a="1"/>
  <c r="HQX28" i="3" s="1"/>
  <c r="HQK28" i="3" a="1"/>
  <c r="HQK28" i="3" s="1"/>
  <c r="HQD28" i="3" a="1"/>
  <c r="HQD28" i="3" s="1"/>
  <c r="HPQ28" i="3" a="1"/>
  <c r="HPQ28" i="3" s="1"/>
  <c r="HPD28" i="3" a="1"/>
  <c r="HPD28" i="3" s="1"/>
  <c r="HOQ28" i="3" a="1"/>
  <c r="HOQ28" i="3" s="1"/>
  <c r="HOD28" i="3" a="1"/>
  <c r="HOD28" i="3" s="1"/>
  <c r="HNQ28" i="3" a="1"/>
  <c r="HNQ28" i="3" s="1"/>
  <c r="HNK28" i="3" a="1"/>
  <c r="HNK28" i="3" s="1"/>
  <c r="HNE28" i="3" a="1"/>
  <c r="HNE28" i="3" s="1"/>
  <c r="HMY28" i="3" a="1"/>
  <c r="HMY28" i="3" s="1"/>
  <c r="HMS28" i="3" a="1"/>
  <c r="HMS28" i="3" s="1"/>
  <c r="HMM28" i="3" a="1"/>
  <c r="HMM28" i="3" s="1"/>
  <c r="HMG28" i="3" a="1"/>
  <c r="HMG28" i="3" s="1"/>
  <c r="HMA28" i="3" a="1"/>
  <c r="HMA28" i="3" s="1"/>
  <c r="HLU28" i="3" a="1"/>
  <c r="HLU28" i="3" s="1"/>
  <c r="HLO28" i="3" a="1"/>
  <c r="HLO28" i="3" s="1"/>
  <c r="HLI28" i="3" a="1"/>
  <c r="HLI28" i="3" s="1"/>
  <c r="HLC28" i="3" a="1"/>
  <c r="HLC28" i="3" s="1"/>
  <c r="HKW28" i="3" a="1"/>
  <c r="HKW28" i="3" s="1"/>
  <c r="HKQ28" i="3" a="1"/>
  <c r="HKQ28" i="3" s="1"/>
  <c r="HKK28" i="3" a="1"/>
  <c r="HKK28" i="3" s="1"/>
  <c r="HKE28" i="3" a="1"/>
  <c r="HKE28" i="3" s="1"/>
  <c r="HJY28" i="3" a="1"/>
  <c r="HJY28" i="3" s="1"/>
  <c r="HJS28" i="3" a="1"/>
  <c r="HJS28" i="3" s="1"/>
  <c r="HJM28" i="3" a="1"/>
  <c r="HJM28" i="3" s="1"/>
  <c r="HJG28" i="3" a="1"/>
  <c r="HJG28" i="3" s="1"/>
  <c r="HJA28" i="3" a="1"/>
  <c r="HJA28" i="3" s="1"/>
  <c r="HIU28" i="3" a="1"/>
  <c r="HIU28" i="3" s="1"/>
  <c r="HIO28" i="3" a="1"/>
  <c r="HIO28" i="3" s="1"/>
  <c r="HII28" i="3" a="1"/>
  <c r="HII28" i="3" s="1"/>
  <c r="HIC28" i="3" a="1"/>
  <c r="HIC28" i="3" s="1"/>
  <c r="HHW28" i="3" a="1"/>
  <c r="HHW28" i="3" s="1"/>
  <c r="HHQ28" i="3" a="1"/>
  <c r="HHQ28" i="3" s="1"/>
  <c r="HHK28" i="3" a="1"/>
  <c r="HHK28" i="3" s="1"/>
  <c r="HHE28" i="3" a="1"/>
  <c r="HHE28" i="3" s="1"/>
  <c r="HGY28" i="3" a="1"/>
  <c r="HGY28" i="3" s="1"/>
  <c r="HGS28" i="3" a="1"/>
  <c r="HGS28" i="3" s="1"/>
  <c r="HGM28" i="3" a="1"/>
  <c r="HGM28" i="3" s="1"/>
  <c r="HGG28" i="3" a="1"/>
  <c r="HGG28" i="3" s="1"/>
  <c r="HGA28" i="3" a="1"/>
  <c r="HGA28" i="3" s="1"/>
  <c r="HFU28" i="3" a="1"/>
  <c r="HFU28" i="3" s="1"/>
  <c r="HFO28" i="3" a="1"/>
  <c r="HFO28" i="3" s="1"/>
  <c r="HFI28" i="3" a="1"/>
  <c r="HFI28" i="3" s="1"/>
  <c r="HFC28" i="3" a="1"/>
  <c r="HFC28" i="3" s="1"/>
  <c r="HEW28" i="3" a="1"/>
  <c r="HEW28" i="3" s="1"/>
  <c r="HEQ28" i="3" a="1"/>
  <c r="HEQ28" i="3" s="1"/>
  <c r="HEK28" i="3" a="1"/>
  <c r="HEK28" i="3" s="1"/>
  <c r="HEE28" i="3" a="1"/>
  <c r="HEE28" i="3" s="1"/>
  <c r="HDY28" i="3" a="1"/>
  <c r="HDY28" i="3" s="1"/>
  <c r="HDS28" i="3" a="1"/>
  <c r="HDS28" i="3" s="1"/>
  <c r="HDM28" i="3" a="1"/>
  <c r="HDM28" i="3" s="1"/>
  <c r="HDG28" i="3" a="1"/>
  <c r="HDG28" i="3" s="1"/>
  <c r="HDA28" i="3" a="1"/>
  <c r="HDA28" i="3" s="1"/>
  <c r="HCU28" i="3" a="1"/>
  <c r="HCU28" i="3" s="1"/>
  <c r="HCO28" i="3" a="1"/>
  <c r="HCO28" i="3" s="1"/>
  <c r="HCI28" i="3" a="1"/>
  <c r="HCI28" i="3" s="1"/>
  <c r="HCC28" i="3" a="1"/>
  <c r="HCC28" i="3" s="1"/>
  <c r="HBW28" i="3" a="1"/>
  <c r="HBW28" i="3" s="1"/>
  <c r="HBQ28" i="3" a="1"/>
  <c r="HBQ28" i="3" s="1"/>
  <c r="HBK28" i="3" a="1"/>
  <c r="HBK28" i="3" s="1"/>
  <c r="HBE28" i="3" a="1"/>
  <c r="HBE28" i="3" s="1"/>
  <c r="HAY28" i="3" a="1"/>
  <c r="HAY28" i="3" s="1"/>
  <c r="HAS28" i="3" a="1"/>
  <c r="HAS28" i="3" s="1"/>
  <c r="HAM28" i="3" a="1"/>
  <c r="HAM28" i="3" s="1"/>
  <c r="HAG28" i="3" a="1"/>
  <c r="HAG28" i="3" s="1"/>
  <c r="HAA28" i="3" a="1"/>
  <c r="HAA28" i="3" s="1"/>
  <c r="GZU28" i="3" a="1"/>
  <c r="GZU28" i="3" s="1"/>
  <c r="GZO28" i="3" a="1"/>
  <c r="GZO28" i="3" s="1"/>
  <c r="GZI28" i="3" a="1"/>
  <c r="GZI28" i="3" s="1"/>
  <c r="GZC28" i="3" a="1"/>
  <c r="GZC28" i="3" s="1"/>
  <c r="GYW28" i="3" a="1"/>
  <c r="GYW28" i="3" s="1"/>
  <c r="GYQ28" i="3" a="1"/>
  <c r="GYQ28" i="3" s="1"/>
  <c r="GYK28" i="3" a="1"/>
  <c r="GYK28" i="3" s="1"/>
  <c r="GYE28" i="3" a="1"/>
  <c r="GYE28" i="3" s="1"/>
  <c r="GXY28" i="3" a="1"/>
  <c r="GXY28" i="3" s="1"/>
  <c r="GXS28" i="3" a="1"/>
  <c r="GXS28" i="3" s="1"/>
  <c r="GXM28" i="3" a="1"/>
  <c r="GXM28" i="3" s="1"/>
  <c r="GXG28" i="3" a="1"/>
  <c r="GXG28" i="3" s="1"/>
  <c r="GXA28" i="3" a="1"/>
  <c r="GXA28" i="3" s="1"/>
  <c r="GWU28" i="3" a="1"/>
  <c r="GWU28" i="3" s="1"/>
  <c r="GWO28" i="3" a="1"/>
  <c r="GWO28" i="3" s="1"/>
  <c r="GWI28" i="3" a="1"/>
  <c r="GWI28" i="3" s="1"/>
  <c r="GWC28" i="3" a="1"/>
  <c r="GWC28" i="3" s="1"/>
  <c r="GVW28" i="3" a="1"/>
  <c r="GVW28" i="3" s="1"/>
  <c r="GVQ28" i="3" a="1"/>
  <c r="GVQ28" i="3" s="1"/>
  <c r="GVK28" i="3" a="1"/>
  <c r="GVK28" i="3" s="1"/>
  <c r="GVE28" i="3" a="1"/>
  <c r="GVE28" i="3" s="1"/>
  <c r="GUY28" i="3" a="1"/>
  <c r="GUY28" i="3" s="1"/>
  <c r="GUS28" i="3" a="1"/>
  <c r="GUS28" i="3" s="1"/>
  <c r="GUM28" i="3" a="1"/>
  <c r="GUM28" i="3" s="1"/>
  <c r="GUG28" i="3" a="1"/>
  <c r="GUG28" i="3" s="1"/>
  <c r="GUA28" i="3" a="1"/>
  <c r="GUA28" i="3" s="1"/>
  <c r="GTU28" i="3" a="1"/>
  <c r="GTU28" i="3" s="1"/>
  <c r="GTO28" i="3" a="1"/>
  <c r="GTO28" i="3" s="1"/>
  <c r="GTI28" i="3" a="1"/>
  <c r="GTI28" i="3" s="1"/>
  <c r="GTC28" i="3" a="1"/>
  <c r="GTC28" i="3" s="1"/>
  <c r="GSW28" i="3" a="1"/>
  <c r="GSW28" i="3" s="1"/>
  <c r="GSQ28" i="3" a="1"/>
  <c r="GSQ28" i="3" s="1"/>
  <c r="GSK28" i="3" a="1"/>
  <c r="GSK28" i="3" s="1"/>
  <c r="GSE28" i="3" a="1"/>
  <c r="GSE28" i="3" s="1"/>
  <c r="GRY28" i="3" a="1"/>
  <c r="GRY28" i="3" s="1"/>
  <c r="GRS28" i="3" a="1"/>
  <c r="GRS28" i="3" s="1"/>
  <c r="GRM28" i="3" a="1"/>
  <c r="GRM28" i="3" s="1"/>
  <c r="GRG28" i="3" a="1"/>
  <c r="GRG28" i="3" s="1"/>
  <c r="GRA28" i="3" a="1"/>
  <c r="GRA28" i="3" s="1"/>
  <c r="GQU28" i="3" a="1"/>
  <c r="GQU28" i="3" s="1"/>
  <c r="GQO28" i="3" a="1"/>
  <c r="GQO28" i="3" s="1"/>
  <c r="GQI28" i="3" a="1"/>
  <c r="GQI28" i="3" s="1"/>
  <c r="GQC28" i="3" a="1"/>
  <c r="GQC28" i="3" s="1"/>
  <c r="GPW28" i="3" a="1"/>
  <c r="GPW28" i="3" s="1"/>
  <c r="GPQ28" i="3" a="1"/>
  <c r="GPQ28" i="3" s="1"/>
  <c r="GPK28" i="3" a="1"/>
  <c r="GPK28" i="3" s="1"/>
  <c r="GPE28" i="3" a="1"/>
  <c r="GPE28" i="3" s="1"/>
  <c r="GOY28" i="3" a="1"/>
  <c r="GOY28" i="3" s="1"/>
  <c r="GOS28" i="3" a="1"/>
  <c r="GOS28" i="3" s="1"/>
  <c r="GOM28" i="3" a="1"/>
  <c r="GOM28" i="3" s="1"/>
  <c r="GOG28" i="3" a="1"/>
  <c r="GOG28" i="3" s="1"/>
  <c r="GOA28" i="3" a="1"/>
  <c r="GOA28" i="3" s="1"/>
  <c r="GNU28" i="3" a="1"/>
  <c r="GNU28" i="3" s="1"/>
  <c r="GNO28" i="3" a="1"/>
  <c r="GNO28" i="3" s="1"/>
  <c r="GNI28" i="3" a="1"/>
  <c r="GNI28" i="3" s="1"/>
  <c r="GNC28" i="3" a="1"/>
  <c r="GNC28" i="3" s="1"/>
  <c r="GMW28" i="3" a="1"/>
  <c r="GMW28" i="3" s="1"/>
  <c r="GMQ28" i="3" a="1"/>
  <c r="GMQ28" i="3" s="1"/>
  <c r="GMK28" i="3" a="1"/>
  <c r="GMK28" i="3" s="1"/>
  <c r="GME28" i="3" a="1"/>
  <c r="GME28" i="3" s="1"/>
  <c r="GLY28" i="3" a="1"/>
  <c r="GLY28" i="3" s="1"/>
  <c r="GLS28" i="3" a="1"/>
  <c r="GLS28" i="3" s="1"/>
  <c r="GLM28" i="3" a="1"/>
  <c r="GLM28" i="3" s="1"/>
  <c r="GLG28" i="3" a="1"/>
  <c r="GLG28" i="3" s="1"/>
  <c r="GLA28" i="3" a="1"/>
  <c r="GLA28" i="3" s="1"/>
  <c r="GKU28" i="3" a="1"/>
  <c r="GKU28" i="3" s="1"/>
  <c r="GKO28" i="3" a="1"/>
  <c r="GKO28" i="3" s="1"/>
  <c r="GKI28" i="3" a="1"/>
  <c r="GKI28" i="3" s="1"/>
  <c r="GKC28" i="3" a="1"/>
  <c r="GKC28" i="3" s="1"/>
  <c r="GJW28" i="3" a="1"/>
  <c r="GJW28" i="3" s="1"/>
  <c r="GJQ28" i="3" a="1"/>
  <c r="GJQ28" i="3" s="1"/>
  <c r="GJK28" i="3" a="1"/>
  <c r="GJK28" i="3" s="1"/>
  <c r="GJE28" i="3" a="1"/>
  <c r="GJE28" i="3" s="1"/>
  <c r="GIY28" i="3" a="1"/>
  <c r="GIY28" i="3" s="1"/>
  <c r="GIS28" i="3" a="1"/>
  <c r="GIS28" i="3" s="1"/>
  <c r="GIM28" i="3" a="1"/>
  <c r="GIM28" i="3" s="1"/>
  <c r="GIG28" i="3" a="1"/>
  <c r="GIG28" i="3" s="1"/>
  <c r="GIA28" i="3" a="1"/>
  <c r="GIA28" i="3" s="1"/>
  <c r="GHU28" i="3" a="1"/>
  <c r="GHU28" i="3" s="1"/>
  <c r="GHO28" i="3" a="1"/>
  <c r="GHO28" i="3" s="1"/>
  <c r="GHI28" i="3" a="1"/>
  <c r="GHI28" i="3" s="1"/>
  <c r="GHC28" i="3" a="1"/>
  <c r="GHC28" i="3" s="1"/>
  <c r="GGW28" i="3" a="1"/>
  <c r="GGW28" i="3" s="1"/>
  <c r="GGQ28" i="3" a="1"/>
  <c r="GGQ28" i="3" s="1"/>
  <c r="GGK28" i="3" a="1"/>
  <c r="GGK28" i="3" s="1"/>
  <c r="GGE28" i="3" a="1"/>
  <c r="GGE28" i="3" s="1"/>
  <c r="GFY28" i="3" a="1"/>
  <c r="GFY28" i="3" s="1"/>
  <c r="GFS28" i="3" a="1"/>
  <c r="GFS28" i="3" s="1"/>
  <c r="GFM28" i="3" a="1"/>
  <c r="GFM28" i="3" s="1"/>
  <c r="GFG28" i="3" a="1"/>
  <c r="GFG28" i="3" s="1"/>
  <c r="GFA28" i="3" a="1"/>
  <c r="GFA28" i="3" s="1"/>
  <c r="GEU28" i="3" a="1"/>
  <c r="GEU28" i="3" s="1"/>
  <c r="GEO28" i="3" a="1"/>
  <c r="GEO28" i="3" s="1"/>
  <c r="GEI28" i="3" a="1"/>
  <c r="GEI28" i="3" s="1"/>
  <c r="GEC28" i="3" a="1"/>
  <c r="GEC28" i="3" s="1"/>
  <c r="GDW28" i="3" a="1"/>
  <c r="GDW28" i="3" s="1"/>
  <c r="GDQ28" i="3" a="1"/>
  <c r="GDQ28" i="3" s="1"/>
  <c r="GDK28" i="3" a="1"/>
  <c r="GDK28" i="3" s="1"/>
  <c r="GDE28" i="3" a="1"/>
  <c r="GDE28" i="3" s="1"/>
  <c r="GCY28" i="3" a="1"/>
  <c r="GCY28" i="3" s="1"/>
  <c r="GCS28" i="3" a="1"/>
  <c r="GCS28" i="3" s="1"/>
  <c r="GCM28" i="3" a="1"/>
  <c r="GCM28" i="3" s="1"/>
  <c r="GCG28" i="3" a="1"/>
  <c r="GCG28" i="3" s="1"/>
  <c r="GCA28" i="3" a="1"/>
  <c r="GCA28" i="3" s="1"/>
  <c r="GBU28" i="3" a="1"/>
  <c r="GBU28" i="3" s="1"/>
  <c r="GBO28" i="3" a="1"/>
  <c r="GBO28" i="3" s="1"/>
  <c r="GBI28" i="3" a="1"/>
  <c r="GBI28" i="3" s="1"/>
  <c r="GBC28" i="3" a="1"/>
  <c r="GBC28" i="3" s="1"/>
  <c r="GAW28" i="3" a="1"/>
  <c r="GAW28" i="3" s="1"/>
  <c r="GAQ28" i="3" a="1"/>
  <c r="GAQ28" i="3" s="1"/>
  <c r="GAK28" i="3" a="1"/>
  <c r="GAK28" i="3" s="1"/>
  <c r="GAE28" i="3" a="1"/>
  <c r="GAE28" i="3" s="1"/>
  <c r="FZY28" i="3" a="1"/>
  <c r="FZY28" i="3" s="1"/>
  <c r="FZS28" i="3" a="1"/>
  <c r="FZS28" i="3" s="1"/>
  <c r="FZM28" i="3" a="1"/>
  <c r="FZM28" i="3" s="1"/>
  <c r="FZG28" i="3" a="1"/>
  <c r="FZG28" i="3" s="1"/>
  <c r="FZA28" i="3" a="1"/>
  <c r="FZA28" i="3" s="1"/>
  <c r="FYU28" i="3" a="1"/>
  <c r="FYU28" i="3" s="1"/>
  <c r="FYO28" i="3" a="1"/>
  <c r="FYO28" i="3" s="1"/>
  <c r="FYI28" i="3" a="1"/>
  <c r="FYI28" i="3" s="1"/>
  <c r="FYC28" i="3" a="1"/>
  <c r="FYC28" i="3" s="1"/>
  <c r="FXW28" i="3" a="1"/>
  <c r="FXW28" i="3" s="1"/>
  <c r="FXQ28" i="3" a="1"/>
  <c r="FXQ28" i="3" s="1"/>
  <c r="FXK28" i="3" a="1"/>
  <c r="FXK28" i="3" s="1"/>
  <c r="FXE28" i="3" a="1"/>
  <c r="FXE28" i="3" s="1"/>
  <c r="FWY28" i="3" a="1"/>
  <c r="FWY28" i="3" s="1"/>
  <c r="FWS28" i="3" a="1"/>
  <c r="FWS28" i="3" s="1"/>
  <c r="FWM28" i="3" a="1"/>
  <c r="FWM28" i="3" s="1"/>
  <c r="FWG28" i="3" a="1"/>
  <c r="FWG28" i="3" s="1"/>
  <c r="FWA28" i="3" a="1"/>
  <c r="FWA28" i="3" s="1"/>
  <c r="FVU28" i="3" a="1"/>
  <c r="FVU28" i="3" s="1"/>
  <c r="FVO28" i="3" a="1"/>
  <c r="FVO28" i="3" s="1"/>
  <c r="FVI28" i="3" a="1"/>
  <c r="FVI28" i="3" s="1"/>
  <c r="FVC28" i="3" a="1"/>
  <c r="FVC28" i="3" s="1"/>
  <c r="FUW28" i="3" a="1"/>
  <c r="FUW28" i="3" s="1"/>
  <c r="FUQ28" i="3" a="1"/>
  <c r="FUQ28" i="3" s="1"/>
  <c r="FUK28" i="3" a="1"/>
  <c r="FUK28" i="3" s="1"/>
  <c r="FUE28" i="3" a="1"/>
  <c r="FUE28" i="3" s="1"/>
  <c r="FTY28" i="3" a="1"/>
  <c r="FTY28" i="3" s="1"/>
  <c r="FTS28" i="3" a="1"/>
  <c r="FTS28" i="3" s="1"/>
  <c r="FTM28" i="3" a="1"/>
  <c r="FTM28" i="3" s="1"/>
  <c r="FTG28" i="3" a="1"/>
  <c r="FTG28" i="3" s="1"/>
  <c r="FTA28" i="3" a="1"/>
  <c r="FTA28" i="3" s="1"/>
  <c r="FSU28" i="3" a="1"/>
  <c r="FSU28" i="3" s="1"/>
  <c r="FSO28" i="3" a="1"/>
  <c r="FSO28" i="3" s="1"/>
  <c r="FSI28" i="3" a="1"/>
  <c r="FSI28" i="3" s="1"/>
  <c r="FSC28" i="3" a="1"/>
  <c r="FSC28" i="3" s="1"/>
  <c r="FRW28" i="3" a="1"/>
  <c r="FRW28" i="3" s="1"/>
  <c r="FRQ28" i="3" a="1"/>
  <c r="FRQ28" i="3" s="1"/>
  <c r="FRK28" i="3" a="1"/>
  <c r="FRK28" i="3" s="1"/>
  <c r="FRE28" i="3" a="1"/>
  <c r="FRE28" i="3" s="1"/>
  <c r="FQY28" i="3" a="1"/>
  <c r="FQY28" i="3" s="1"/>
  <c r="FQS28" i="3" a="1"/>
  <c r="FQS28" i="3" s="1"/>
  <c r="FQM28" i="3" a="1"/>
  <c r="FQM28" i="3" s="1"/>
  <c r="FQG28" i="3" a="1"/>
  <c r="FQG28" i="3" s="1"/>
  <c r="FQA28" i="3" a="1"/>
  <c r="FQA28" i="3" s="1"/>
  <c r="FPU28" i="3" a="1"/>
  <c r="FPU28" i="3" s="1"/>
  <c r="FPO28" i="3" a="1"/>
  <c r="FPO28" i="3" s="1"/>
  <c r="FPI28" i="3" a="1"/>
  <c r="FPI28" i="3" s="1"/>
  <c r="FPC28" i="3" a="1"/>
  <c r="FPC28" i="3" s="1"/>
  <c r="FOW28" i="3" a="1"/>
  <c r="FOW28" i="3" s="1"/>
  <c r="FOQ28" i="3" a="1"/>
  <c r="FOQ28" i="3" s="1"/>
  <c r="FOK28" i="3" a="1"/>
  <c r="FOK28" i="3" s="1"/>
  <c r="FOE28" i="3" a="1"/>
  <c r="FOE28" i="3" s="1"/>
  <c r="FNY28" i="3" a="1"/>
  <c r="FNY28" i="3" s="1"/>
  <c r="FNS28" i="3" a="1"/>
  <c r="FNS28" i="3" s="1"/>
  <c r="FNM28" i="3" a="1"/>
  <c r="FNM28" i="3" s="1"/>
  <c r="FNG28" i="3" a="1"/>
  <c r="FNG28" i="3" s="1"/>
  <c r="FNA28" i="3" a="1"/>
  <c r="FNA28" i="3" s="1"/>
  <c r="FMU28" i="3" a="1"/>
  <c r="FMU28" i="3" s="1"/>
  <c r="FMO28" i="3" a="1"/>
  <c r="FMO28" i="3" s="1"/>
  <c r="FMI28" i="3" a="1"/>
  <c r="FMI28" i="3" s="1"/>
  <c r="FMC28" i="3" a="1"/>
  <c r="FMC28" i="3" s="1"/>
  <c r="FLW28" i="3" a="1"/>
  <c r="FLW28" i="3" s="1"/>
  <c r="FLQ28" i="3" a="1"/>
  <c r="FLQ28" i="3" s="1"/>
  <c r="FLK28" i="3" a="1"/>
  <c r="FLK28" i="3" s="1"/>
  <c r="FLE28" i="3" a="1"/>
  <c r="FLE28" i="3" s="1"/>
  <c r="FKY28" i="3" a="1"/>
  <c r="FKY28" i="3" s="1"/>
  <c r="FKS28" i="3" a="1"/>
  <c r="FKS28" i="3" s="1"/>
  <c r="FKM28" i="3" a="1"/>
  <c r="FKM28" i="3" s="1"/>
  <c r="FKG28" i="3" a="1"/>
  <c r="FKG28" i="3" s="1"/>
  <c r="FKA28" i="3" a="1"/>
  <c r="FKA28" i="3" s="1"/>
  <c r="FJU28" i="3" a="1"/>
  <c r="FJU28" i="3" s="1"/>
  <c r="FJO28" i="3" a="1"/>
  <c r="FJO28" i="3" s="1"/>
  <c r="FJI28" i="3" a="1"/>
  <c r="FJI28" i="3" s="1"/>
  <c r="FJC28" i="3" a="1"/>
  <c r="FJC28" i="3" s="1"/>
  <c r="FIW28" i="3" a="1"/>
  <c r="FIW28" i="3" s="1"/>
  <c r="FIQ28" i="3" a="1"/>
  <c r="FIQ28" i="3" s="1"/>
  <c r="FIK28" i="3" a="1"/>
  <c r="FIK28" i="3" s="1"/>
  <c r="FIE28" i="3" a="1"/>
  <c r="FIE28" i="3" s="1"/>
  <c r="FHY28" i="3" a="1"/>
  <c r="FHY28" i="3" s="1"/>
  <c r="FHS28" i="3" a="1"/>
  <c r="FHS28" i="3" s="1"/>
  <c r="FHM28" i="3" a="1"/>
  <c r="FHM28" i="3" s="1"/>
  <c r="FHG28" i="3" a="1"/>
  <c r="FHG28" i="3" s="1"/>
  <c r="FHA28" i="3" a="1"/>
  <c r="FHA28" i="3" s="1"/>
  <c r="FGU28" i="3" a="1"/>
  <c r="FGU28" i="3" s="1"/>
  <c r="FGO28" i="3" a="1"/>
  <c r="FGO28" i="3" s="1"/>
  <c r="FGI28" i="3" a="1"/>
  <c r="FGI28" i="3" s="1"/>
  <c r="FGC28" i="3" a="1"/>
  <c r="FGC28" i="3" s="1"/>
  <c r="FFW28" i="3" a="1"/>
  <c r="FFW28" i="3" s="1"/>
  <c r="FFQ28" i="3" a="1"/>
  <c r="FFQ28" i="3" s="1"/>
  <c r="FFK28" i="3" a="1"/>
  <c r="FFK28" i="3" s="1"/>
  <c r="FFE28" i="3" a="1"/>
  <c r="FFE28" i="3" s="1"/>
  <c r="FEY28" i="3" a="1"/>
  <c r="FEY28" i="3" s="1"/>
  <c r="FES28" i="3" a="1"/>
  <c r="FES28" i="3" s="1"/>
  <c r="FEM28" i="3" a="1"/>
  <c r="FEM28" i="3" s="1"/>
  <c r="FEG28" i="3" a="1"/>
  <c r="FEG28" i="3" s="1"/>
  <c r="FEA28" i="3" a="1"/>
  <c r="FEA28" i="3" s="1"/>
  <c r="FDU28" i="3" a="1"/>
  <c r="FDU28" i="3" s="1"/>
  <c r="FDO28" i="3" a="1"/>
  <c r="FDO28" i="3" s="1"/>
  <c r="FDI28" i="3" a="1"/>
  <c r="FDI28" i="3" s="1"/>
  <c r="FDC28" i="3" a="1"/>
  <c r="FDC28" i="3" s="1"/>
  <c r="FCW28" i="3" a="1"/>
  <c r="FCW28" i="3" s="1"/>
  <c r="FCQ28" i="3" a="1"/>
  <c r="FCQ28" i="3" s="1"/>
  <c r="FCK28" i="3" a="1"/>
  <c r="FCK28" i="3" s="1"/>
  <c r="FCE28" i="3" a="1"/>
  <c r="FCE28" i="3" s="1"/>
  <c r="FBY28" i="3" a="1"/>
  <c r="FBY28" i="3" s="1"/>
  <c r="FBS28" i="3" a="1"/>
  <c r="FBS28" i="3" s="1"/>
  <c r="FBM28" i="3" a="1"/>
  <c r="FBM28" i="3" s="1"/>
  <c r="FBG28" i="3" a="1"/>
  <c r="FBG28" i="3" s="1"/>
  <c r="FBA28" i="3" a="1"/>
  <c r="FBA28" i="3" s="1"/>
  <c r="FAU28" i="3" a="1"/>
  <c r="FAU28" i="3" s="1"/>
  <c r="FAO28" i="3" a="1"/>
  <c r="FAO28" i="3" s="1"/>
  <c r="FAI28" i="3" a="1"/>
  <c r="FAI28" i="3" s="1"/>
  <c r="FAC28" i="3" a="1"/>
  <c r="FAC28" i="3" s="1"/>
  <c r="EZW28" i="3" a="1"/>
  <c r="EZW28" i="3" s="1"/>
  <c r="EZQ28" i="3" a="1"/>
  <c r="EZQ28" i="3" s="1"/>
  <c r="EZK28" i="3" a="1"/>
  <c r="EZK28" i="3" s="1"/>
  <c r="EZE28" i="3" a="1"/>
  <c r="EZE28" i="3" s="1"/>
  <c r="EYY28" i="3" a="1"/>
  <c r="EYY28" i="3" s="1"/>
  <c r="EYS28" i="3" a="1"/>
  <c r="EYS28" i="3" s="1"/>
  <c r="EYM28" i="3" a="1"/>
  <c r="EYM28" i="3" s="1"/>
  <c r="EYG28" i="3" a="1"/>
  <c r="EYG28" i="3" s="1"/>
  <c r="EYA28" i="3" a="1"/>
  <c r="EYA28" i="3" s="1"/>
  <c r="EXU28" i="3" a="1"/>
  <c r="EXU28" i="3" s="1"/>
  <c r="EXO28" i="3" a="1"/>
  <c r="EXO28" i="3" s="1"/>
  <c r="EXI28" i="3" a="1"/>
  <c r="EXI28" i="3" s="1"/>
  <c r="EXC28" i="3" a="1"/>
  <c r="EXC28" i="3" s="1"/>
  <c r="EWW28" i="3" a="1"/>
  <c r="EWW28" i="3" s="1"/>
  <c r="EWQ28" i="3" a="1"/>
  <c r="EWQ28" i="3" s="1"/>
  <c r="EWK28" i="3" a="1"/>
  <c r="EWK28" i="3" s="1"/>
  <c r="EWE28" i="3" a="1"/>
  <c r="EWE28" i="3" s="1"/>
  <c r="EVY28" i="3" a="1"/>
  <c r="EVY28" i="3" s="1"/>
  <c r="EVS28" i="3" a="1"/>
  <c r="EVS28" i="3" s="1"/>
  <c r="EVM28" i="3" a="1"/>
  <c r="EVM28" i="3" s="1"/>
  <c r="EVG28" i="3" a="1"/>
  <c r="EVG28" i="3" s="1"/>
  <c r="EVA28" i="3" a="1"/>
  <c r="EVA28" i="3" s="1"/>
  <c r="EUU28" i="3" a="1"/>
  <c r="EUU28" i="3" s="1"/>
  <c r="EUO28" i="3" a="1"/>
  <c r="EUO28" i="3" s="1"/>
  <c r="EUI28" i="3" a="1"/>
  <c r="EUI28" i="3" s="1"/>
  <c r="EUC28" i="3" a="1"/>
  <c r="EUC28" i="3" s="1"/>
  <c r="ETW28" i="3" a="1"/>
  <c r="ETW28" i="3" s="1"/>
  <c r="ETQ28" i="3" a="1"/>
  <c r="ETQ28" i="3" s="1"/>
  <c r="ETK28" i="3" a="1"/>
  <c r="ETK28" i="3" s="1"/>
  <c r="ETE28" i="3" a="1"/>
  <c r="ETE28" i="3" s="1"/>
  <c r="ESY28" i="3" a="1"/>
  <c r="ESY28" i="3" s="1"/>
  <c r="ESS28" i="3" a="1"/>
  <c r="ESS28" i="3" s="1"/>
  <c r="ESM28" i="3" a="1"/>
  <c r="ESM28" i="3" s="1"/>
  <c r="ESG28" i="3" a="1"/>
  <c r="ESG28" i="3" s="1"/>
  <c r="ESA28" i="3" a="1"/>
  <c r="ESA28" i="3" s="1"/>
  <c r="ERU28" i="3" a="1"/>
  <c r="ERU28" i="3" s="1"/>
  <c r="ERO28" i="3" a="1"/>
  <c r="ERO28" i="3" s="1"/>
  <c r="ERI28" i="3" a="1"/>
  <c r="ERI28" i="3" s="1"/>
  <c r="ERC28" i="3" a="1"/>
  <c r="ERC28" i="3" s="1"/>
  <c r="EQW28" i="3" a="1"/>
  <c r="EQW28" i="3" s="1"/>
  <c r="EQQ28" i="3" a="1"/>
  <c r="EQQ28" i="3" s="1"/>
  <c r="EQK28" i="3" a="1"/>
  <c r="EQK28" i="3" s="1"/>
  <c r="EQE28" i="3" a="1"/>
  <c r="EQE28" i="3" s="1"/>
  <c r="EPY28" i="3" a="1"/>
  <c r="EPY28" i="3" s="1"/>
  <c r="EPS28" i="3" a="1"/>
  <c r="EPS28" i="3" s="1"/>
  <c r="EPM28" i="3" a="1"/>
  <c r="EPM28" i="3" s="1"/>
  <c r="EPG28" i="3" a="1"/>
  <c r="EPG28" i="3" s="1"/>
  <c r="EPA28" i="3" a="1"/>
  <c r="EPA28" i="3" s="1"/>
  <c r="EOU28" i="3" a="1"/>
  <c r="EOU28" i="3" s="1"/>
  <c r="EOO28" i="3" a="1"/>
  <c r="EOO28" i="3" s="1"/>
  <c r="EOI28" i="3" a="1"/>
  <c r="EOI28" i="3" s="1"/>
  <c r="EOC28" i="3" a="1"/>
  <c r="EOC28" i="3" s="1"/>
  <c r="ENW28" i="3" a="1"/>
  <c r="ENW28" i="3" s="1"/>
  <c r="ENQ28" i="3" a="1"/>
  <c r="ENQ28" i="3" s="1"/>
  <c r="ENK28" i="3" a="1"/>
  <c r="ENK28" i="3" s="1"/>
  <c r="ENE28" i="3" a="1"/>
  <c r="ENE28" i="3" s="1"/>
  <c r="EMY28" i="3" a="1"/>
  <c r="EMY28" i="3" s="1"/>
  <c r="EMS28" i="3" a="1"/>
  <c r="EMS28" i="3" s="1"/>
  <c r="EMM28" i="3" a="1"/>
  <c r="EMM28" i="3" s="1"/>
  <c r="EMG28" i="3" a="1"/>
  <c r="EMG28" i="3" s="1"/>
  <c r="EMA28" i="3" a="1"/>
  <c r="EMA28" i="3" s="1"/>
  <c r="ELU28" i="3" a="1"/>
  <c r="ELU28" i="3" s="1"/>
  <c r="ELO28" i="3" a="1"/>
  <c r="ELO28" i="3" s="1"/>
  <c r="ELI28" i="3" a="1"/>
  <c r="ELI28" i="3" s="1"/>
  <c r="ELC28" i="3" a="1"/>
  <c r="ELC28" i="3" s="1"/>
  <c r="EKW28" i="3" a="1"/>
  <c r="EKW28" i="3" s="1"/>
  <c r="EKQ28" i="3" a="1"/>
  <c r="EKQ28" i="3" s="1"/>
  <c r="EKK28" i="3" a="1"/>
  <c r="EKK28" i="3" s="1"/>
  <c r="EKE28" i="3" a="1"/>
  <c r="EKE28" i="3" s="1"/>
  <c r="EJY28" i="3" a="1"/>
  <c r="EJY28" i="3" s="1"/>
  <c r="EJS28" i="3" a="1"/>
  <c r="EJS28" i="3" s="1"/>
  <c r="EJM28" i="3" a="1"/>
  <c r="EJM28" i="3" s="1"/>
  <c r="EJG28" i="3" a="1"/>
  <c r="EJG28" i="3" s="1"/>
  <c r="EJA28" i="3" a="1"/>
  <c r="EJA28" i="3" s="1"/>
  <c r="EIU28" i="3" a="1"/>
  <c r="EIU28" i="3" s="1"/>
  <c r="EIO28" i="3" a="1"/>
  <c r="EIO28" i="3" s="1"/>
  <c r="EII28" i="3" a="1"/>
  <c r="EII28" i="3" s="1"/>
  <c r="EIC28" i="3" a="1"/>
  <c r="EIC28" i="3" s="1"/>
  <c r="EHW28" i="3" a="1"/>
  <c r="EHW28" i="3" s="1"/>
  <c r="EHQ28" i="3" a="1"/>
  <c r="EHQ28" i="3" s="1"/>
  <c r="EHK28" i="3" a="1"/>
  <c r="EHK28" i="3" s="1"/>
  <c r="EHE28" i="3" a="1"/>
  <c r="EHE28" i="3" s="1"/>
  <c r="EGY28" i="3" a="1"/>
  <c r="EGY28" i="3" s="1"/>
  <c r="EGS28" i="3" a="1"/>
  <c r="EGS28" i="3" s="1"/>
  <c r="EGM28" i="3" a="1"/>
  <c r="EGM28" i="3" s="1"/>
  <c r="EGG28" i="3" a="1"/>
  <c r="EGG28" i="3" s="1"/>
  <c r="EGA28" i="3" a="1"/>
  <c r="EGA28" i="3" s="1"/>
  <c r="EFU28" i="3" a="1"/>
  <c r="EFU28" i="3" s="1"/>
  <c r="EFO28" i="3" a="1"/>
  <c r="EFO28" i="3" s="1"/>
  <c r="EFI28" i="3" a="1"/>
  <c r="EFI28" i="3" s="1"/>
  <c r="EFC28" i="3" a="1"/>
  <c r="EFC28" i="3" s="1"/>
  <c r="EEW28" i="3" a="1"/>
  <c r="EEW28" i="3" s="1"/>
  <c r="EEQ28" i="3" a="1"/>
  <c r="EEQ28" i="3" s="1"/>
  <c r="EEK28" i="3" a="1"/>
  <c r="EEK28" i="3" s="1"/>
  <c r="EEE28" i="3" a="1"/>
  <c r="EEE28" i="3" s="1"/>
  <c r="EDY28" i="3" a="1"/>
  <c r="EDY28" i="3" s="1"/>
  <c r="EDS28" i="3" a="1"/>
  <c r="EDS28" i="3" s="1"/>
  <c r="EDM28" i="3" a="1"/>
  <c r="EDM28" i="3" s="1"/>
  <c r="EDG28" i="3" a="1"/>
  <c r="EDG28" i="3" s="1"/>
  <c r="EDA28" i="3" a="1"/>
  <c r="EDA28" i="3" s="1"/>
  <c r="ECU28" i="3" a="1"/>
  <c r="ECU28" i="3" s="1"/>
  <c r="ECO28" i="3" a="1"/>
  <c r="ECO28" i="3" s="1"/>
  <c r="ECI28" i="3" a="1"/>
  <c r="ECI28" i="3" s="1"/>
  <c r="ECC28" i="3" a="1"/>
  <c r="ECC28" i="3" s="1"/>
  <c r="EBW28" i="3" a="1"/>
  <c r="EBW28" i="3" s="1"/>
  <c r="EBQ28" i="3" a="1"/>
  <c r="EBQ28" i="3" s="1"/>
  <c r="EBK28" i="3" a="1"/>
  <c r="EBK28" i="3" s="1"/>
  <c r="EBE28" i="3" a="1"/>
  <c r="EBE28" i="3" s="1"/>
  <c r="EAY28" i="3" a="1"/>
  <c r="EAY28" i="3" s="1"/>
  <c r="EAS28" i="3" a="1"/>
  <c r="EAS28" i="3" s="1"/>
  <c r="EAM28" i="3" a="1"/>
  <c r="EAM28" i="3" s="1"/>
  <c r="EAG28" i="3" a="1"/>
  <c r="EAG28" i="3" s="1"/>
  <c r="EAA28" i="3" a="1"/>
  <c r="EAA28" i="3" s="1"/>
  <c r="DZU28" i="3" a="1"/>
  <c r="DZU28" i="3" s="1"/>
  <c r="DZO28" i="3" a="1"/>
  <c r="DZO28" i="3" s="1"/>
  <c r="DZI28" i="3" a="1"/>
  <c r="DZI28" i="3" s="1"/>
  <c r="DZC28" i="3" a="1"/>
  <c r="DZC28" i="3" s="1"/>
  <c r="DYW28" i="3" a="1"/>
  <c r="DYW28" i="3" s="1"/>
  <c r="DYQ28" i="3" a="1"/>
  <c r="DYQ28" i="3" s="1"/>
  <c r="DYK28" i="3" a="1"/>
  <c r="DYK28" i="3" s="1"/>
  <c r="DYE28" i="3" a="1"/>
  <c r="DYE28" i="3" s="1"/>
  <c r="DXY28" i="3" a="1"/>
  <c r="DXY28" i="3" s="1"/>
  <c r="DXS28" i="3" a="1"/>
  <c r="DXS28" i="3" s="1"/>
  <c r="DXM28" i="3" a="1"/>
  <c r="DXM28" i="3" s="1"/>
  <c r="DXG28" i="3" a="1"/>
  <c r="DXG28" i="3" s="1"/>
  <c r="DXA28" i="3" a="1"/>
  <c r="DXA28" i="3" s="1"/>
  <c r="DWU28" i="3" a="1"/>
  <c r="DWU28" i="3" s="1"/>
  <c r="DWO28" i="3" a="1"/>
  <c r="DWO28" i="3" s="1"/>
  <c r="DWI28" i="3" a="1"/>
  <c r="DWI28" i="3" s="1"/>
  <c r="DWC28" i="3" a="1"/>
  <c r="DWC28" i="3" s="1"/>
  <c r="DVW28" i="3" a="1"/>
  <c r="DVW28" i="3" s="1"/>
  <c r="DVQ28" i="3" a="1"/>
  <c r="DVQ28" i="3" s="1"/>
  <c r="DVK28" i="3" a="1"/>
  <c r="DVK28" i="3" s="1"/>
  <c r="DVE28" i="3" a="1"/>
  <c r="DVE28" i="3" s="1"/>
  <c r="DUY28" i="3" a="1"/>
  <c r="DUY28" i="3" s="1"/>
  <c r="DUS28" i="3" a="1"/>
  <c r="DUS28" i="3" s="1"/>
  <c r="DUM28" i="3" a="1"/>
  <c r="DUM28" i="3" s="1"/>
  <c r="DUG28" i="3" a="1"/>
  <c r="DUG28" i="3" s="1"/>
  <c r="DUA28" i="3" a="1"/>
  <c r="DUA28" i="3" s="1"/>
  <c r="DTU28" i="3" a="1"/>
  <c r="DTU28" i="3" s="1"/>
  <c r="DTO28" i="3" a="1"/>
  <c r="DTO28" i="3" s="1"/>
  <c r="QUA28" i="3" a="1"/>
  <c r="QUA28" i="3" s="1"/>
  <c r="PCX28" i="3" a="1"/>
  <c r="PCX28" i="3" s="1"/>
  <c r="OSA28" i="3" a="1"/>
  <c r="OSA28" i="3" s="1"/>
  <c r="OKQ28" i="3" a="1"/>
  <c r="OKQ28" i="3" s="1"/>
  <c r="NYX28" i="3" a="1"/>
  <c r="NYX28" i="3" s="1"/>
  <c r="NTK28" i="3" a="1"/>
  <c r="NTK28" i="3" s="1"/>
  <c r="NIZ28" i="3" a="1"/>
  <c r="NIZ28" i="3" s="1"/>
  <c r="MVZ28" i="3" a="1"/>
  <c r="MVZ28" i="3" s="1"/>
  <c r="MTG28" i="3" a="1"/>
  <c r="MTG28" i="3" s="1"/>
  <c r="MMN28" i="3" a="1"/>
  <c r="MMN28" i="3" s="1"/>
  <c r="MKO28" i="3" a="1"/>
  <c r="MKO28" i="3" s="1"/>
  <c r="MIE28" i="3" a="1"/>
  <c r="MIE28" i="3" s="1"/>
  <c r="MEQ28" i="3" a="1"/>
  <c r="MEQ28" i="3" s="1"/>
  <c r="MAV28" i="3" a="1"/>
  <c r="MAV28" i="3" s="1"/>
  <c r="LZD28" i="3" a="1"/>
  <c r="LZD28" i="3" s="1"/>
  <c r="LUI28" i="3" a="1"/>
  <c r="LUI28" i="3" s="1"/>
  <c r="LTC28" i="3" a="1"/>
  <c r="LTC28" i="3" s="1"/>
  <c r="LPN28" i="3" a="1"/>
  <c r="LPN28" i="3" s="1"/>
  <c r="LOH28" i="3" a="1"/>
  <c r="LOH28" i="3" s="1"/>
  <c r="LNB28" i="3" a="1"/>
  <c r="LNB28" i="3" s="1"/>
  <c r="LJP28" i="3" a="1"/>
  <c r="LJP28" i="3" s="1"/>
  <c r="LHI28" i="3" a="1"/>
  <c r="LHI28" i="3" s="1"/>
  <c r="LGI28" i="3" a="1"/>
  <c r="LGI28" i="3" s="1"/>
  <c r="LEB28" i="3" a="1"/>
  <c r="LEB28" i="3" s="1"/>
  <c r="LBU28" i="3" a="1"/>
  <c r="LBU28" i="3" s="1"/>
  <c r="LAU28" i="3" a="1"/>
  <c r="LAU28" i="3" s="1"/>
  <c r="KYN28" i="3" a="1"/>
  <c r="KYN28" i="3" s="1"/>
  <c r="KWG28" i="3" a="1"/>
  <c r="KWG28" i="3" s="1"/>
  <c r="KVG28" i="3" a="1"/>
  <c r="KVG28" i="3" s="1"/>
  <c r="KSZ28" i="3" a="1"/>
  <c r="KSZ28" i="3" s="1"/>
  <c r="KQS28" i="3" a="1"/>
  <c r="KQS28" i="3" s="1"/>
  <c r="KPS28" i="3" a="1"/>
  <c r="KPS28" i="3" s="1"/>
  <c r="KNQ28" i="3" a="1"/>
  <c r="KNQ28" i="3" s="1"/>
  <c r="KMS28" i="3" a="1"/>
  <c r="KMS28" i="3" s="1"/>
  <c r="KLU28" i="3" a="1"/>
  <c r="KLU28" i="3" s="1"/>
  <c r="KKW28" i="3" a="1"/>
  <c r="KKW28" i="3" s="1"/>
  <c r="KJY28" i="3" a="1"/>
  <c r="KJY28" i="3" s="1"/>
  <c r="KJA28" i="3" a="1"/>
  <c r="KJA28" i="3" s="1"/>
  <c r="KIC28" i="3" a="1"/>
  <c r="KIC28" i="3" s="1"/>
  <c r="KHE28" i="3" a="1"/>
  <c r="KHE28" i="3" s="1"/>
  <c r="KGG28" i="3" a="1"/>
  <c r="KGG28" i="3" s="1"/>
  <c r="KFI28" i="3" a="1"/>
  <c r="KFI28" i="3" s="1"/>
  <c r="KEK28" i="3" a="1"/>
  <c r="KEK28" i="3" s="1"/>
  <c r="KDM28" i="3" a="1"/>
  <c r="KDM28" i="3" s="1"/>
  <c r="KBW28" i="3" a="1"/>
  <c r="KBW28" i="3" s="1"/>
  <c r="KBA28" i="3" a="1"/>
  <c r="KBA28" i="3" s="1"/>
  <c r="KAH28" i="3" a="1"/>
  <c r="KAH28" i="3" s="1"/>
  <c r="JZP28" i="3" a="1"/>
  <c r="JZP28" i="3" s="1"/>
  <c r="JYX28" i="3" a="1"/>
  <c r="JYX28" i="3" s="1"/>
  <c r="JYF28" i="3" a="1"/>
  <c r="JYF28" i="3" s="1"/>
  <c r="JXN28" i="3" a="1"/>
  <c r="JXN28" i="3" s="1"/>
  <c r="JWV28" i="3" a="1"/>
  <c r="JWV28" i="3" s="1"/>
  <c r="JWD28" i="3" a="1"/>
  <c r="JWD28" i="3" s="1"/>
  <c r="JVL28" i="3" a="1"/>
  <c r="JVL28" i="3" s="1"/>
  <c r="JUT28" i="3" a="1"/>
  <c r="JUT28" i="3" s="1"/>
  <c r="JUB28" i="3" a="1"/>
  <c r="JUB28" i="3" s="1"/>
  <c r="JTJ28" i="3" a="1"/>
  <c r="JTJ28" i="3" s="1"/>
  <c r="JSR28" i="3" a="1"/>
  <c r="JSR28" i="3" s="1"/>
  <c r="JRZ28" i="3" a="1"/>
  <c r="JRZ28" i="3" s="1"/>
  <c r="JRH28" i="3" a="1"/>
  <c r="JRH28" i="3" s="1"/>
  <c r="JQQ28" i="3" a="1"/>
  <c r="JQQ28" i="3" s="1"/>
  <c r="JQB28" i="3" a="1"/>
  <c r="JQB28" i="3" s="1"/>
  <c r="JNF28" i="3" a="1"/>
  <c r="JNF28" i="3" s="1"/>
  <c r="IVY28" i="3" a="1"/>
  <c r="IVY28" i="3" s="1"/>
  <c r="IUK28" i="3" a="1"/>
  <c r="IUK28" i="3" s="1"/>
  <c r="ITZ28" i="3" a="1"/>
  <c r="ITZ28" i="3" s="1"/>
  <c r="ITO28" i="3" a="1"/>
  <c r="ITO28" i="3" s="1"/>
  <c r="ITE28" i="3" a="1"/>
  <c r="ITE28" i="3" s="1"/>
  <c r="IRQ28" i="3" a="1"/>
  <c r="IRQ28" i="3" s="1"/>
  <c r="IRF28" i="3" a="1"/>
  <c r="IRF28" i="3" s="1"/>
  <c r="IQU28" i="3" a="1"/>
  <c r="IQU28" i="3" s="1"/>
  <c r="IQK28" i="3" a="1"/>
  <c r="IQK28" i="3" s="1"/>
  <c r="IOW28" i="3" a="1"/>
  <c r="IOW28" i="3" s="1"/>
  <c r="IOL28" i="3" a="1"/>
  <c r="IOL28" i="3" s="1"/>
  <c r="IKI28" i="3" a="1"/>
  <c r="IKI28" i="3" s="1"/>
  <c r="IJK28" i="3" a="1"/>
  <c r="IJK28" i="3" s="1"/>
  <c r="IIV28" i="3" a="1"/>
  <c r="IIV28" i="3" s="1"/>
  <c r="IIO28" i="3" a="1"/>
  <c r="IIO28" i="3" s="1"/>
  <c r="IHL28" i="3" a="1"/>
  <c r="IHL28" i="3" s="1"/>
  <c r="IHE28" i="3" a="1"/>
  <c r="IHE28" i="3" s="1"/>
  <c r="IGB28" i="3" a="1"/>
  <c r="IGB28" i="3" s="1"/>
  <c r="IFU28" i="3" a="1"/>
  <c r="IFU28" i="3" s="1"/>
  <c r="IES28" i="3" a="1"/>
  <c r="IES28" i="3" s="1"/>
  <c r="IEL28" i="3" a="1"/>
  <c r="IEL28" i="3" s="1"/>
  <c r="IDY28" i="3" a="1"/>
  <c r="IDY28" i="3" s="1"/>
  <c r="IDL28" i="3" a="1"/>
  <c r="IDL28" i="3" s="1"/>
  <c r="ICY28" i="3" a="1"/>
  <c r="ICY28" i="3" s="1"/>
  <c r="ICL28" i="3" a="1"/>
  <c r="ICL28" i="3" s="1"/>
  <c r="IBY28" i="3" a="1"/>
  <c r="IBY28" i="3" s="1"/>
  <c r="IBR28" i="3" a="1"/>
  <c r="IBR28" i="3" s="1"/>
  <c r="IBE28" i="3" a="1"/>
  <c r="IBE28" i="3" s="1"/>
  <c r="IAR28" i="3" a="1"/>
  <c r="IAR28" i="3" s="1"/>
  <c r="IAE28" i="3" a="1"/>
  <c r="IAE28" i="3" s="1"/>
  <c r="HZR28" i="3" a="1"/>
  <c r="HZR28" i="3" s="1"/>
  <c r="HZE28" i="3" a="1"/>
  <c r="HZE28" i="3" s="1"/>
  <c r="HYX28" i="3" a="1"/>
  <c r="HYX28" i="3" s="1"/>
  <c r="HYK28" i="3" a="1"/>
  <c r="HYK28" i="3" s="1"/>
  <c r="HXX28" i="3" a="1"/>
  <c r="HXX28" i="3" s="1"/>
  <c r="HXK28" i="3" a="1"/>
  <c r="HXK28" i="3" s="1"/>
  <c r="HWX28" i="3" a="1"/>
  <c r="HWX28" i="3" s="1"/>
  <c r="HWK28" i="3" a="1"/>
  <c r="HWK28" i="3" s="1"/>
  <c r="HWD28" i="3" a="1"/>
  <c r="HWD28" i="3" s="1"/>
  <c r="HVQ28" i="3" a="1"/>
  <c r="HVQ28" i="3" s="1"/>
  <c r="HVD28" i="3" a="1"/>
  <c r="HVD28" i="3" s="1"/>
  <c r="HUQ28" i="3" a="1"/>
  <c r="HUQ28" i="3" s="1"/>
  <c r="HUD28" i="3" a="1"/>
  <c r="HUD28" i="3" s="1"/>
  <c r="HTQ28" i="3" a="1"/>
  <c r="HTQ28" i="3" s="1"/>
  <c r="HTJ28" i="3" a="1"/>
  <c r="HTJ28" i="3" s="1"/>
  <c r="HSW28" i="3" a="1"/>
  <c r="HSW28" i="3" s="1"/>
  <c r="HSJ28" i="3" a="1"/>
  <c r="HSJ28" i="3" s="1"/>
  <c r="HRW28" i="3" a="1"/>
  <c r="HRW28" i="3" s="1"/>
  <c r="HRJ28" i="3" a="1"/>
  <c r="HRJ28" i="3" s="1"/>
  <c r="HQW28" i="3" a="1"/>
  <c r="HQW28" i="3" s="1"/>
  <c r="HQP28" i="3" a="1"/>
  <c r="HQP28" i="3" s="1"/>
  <c r="HQC28" i="3" a="1"/>
  <c r="HQC28" i="3" s="1"/>
  <c r="HPP28" i="3" a="1"/>
  <c r="HPP28" i="3" s="1"/>
  <c r="ORI28" i="3" a="1"/>
  <c r="ORI28" i="3" s="1"/>
  <c r="NYE28" i="3" a="1"/>
  <c r="NYE28" i="3" s="1"/>
  <c r="MVY28" i="3" a="1"/>
  <c r="MVY28" i="3" s="1"/>
  <c r="MID28" i="3" a="1"/>
  <c r="MID28" i="3" s="1"/>
  <c r="LQT28" i="3" a="1"/>
  <c r="LQT28" i="3" s="1"/>
  <c r="LGE28" i="3" a="1"/>
  <c r="LGE28" i="3" s="1"/>
  <c r="LCX28" i="3" a="1"/>
  <c r="LCX28" i="3" s="1"/>
  <c r="KZQ28" i="3" a="1"/>
  <c r="KZQ28" i="3" s="1"/>
  <c r="KPO28" i="3" a="1"/>
  <c r="KPO28" i="3" s="1"/>
  <c r="KMP28" i="3" a="1"/>
  <c r="KMP28" i="3" s="1"/>
  <c r="KJV28" i="3" a="1"/>
  <c r="KJV28" i="3" s="1"/>
  <c r="KHB28" i="3" a="1"/>
  <c r="KHB28" i="3" s="1"/>
  <c r="KEH28" i="3" a="1"/>
  <c r="KEH28" i="3" s="1"/>
  <c r="KBU28" i="3" a="1"/>
  <c r="KBU28" i="3" s="1"/>
  <c r="JPK28" i="3" a="1"/>
  <c r="JPK28" i="3" s="1"/>
  <c r="JNT28" i="3" a="1"/>
  <c r="JNT28" i="3" s="1"/>
  <c r="JMC28" i="3" a="1"/>
  <c r="JMC28" i="3" s="1"/>
  <c r="JKQ28" i="3" a="1"/>
  <c r="JKQ28" i="3" s="1"/>
  <c r="JJG28" i="3" a="1"/>
  <c r="JJG28" i="3" s="1"/>
  <c r="JHW28" i="3" a="1"/>
  <c r="JHW28" i="3" s="1"/>
  <c r="JGM28" i="3" a="1"/>
  <c r="JGM28" i="3" s="1"/>
  <c r="JFC28" i="3" a="1"/>
  <c r="JFC28" i="3" s="1"/>
  <c r="JDS28" i="3" a="1"/>
  <c r="JDS28" i="3" s="1"/>
  <c r="JCI28" i="3" a="1"/>
  <c r="JCI28" i="3" s="1"/>
  <c r="JAY28" i="3" a="1"/>
  <c r="JAY28" i="3" s="1"/>
  <c r="IZO28" i="3" a="1"/>
  <c r="IZO28" i="3" s="1"/>
  <c r="IYE28" i="3" a="1"/>
  <c r="IYE28" i="3" s="1"/>
  <c r="IWU28" i="3" a="1"/>
  <c r="IWU28" i="3" s="1"/>
  <c r="IVO28" i="3" a="1"/>
  <c r="IVO28" i="3" s="1"/>
  <c r="IUI28" i="3" a="1"/>
  <c r="IUI28" i="3" s="1"/>
  <c r="IRY28" i="3" a="1"/>
  <c r="IRY28" i="3" s="1"/>
  <c r="IPP28" i="3" a="1"/>
  <c r="IPP28" i="3" s="1"/>
  <c r="INI28" i="3" a="1"/>
  <c r="INI28" i="3" s="1"/>
  <c r="IMI28" i="3" a="1"/>
  <c r="IMI28" i="3" s="1"/>
  <c r="ILG28" i="3" a="1"/>
  <c r="ILG28" i="3" s="1"/>
  <c r="IHS28" i="3" a="1"/>
  <c r="IHS28" i="3" s="1"/>
  <c r="IGW28" i="3" a="1"/>
  <c r="IGW28" i="3" s="1"/>
  <c r="IFF28" i="3" a="1"/>
  <c r="IFF28" i="3" s="1"/>
  <c r="IDR28" i="3" a="1"/>
  <c r="IDR28" i="3" s="1"/>
  <c r="ICE28" i="3" a="1"/>
  <c r="ICE28" i="3" s="1"/>
  <c r="IBK28" i="3" a="1"/>
  <c r="IBK28" i="3" s="1"/>
  <c r="HZX28" i="3" a="1"/>
  <c r="HZX28" i="3" s="1"/>
  <c r="HZD28" i="3" a="1"/>
  <c r="HZD28" i="3" s="1"/>
  <c r="HXQ28" i="3" a="1"/>
  <c r="HXQ28" i="3" s="1"/>
  <c r="HVJ28" i="3" a="1"/>
  <c r="HVJ28" i="3" s="1"/>
  <c r="HTW28" i="3" a="1"/>
  <c r="HTW28" i="3" s="1"/>
  <c r="HTC28" i="3" a="1"/>
  <c r="HTC28" i="3" s="1"/>
  <c r="HRP28" i="3" a="1"/>
  <c r="HRP28" i="3" s="1"/>
  <c r="HQV28" i="3" a="1"/>
  <c r="HQV28" i="3" s="1"/>
  <c r="HML28" i="3" a="1"/>
  <c r="HML28" i="3" s="1"/>
  <c r="HLY28" i="3" a="1"/>
  <c r="HLY28" i="3" s="1"/>
  <c r="HJR28" i="3" a="1"/>
  <c r="HJR28" i="3" s="1"/>
  <c r="HJE28" i="3" a="1"/>
  <c r="HJE28" i="3" s="1"/>
  <c r="HGX28" i="3" a="1"/>
  <c r="HGX28" i="3" s="1"/>
  <c r="HGK28" i="3" a="1"/>
  <c r="HGK28" i="3" s="1"/>
  <c r="HED28" i="3" a="1"/>
  <c r="HED28" i="3" s="1"/>
  <c r="HDQ28" i="3" a="1"/>
  <c r="HDQ28" i="3" s="1"/>
  <c r="HBJ28" i="3" a="1"/>
  <c r="HBJ28" i="3" s="1"/>
  <c r="HAW28" i="3" a="1"/>
  <c r="HAW28" i="3" s="1"/>
  <c r="GYP28" i="3" a="1"/>
  <c r="GYP28" i="3" s="1"/>
  <c r="GYC28" i="3" a="1"/>
  <c r="GYC28" i="3" s="1"/>
  <c r="GVV28" i="3" a="1"/>
  <c r="GVV28" i="3" s="1"/>
  <c r="GVI28" i="3" a="1"/>
  <c r="GVI28" i="3" s="1"/>
  <c r="GTB28" i="3" a="1"/>
  <c r="GTB28" i="3" s="1"/>
  <c r="GSO28" i="3" a="1"/>
  <c r="GSO28" i="3" s="1"/>
  <c r="GQH28" i="3" a="1"/>
  <c r="GQH28" i="3" s="1"/>
  <c r="GPU28" i="3" a="1"/>
  <c r="GPU28" i="3" s="1"/>
  <c r="GNN28" i="3" a="1"/>
  <c r="GNN28" i="3" s="1"/>
  <c r="GNA28" i="3" a="1"/>
  <c r="GNA28" i="3" s="1"/>
  <c r="GKT28" i="3" a="1"/>
  <c r="GKT28" i="3" s="1"/>
  <c r="GKG28" i="3" a="1"/>
  <c r="GKG28" i="3" s="1"/>
  <c r="GHZ28" i="3" a="1"/>
  <c r="GHZ28" i="3" s="1"/>
  <c r="GHM28" i="3" a="1"/>
  <c r="GHM28" i="3" s="1"/>
  <c r="GFF28" i="3" a="1"/>
  <c r="GFF28" i="3" s="1"/>
  <c r="GES28" i="3" a="1"/>
  <c r="GES28" i="3" s="1"/>
  <c r="GCL28" i="3" a="1"/>
  <c r="GCL28" i="3" s="1"/>
  <c r="GBY28" i="3" a="1"/>
  <c r="GBY28" i="3" s="1"/>
  <c r="FZR28" i="3" a="1"/>
  <c r="FZR28" i="3" s="1"/>
  <c r="FZE28" i="3" a="1"/>
  <c r="FZE28" i="3" s="1"/>
  <c r="FWX28" i="3" a="1"/>
  <c r="FWX28" i="3" s="1"/>
  <c r="FWK28" i="3" a="1"/>
  <c r="FWK28" i="3" s="1"/>
  <c r="FUD28" i="3" a="1"/>
  <c r="FUD28" i="3" s="1"/>
  <c r="FTQ28" i="3" a="1"/>
  <c r="FTQ28" i="3" s="1"/>
  <c r="FRJ28" i="3" a="1"/>
  <c r="FRJ28" i="3" s="1"/>
  <c r="FQW28" i="3" a="1"/>
  <c r="FQW28" i="3" s="1"/>
  <c r="FOP28" i="3" a="1"/>
  <c r="FOP28" i="3" s="1"/>
  <c r="FOC28" i="3" a="1"/>
  <c r="FOC28" i="3" s="1"/>
  <c r="FLV28" i="3" a="1"/>
  <c r="FLV28" i="3" s="1"/>
  <c r="FLI28" i="3" a="1"/>
  <c r="FLI28" i="3" s="1"/>
  <c r="FKF28" i="3" a="1"/>
  <c r="FKF28" i="3" s="1"/>
  <c r="FJT28" i="3" a="1"/>
  <c r="FJT28" i="3" s="1"/>
  <c r="FJH28" i="3" a="1"/>
  <c r="FJH28" i="3" s="1"/>
  <c r="FIV28" i="3" a="1"/>
  <c r="FIV28" i="3" s="1"/>
  <c r="FIJ28" i="3" a="1"/>
  <c r="FIJ28" i="3" s="1"/>
  <c r="FHX28" i="3" a="1"/>
  <c r="FHX28" i="3" s="1"/>
  <c r="FHL28" i="3" a="1"/>
  <c r="FHL28" i="3" s="1"/>
  <c r="FGZ28" i="3" a="1"/>
  <c r="FGZ28" i="3" s="1"/>
  <c r="FGN28" i="3" a="1"/>
  <c r="FGN28" i="3" s="1"/>
  <c r="FGB28" i="3" a="1"/>
  <c r="FGB28" i="3" s="1"/>
  <c r="FFP28" i="3" a="1"/>
  <c r="FFP28" i="3" s="1"/>
  <c r="FFD28" i="3" a="1"/>
  <c r="FFD28" i="3" s="1"/>
  <c r="FER28" i="3" a="1"/>
  <c r="FER28" i="3" s="1"/>
  <c r="FEF28" i="3" a="1"/>
  <c r="FEF28" i="3" s="1"/>
  <c r="FDT28" i="3" a="1"/>
  <c r="FDT28" i="3" s="1"/>
  <c r="FDH28" i="3" a="1"/>
  <c r="FDH28" i="3" s="1"/>
  <c r="FCV28" i="3" a="1"/>
  <c r="FCV28" i="3" s="1"/>
  <c r="FCJ28" i="3" a="1"/>
  <c r="FCJ28" i="3" s="1"/>
  <c r="FBX28" i="3" a="1"/>
  <c r="FBX28" i="3" s="1"/>
  <c r="FBL28" i="3" a="1"/>
  <c r="FBL28" i="3" s="1"/>
  <c r="FAZ28" i="3" a="1"/>
  <c r="FAZ28" i="3" s="1"/>
  <c r="FAN28" i="3" a="1"/>
  <c r="FAN28" i="3" s="1"/>
  <c r="FAB28" i="3" a="1"/>
  <c r="FAB28" i="3" s="1"/>
  <c r="EZP28" i="3" a="1"/>
  <c r="EZP28" i="3" s="1"/>
  <c r="EZD28" i="3" a="1"/>
  <c r="EZD28" i="3" s="1"/>
  <c r="EYR28" i="3" a="1"/>
  <c r="EYR28" i="3" s="1"/>
  <c r="EYF28" i="3" a="1"/>
  <c r="EYF28" i="3" s="1"/>
  <c r="EXT28" i="3" a="1"/>
  <c r="EXT28" i="3" s="1"/>
  <c r="EXH28" i="3" a="1"/>
  <c r="EXH28" i="3" s="1"/>
  <c r="EWV28" i="3" a="1"/>
  <c r="EWV28" i="3" s="1"/>
  <c r="EWJ28" i="3" a="1"/>
  <c r="EWJ28" i="3" s="1"/>
  <c r="EVX28" i="3" a="1"/>
  <c r="EVX28" i="3" s="1"/>
  <c r="EVL28" i="3" a="1"/>
  <c r="EVL28" i="3" s="1"/>
  <c r="EUZ28" i="3" a="1"/>
  <c r="EUZ28" i="3" s="1"/>
  <c r="EUN28" i="3" a="1"/>
  <c r="EUN28" i="3" s="1"/>
  <c r="EUB28" i="3" a="1"/>
  <c r="EUB28" i="3" s="1"/>
  <c r="ETP28" i="3" a="1"/>
  <c r="ETP28" i="3" s="1"/>
  <c r="ETD28" i="3" a="1"/>
  <c r="ETD28" i="3" s="1"/>
  <c r="ESR28" i="3" a="1"/>
  <c r="ESR28" i="3" s="1"/>
  <c r="ESF28" i="3" a="1"/>
  <c r="ESF28" i="3" s="1"/>
  <c r="ERT28" i="3" a="1"/>
  <c r="ERT28" i="3" s="1"/>
  <c r="ERH28" i="3" a="1"/>
  <c r="ERH28" i="3" s="1"/>
  <c r="EQV28" i="3" a="1"/>
  <c r="EQV28" i="3" s="1"/>
  <c r="EQJ28" i="3" a="1"/>
  <c r="EQJ28" i="3" s="1"/>
  <c r="EPX28" i="3" a="1"/>
  <c r="EPX28" i="3" s="1"/>
  <c r="EPL28" i="3" a="1"/>
  <c r="EPL28" i="3" s="1"/>
  <c r="EOZ28" i="3" a="1"/>
  <c r="EOZ28" i="3" s="1"/>
  <c r="DSY28" i="3" a="1"/>
  <c r="DSY28" i="3" s="1"/>
  <c r="DRP28" i="3" a="1"/>
  <c r="DRP28" i="3" s="1"/>
  <c r="QLG28" i="3" a="1"/>
  <c r="QLG28" i="3" s="1"/>
  <c r="NIY28" i="3" a="1"/>
  <c r="NIY28" i="3" s="1"/>
  <c r="MON28" i="3" a="1"/>
  <c r="MON28" i="3" s="1"/>
  <c r="MIC28" i="3" a="1"/>
  <c r="MIC28" i="3" s="1"/>
  <c r="MCG28" i="3" a="1"/>
  <c r="MCG28" i="3" s="1"/>
  <c r="LXW28" i="3" a="1"/>
  <c r="LXW28" i="3" s="1"/>
  <c r="LUH28" i="3" a="1"/>
  <c r="LUH28" i="3" s="1"/>
  <c r="LNA28" i="3" a="1"/>
  <c r="LNA28" i="3" s="1"/>
  <c r="LJO28" i="3" a="1"/>
  <c r="LJO28" i="3" s="1"/>
  <c r="KZM28" i="3" a="1"/>
  <c r="KZM28" i="3" s="1"/>
  <c r="KWF28" i="3" a="1"/>
  <c r="KWF28" i="3" s="1"/>
  <c r="KSY28" i="3" a="1"/>
  <c r="KSY28" i="3" s="1"/>
  <c r="KMO28" i="3" a="1"/>
  <c r="KMO28" i="3" s="1"/>
  <c r="KJU28" i="3" a="1"/>
  <c r="KJU28" i="3" s="1"/>
  <c r="KHA28" i="3" a="1"/>
  <c r="KHA28" i="3" s="1"/>
  <c r="KEG28" i="3" a="1"/>
  <c r="KEG28" i="3" s="1"/>
  <c r="KBT28" i="3" a="1"/>
  <c r="KBT28" i="3" s="1"/>
  <c r="JZO28" i="3" a="1"/>
  <c r="JZO28" i="3" s="1"/>
  <c r="JXM28" i="3" a="1"/>
  <c r="JXM28" i="3" s="1"/>
  <c r="JVK28" i="3" a="1"/>
  <c r="JVK28" i="3" s="1"/>
  <c r="JTI28" i="3" a="1"/>
  <c r="JTI28" i="3" s="1"/>
  <c r="JRG28" i="3" a="1"/>
  <c r="JRG28" i="3" s="1"/>
  <c r="JMB28" i="3" a="1"/>
  <c r="JMB28" i="3" s="1"/>
  <c r="IVM28" i="3" a="1"/>
  <c r="IVM28" i="3" s="1"/>
  <c r="ITC28" i="3" a="1"/>
  <c r="ITC28" i="3" s="1"/>
  <c r="IQT28" i="3" a="1"/>
  <c r="IQT28" i="3" s="1"/>
  <c r="IOK28" i="3" a="1"/>
  <c r="IOK28" i="3" s="1"/>
  <c r="IKH28" i="3" a="1"/>
  <c r="IKH28" i="3" s="1"/>
  <c r="IJJ28" i="3" a="1"/>
  <c r="IJJ28" i="3" s="1"/>
  <c r="IHR28" i="3" a="1"/>
  <c r="IHR28" i="3" s="1"/>
  <c r="IGA28" i="3" a="1"/>
  <c r="IGA28" i="3" s="1"/>
  <c r="IEK28" i="3" a="1"/>
  <c r="IEK28" i="3" s="1"/>
  <c r="ICX28" i="3" a="1"/>
  <c r="ICX28" i="3" s="1"/>
  <c r="ICD28" i="3" a="1"/>
  <c r="ICD28" i="3" s="1"/>
  <c r="IAQ28" i="3" a="1"/>
  <c r="IAQ28" i="3" s="1"/>
  <c r="HYJ28" i="3" a="1"/>
  <c r="HYJ28" i="3" s="1"/>
  <c r="HWW28" i="3" a="1"/>
  <c r="HWW28" i="3" s="1"/>
  <c r="HWC28" i="3" a="1"/>
  <c r="HWC28" i="3" s="1"/>
  <c r="HUP28" i="3" a="1"/>
  <c r="HUP28" i="3" s="1"/>
  <c r="HTV28" i="3" a="1"/>
  <c r="HTV28" i="3" s="1"/>
  <c r="HSI28" i="3" a="1"/>
  <c r="HSI28" i="3" s="1"/>
  <c r="HQB28" i="3" a="1"/>
  <c r="HQB28" i="3" s="1"/>
  <c r="HPI28" i="3" a="1"/>
  <c r="HPI28" i="3" s="1"/>
  <c r="HOU28" i="3" a="1"/>
  <c r="HOU28" i="3" s="1"/>
  <c r="HOC28" i="3" a="1"/>
  <c r="HOC28" i="3" s="1"/>
  <c r="HNO28" i="3" a="1"/>
  <c r="HNO28" i="3" s="1"/>
  <c r="HLH28" i="3" a="1"/>
  <c r="HLH28" i="3" s="1"/>
  <c r="HKU28" i="3" a="1"/>
  <c r="HKU28" i="3" s="1"/>
  <c r="HIN28" i="3" a="1"/>
  <c r="HIN28" i="3" s="1"/>
  <c r="HIA28" i="3" a="1"/>
  <c r="HIA28" i="3" s="1"/>
  <c r="HFT28" i="3" a="1"/>
  <c r="HFT28" i="3" s="1"/>
  <c r="HFG28" i="3" a="1"/>
  <c r="HFG28" i="3" s="1"/>
  <c r="HCZ28" i="3" a="1"/>
  <c r="HCZ28" i="3" s="1"/>
  <c r="HCM28" i="3" a="1"/>
  <c r="HCM28" i="3" s="1"/>
  <c r="HAF28" i="3" a="1"/>
  <c r="HAF28" i="3" s="1"/>
  <c r="GZS28" i="3" a="1"/>
  <c r="GZS28" i="3" s="1"/>
  <c r="GXL28" i="3" a="1"/>
  <c r="GXL28" i="3" s="1"/>
  <c r="GWY28" i="3" a="1"/>
  <c r="GWY28" i="3" s="1"/>
  <c r="GUR28" i="3" a="1"/>
  <c r="GUR28" i="3" s="1"/>
  <c r="GUE28" i="3" a="1"/>
  <c r="GUE28" i="3" s="1"/>
  <c r="GRX28" i="3" a="1"/>
  <c r="GRX28" i="3" s="1"/>
  <c r="GRK28" i="3" a="1"/>
  <c r="GRK28" i="3" s="1"/>
  <c r="GPD28" i="3" a="1"/>
  <c r="GPD28" i="3" s="1"/>
  <c r="GOQ28" i="3" a="1"/>
  <c r="GOQ28" i="3" s="1"/>
  <c r="GMJ28" i="3" a="1"/>
  <c r="GMJ28" i="3" s="1"/>
  <c r="GLW28" i="3" a="1"/>
  <c r="GLW28" i="3" s="1"/>
  <c r="GJP28" i="3" a="1"/>
  <c r="GJP28" i="3" s="1"/>
  <c r="GJC28" i="3" a="1"/>
  <c r="GJC28" i="3" s="1"/>
  <c r="GGV28" i="3" a="1"/>
  <c r="GGV28" i="3" s="1"/>
  <c r="GGI28" i="3" a="1"/>
  <c r="GGI28" i="3" s="1"/>
  <c r="GEB28" i="3" a="1"/>
  <c r="GEB28" i="3" s="1"/>
  <c r="GDO28" i="3" a="1"/>
  <c r="GDO28" i="3" s="1"/>
  <c r="GBH28" i="3" a="1"/>
  <c r="GBH28" i="3" s="1"/>
  <c r="GAU28" i="3" a="1"/>
  <c r="GAU28" i="3" s="1"/>
  <c r="FYN28" i="3" a="1"/>
  <c r="FYN28" i="3" s="1"/>
  <c r="FYA28" i="3" a="1"/>
  <c r="FYA28" i="3" s="1"/>
  <c r="FVT28" i="3" a="1"/>
  <c r="FVT28" i="3" s="1"/>
  <c r="FVG28" i="3" a="1"/>
  <c r="FVG28" i="3" s="1"/>
  <c r="FSZ28" i="3" a="1"/>
  <c r="FSZ28" i="3" s="1"/>
  <c r="FSM28" i="3" a="1"/>
  <c r="FSM28" i="3" s="1"/>
  <c r="FQF28" i="3" a="1"/>
  <c r="FQF28" i="3" s="1"/>
  <c r="FPS28" i="3" a="1"/>
  <c r="FPS28" i="3" s="1"/>
  <c r="FNL28" i="3" a="1"/>
  <c r="FNL28" i="3" s="1"/>
  <c r="FMY28" i="3" a="1"/>
  <c r="FMY28" i="3" s="1"/>
  <c r="FKR28" i="3" a="1"/>
  <c r="FKR28" i="3" s="1"/>
  <c r="EOF28" i="3" a="1"/>
  <c r="EOF28" i="3" s="1"/>
  <c r="ENV28" i="3" a="1"/>
  <c r="ENV28" i="3" s="1"/>
  <c r="ENN28" i="3" a="1"/>
  <c r="ENN28" i="3" s="1"/>
  <c r="END28" i="3" a="1"/>
  <c r="END28" i="3" s="1"/>
  <c r="EMV28" i="3" a="1"/>
  <c r="EMV28" i="3" s="1"/>
  <c r="EML28" i="3" a="1"/>
  <c r="EML28" i="3" s="1"/>
  <c r="EMD28" i="3" a="1"/>
  <c r="EMD28" i="3" s="1"/>
  <c r="ELT28" i="3" a="1"/>
  <c r="ELT28" i="3" s="1"/>
  <c r="ELL28" i="3" a="1"/>
  <c r="ELL28" i="3" s="1"/>
  <c r="ELB28" i="3" a="1"/>
  <c r="ELB28" i="3" s="1"/>
  <c r="EKT28" i="3" a="1"/>
  <c r="EKT28" i="3" s="1"/>
  <c r="EKJ28" i="3" a="1"/>
  <c r="EKJ28" i="3" s="1"/>
  <c r="EKB28" i="3" a="1"/>
  <c r="EKB28" i="3" s="1"/>
  <c r="EJR28" i="3" a="1"/>
  <c r="EJR28" i="3" s="1"/>
  <c r="EJJ28" i="3" a="1"/>
  <c r="EJJ28" i="3" s="1"/>
  <c r="EIZ28" i="3" a="1"/>
  <c r="EIZ28" i="3" s="1"/>
  <c r="EIR28" i="3" a="1"/>
  <c r="EIR28" i="3" s="1"/>
  <c r="EIH28" i="3" a="1"/>
  <c r="EIH28" i="3" s="1"/>
  <c r="EHZ28" i="3" a="1"/>
  <c r="EHZ28" i="3" s="1"/>
  <c r="EHP28" i="3" a="1"/>
  <c r="EHP28" i="3" s="1"/>
  <c r="EHH28" i="3" a="1"/>
  <c r="EHH28" i="3" s="1"/>
  <c r="EGX28" i="3" a="1"/>
  <c r="EGX28" i="3" s="1"/>
  <c r="EGP28" i="3" a="1"/>
  <c r="EGP28" i="3" s="1"/>
  <c r="EGF28" i="3" a="1"/>
  <c r="EGF28" i="3" s="1"/>
  <c r="EFX28" i="3" a="1"/>
  <c r="EFX28" i="3" s="1"/>
  <c r="EFN28" i="3" a="1"/>
  <c r="EFN28" i="3" s="1"/>
  <c r="EFF28" i="3" a="1"/>
  <c r="EFF28" i="3" s="1"/>
  <c r="EEV28" i="3" a="1"/>
  <c r="EEV28" i="3" s="1"/>
  <c r="EEN28" i="3" a="1"/>
  <c r="EEN28" i="3" s="1"/>
  <c r="EED28" i="3" a="1"/>
  <c r="EED28" i="3" s="1"/>
  <c r="EDV28" i="3" a="1"/>
  <c r="EDV28" i="3" s="1"/>
  <c r="EDL28" i="3" a="1"/>
  <c r="EDL28" i="3" s="1"/>
  <c r="EDD28" i="3" a="1"/>
  <c r="EDD28" i="3" s="1"/>
  <c r="ECT28" i="3" a="1"/>
  <c r="ECT28" i="3" s="1"/>
  <c r="ECL28" i="3" a="1"/>
  <c r="ECL28" i="3" s="1"/>
  <c r="ECB28" i="3" a="1"/>
  <c r="ECB28" i="3" s="1"/>
  <c r="QKO28" i="3" a="1"/>
  <c r="QKO28" i="3" s="1"/>
  <c r="OQW28" i="3" a="1"/>
  <c r="OQW28" i="3" s="1"/>
  <c r="NXX28" i="3" a="1"/>
  <c r="NXX28" i="3" s="1"/>
  <c r="NHY28" i="3" a="1"/>
  <c r="NHY28" i="3" s="1"/>
  <c r="MVG28" i="3" a="1"/>
  <c r="MVG28" i="3" s="1"/>
  <c r="MOE28" i="3" a="1"/>
  <c r="MOE28" i="3" s="1"/>
  <c r="MHW28" i="3" a="1"/>
  <c r="MHW28" i="3" s="1"/>
  <c r="LXV28" i="3" a="1"/>
  <c r="LXV28" i="3" s="1"/>
  <c r="LQO28" i="3" a="1"/>
  <c r="LQO28" i="3" s="1"/>
  <c r="LMZ28" i="3" a="1"/>
  <c r="LMZ28" i="3" s="1"/>
  <c r="LJK28" i="3" a="1"/>
  <c r="LJK28" i="3" s="1"/>
  <c r="LGD28" i="3" a="1"/>
  <c r="LGD28" i="3" s="1"/>
  <c r="LCW28" i="3" a="1"/>
  <c r="LCW28" i="3" s="1"/>
  <c r="KSU28" i="3" a="1"/>
  <c r="KSU28" i="3" s="1"/>
  <c r="KPN28" i="3" a="1"/>
  <c r="KPN28" i="3" s="1"/>
  <c r="KBS28" i="3" a="1"/>
  <c r="KBS28" i="3" s="1"/>
  <c r="JZN28" i="3" a="1"/>
  <c r="JZN28" i="3" s="1"/>
  <c r="JXL28" i="3" a="1"/>
  <c r="JXL28" i="3" s="1"/>
  <c r="JVJ28" i="3" a="1"/>
  <c r="JVJ28" i="3" s="1"/>
  <c r="JTH28" i="3" a="1"/>
  <c r="JTH28" i="3" s="1"/>
  <c r="JRF28" i="3" a="1"/>
  <c r="JRF28" i="3" s="1"/>
  <c r="JPJ28" i="3" a="1"/>
  <c r="JPJ28" i="3" s="1"/>
  <c r="JNS28" i="3" a="1"/>
  <c r="JNS28" i="3" s="1"/>
  <c r="JMA28" i="3" a="1"/>
  <c r="JMA28" i="3" s="1"/>
  <c r="JKP28" i="3" a="1"/>
  <c r="JKP28" i="3" s="1"/>
  <c r="JJF28" i="3" a="1"/>
  <c r="JJF28" i="3" s="1"/>
  <c r="JHV28" i="3" a="1"/>
  <c r="JHV28" i="3" s="1"/>
  <c r="JGL28" i="3" a="1"/>
  <c r="JGL28" i="3" s="1"/>
  <c r="JFB28" i="3" a="1"/>
  <c r="JFB28" i="3" s="1"/>
  <c r="JDR28" i="3" a="1"/>
  <c r="JDR28" i="3" s="1"/>
  <c r="JCH28" i="3" a="1"/>
  <c r="JCH28" i="3" s="1"/>
  <c r="JAX28" i="3" a="1"/>
  <c r="JAX28" i="3" s="1"/>
  <c r="IZN28" i="3" a="1"/>
  <c r="IZN28" i="3" s="1"/>
  <c r="IYD28" i="3" a="1"/>
  <c r="IYD28" i="3" s="1"/>
  <c r="IWT28" i="3" a="1"/>
  <c r="IWT28" i="3" s="1"/>
  <c r="IUG28" i="3" a="1"/>
  <c r="IUG28" i="3" s="1"/>
  <c r="IRX28" i="3" a="1"/>
  <c r="IRX28" i="3" s="1"/>
  <c r="IPO28" i="3" a="1"/>
  <c r="IPO28" i="3" s="1"/>
  <c r="IOI28" i="3" a="1"/>
  <c r="IOI28" i="3" s="1"/>
  <c r="INH28" i="3" a="1"/>
  <c r="INH28" i="3" s="1"/>
  <c r="IMG28" i="3" a="1"/>
  <c r="IMG28" i="3" s="1"/>
  <c r="ILF28" i="3" a="1"/>
  <c r="ILF28" i="3" s="1"/>
  <c r="IIM28" i="3" a="1"/>
  <c r="IIM28" i="3" s="1"/>
  <c r="IGV28" i="3" a="1"/>
  <c r="IGV28" i="3" s="1"/>
  <c r="IFE28" i="3" a="1"/>
  <c r="IFE28" i="3" s="1"/>
  <c r="IDQ28" i="3" a="1"/>
  <c r="IDQ28" i="3" s="1"/>
  <c r="IBJ28" i="3" a="1"/>
  <c r="IBJ28" i="3" s="1"/>
  <c r="HZW28" i="3" a="1"/>
  <c r="HZW28" i="3" s="1"/>
  <c r="HZC28" i="3" a="1"/>
  <c r="HZC28" i="3" s="1"/>
  <c r="HXP28" i="3" a="1"/>
  <c r="HXP28" i="3" s="1"/>
  <c r="HWV28" i="3" a="1"/>
  <c r="HWV28" i="3" s="1"/>
  <c r="HVI28" i="3" a="1"/>
  <c r="HVI28" i="3" s="1"/>
  <c r="HTB28" i="3" a="1"/>
  <c r="HTB28" i="3" s="1"/>
  <c r="HRO28" i="3" a="1"/>
  <c r="HRO28" i="3" s="1"/>
  <c r="HQU28" i="3" a="1"/>
  <c r="HQU28" i="3" s="1"/>
  <c r="HOB28" i="3" a="1"/>
  <c r="HOB28" i="3" s="1"/>
  <c r="HMX28" i="3" a="1"/>
  <c r="HMX28" i="3" s="1"/>
  <c r="HMK28" i="3" a="1"/>
  <c r="HMK28" i="3" s="1"/>
  <c r="HKD28" i="3" a="1"/>
  <c r="HKD28" i="3" s="1"/>
  <c r="HJQ28" i="3" a="1"/>
  <c r="HJQ28" i="3" s="1"/>
  <c r="HHJ28" i="3" a="1"/>
  <c r="HHJ28" i="3" s="1"/>
  <c r="HGW28" i="3" a="1"/>
  <c r="HGW28" i="3" s="1"/>
  <c r="HEP28" i="3" a="1"/>
  <c r="HEP28" i="3" s="1"/>
  <c r="HEC28" i="3" a="1"/>
  <c r="HEC28" i="3" s="1"/>
  <c r="HBV28" i="3" a="1"/>
  <c r="HBV28" i="3" s="1"/>
  <c r="HBI28" i="3" a="1"/>
  <c r="HBI28" i="3" s="1"/>
  <c r="GZB28" i="3" a="1"/>
  <c r="GZB28" i="3" s="1"/>
  <c r="GYO28" i="3" a="1"/>
  <c r="GYO28" i="3" s="1"/>
  <c r="GWH28" i="3" a="1"/>
  <c r="GWH28" i="3" s="1"/>
  <c r="GVU28" i="3" a="1"/>
  <c r="GVU28" i="3" s="1"/>
  <c r="GTN28" i="3" a="1"/>
  <c r="GTN28" i="3" s="1"/>
  <c r="GTA28" i="3" a="1"/>
  <c r="GTA28" i="3" s="1"/>
  <c r="GQT28" i="3" a="1"/>
  <c r="GQT28" i="3" s="1"/>
  <c r="GQG28" i="3" a="1"/>
  <c r="GQG28" i="3" s="1"/>
  <c r="GNZ28" i="3" a="1"/>
  <c r="GNZ28" i="3" s="1"/>
  <c r="GNM28" i="3" a="1"/>
  <c r="GNM28" i="3" s="1"/>
  <c r="GLF28" i="3" a="1"/>
  <c r="GLF28" i="3" s="1"/>
  <c r="GKS28" i="3" a="1"/>
  <c r="GKS28" i="3" s="1"/>
  <c r="GIL28" i="3" a="1"/>
  <c r="GIL28" i="3" s="1"/>
  <c r="GHY28" i="3" a="1"/>
  <c r="GHY28" i="3" s="1"/>
  <c r="GFR28" i="3" a="1"/>
  <c r="GFR28" i="3" s="1"/>
  <c r="GFE28" i="3" a="1"/>
  <c r="GFE28" i="3" s="1"/>
  <c r="GCX28" i="3" a="1"/>
  <c r="GCX28" i="3" s="1"/>
  <c r="GCK28" i="3" a="1"/>
  <c r="GCK28" i="3" s="1"/>
  <c r="GAD28" i="3" a="1"/>
  <c r="GAD28" i="3" s="1"/>
  <c r="FZQ28" i="3" a="1"/>
  <c r="FZQ28" i="3" s="1"/>
  <c r="FXJ28" i="3" a="1"/>
  <c r="FXJ28" i="3" s="1"/>
  <c r="FWW28" i="3" a="1"/>
  <c r="FWW28" i="3" s="1"/>
  <c r="FUP28" i="3" a="1"/>
  <c r="FUP28" i="3" s="1"/>
  <c r="FUC28" i="3" a="1"/>
  <c r="FUC28" i="3" s="1"/>
  <c r="FRV28" i="3" a="1"/>
  <c r="FRV28" i="3" s="1"/>
  <c r="FRI28" i="3" a="1"/>
  <c r="FRI28" i="3" s="1"/>
  <c r="FPB28" i="3" a="1"/>
  <c r="FPB28" i="3" s="1"/>
  <c r="FOO28" i="3" a="1"/>
  <c r="FOO28" i="3" s="1"/>
  <c r="FMH28" i="3" a="1"/>
  <c r="FMH28" i="3" s="1"/>
  <c r="FLU28" i="3" a="1"/>
  <c r="FLU28" i="3" s="1"/>
  <c r="FKE28" i="3" a="1"/>
  <c r="FKE28" i="3" s="1"/>
  <c r="FJS28" i="3" a="1"/>
  <c r="FJS28" i="3" s="1"/>
  <c r="FJG28" i="3" a="1"/>
  <c r="FJG28" i="3" s="1"/>
  <c r="FIU28" i="3" a="1"/>
  <c r="FIU28" i="3" s="1"/>
  <c r="FII28" i="3" a="1"/>
  <c r="FII28" i="3" s="1"/>
  <c r="FHW28" i="3" a="1"/>
  <c r="FHW28" i="3" s="1"/>
  <c r="FHK28" i="3" a="1"/>
  <c r="FHK28" i="3" s="1"/>
  <c r="FGY28" i="3" a="1"/>
  <c r="FGY28" i="3" s="1"/>
  <c r="FGM28" i="3" a="1"/>
  <c r="FGM28" i="3" s="1"/>
  <c r="FGA28" i="3" a="1"/>
  <c r="FGA28" i="3" s="1"/>
  <c r="FFO28" i="3" a="1"/>
  <c r="FFO28" i="3" s="1"/>
  <c r="FFC28" i="3" a="1"/>
  <c r="FFC28" i="3" s="1"/>
  <c r="FEQ28" i="3" a="1"/>
  <c r="FEQ28" i="3" s="1"/>
  <c r="FEE28" i="3" a="1"/>
  <c r="FEE28" i="3" s="1"/>
  <c r="FDS28" i="3" a="1"/>
  <c r="FDS28" i="3" s="1"/>
  <c r="FDG28" i="3" a="1"/>
  <c r="FDG28" i="3" s="1"/>
  <c r="FCU28" i="3" a="1"/>
  <c r="FCU28" i="3" s="1"/>
  <c r="FCI28" i="3" a="1"/>
  <c r="FCI28" i="3" s="1"/>
  <c r="FBW28" i="3" a="1"/>
  <c r="FBW28" i="3" s="1"/>
  <c r="FBK28" i="3" a="1"/>
  <c r="FBK28" i="3" s="1"/>
  <c r="FAY28" i="3" a="1"/>
  <c r="FAY28" i="3" s="1"/>
  <c r="FAM28" i="3" a="1"/>
  <c r="FAM28" i="3" s="1"/>
  <c r="FAA28" i="3" a="1"/>
  <c r="FAA28" i="3" s="1"/>
  <c r="EZO28" i="3" a="1"/>
  <c r="EZO28" i="3" s="1"/>
  <c r="EZC28" i="3" a="1"/>
  <c r="EZC28" i="3" s="1"/>
  <c r="EYQ28" i="3" a="1"/>
  <c r="EYQ28" i="3" s="1"/>
  <c r="EYE28" i="3" a="1"/>
  <c r="EYE28" i="3" s="1"/>
  <c r="EXS28" i="3" a="1"/>
  <c r="EXS28" i="3" s="1"/>
  <c r="EXG28" i="3" a="1"/>
  <c r="EXG28" i="3" s="1"/>
  <c r="EWU28" i="3" a="1"/>
  <c r="EWU28" i="3" s="1"/>
  <c r="EWI28" i="3" a="1"/>
  <c r="EWI28" i="3" s="1"/>
  <c r="EVW28" i="3" a="1"/>
  <c r="EVW28" i="3" s="1"/>
  <c r="EVK28" i="3" a="1"/>
  <c r="EVK28" i="3" s="1"/>
  <c r="EUY28" i="3" a="1"/>
  <c r="EUY28" i="3" s="1"/>
  <c r="EUM28" i="3" a="1"/>
  <c r="EUM28" i="3" s="1"/>
  <c r="EUA28" i="3" a="1"/>
  <c r="EUA28" i="3" s="1"/>
  <c r="ETO28" i="3" a="1"/>
  <c r="ETO28" i="3" s="1"/>
  <c r="ETC28" i="3" a="1"/>
  <c r="ETC28" i="3" s="1"/>
  <c r="ESQ28" i="3" a="1"/>
  <c r="ESQ28" i="3" s="1"/>
  <c r="ESE28" i="3" a="1"/>
  <c r="ESE28" i="3" s="1"/>
  <c r="ERS28" i="3" a="1"/>
  <c r="ERS28" i="3" s="1"/>
  <c r="ERG28" i="3" a="1"/>
  <c r="ERG28" i="3" s="1"/>
  <c r="EQU28" i="3" a="1"/>
  <c r="EQU28" i="3" s="1"/>
  <c r="EQI28" i="3" a="1"/>
  <c r="EQI28" i="3" s="1"/>
  <c r="EPW28" i="3" a="1"/>
  <c r="EPW28" i="3" s="1"/>
  <c r="EPK28" i="3" a="1"/>
  <c r="EPK28" i="3" s="1"/>
  <c r="EOY28" i="3" a="1"/>
  <c r="EOY28" i="3" s="1"/>
  <c r="EON28" i="3" a="1"/>
  <c r="EON28" i="3" s="1"/>
  <c r="NTL28" i="3" a="1"/>
  <c r="NTL28" i="3" s="1"/>
  <c r="NEV28" i="3" a="1"/>
  <c r="NEV28" i="3" s="1"/>
  <c r="MTS28" i="3" a="1"/>
  <c r="MTS28" i="3" s="1"/>
  <c r="MMO28" i="3" a="1"/>
  <c r="MMO28" i="3" s="1"/>
  <c r="MAW28" i="3" a="1"/>
  <c r="MAW28" i="3" s="1"/>
  <c r="LXC28" i="3" a="1"/>
  <c r="LXC28" i="3" s="1"/>
  <c r="LPV28" i="3" a="1"/>
  <c r="LPV28" i="3" s="1"/>
  <c r="LMG28" i="3" a="1"/>
  <c r="LMG28" i="3" s="1"/>
  <c r="LIW28" i="3" a="1"/>
  <c r="LIW28" i="3" s="1"/>
  <c r="KYU28" i="3" a="1"/>
  <c r="KYU28" i="3" s="1"/>
  <c r="KVN28" i="3" a="1"/>
  <c r="KVN28" i="3" s="1"/>
  <c r="KSG28" i="3" a="1"/>
  <c r="KSG28" i="3" s="1"/>
  <c r="KBG28" i="3" a="1"/>
  <c r="KBG28" i="3" s="1"/>
  <c r="JQV28" i="3" a="1"/>
  <c r="JQV28" i="3" s="1"/>
  <c r="JPA28" i="3" a="1"/>
  <c r="JPA28" i="3" s="1"/>
  <c r="JNJ28" i="3" a="1"/>
  <c r="JNJ28" i="3" s="1"/>
  <c r="JLS28" i="3" a="1"/>
  <c r="JLS28" i="3" s="1"/>
  <c r="JKI28" i="3" a="1"/>
  <c r="JKI28" i="3" s="1"/>
  <c r="JIY28" i="3" a="1"/>
  <c r="JIY28" i="3" s="1"/>
  <c r="JHO28" i="3" a="1"/>
  <c r="JHO28" i="3" s="1"/>
  <c r="JGE28" i="3" a="1"/>
  <c r="JGE28" i="3" s="1"/>
  <c r="JEU28" i="3" a="1"/>
  <c r="JEU28" i="3" s="1"/>
  <c r="JDK28" i="3" a="1"/>
  <c r="JDK28" i="3" s="1"/>
  <c r="JCA28" i="3" a="1"/>
  <c r="JCA28" i="3" s="1"/>
  <c r="JAQ28" i="3" a="1"/>
  <c r="JAQ28" i="3" s="1"/>
  <c r="IZG28" i="3" a="1"/>
  <c r="IZG28" i="3" s="1"/>
  <c r="IXW28" i="3" a="1"/>
  <c r="IXW28" i="3" s="1"/>
  <c r="IWM28" i="3" a="1"/>
  <c r="IWM28" i="3" s="1"/>
  <c r="IVE28" i="3" a="1"/>
  <c r="IVE28" i="3" s="1"/>
  <c r="ISV28" i="3" a="1"/>
  <c r="ISV28" i="3" s="1"/>
  <c r="IQM28" i="3" a="1"/>
  <c r="IQM28" i="3" s="1"/>
  <c r="IPG28" i="3" a="1"/>
  <c r="IPG28" i="3" s="1"/>
  <c r="IOC28" i="3" a="1"/>
  <c r="IOC28" i="3" s="1"/>
  <c r="INB28" i="3" a="1"/>
  <c r="INB28" i="3" s="1"/>
  <c r="IMA28" i="3" a="1"/>
  <c r="IMA28" i="3" s="1"/>
  <c r="IKZ28" i="3" a="1"/>
  <c r="IKZ28" i="3" s="1"/>
  <c r="IKB28" i="3" a="1"/>
  <c r="IKB28" i="3" s="1"/>
  <c r="IJD28" i="3" a="1"/>
  <c r="IJD28" i="3" s="1"/>
  <c r="IHM28" i="3" a="1"/>
  <c r="IHM28" i="3" s="1"/>
  <c r="IGQ28" i="3" a="1"/>
  <c r="IGQ28" i="3" s="1"/>
  <c r="IEZ28" i="3" a="1"/>
  <c r="IEZ28" i="3" s="1"/>
  <c r="IEF28" i="3" a="1"/>
  <c r="IEF28" i="3" s="1"/>
  <c r="ICS28" i="3" a="1"/>
  <c r="ICS28" i="3" s="1"/>
  <c r="IAL28" i="3" a="1"/>
  <c r="IAL28" i="3" s="1"/>
  <c r="HYY28" i="3" a="1"/>
  <c r="HYY28" i="3" s="1"/>
  <c r="HYE28" i="3" a="1"/>
  <c r="HYE28" i="3" s="1"/>
  <c r="HWR28" i="3" a="1"/>
  <c r="HWR28" i="3" s="1"/>
  <c r="HVX28" i="3" a="1"/>
  <c r="HVX28" i="3" s="1"/>
  <c r="HUK28" i="3" a="1"/>
  <c r="HUK28" i="3" s="1"/>
  <c r="HSD28" i="3" a="1"/>
  <c r="HSD28" i="3" s="1"/>
  <c r="HQQ28" i="3" a="1"/>
  <c r="HQQ28" i="3" s="1"/>
  <c r="HPW28" i="3" a="1"/>
  <c r="HPW28" i="3" s="1"/>
  <c r="HPH28" i="3" a="1"/>
  <c r="HPH28" i="3" s="1"/>
  <c r="HOP28" i="3" a="1"/>
  <c r="HOP28" i="3" s="1"/>
  <c r="HLT28" i="3" a="1"/>
  <c r="HLT28" i="3" s="1"/>
  <c r="HLG28" i="3" a="1"/>
  <c r="HLG28" i="3" s="1"/>
  <c r="HIZ28" i="3" a="1"/>
  <c r="HIZ28" i="3" s="1"/>
  <c r="HIM28" i="3" a="1"/>
  <c r="HIM28" i="3" s="1"/>
  <c r="HGF28" i="3" a="1"/>
  <c r="HGF28" i="3" s="1"/>
  <c r="HFS28" i="3" a="1"/>
  <c r="HFS28" i="3" s="1"/>
  <c r="HDL28" i="3" a="1"/>
  <c r="HDL28" i="3" s="1"/>
  <c r="HCY28" i="3" a="1"/>
  <c r="HCY28" i="3" s="1"/>
  <c r="HAR28" i="3" a="1"/>
  <c r="HAR28" i="3" s="1"/>
  <c r="HAE28" i="3" a="1"/>
  <c r="HAE28" i="3" s="1"/>
  <c r="GXX28" i="3" a="1"/>
  <c r="GXX28" i="3" s="1"/>
  <c r="GXK28" i="3" a="1"/>
  <c r="GXK28" i="3" s="1"/>
  <c r="GVD28" i="3" a="1"/>
  <c r="GVD28" i="3" s="1"/>
  <c r="GUQ28" i="3" a="1"/>
  <c r="GUQ28" i="3" s="1"/>
  <c r="GSJ28" i="3" a="1"/>
  <c r="GSJ28" i="3" s="1"/>
  <c r="GRW28" i="3" a="1"/>
  <c r="GRW28" i="3" s="1"/>
  <c r="GPP28" i="3" a="1"/>
  <c r="GPP28" i="3" s="1"/>
  <c r="GPC28" i="3" a="1"/>
  <c r="GPC28" i="3" s="1"/>
  <c r="GMV28" i="3" a="1"/>
  <c r="GMV28" i="3" s="1"/>
  <c r="GMI28" i="3" a="1"/>
  <c r="GMI28" i="3" s="1"/>
  <c r="GKB28" i="3" a="1"/>
  <c r="GKB28" i="3" s="1"/>
  <c r="GJO28" i="3" a="1"/>
  <c r="GJO28" i="3" s="1"/>
  <c r="GHH28" i="3" a="1"/>
  <c r="GHH28" i="3" s="1"/>
  <c r="GGU28" i="3" a="1"/>
  <c r="GGU28" i="3" s="1"/>
  <c r="GEN28" i="3" a="1"/>
  <c r="GEN28" i="3" s="1"/>
  <c r="GEA28" i="3" a="1"/>
  <c r="GEA28" i="3" s="1"/>
  <c r="GBT28" i="3" a="1"/>
  <c r="GBT28" i="3" s="1"/>
  <c r="GBG28" i="3" a="1"/>
  <c r="GBG28" i="3" s="1"/>
  <c r="FYZ28" i="3" a="1"/>
  <c r="FYZ28" i="3" s="1"/>
  <c r="FYM28" i="3" a="1"/>
  <c r="FYM28" i="3" s="1"/>
  <c r="FWF28" i="3" a="1"/>
  <c r="FWF28" i="3" s="1"/>
  <c r="FVS28" i="3" a="1"/>
  <c r="FVS28" i="3" s="1"/>
  <c r="FTL28" i="3" a="1"/>
  <c r="FTL28" i="3" s="1"/>
  <c r="FSY28" i="3" a="1"/>
  <c r="FSY28" i="3" s="1"/>
  <c r="FQR28" i="3" a="1"/>
  <c r="FQR28" i="3" s="1"/>
  <c r="FQE28" i="3" a="1"/>
  <c r="FQE28" i="3" s="1"/>
  <c r="FNX28" i="3" a="1"/>
  <c r="FNX28" i="3" s="1"/>
  <c r="FNK28" i="3" a="1"/>
  <c r="FNK28" i="3" s="1"/>
  <c r="FLD28" i="3" a="1"/>
  <c r="FLD28" i="3" s="1"/>
  <c r="FKQ28" i="3" a="1"/>
  <c r="FKQ28" i="3" s="1"/>
  <c r="ENU28" i="3" a="1"/>
  <c r="ENU28" i="3" s="1"/>
  <c r="ENC28" i="3" a="1"/>
  <c r="ENC28" i="3" s="1"/>
  <c r="EMK28" i="3" a="1"/>
  <c r="EMK28" i="3" s="1"/>
  <c r="ELS28" i="3" a="1"/>
  <c r="ELS28" i="3" s="1"/>
  <c r="ELA28" i="3" a="1"/>
  <c r="ELA28" i="3" s="1"/>
  <c r="EKI28" i="3" a="1"/>
  <c r="EKI28" i="3" s="1"/>
  <c r="EJQ28" i="3" a="1"/>
  <c r="EJQ28" i="3" s="1"/>
  <c r="EIY28" i="3" a="1"/>
  <c r="EIY28" i="3" s="1"/>
  <c r="EIG28" i="3" a="1"/>
  <c r="EIG28" i="3" s="1"/>
  <c r="EHO28" i="3" a="1"/>
  <c r="EHO28" i="3" s="1"/>
  <c r="EGW28" i="3" a="1"/>
  <c r="EGW28" i="3" s="1"/>
  <c r="EGE28" i="3" a="1"/>
  <c r="EGE28" i="3" s="1"/>
  <c r="EFM28" i="3" a="1"/>
  <c r="EFM28" i="3" s="1"/>
  <c r="EEU28" i="3" a="1"/>
  <c r="EEU28" i="3" s="1"/>
  <c r="EEC28" i="3" a="1"/>
  <c r="EEC28" i="3" s="1"/>
  <c r="EDK28" i="3" a="1"/>
  <c r="EDK28" i="3" s="1"/>
  <c r="ECS28" i="3" a="1"/>
  <c r="ECS28" i="3" s="1"/>
  <c r="ECA28" i="3" a="1"/>
  <c r="ECA28" i="3" s="1"/>
  <c r="EBI28" i="3" a="1"/>
  <c r="EBI28" i="3" s="1"/>
  <c r="EAQ28" i="3" a="1"/>
  <c r="EAQ28" i="3" s="1"/>
  <c r="OKF28" i="3" a="1"/>
  <c r="OKF28" i="3" s="1"/>
  <c r="NTJ28" i="3" a="1"/>
  <c r="NTJ28" i="3" s="1"/>
  <c r="MTF28" i="3" a="1"/>
  <c r="MTF28" i="3" s="1"/>
  <c r="MMM28" i="3" a="1"/>
  <c r="MMM28" i="3" s="1"/>
  <c r="MGK28" i="3" a="1"/>
  <c r="MGK28" i="3" s="1"/>
  <c r="LWU28" i="3" a="1"/>
  <c r="LWU28" i="3" s="1"/>
  <c r="LLU28" i="3" a="1"/>
  <c r="LLU28" i="3" s="1"/>
  <c r="LIL28" i="3" a="1"/>
  <c r="LIL28" i="3" s="1"/>
  <c r="LFE28" i="3" a="1"/>
  <c r="LFE28" i="3" s="1"/>
  <c r="KVC28" i="3" a="1"/>
  <c r="KVC28" i="3" s="1"/>
  <c r="KRV28" i="3" a="1"/>
  <c r="KRV28" i="3" s="1"/>
  <c r="KOO28" i="3" a="1"/>
  <c r="KOO28" i="3" s="1"/>
  <c r="KLR28" i="3" a="1"/>
  <c r="KLR28" i="3" s="1"/>
  <c r="KIX28" i="3" a="1"/>
  <c r="KIX28" i="3" s="1"/>
  <c r="KGD28" i="3" a="1"/>
  <c r="KGD28" i="3" s="1"/>
  <c r="KDJ28" i="3" a="1"/>
  <c r="KDJ28" i="3" s="1"/>
  <c r="JOW28" i="3" a="1"/>
  <c r="JOW28" i="3" s="1"/>
  <c r="JNE28" i="3" a="1"/>
  <c r="JNE28" i="3" s="1"/>
  <c r="JLO28" i="3" a="1"/>
  <c r="JLO28" i="3" s="1"/>
  <c r="JKE28" i="3" a="1"/>
  <c r="JKE28" i="3" s="1"/>
  <c r="JIU28" i="3" a="1"/>
  <c r="JIU28" i="3" s="1"/>
  <c r="JHK28" i="3" a="1"/>
  <c r="JHK28" i="3" s="1"/>
  <c r="JGA28" i="3" a="1"/>
  <c r="JGA28" i="3" s="1"/>
  <c r="JEQ28" i="3" a="1"/>
  <c r="JEQ28" i="3" s="1"/>
  <c r="JDG28" i="3" a="1"/>
  <c r="JDG28" i="3" s="1"/>
  <c r="JBW28" i="3" a="1"/>
  <c r="JBW28" i="3" s="1"/>
  <c r="JAM28" i="3" a="1"/>
  <c r="JAM28" i="3" s="1"/>
  <c r="IZC28" i="3" a="1"/>
  <c r="IZC28" i="3" s="1"/>
  <c r="IXS28" i="3" a="1"/>
  <c r="IXS28" i="3" s="1"/>
  <c r="IWI28" i="3" a="1"/>
  <c r="IWI28" i="3" s="1"/>
  <c r="IVD28" i="3" a="1"/>
  <c r="IVD28" i="3" s="1"/>
  <c r="ISU28" i="3" a="1"/>
  <c r="ISU28" i="3" s="1"/>
  <c r="IRO28" i="3" a="1"/>
  <c r="IRO28" i="3" s="1"/>
  <c r="IPE28" i="3" a="1"/>
  <c r="IPE28" i="3" s="1"/>
  <c r="IOA28" i="3" a="1"/>
  <c r="IOA28" i="3" s="1"/>
  <c r="INA28" i="3" a="1"/>
  <c r="INA28" i="3" s="1"/>
  <c r="ILY28" i="3" a="1"/>
  <c r="ILY28" i="3" s="1"/>
  <c r="IKY28" i="3" a="1"/>
  <c r="IKY28" i="3" s="1"/>
  <c r="IKA28" i="3" a="1"/>
  <c r="IKA28" i="3" s="1"/>
  <c r="IJC28" i="3" a="1"/>
  <c r="IJC28" i="3" s="1"/>
  <c r="IIG28" i="3" a="1"/>
  <c r="IIG28" i="3" s="1"/>
  <c r="IGP28" i="3" a="1"/>
  <c r="IGP28" i="3" s="1"/>
  <c r="IEY28" i="3" a="1"/>
  <c r="IEY28" i="3" s="1"/>
  <c r="IEE28" i="3" a="1"/>
  <c r="IEE28" i="3" s="1"/>
  <c r="ICR28" i="3" a="1"/>
  <c r="ICR28" i="3" s="1"/>
  <c r="IBX28" i="3" a="1"/>
  <c r="IBX28" i="3" s="1"/>
  <c r="IAK28" i="3" a="1"/>
  <c r="IAK28" i="3" s="1"/>
  <c r="HYD28" i="3" a="1"/>
  <c r="HYD28" i="3" s="1"/>
  <c r="HWQ28" i="3" a="1"/>
  <c r="HWQ28" i="3" s="1"/>
  <c r="HVW28" i="3" a="1"/>
  <c r="HVW28" i="3" s="1"/>
  <c r="HUJ28" i="3" a="1"/>
  <c r="HUJ28" i="3" s="1"/>
  <c r="HTP28" i="3" a="1"/>
  <c r="HTP28" i="3" s="1"/>
  <c r="HSC28" i="3" a="1"/>
  <c r="HSC28" i="3" s="1"/>
  <c r="HPV28" i="3" a="1"/>
  <c r="HPV28" i="3" s="1"/>
  <c r="HOA28" i="3" a="1"/>
  <c r="HOA28" i="3" s="1"/>
  <c r="HNJ28" i="3" a="1"/>
  <c r="HNJ28" i="3" s="1"/>
  <c r="HMW28" i="3" a="1"/>
  <c r="HMW28" i="3" s="1"/>
  <c r="HKP28" i="3" a="1"/>
  <c r="HKP28" i="3" s="1"/>
  <c r="HKC28" i="3" a="1"/>
  <c r="HKC28" i="3" s="1"/>
  <c r="HHV28" i="3" a="1"/>
  <c r="HHV28" i="3" s="1"/>
  <c r="HHI28" i="3" a="1"/>
  <c r="HHI28" i="3" s="1"/>
  <c r="HFB28" i="3" a="1"/>
  <c r="HFB28" i="3" s="1"/>
  <c r="HEO28" i="3" a="1"/>
  <c r="HEO28" i="3" s="1"/>
  <c r="HCH28" i="3" a="1"/>
  <c r="HCH28" i="3" s="1"/>
  <c r="HBU28" i="3" a="1"/>
  <c r="HBU28" i="3" s="1"/>
  <c r="GZN28" i="3" a="1"/>
  <c r="GZN28" i="3" s="1"/>
  <c r="GZA28" i="3" a="1"/>
  <c r="GZA28" i="3" s="1"/>
  <c r="GWT28" i="3" a="1"/>
  <c r="GWT28" i="3" s="1"/>
  <c r="GWG28" i="3" a="1"/>
  <c r="GWG28" i="3" s="1"/>
  <c r="GTZ28" i="3" a="1"/>
  <c r="GTZ28" i="3" s="1"/>
  <c r="GTM28" i="3" a="1"/>
  <c r="GTM28" i="3" s="1"/>
  <c r="GRF28" i="3" a="1"/>
  <c r="GRF28" i="3" s="1"/>
  <c r="GQS28" i="3" a="1"/>
  <c r="GQS28" i="3" s="1"/>
  <c r="GOL28" i="3" a="1"/>
  <c r="GOL28" i="3" s="1"/>
  <c r="GNY28" i="3" a="1"/>
  <c r="GNY28" i="3" s="1"/>
  <c r="GLR28" i="3" a="1"/>
  <c r="GLR28" i="3" s="1"/>
  <c r="GLE28" i="3" a="1"/>
  <c r="GLE28" i="3" s="1"/>
  <c r="GIX28" i="3" a="1"/>
  <c r="GIX28" i="3" s="1"/>
  <c r="GIK28" i="3" a="1"/>
  <c r="GIK28" i="3" s="1"/>
  <c r="GGD28" i="3" a="1"/>
  <c r="GGD28" i="3" s="1"/>
  <c r="GFQ28" i="3" a="1"/>
  <c r="GFQ28" i="3" s="1"/>
  <c r="GDJ28" i="3" a="1"/>
  <c r="GDJ28" i="3" s="1"/>
  <c r="GCW28" i="3" a="1"/>
  <c r="GCW28" i="3" s="1"/>
  <c r="GAP28" i="3" a="1"/>
  <c r="GAP28" i="3" s="1"/>
  <c r="GAC28" i="3" a="1"/>
  <c r="GAC28" i="3" s="1"/>
  <c r="FXV28" i="3" a="1"/>
  <c r="FXV28" i="3" s="1"/>
  <c r="FXI28" i="3" a="1"/>
  <c r="FXI28" i="3" s="1"/>
  <c r="FVB28" i="3" a="1"/>
  <c r="FVB28" i="3" s="1"/>
  <c r="FUO28" i="3" a="1"/>
  <c r="FUO28" i="3" s="1"/>
  <c r="FSH28" i="3" a="1"/>
  <c r="FSH28" i="3" s="1"/>
  <c r="FRU28" i="3" a="1"/>
  <c r="FRU28" i="3" s="1"/>
  <c r="FPN28" i="3" a="1"/>
  <c r="FPN28" i="3" s="1"/>
  <c r="FPA28" i="3" a="1"/>
  <c r="FPA28" i="3" s="1"/>
  <c r="FMT28" i="3" a="1"/>
  <c r="FMT28" i="3" s="1"/>
  <c r="FMG28" i="3" a="1"/>
  <c r="FMG28" i="3" s="1"/>
  <c r="EOX28" i="3" a="1"/>
  <c r="EOX28" i="3" s="1"/>
  <c r="EOM28" i="3" a="1"/>
  <c r="EOM28" i="3" s="1"/>
  <c r="DTS28" i="3" a="1"/>
  <c r="DTS28" i="3" s="1"/>
  <c r="DTK28" i="3" a="1"/>
  <c r="DTK28" i="3" s="1"/>
  <c r="DSA28" i="3" a="1"/>
  <c r="DSA28" i="3" s="1"/>
  <c r="DRT28" i="3" a="1"/>
  <c r="DRT28" i="3" s="1"/>
  <c r="NSF28" i="3" a="1"/>
  <c r="NSF28" i="3" s="1"/>
  <c r="NDW28" i="3" a="1"/>
  <c r="NDW28" i="3" s="1"/>
  <c r="MSY28" i="3" a="1"/>
  <c r="MSY28" i="3" s="1"/>
  <c r="MGE28" i="3" a="1"/>
  <c r="MGE28" i="3" s="1"/>
  <c r="MAJ28" i="3" a="1"/>
  <c r="MAJ28" i="3" s="1"/>
  <c r="LTB28" i="3" a="1"/>
  <c r="LTB28" i="3" s="1"/>
  <c r="LPM28" i="3" a="1"/>
  <c r="LPM28" i="3" s="1"/>
  <c r="LFA28" i="3" a="1"/>
  <c r="LFA28" i="3" s="1"/>
  <c r="LBT28" i="3" a="1"/>
  <c r="LBT28" i="3" s="1"/>
  <c r="KYM28" i="3" a="1"/>
  <c r="KYM28" i="3" s="1"/>
  <c r="KOK28" i="3" a="1"/>
  <c r="KOK28" i="3" s="1"/>
  <c r="KLQ28" i="3" a="1"/>
  <c r="KLQ28" i="3" s="1"/>
  <c r="KIW28" i="3" a="1"/>
  <c r="KIW28" i="3" s="1"/>
  <c r="KGC28" i="3" a="1"/>
  <c r="KGC28" i="3" s="1"/>
  <c r="KDI28" i="3" a="1"/>
  <c r="KDI28" i="3" s="1"/>
  <c r="KAZ28" i="3" a="1"/>
  <c r="KAZ28" i="3" s="1"/>
  <c r="JYW28" i="3" a="1"/>
  <c r="JYW28" i="3" s="1"/>
  <c r="JWU28" i="3" a="1"/>
  <c r="JWU28" i="3" s="1"/>
  <c r="JUS28" i="3" a="1"/>
  <c r="JUS28" i="3" s="1"/>
  <c r="JSQ28" i="3" a="1"/>
  <c r="JSQ28" i="3" s="1"/>
  <c r="JQP28" i="3" a="1"/>
  <c r="JQP28" i="3" s="1"/>
  <c r="JOV28" i="3" a="1"/>
  <c r="JOV28" i="3" s="1"/>
  <c r="ITY28" i="3" a="1"/>
  <c r="ITY28" i="3" s="1"/>
  <c r="ISS28" i="3" a="1"/>
  <c r="ISS28" i="3" s="1"/>
  <c r="IQI28" i="3" a="1"/>
  <c r="IQI28" i="3" s="1"/>
  <c r="IKX28" i="3" a="1"/>
  <c r="IKX28" i="3" s="1"/>
  <c r="IJZ28" i="3" a="1"/>
  <c r="IJZ28" i="3" s="1"/>
  <c r="IJB28" i="3" a="1"/>
  <c r="IJB28" i="3" s="1"/>
  <c r="IHK28" i="3" a="1"/>
  <c r="IHK28" i="3" s="1"/>
  <c r="IEX28" i="3" a="1"/>
  <c r="IEX28" i="3" s="1"/>
  <c r="IDK28" i="3" a="1"/>
  <c r="IDK28" i="3" s="1"/>
  <c r="IBD28" i="3" a="1"/>
  <c r="IBD28" i="3" s="1"/>
  <c r="HZQ28" i="3" a="1"/>
  <c r="HZQ28" i="3" s="1"/>
  <c r="HYW28" i="3" a="1"/>
  <c r="HYW28" i="3" s="1"/>
  <c r="HXJ28" i="3" a="1"/>
  <c r="HXJ28" i="3" s="1"/>
  <c r="HWP28" i="3" a="1"/>
  <c r="HWP28" i="3" s="1"/>
  <c r="HVC28" i="3" a="1"/>
  <c r="HVC28" i="3" s="1"/>
  <c r="HSV28" i="3" a="1"/>
  <c r="HSV28" i="3" s="1"/>
  <c r="HRI28" i="3" a="1"/>
  <c r="HRI28" i="3" s="1"/>
  <c r="HQO28" i="3" a="1"/>
  <c r="HQO28" i="3" s="1"/>
  <c r="HPC28" i="3" a="1"/>
  <c r="HPC28" i="3" s="1"/>
  <c r="HOO28" i="3" a="1"/>
  <c r="HOO28" i="3" s="1"/>
  <c r="HNW28" i="3" a="1"/>
  <c r="HNW28" i="3" s="1"/>
  <c r="HMF28" i="3" a="1"/>
  <c r="HMF28" i="3" s="1"/>
  <c r="HLS28" i="3" a="1"/>
  <c r="HLS28" i="3" s="1"/>
  <c r="HJL28" i="3" a="1"/>
  <c r="HJL28" i="3" s="1"/>
  <c r="HIY28" i="3" a="1"/>
  <c r="HIY28" i="3" s="1"/>
  <c r="HGR28" i="3" a="1"/>
  <c r="HGR28" i="3" s="1"/>
  <c r="HGE28" i="3" a="1"/>
  <c r="HGE28" i="3" s="1"/>
  <c r="HDX28" i="3" a="1"/>
  <c r="HDX28" i="3" s="1"/>
  <c r="HDK28" i="3" a="1"/>
  <c r="HDK28" i="3" s="1"/>
  <c r="HBD28" i="3" a="1"/>
  <c r="HBD28" i="3" s="1"/>
  <c r="HAQ28" i="3" a="1"/>
  <c r="HAQ28" i="3" s="1"/>
  <c r="GYJ28" i="3" a="1"/>
  <c r="GYJ28" i="3" s="1"/>
  <c r="GXW28" i="3" a="1"/>
  <c r="GXW28" i="3" s="1"/>
  <c r="GVP28" i="3" a="1"/>
  <c r="GVP28" i="3" s="1"/>
  <c r="GVC28" i="3" a="1"/>
  <c r="GVC28" i="3" s="1"/>
  <c r="GSV28" i="3" a="1"/>
  <c r="GSV28" i="3" s="1"/>
  <c r="GSI28" i="3" a="1"/>
  <c r="GSI28" i="3" s="1"/>
  <c r="GQB28" i="3" a="1"/>
  <c r="GQB28" i="3" s="1"/>
  <c r="GPO28" i="3" a="1"/>
  <c r="GPO28" i="3" s="1"/>
  <c r="GNH28" i="3" a="1"/>
  <c r="GNH28" i="3" s="1"/>
  <c r="GMU28" i="3" a="1"/>
  <c r="GMU28" i="3" s="1"/>
  <c r="GKN28" i="3" a="1"/>
  <c r="GKN28" i="3" s="1"/>
  <c r="GKA28" i="3" a="1"/>
  <c r="GKA28" i="3" s="1"/>
  <c r="GHT28" i="3" a="1"/>
  <c r="GHT28" i="3" s="1"/>
  <c r="GHG28" i="3" a="1"/>
  <c r="GHG28" i="3" s="1"/>
  <c r="GEZ28" i="3" a="1"/>
  <c r="GEZ28" i="3" s="1"/>
  <c r="GEM28" i="3" a="1"/>
  <c r="GEM28" i="3" s="1"/>
  <c r="GCF28" i="3" a="1"/>
  <c r="GCF28" i="3" s="1"/>
  <c r="GBS28" i="3" a="1"/>
  <c r="GBS28" i="3" s="1"/>
  <c r="FZL28" i="3" a="1"/>
  <c r="FZL28" i="3" s="1"/>
  <c r="FYY28" i="3" a="1"/>
  <c r="FYY28" i="3" s="1"/>
  <c r="FWR28" i="3" a="1"/>
  <c r="FWR28" i="3" s="1"/>
  <c r="FWE28" i="3" a="1"/>
  <c r="FWE28" i="3" s="1"/>
  <c r="FTX28" i="3" a="1"/>
  <c r="FTX28" i="3" s="1"/>
  <c r="FTK28" i="3" a="1"/>
  <c r="FTK28" i="3" s="1"/>
  <c r="FRD28" i="3" a="1"/>
  <c r="FRD28" i="3" s="1"/>
  <c r="FQQ28" i="3" a="1"/>
  <c r="FQQ28" i="3" s="1"/>
  <c r="FOJ28" i="3" a="1"/>
  <c r="FOJ28" i="3" s="1"/>
  <c r="FNW28" i="3" a="1"/>
  <c r="FNW28" i="3" s="1"/>
  <c r="FLP28" i="3" a="1"/>
  <c r="FLP28" i="3" s="1"/>
  <c r="FLC28" i="3" a="1"/>
  <c r="FLC28" i="3" s="1"/>
  <c r="EOB28" i="3" a="1"/>
  <c r="EOB28" i="3" s="1"/>
  <c r="ENT28" i="3" a="1"/>
  <c r="ENT28" i="3" s="1"/>
  <c r="ENJ28" i="3" a="1"/>
  <c r="ENJ28" i="3" s="1"/>
  <c r="ENB28" i="3" a="1"/>
  <c r="ENB28" i="3" s="1"/>
  <c r="EMR28" i="3" a="1"/>
  <c r="EMR28" i="3" s="1"/>
  <c r="EMJ28" i="3" a="1"/>
  <c r="EMJ28" i="3" s="1"/>
  <c r="ELZ28" i="3" a="1"/>
  <c r="ELZ28" i="3" s="1"/>
  <c r="ELR28" i="3" a="1"/>
  <c r="ELR28" i="3" s="1"/>
  <c r="ELH28" i="3" a="1"/>
  <c r="ELH28" i="3" s="1"/>
  <c r="EKZ28" i="3" a="1"/>
  <c r="EKZ28" i="3" s="1"/>
  <c r="EKP28" i="3" a="1"/>
  <c r="EKP28" i="3" s="1"/>
  <c r="EKH28" i="3" a="1"/>
  <c r="EKH28" i="3" s="1"/>
  <c r="EJX28" i="3" a="1"/>
  <c r="EJX28" i="3" s="1"/>
  <c r="EJP28" i="3" a="1"/>
  <c r="EJP28" i="3" s="1"/>
  <c r="EJF28" i="3" a="1"/>
  <c r="EJF28" i="3" s="1"/>
  <c r="EIX28" i="3" a="1"/>
  <c r="EIX28" i="3" s="1"/>
  <c r="EIN28" i="3" a="1"/>
  <c r="EIN28" i="3" s="1"/>
  <c r="EIF28" i="3" a="1"/>
  <c r="EIF28" i="3" s="1"/>
  <c r="EHV28" i="3" a="1"/>
  <c r="EHV28" i="3" s="1"/>
  <c r="EHN28" i="3" a="1"/>
  <c r="EHN28" i="3" s="1"/>
  <c r="EHD28" i="3" a="1"/>
  <c r="EHD28" i="3" s="1"/>
  <c r="EGV28" i="3" a="1"/>
  <c r="EGV28" i="3" s="1"/>
  <c r="EGL28" i="3" a="1"/>
  <c r="EGL28" i="3" s="1"/>
  <c r="EGD28" i="3" a="1"/>
  <c r="EGD28" i="3" s="1"/>
  <c r="EFT28" i="3" a="1"/>
  <c r="EFT28" i="3" s="1"/>
  <c r="EFL28" i="3" a="1"/>
  <c r="EFL28" i="3" s="1"/>
  <c r="EFB28" i="3" a="1"/>
  <c r="EFB28" i="3" s="1"/>
  <c r="EET28" i="3" a="1"/>
  <c r="EET28" i="3" s="1"/>
  <c r="EEJ28" i="3" a="1"/>
  <c r="EEJ28" i="3" s="1"/>
  <c r="EEB28" i="3" a="1"/>
  <c r="EEB28" i="3" s="1"/>
  <c r="EDR28" i="3" a="1"/>
  <c r="EDR28" i="3" s="1"/>
  <c r="EDJ28" i="3" a="1"/>
  <c r="EDJ28" i="3" s="1"/>
  <c r="ECZ28" i="3" a="1"/>
  <c r="ECZ28" i="3" s="1"/>
  <c r="ECR28" i="3" a="1"/>
  <c r="ECR28" i="3" s="1"/>
  <c r="ECH28" i="3" a="1"/>
  <c r="ECH28" i="3" s="1"/>
  <c r="EBZ28" i="3" a="1"/>
  <c r="EBZ28" i="3" s="1"/>
  <c r="EBP28" i="3" a="1"/>
  <c r="EBP28" i="3" s="1"/>
  <c r="EBH28" i="3" a="1"/>
  <c r="EBH28" i="3" s="1"/>
  <c r="EAX28" i="3" a="1"/>
  <c r="EAX28" i="3" s="1"/>
  <c r="EAP28" i="3" a="1"/>
  <c r="EAP28" i="3" s="1"/>
  <c r="EAF28" i="3" a="1"/>
  <c r="EAF28" i="3" s="1"/>
  <c r="DZX28" i="3" a="1"/>
  <c r="DZX28" i="3" s="1"/>
  <c r="DZN28" i="3" a="1"/>
  <c r="DZN28" i="3" s="1"/>
  <c r="DZF28" i="3" a="1"/>
  <c r="DZF28" i="3" s="1"/>
  <c r="DYV28" i="3" a="1"/>
  <c r="DYV28" i="3" s="1"/>
  <c r="DYN28" i="3" a="1"/>
  <c r="DYN28" i="3" s="1"/>
  <c r="DYD28" i="3" a="1"/>
  <c r="DYD28" i="3" s="1"/>
  <c r="DXV28" i="3" a="1"/>
  <c r="DXV28" i="3" s="1"/>
  <c r="DXL28" i="3" a="1"/>
  <c r="DXL28" i="3" s="1"/>
  <c r="DXD28" i="3" a="1"/>
  <c r="DXD28" i="3" s="1"/>
  <c r="DWT28" i="3" a="1"/>
  <c r="DWT28" i="3" s="1"/>
  <c r="DWL28" i="3" a="1"/>
  <c r="DWL28" i="3" s="1"/>
  <c r="DWB28" i="3" a="1"/>
  <c r="DWB28" i="3" s="1"/>
  <c r="DVT28" i="3" a="1"/>
  <c r="DVT28" i="3" s="1"/>
  <c r="DVJ28" i="3" a="1"/>
  <c r="DVJ28" i="3" s="1"/>
  <c r="DVB28" i="3" a="1"/>
  <c r="DVB28" i="3" s="1"/>
  <c r="DUR28" i="3" a="1"/>
  <c r="DUR28" i="3" s="1"/>
  <c r="DUJ28" i="3" a="1"/>
  <c r="DUJ28" i="3" s="1"/>
  <c r="DTZ28" i="3" a="1"/>
  <c r="DTZ28" i="3" s="1"/>
  <c r="DTC28" i="3" a="1"/>
  <c r="DTC28" i="3" s="1"/>
  <c r="DSV28" i="3" a="1"/>
  <c r="DSV28" i="3" s="1"/>
  <c r="DSO28" i="3" a="1"/>
  <c r="DSO28" i="3" s="1"/>
  <c r="DSH28" i="3" a="1"/>
  <c r="DSH28" i="3" s="1"/>
  <c r="DRM28" i="3" a="1"/>
  <c r="DRM28" i="3" s="1"/>
  <c r="DRG28" i="3" a="1"/>
  <c r="DRG28" i="3" s="1"/>
  <c r="DRA28" i="3" a="1"/>
  <c r="DRA28" i="3" s="1"/>
  <c r="DQU28" i="3" a="1"/>
  <c r="DQU28" i="3" s="1"/>
  <c r="DQO28" i="3" a="1"/>
  <c r="DQO28" i="3" s="1"/>
  <c r="DQI28" i="3" a="1"/>
  <c r="DQI28" i="3" s="1"/>
  <c r="DQC28" i="3" a="1"/>
  <c r="DQC28" i="3" s="1"/>
  <c r="DPW28" i="3" a="1"/>
  <c r="DPW28" i="3" s="1"/>
  <c r="DPQ28" i="3" a="1"/>
  <c r="DPQ28" i="3" s="1"/>
  <c r="DPK28" i="3" a="1"/>
  <c r="DPK28" i="3" s="1"/>
  <c r="DPE28" i="3" a="1"/>
  <c r="DPE28" i="3" s="1"/>
  <c r="DOY28" i="3" a="1"/>
  <c r="DOY28" i="3" s="1"/>
  <c r="DOS28" i="3" a="1"/>
  <c r="DOS28" i="3" s="1"/>
  <c r="DOM28" i="3" a="1"/>
  <c r="DOM28" i="3" s="1"/>
  <c r="DOG28" i="3" a="1"/>
  <c r="DOG28" i="3" s="1"/>
  <c r="DOA28" i="3" a="1"/>
  <c r="DOA28" i="3" s="1"/>
  <c r="DNU28" i="3" a="1"/>
  <c r="DNU28" i="3" s="1"/>
  <c r="DNO28" i="3" a="1"/>
  <c r="DNO28" i="3" s="1"/>
  <c r="DNI28" i="3" a="1"/>
  <c r="DNI28" i="3" s="1"/>
  <c r="DNC28" i="3" a="1"/>
  <c r="DNC28" i="3" s="1"/>
  <c r="DMW28" i="3" a="1"/>
  <c r="DMW28" i="3" s="1"/>
  <c r="DMQ28" i="3" a="1"/>
  <c r="DMQ28" i="3" s="1"/>
  <c r="DMK28" i="3" a="1"/>
  <c r="DMK28" i="3" s="1"/>
  <c r="DME28" i="3" a="1"/>
  <c r="DME28" i="3" s="1"/>
  <c r="DLY28" i="3" a="1"/>
  <c r="DLY28" i="3" s="1"/>
  <c r="DLS28" i="3" a="1"/>
  <c r="DLS28" i="3" s="1"/>
  <c r="PQP28" i="3" a="1"/>
  <c r="PQP28" i="3" s="1"/>
  <c r="OHX28" i="3" a="1"/>
  <c r="OHX28" i="3" s="1"/>
  <c r="NDH28" i="3" a="1"/>
  <c r="NDH28" i="3" s="1"/>
  <c r="MMF28" i="3" a="1"/>
  <c r="MMF28" i="3" s="1"/>
  <c r="MFT28" i="3" a="1"/>
  <c r="MFT28" i="3" s="1"/>
  <c r="LWP28" i="3" a="1"/>
  <c r="LWP28" i="3" s="1"/>
  <c r="LPI28" i="3" a="1"/>
  <c r="LPI28" i="3" s="1"/>
  <c r="LLT28" i="3" a="1"/>
  <c r="LLT28" i="3" s="1"/>
  <c r="LIK28" i="3" a="1"/>
  <c r="LIK28" i="3" s="1"/>
  <c r="KYI28" i="3" a="1"/>
  <c r="KYI28" i="3" s="1"/>
  <c r="KVB28" i="3" a="1"/>
  <c r="KVB28" i="3" s="1"/>
  <c r="KRU28" i="3" a="1"/>
  <c r="KRU28" i="3" s="1"/>
  <c r="JYV28" i="3" a="1"/>
  <c r="JYV28" i="3" s="1"/>
  <c r="JWT28" i="3" a="1"/>
  <c r="JWT28" i="3" s="1"/>
  <c r="JUR28" i="3" a="1"/>
  <c r="JUR28" i="3" s="1"/>
  <c r="JSP28" i="3" a="1"/>
  <c r="JSP28" i="3" s="1"/>
  <c r="JOU28" i="3" a="1"/>
  <c r="JOU28" i="3" s="1"/>
  <c r="JND28" i="3" a="1"/>
  <c r="JND28" i="3" s="1"/>
  <c r="JLN28" i="3" a="1"/>
  <c r="JLN28" i="3" s="1"/>
  <c r="JKD28" i="3" a="1"/>
  <c r="JKD28" i="3" s="1"/>
  <c r="JIT28" i="3" a="1"/>
  <c r="JIT28" i="3" s="1"/>
  <c r="JHJ28" i="3" a="1"/>
  <c r="JHJ28" i="3" s="1"/>
  <c r="JFZ28" i="3" a="1"/>
  <c r="JFZ28" i="3" s="1"/>
  <c r="JEP28" i="3" a="1"/>
  <c r="JEP28" i="3" s="1"/>
  <c r="JDF28" i="3" a="1"/>
  <c r="JDF28" i="3" s="1"/>
  <c r="JBV28" i="3" a="1"/>
  <c r="JBV28" i="3" s="1"/>
  <c r="JAL28" i="3" a="1"/>
  <c r="JAL28" i="3" s="1"/>
  <c r="IZB28" i="3" a="1"/>
  <c r="IZB28" i="3" s="1"/>
  <c r="IXR28" i="3" a="1"/>
  <c r="IXR28" i="3" s="1"/>
  <c r="IWH28" i="3" a="1"/>
  <c r="IWH28" i="3" s="1"/>
  <c r="IVC28" i="3" a="1"/>
  <c r="IVC28" i="3" s="1"/>
  <c r="ITW28" i="3" a="1"/>
  <c r="ITW28" i="3" s="1"/>
  <c r="IRM28" i="3" a="1"/>
  <c r="IRM28" i="3" s="1"/>
  <c r="IPD28" i="3" a="1"/>
  <c r="IPD28" i="3" s="1"/>
  <c r="INZ28" i="3" a="1"/>
  <c r="INZ28" i="3" s="1"/>
  <c r="IMY28" i="3" a="1"/>
  <c r="IMY28" i="3" s="1"/>
  <c r="ILX28" i="3" a="1"/>
  <c r="ILX28" i="3" s="1"/>
  <c r="IIF28" i="3" a="1"/>
  <c r="IIF28" i="3" s="1"/>
  <c r="IGO28" i="3" a="1"/>
  <c r="IGO28" i="3" s="1"/>
  <c r="IFS28" i="3" a="1"/>
  <c r="IFS28" i="3" s="1"/>
  <c r="IED28" i="3" a="1"/>
  <c r="IED28" i="3" s="1"/>
  <c r="ICQ28" i="3" a="1"/>
  <c r="ICQ28" i="3" s="1"/>
  <c r="IBW28" i="3" a="1"/>
  <c r="IBW28" i="3" s="1"/>
  <c r="IAJ28" i="3" a="1"/>
  <c r="IAJ28" i="3" s="1"/>
  <c r="HZP28" i="3" a="1"/>
  <c r="HZP28" i="3" s="1"/>
  <c r="HYC28" i="3" a="1"/>
  <c r="HYC28" i="3" s="1"/>
  <c r="HVV28" i="3" a="1"/>
  <c r="HVV28" i="3" s="1"/>
  <c r="HUI28" i="3" a="1"/>
  <c r="HUI28" i="3" s="1"/>
  <c r="HTO28" i="3" a="1"/>
  <c r="HTO28" i="3" s="1"/>
  <c r="HSB28" i="3" a="1"/>
  <c r="HSB28" i="3" s="1"/>
  <c r="HRH28" i="3" a="1"/>
  <c r="HRH28" i="3" s="1"/>
  <c r="HPU28" i="3" a="1"/>
  <c r="HPU28" i="3" s="1"/>
  <c r="HON28" i="3" a="1"/>
  <c r="HON28" i="3" s="1"/>
  <c r="HNV28" i="3" a="1"/>
  <c r="HNV28" i="3" s="1"/>
  <c r="HNI28" i="3" a="1"/>
  <c r="HNI28" i="3" s="1"/>
  <c r="HLB28" i="3" a="1"/>
  <c r="HLB28" i="3" s="1"/>
  <c r="HKO28" i="3" a="1"/>
  <c r="HKO28" i="3" s="1"/>
  <c r="HIH28" i="3" a="1"/>
  <c r="HIH28" i="3" s="1"/>
  <c r="HHU28" i="3" a="1"/>
  <c r="HHU28" i="3" s="1"/>
  <c r="HFN28" i="3" a="1"/>
  <c r="HFN28" i="3" s="1"/>
  <c r="HFA28" i="3" a="1"/>
  <c r="HFA28" i="3" s="1"/>
  <c r="HCT28" i="3" a="1"/>
  <c r="HCT28" i="3" s="1"/>
  <c r="HCG28" i="3" a="1"/>
  <c r="HCG28" i="3" s="1"/>
  <c r="GZZ28" i="3" a="1"/>
  <c r="GZZ28" i="3" s="1"/>
  <c r="GZM28" i="3" a="1"/>
  <c r="GZM28" i="3" s="1"/>
  <c r="GXF28" i="3" a="1"/>
  <c r="GXF28" i="3" s="1"/>
  <c r="GWS28" i="3" a="1"/>
  <c r="GWS28" i="3" s="1"/>
  <c r="GUL28" i="3" a="1"/>
  <c r="GUL28" i="3" s="1"/>
  <c r="GTY28" i="3" a="1"/>
  <c r="GTY28" i="3" s="1"/>
  <c r="GRR28" i="3" a="1"/>
  <c r="GRR28" i="3" s="1"/>
  <c r="GRE28" i="3" a="1"/>
  <c r="GRE28" i="3" s="1"/>
  <c r="GOX28" i="3" a="1"/>
  <c r="GOX28" i="3" s="1"/>
  <c r="GOK28" i="3" a="1"/>
  <c r="GOK28" i="3" s="1"/>
  <c r="GMD28" i="3" a="1"/>
  <c r="GMD28" i="3" s="1"/>
  <c r="GLQ28" i="3" a="1"/>
  <c r="GLQ28" i="3" s="1"/>
  <c r="GJJ28" i="3" a="1"/>
  <c r="GJJ28" i="3" s="1"/>
  <c r="GIW28" i="3" a="1"/>
  <c r="GIW28" i="3" s="1"/>
  <c r="GGP28" i="3" a="1"/>
  <c r="GGP28" i="3" s="1"/>
  <c r="GGC28" i="3" a="1"/>
  <c r="GGC28" i="3" s="1"/>
  <c r="GDV28" i="3" a="1"/>
  <c r="GDV28" i="3" s="1"/>
  <c r="GDI28" i="3" a="1"/>
  <c r="GDI28" i="3" s="1"/>
  <c r="GBB28" i="3" a="1"/>
  <c r="GBB28" i="3" s="1"/>
  <c r="GAO28" i="3" a="1"/>
  <c r="GAO28" i="3" s="1"/>
  <c r="FYH28" i="3" a="1"/>
  <c r="FYH28" i="3" s="1"/>
  <c r="FXU28" i="3" a="1"/>
  <c r="FXU28" i="3" s="1"/>
  <c r="FVN28" i="3" a="1"/>
  <c r="FVN28" i="3" s="1"/>
  <c r="FVA28" i="3" a="1"/>
  <c r="FVA28" i="3" s="1"/>
  <c r="FST28" i="3" a="1"/>
  <c r="FST28" i="3" s="1"/>
  <c r="FSG28" i="3" a="1"/>
  <c r="FSG28" i="3" s="1"/>
  <c r="FPZ28" i="3" a="1"/>
  <c r="FPZ28" i="3" s="1"/>
  <c r="FPM28" i="3" a="1"/>
  <c r="FPM28" i="3" s="1"/>
  <c r="FNF28" i="3" a="1"/>
  <c r="FNF28" i="3" s="1"/>
  <c r="FMS28" i="3" a="1"/>
  <c r="FMS28" i="3" s="1"/>
  <c r="FKL28" i="3" a="1"/>
  <c r="FKL28" i="3" s="1"/>
  <c r="FJZ28" i="3" a="1"/>
  <c r="FJZ28" i="3" s="1"/>
  <c r="FJN28" i="3" a="1"/>
  <c r="FJN28" i="3" s="1"/>
  <c r="FJB28" i="3" a="1"/>
  <c r="FJB28" i="3" s="1"/>
  <c r="FIP28" i="3" a="1"/>
  <c r="FIP28" i="3" s="1"/>
  <c r="FID28" i="3" a="1"/>
  <c r="FID28" i="3" s="1"/>
  <c r="FHR28" i="3" a="1"/>
  <c r="FHR28" i="3" s="1"/>
  <c r="FHF28" i="3" a="1"/>
  <c r="FHF28" i="3" s="1"/>
  <c r="FGT28" i="3" a="1"/>
  <c r="FGT28" i="3" s="1"/>
  <c r="FGH28" i="3" a="1"/>
  <c r="FGH28" i="3" s="1"/>
  <c r="FFV28" i="3" a="1"/>
  <c r="FFV28" i="3" s="1"/>
  <c r="FFJ28" i="3" a="1"/>
  <c r="FFJ28" i="3" s="1"/>
  <c r="FEX28" i="3" a="1"/>
  <c r="FEX28" i="3" s="1"/>
  <c r="FEL28" i="3" a="1"/>
  <c r="FEL28" i="3" s="1"/>
  <c r="FDZ28" i="3" a="1"/>
  <c r="FDZ28" i="3" s="1"/>
  <c r="FDN28" i="3" a="1"/>
  <c r="FDN28" i="3" s="1"/>
  <c r="FDB28" i="3" a="1"/>
  <c r="FDB28" i="3" s="1"/>
  <c r="FCP28" i="3" a="1"/>
  <c r="FCP28" i="3" s="1"/>
  <c r="FCD28" i="3" a="1"/>
  <c r="FCD28" i="3" s="1"/>
  <c r="FBR28" i="3" a="1"/>
  <c r="FBR28" i="3" s="1"/>
  <c r="FBF28" i="3" a="1"/>
  <c r="FBF28" i="3" s="1"/>
  <c r="FAT28" i="3" a="1"/>
  <c r="FAT28" i="3" s="1"/>
  <c r="FAH28" i="3" a="1"/>
  <c r="FAH28" i="3" s="1"/>
  <c r="EZV28" i="3" a="1"/>
  <c r="EZV28" i="3" s="1"/>
  <c r="EZJ28" i="3" a="1"/>
  <c r="EZJ28" i="3" s="1"/>
  <c r="EYX28" i="3" a="1"/>
  <c r="EYX28" i="3" s="1"/>
  <c r="EYL28" i="3" a="1"/>
  <c r="EYL28" i="3" s="1"/>
  <c r="EXZ28" i="3" a="1"/>
  <c r="EXZ28" i="3" s="1"/>
  <c r="EXN28" i="3" a="1"/>
  <c r="EXN28" i="3" s="1"/>
  <c r="EXB28" i="3" a="1"/>
  <c r="EXB28" i="3" s="1"/>
  <c r="EWP28" i="3" a="1"/>
  <c r="EWP28" i="3" s="1"/>
  <c r="EWD28" i="3" a="1"/>
  <c r="EWD28" i="3" s="1"/>
  <c r="EVR28" i="3" a="1"/>
  <c r="EVR28" i="3" s="1"/>
  <c r="EVF28" i="3" a="1"/>
  <c r="EVF28" i="3" s="1"/>
  <c r="EUT28" i="3" a="1"/>
  <c r="EUT28" i="3" s="1"/>
  <c r="EUH28" i="3" a="1"/>
  <c r="EUH28" i="3" s="1"/>
  <c r="ETV28" i="3" a="1"/>
  <c r="ETV28" i="3" s="1"/>
  <c r="ETJ28" i="3" a="1"/>
  <c r="ETJ28" i="3" s="1"/>
  <c r="ESX28" i="3" a="1"/>
  <c r="ESX28" i="3" s="1"/>
  <c r="ESL28" i="3" a="1"/>
  <c r="ESL28" i="3" s="1"/>
  <c r="ERZ28" i="3" a="1"/>
  <c r="ERZ28" i="3" s="1"/>
  <c r="ERN28" i="3" a="1"/>
  <c r="ERN28" i="3" s="1"/>
  <c r="ERB28" i="3" a="1"/>
  <c r="ERB28" i="3" s="1"/>
  <c r="EQP28" i="3" a="1"/>
  <c r="EQP28" i="3" s="1"/>
  <c r="EQD28" i="3" a="1"/>
  <c r="EQD28" i="3" s="1"/>
  <c r="EPR28" i="3" a="1"/>
  <c r="EPR28" i="3" s="1"/>
  <c r="EPF28" i="3" a="1"/>
  <c r="EPF28" i="3" s="1"/>
  <c r="EOL28" i="3" a="1"/>
  <c r="EOL28" i="3" s="1"/>
  <c r="PCW28" i="3" a="1"/>
  <c r="PCW28" i="3" s="1"/>
  <c r="NNU28" i="3" a="1"/>
  <c r="NNU28" i="3" s="1"/>
  <c r="MQY28" i="3" a="1"/>
  <c r="MQY28" i="3" s="1"/>
  <c r="MKI28" i="3" a="1"/>
  <c r="MKI28" i="3" s="1"/>
  <c r="MEA28" i="3" a="1"/>
  <c r="MEA28" i="3" s="1"/>
  <c r="LVO28" i="3" a="1"/>
  <c r="LVO28" i="3" s="1"/>
  <c r="LRV28" i="3" a="1"/>
  <c r="LRV28" i="3" s="1"/>
  <c r="LKS28" i="3" a="1"/>
  <c r="LKS28" i="3" s="1"/>
  <c r="LAQ28" i="3" a="1"/>
  <c r="LAQ28" i="3" s="1"/>
  <c r="KXJ28" i="3" a="1"/>
  <c r="KXJ28" i="3" s="1"/>
  <c r="KUC28" i="3" a="1"/>
  <c r="KUC28" i="3" s="1"/>
  <c r="KNN28" i="3" a="1"/>
  <c r="KNN28" i="3" s="1"/>
  <c r="KKT28" i="3" a="1"/>
  <c r="KKT28" i="3" s="1"/>
  <c r="KHZ28" i="3" a="1"/>
  <c r="KHZ28" i="3" s="1"/>
  <c r="KFF28" i="3" a="1"/>
  <c r="KFF28" i="3" s="1"/>
  <c r="KCP28" i="3" a="1"/>
  <c r="KCP28" i="3" s="1"/>
  <c r="JQA28" i="3" a="1"/>
  <c r="JQA28" i="3" s="1"/>
  <c r="JOH28" i="3" a="1"/>
  <c r="JOH28" i="3" s="1"/>
  <c r="JMQ28" i="3" a="1"/>
  <c r="JMQ28" i="3" s="1"/>
  <c r="JLC28" i="3" a="1"/>
  <c r="JLC28" i="3" s="1"/>
  <c r="JJS28" i="3" a="1"/>
  <c r="JJS28" i="3" s="1"/>
  <c r="JII28" i="3" a="1"/>
  <c r="JII28" i="3" s="1"/>
  <c r="JGY28" i="3" a="1"/>
  <c r="JGY28" i="3" s="1"/>
  <c r="JFO28" i="3" a="1"/>
  <c r="JFO28" i="3" s="1"/>
  <c r="JEE28" i="3" a="1"/>
  <c r="JEE28" i="3" s="1"/>
  <c r="JCU28" i="3" a="1"/>
  <c r="JCU28" i="3" s="1"/>
  <c r="JBK28" i="3" a="1"/>
  <c r="JBK28" i="3" s="1"/>
  <c r="JAA28" i="3" a="1"/>
  <c r="JAA28" i="3" s="1"/>
  <c r="IYQ28" i="3" a="1"/>
  <c r="IYQ28" i="3" s="1"/>
  <c r="IXG28" i="3" a="1"/>
  <c r="IXG28" i="3" s="1"/>
  <c r="IUS28" i="3" a="1"/>
  <c r="IUS28" i="3" s="1"/>
  <c r="ISJ28" i="3" a="1"/>
  <c r="ISJ28" i="3" s="1"/>
  <c r="IQA28" i="3" a="1"/>
  <c r="IQA28" i="3" s="1"/>
  <c r="IOU28" i="3" a="1"/>
  <c r="IOU28" i="3" s="1"/>
  <c r="INS28" i="3" a="1"/>
  <c r="INS28" i="3" s="1"/>
  <c r="IMQ28" i="3" a="1"/>
  <c r="IMQ28" i="3" s="1"/>
  <c r="ILQ28" i="3" a="1"/>
  <c r="ILQ28" i="3" s="1"/>
  <c r="IKQ28" i="3" a="1"/>
  <c r="IKQ28" i="3" s="1"/>
  <c r="IJS28" i="3" a="1"/>
  <c r="IJS28" i="3" s="1"/>
  <c r="IHZ28" i="3" a="1"/>
  <c r="IHZ28" i="3" s="1"/>
  <c r="IGI28" i="3" a="1"/>
  <c r="IGI28" i="3" s="1"/>
  <c r="IFM28" i="3" a="1"/>
  <c r="IFM28" i="3" s="1"/>
  <c r="IER28" i="3" a="1"/>
  <c r="IER28" i="3" s="1"/>
  <c r="IDE28" i="3" a="1"/>
  <c r="IDE28" i="3" s="1"/>
  <c r="IAX28" i="3" a="1"/>
  <c r="IAX28" i="3" s="1"/>
  <c r="HZK28" i="3" a="1"/>
  <c r="HZK28" i="3" s="1"/>
  <c r="HYQ28" i="3" a="1"/>
  <c r="HYQ28" i="3" s="1"/>
  <c r="HXD28" i="3" a="1"/>
  <c r="HXD28" i="3" s="1"/>
  <c r="HWJ28" i="3" a="1"/>
  <c r="HWJ28" i="3" s="1"/>
  <c r="HUW28" i="3" a="1"/>
  <c r="HUW28" i="3" s="1"/>
  <c r="HSP28" i="3" a="1"/>
  <c r="HSP28" i="3" s="1"/>
  <c r="HRC28" i="3" a="1"/>
  <c r="HRC28" i="3" s="1"/>
  <c r="HQI28" i="3" a="1"/>
  <c r="HQI28" i="3" s="1"/>
  <c r="HNU28" i="3" a="1"/>
  <c r="HNU28" i="3" s="1"/>
  <c r="HLN28" i="3" a="1"/>
  <c r="HLN28" i="3" s="1"/>
  <c r="HLA28" i="3" a="1"/>
  <c r="HLA28" i="3" s="1"/>
  <c r="HIT28" i="3" a="1"/>
  <c r="HIT28" i="3" s="1"/>
  <c r="HIG28" i="3" a="1"/>
  <c r="HIG28" i="3" s="1"/>
  <c r="HFZ28" i="3" a="1"/>
  <c r="HFZ28" i="3" s="1"/>
  <c r="HFM28" i="3" a="1"/>
  <c r="HFM28" i="3" s="1"/>
  <c r="HDF28" i="3" a="1"/>
  <c r="HDF28" i="3" s="1"/>
  <c r="HCS28" i="3" a="1"/>
  <c r="HCS28" i="3" s="1"/>
  <c r="HAL28" i="3" a="1"/>
  <c r="HAL28" i="3" s="1"/>
  <c r="GZY28" i="3" a="1"/>
  <c r="GZY28" i="3" s="1"/>
  <c r="GXR28" i="3" a="1"/>
  <c r="GXR28" i="3" s="1"/>
  <c r="GXE28" i="3" a="1"/>
  <c r="GXE28" i="3" s="1"/>
  <c r="GUX28" i="3" a="1"/>
  <c r="GUX28" i="3" s="1"/>
  <c r="GUK28" i="3" a="1"/>
  <c r="GUK28" i="3" s="1"/>
  <c r="GSD28" i="3" a="1"/>
  <c r="GSD28" i="3" s="1"/>
  <c r="GRQ28" i="3" a="1"/>
  <c r="GRQ28" i="3" s="1"/>
  <c r="GPJ28" i="3" a="1"/>
  <c r="GPJ28" i="3" s="1"/>
  <c r="GOW28" i="3" a="1"/>
  <c r="GOW28" i="3" s="1"/>
  <c r="GMP28" i="3" a="1"/>
  <c r="GMP28" i="3" s="1"/>
  <c r="GMC28" i="3" a="1"/>
  <c r="GMC28" i="3" s="1"/>
  <c r="GJV28" i="3" a="1"/>
  <c r="GJV28" i="3" s="1"/>
  <c r="GJI28" i="3" a="1"/>
  <c r="GJI28" i="3" s="1"/>
  <c r="GHB28" i="3" a="1"/>
  <c r="GHB28" i="3" s="1"/>
  <c r="GGO28" i="3" a="1"/>
  <c r="GGO28" i="3" s="1"/>
  <c r="GEH28" i="3" a="1"/>
  <c r="GEH28" i="3" s="1"/>
  <c r="GDU28" i="3" a="1"/>
  <c r="GDU28" i="3" s="1"/>
  <c r="GBN28" i="3" a="1"/>
  <c r="GBN28" i="3" s="1"/>
  <c r="GBA28" i="3" a="1"/>
  <c r="GBA28" i="3" s="1"/>
  <c r="FYT28" i="3" a="1"/>
  <c r="FYT28" i="3" s="1"/>
  <c r="FYG28" i="3" a="1"/>
  <c r="FYG28" i="3" s="1"/>
  <c r="FVZ28" i="3" a="1"/>
  <c r="FVZ28" i="3" s="1"/>
  <c r="FVM28" i="3" a="1"/>
  <c r="FVM28" i="3" s="1"/>
  <c r="FTF28" i="3" a="1"/>
  <c r="FTF28" i="3" s="1"/>
  <c r="FSS28" i="3" a="1"/>
  <c r="FSS28" i="3" s="1"/>
  <c r="FQL28" i="3" a="1"/>
  <c r="FQL28" i="3" s="1"/>
  <c r="FPY28" i="3" a="1"/>
  <c r="FPY28" i="3" s="1"/>
  <c r="FNR28" i="3" a="1"/>
  <c r="FNR28" i="3" s="1"/>
  <c r="FNE28" i="3" a="1"/>
  <c r="FNE28" i="3" s="1"/>
  <c r="FKX28" i="3" a="1"/>
  <c r="FKX28" i="3" s="1"/>
  <c r="FKK28" i="3" a="1"/>
  <c r="FKK28" i="3" s="1"/>
  <c r="FJY28" i="3" a="1"/>
  <c r="FJY28" i="3" s="1"/>
  <c r="FJM28" i="3" a="1"/>
  <c r="FJM28" i="3" s="1"/>
  <c r="FJA28" i="3" a="1"/>
  <c r="FJA28" i="3" s="1"/>
  <c r="FIO28" i="3" a="1"/>
  <c r="FIO28" i="3" s="1"/>
  <c r="FIC28" i="3" a="1"/>
  <c r="FIC28" i="3" s="1"/>
  <c r="FHQ28" i="3" a="1"/>
  <c r="FHQ28" i="3" s="1"/>
  <c r="FHE28" i="3" a="1"/>
  <c r="FHE28" i="3" s="1"/>
  <c r="FGS28" i="3" a="1"/>
  <c r="FGS28" i="3" s="1"/>
  <c r="FGG28" i="3" a="1"/>
  <c r="FGG28" i="3" s="1"/>
  <c r="FFU28" i="3" a="1"/>
  <c r="FFU28" i="3" s="1"/>
  <c r="FFI28" i="3" a="1"/>
  <c r="FFI28" i="3" s="1"/>
  <c r="FEW28" i="3" a="1"/>
  <c r="FEW28" i="3" s="1"/>
  <c r="FEK28" i="3" a="1"/>
  <c r="FEK28" i="3" s="1"/>
  <c r="FDY28" i="3" a="1"/>
  <c r="FDY28" i="3" s="1"/>
  <c r="FDM28" i="3" a="1"/>
  <c r="FDM28" i="3" s="1"/>
  <c r="FDA28" i="3" a="1"/>
  <c r="FDA28" i="3" s="1"/>
  <c r="FCO28" i="3" a="1"/>
  <c r="FCO28" i="3" s="1"/>
  <c r="FCC28" i="3" a="1"/>
  <c r="FCC28" i="3" s="1"/>
  <c r="FBQ28" i="3" a="1"/>
  <c r="FBQ28" i="3" s="1"/>
  <c r="FBE28" i="3" a="1"/>
  <c r="FBE28" i="3" s="1"/>
  <c r="FAS28" i="3" a="1"/>
  <c r="FAS28" i="3" s="1"/>
  <c r="FAG28" i="3" a="1"/>
  <c r="FAG28" i="3" s="1"/>
  <c r="EZU28" i="3" a="1"/>
  <c r="EZU28" i="3" s="1"/>
  <c r="EZI28" i="3" a="1"/>
  <c r="EZI28" i="3" s="1"/>
  <c r="EYW28" i="3" a="1"/>
  <c r="EYW28" i="3" s="1"/>
  <c r="EYK28" i="3" a="1"/>
  <c r="EYK28" i="3" s="1"/>
  <c r="EXY28" i="3" a="1"/>
  <c r="EXY28" i="3" s="1"/>
  <c r="EXM28" i="3" a="1"/>
  <c r="EXM28" i="3" s="1"/>
  <c r="EXA28" i="3" a="1"/>
  <c r="EXA28" i="3" s="1"/>
  <c r="EWO28" i="3" a="1"/>
  <c r="EWO28" i="3" s="1"/>
  <c r="EWC28" i="3" a="1"/>
  <c r="EWC28" i="3" s="1"/>
  <c r="EVQ28" i="3" a="1"/>
  <c r="EVQ28" i="3" s="1"/>
  <c r="EVE28" i="3" a="1"/>
  <c r="EVE28" i="3" s="1"/>
  <c r="EUS28" i="3" a="1"/>
  <c r="EUS28" i="3" s="1"/>
  <c r="EUG28" i="3" a="1"/>
  <c r="EUG28" i="3" s="1"/>
  <c r="ETU28" i="3" a="1"/>
  <c r="ETU28" i="3" s="1"/>
  <c r="ETI28" i="3" a="1"/>
  <c r="ETI28" i="3" s="1"/>
  <c r="ESW28" i="3" a="1"/>
  <c r="ESW28" i="3" s="1"/>
  <c r="ESK28" i="3" a="1"/>
  <c r="ESK28" i="3" s="1"/>
  <c r="ERY28" i="3" a="1"/>
  <c r="ERY28" i="3" s="1"/>
  <c r="ERM28" i="3" a="1"/>
  <c r="ERM28" i="3" s="1"/>
  <c r="ERA28" i="3" a="1"/>
  <c r="ERA28" i="3" s="1"/>
  <c r="EQO28" i="3" a="1"/>
  <c r="EQO28" i="3" s="1"/>
  <c r="EQC28" i="3" a="1"/>
  <c r="EQC28" i="3" s="1"/>
  <c r="EPQ28" i="3" a="1"/>
  <c r="EPQ28" i="3" s="1"/>
  <c r="EPE28" i="3" a="1"/>
  <c r="EPE28" i="3" s="1"/>
  <c r="DSM28" i="3" a="1"/>
  <c r="DSM28" i="3" s="1"/>
  <c r="DRR28" i="3" a="1"/>
  <c r="DRR28" i="3" s="1"/>
  <c r="OZK28" i="3" a="1"/>
  <c r="OZK28" i="3" s="1"/>
  <c r="MZP28" i="3" a="1"/>
  <c r="MZP28" i="3" s="1"/>
  <c r="MDZ28" i="3" a="1"/>
  <c r="MDZ28" i="3" s="1"/>
  <c r="LHH28" i="3" a="1"/>
  <c r="LHH28" i="3" s="1"/>
  <c r="KNM28" i="3" a="1"/>
  <c r="KNM28" i="3" s="1"/>
  <c r="KFE28" i="3" a="1"/>
  <c r="KFE28" i="3" s="1"/>
  <c r="JYE28" i="3" a="1"/>
  <c r="JYE28" i="3" s="1"/>
  <c r="JRY28" i="3" a="1"/>
  <c r="JRY28" i="3" s="1"/>
  <c r="IVW28" i="3" a="1"/>
  <c r="IVW28" i="3" s="1"/>
  <c r="IIU28" i="3" a="1"/>
  <c r="IIU28" i="3" s="1"/>
  <c r="IGH28" i="3" a="1"/>
  <c r="IGH28" i="3" s="1"/>
  <c r="IDX28" i="3" a="1"/>
  <c r="IDX28" i="3" s="1"/>
  <c r="IBQ28" i="3" a="1"/>
  <c r="IBQ28" i="3" s="1"/>
  <c r="HZJ28" i="3" a="1"/>
  <c r="HZJ28" i="3" s="1"/>
  <c r="HOI28" i="3" a="1"/>
  <c r="HOI28" i="3" s="1"/>
  <c r="HMQ28" i="3" a="1"/>
  <c r="HMQ28" i="3" s="1"/>
  <c r="HHP28" i="3" a="1"/>
  <c r="HHP28" i="3" s="1"/>
  <c r="HEI28" i="3" a="1"/>
  <c r="HEI28" i="3" s="1"/>
  <c r="GZH28" i="3" a="1"/>
  <c r="GZH28" i="3" s="1"/>
  <c r="GWA28" i="3" a="1"/>
  <c r="GWA28" i="3" s="1"/>
  <c r="GQZ28" i="3" a="1"/>
  <c r="GQZ28" i="3" s="1"/>
  <c r="GNS28" i="3" a="1"/>
  <c r="GNS28" i="3" s="1"/>
  <c r="GIR28" i="3" a="1"/>
  <c r="GIR28" i="3" s="1"/>
  <c r="GFK28" i="3" a="1"/>
  <c r="GFK28" i="3" s="1"/>
  <c r="GAJ28" i="3" a="1"/>
  <c r="GAJ28" i="3" s="1"/>
  <c r="FXC28" i="3" a="1"/>
  <c r="FXC28" i="3" s="1"/>
  <c r="FSB28" i="3" a="1"/>
  <c r="FSB28" i="3" s="1"/>
  <c r="FOU28" i="3" a="1"/>
  <c r="FOU28" i="3" s="1"/>
  <c r="ENZ28" i="3" a="1"/>
  <c r="ENZ28" i="3" s="1"/>
  <c r="EMX28" i="3" a="1"/>
  <c r="EMX28" i="3" s="1"/>
  <c r="ELX28" i="3" a="1"/>
  <c r="ELX28" i="3" s="1"/>
  <c r="EKV28" i="3" a="1"/>
  <c r="EKV28" i="3" s="1"/>
  <c r="EJV28" i="3" a="1"/>
  <c r="EJV28" i="3" s="1"/>
  <c r="EIT28" i="3" a="1"/>
  <c r="EIT28" i="3" s="1"/>
  <c r="EHB28" i="3" a="1"/>
  <c r="EHB28" i="3" s="1"/>
  <c r="ECX28" i="3" a="1"/>
  <c r="ECX28" i="3" s="1"/>
  <c r="EBJ28" i="3" a="1"/>
  <c r="EBJ28" i="3" s="1"/>
  <c r="EAR28" i="3" a="1"/>
  <c r="EAR28" i="3" s="1"/>
  <c r="DZM28" i="3" a="1"/>
  <c r="DZM28" i="3" s="1"/>
  <c r="DYZ28" i="3" a="1"/>
  <c r="DYZ28" i="3" s="1"/>
  <c r="DXX28" i="3" a="1"/>
  <c r="DXX28" i="3" s="1"/>
  <c r="DXK28" i="3" a="1"/>
  <c r="DXK28" i="3" s="1"/>
  <c r="DWX28" i="3" a="1"/>
  <c r="DWX28" i="3" s="1"/>
  <c r="DVV28" i="3" a="1"/>
  <c r="DVV28" i="3" s="1"/>
  <c r="DVI28" i="3" a="1"/>
  <c r="DVI28" i="3" s="1"/>
  <c r="DUV28" i="3" a="1"/>
  <c r="DUV28" i="3" s="1"/>
  <c r="DTI28" i="3" a="1"/>
  <c r="DTI28" i="3" s="1"/>
  <c r="DSN28" i="3" a="1"/>
  <c r="DSN28" i="3" s="1"/>
  <c r="DSC28" i="3" a="1"/>
  <c r="DSC28" i="3" s="1"/>
  <c r="DRI28" i="3" a="1"/>
  <c r="DRI28" i="3" s="1"/>
  <c r="DQZ28" i="3" a="1"/>
  <c r="DQZ28" i="3" s="1"/>
  <c r="DQQ28" i="3" a="1"/>
  <c r="DQQ28" i="3" s="1"/>
  <c r="DQH28" i="3" a="1"/>
  <c r="DQH28" i="3" s="1"/>
  <c r="DPY28" i="3" a="1"/>
  <c r="DPY28" i="3" s="1"/>
  <c r="DPP28" i="3" a="1"/>
  <c r="DPP28" i="3" s="1"/>
  <c r="DPG28" i="3" a="1"/>
  <c r="DPG28" i="3" s="1"/>
  <c r="DOX28" i="3" a="1"/>
  <c r="DOX28" i="3" s="1"/>
  <c r="DOO28" i="3" a="1"/>
  <c r="DOO28" i="3" s="1"/>
  <c r="DOF28" i="3" a="1"/>
  <c r="DOF28" i="3" s="1"/>
  <c r="DNW28" i="3" a="1"/>
  <c r="DNW28" i="3" s="1"/>
  <c r="DNN28" i="3" a="1"/>
  <c r="DNN28" i="3" s="1"/>
  <c r="DNE28" i="3" a="1"/>
  <c r="DNE28" i="3" s="1"/>
  <c r="DMV28" i="3" a="1"/>
  <c r="DMV28" i="3" s="1"/>
  <c r="DMM28" i="3" a="1"/>
  <c r="DMM28" i="3" s="1"/>
  <c r="DMD28" i="3" a="1"/>
  <c r="DMD28" i="3" s="1"/>
  <c r="DLU28" i="3" a="1"/>
  <c r="DLU28" i="3" s="1"/>
  <c r="MZO28" i="3" a="1"/>
  <c r="MZO28" i="3" s="1"/>
  <c r="MDY28" i="3" a="1"/>
  <c r="MDY28" i="3" s="1"/>
  <c r="LRU28" i="3" a="1"/>
  <c r="LRU28" i="3" s="1"/>
  <c r="KXI28" i="3" a="1"/>
  <c r="KXI28" i="3" s="1"/>
  <c r="JYD28" i="3" a="1"/>
  <c r="JYD28" i="3" s="1"/>
  <c r="JRX28" i="3" a="1"/>
  <c r="JRX28" i="3" s="1"/>
  <c r="JMP28" i="3" a="1"/>
  <c r="JMP28" i="3" s="1"/>
  <c r="JIH28" i="3" a="1"/>
  <c r="JIH28" i="3" s="1"/>
  <c r="JED28" i="3" a="1"/>
  <c r="JED28" i="3" s="1"/>
  <c r="IZZ28" i="3" a="1"/>
  <c r="IZZ28" i="3" s="1"/>
  <c r="ISI28" i="3" a="1"/>
  <c r="ISI28" i="3" s="1"/>
  <c r="IOS28" i="3" a="1"/>
  <c r="IOS28" i="3" s="1"/>
  <c r="ILO28" i="3" a="1"/>
  <c r="ILO28" i="3" s="1"/>
  <c r="HXC28" i="3" a="1"/>
  <c r="HXC28" i="3" s="1"/>
  <c r="HUV28" i="3" a="1"/>
  <c r="HUV28" i="3" s="1"/>
  <c r="HSO28" i="3" a="1"/>
  <c r="HSO28" i="3" s="1"/>
  <c r="HQH28" i="3" a="1"/>
  <c r="HQH28" i="3" s="1"/>
  <c r="HOH28" i="3" a="1"/>
  <c r="HOH28" i="3" s="1"/>
  <c r="HJF28" i="3" a="1"/>
  <c r="HJF28" i="3" s="1"/>
  <c r="HFY28" i="3" a="1"/>
  <c r="HFY28" i="3" s="1"/>
  <c r="HAX28" i="3" a="1"/>
  <c r="HAX28" i="3" s="1"/>
  <c r="GXQ28" i="3" a="1"/>
  <c r="GXQ28" i="3" s="1"/>
  <c r="GSP28" i="3" a="1"/>
  <c r="GSP28" i="3" s="1"/>
  <c r="GPI28" i="3" a="1"/>
  <c r="GPI28" i="3" s="1"/>
  <c r="GKH28" i="3" a="1"/>
  <c r="GKH28" i="3" s="1"/>
  <c r="GHA28" i="3" a="1"/>
  <c r="GHA28" i="3" s="1"/>
  <c r="GBZ28" i="3" a="1"/>
  <c r="GBZ28" i="3" s="1"/>
  <c r="FYS28" i="3" a="1"/>
  <c r="FYS28" i="3" s="1"/>
  <c r="FTR28" i="3" a="1"/>
  <c r="FTR28" i="3" s="1"/>
  <c r="FQK28" i="3" a="1"/>
  <c r="FQK28" i="3" s="1"/>
  <c r="FLJ28" i="3" a="1"/>
  <c r="FLJ28" i="3" s="1"/>
  <c r="EHU28" i="3" a="1"/>
  <c r="EHU28" i="3" s="1"/>
  <c r="EFH28" i="3" a="1"/>
  <c r="EFH28" i="3" s="1"/>
  <c r="EEO28" i="3" a="1"/>
  <c r="EEO28" i="3" s="1"/>
  <c r="EDQ28" i="3" a="1"/>
  <c r="EDQ28" i="3" s="1"/>
  <c r="DZZ28" i="3" a="1"/>
  <c r="DZZ28" i="3" s="1"/>
  <c r="DZL28" i="3" a="1"/>
  <c r="DZL28" i="3" s="1"/>
  <c r="DYJ28" i="3" a="1"/>
  <c r="DYJ28" i="3" s="1"/>
  <c r="DXJ28" i="3" a="1"/>
  <c r="DXJ28" i="3" s="1"/>
  <c r="DWH28" i="3" a="1"/>
  <c r="DWH28" i="3" s="1"/>
  <c r="DVH28" i="3" a="1"/>
  <c r="DVH28" i="3" s="1"/>
  <c r="DUF28" i="3" a="1"/>
  <c r="DUF28" i="3" s="1"/>
  <c r="DTT28" i="3" a="1"/>
  <c r="DTT28" i="3" s="1"/>
  <c r="DTH28" i="3" a="1"/>
  <c r="DTH28" i="3" s="1"/>
  <c r="DQY28" i="3" a="1"/>
  <c r="DQY28" i="3" s="1"/>
  <c r="DQG28" i="3" a="1"/>
  <c r="DQG28" i="3" s="1"/>
  <c r="DPO28" i="3" a="1"/>
  <c r="DPO28" i="3" s="1"/>
  <c r="DOW28" i="3" a="1"/>
  <c r="DOW28" i="3" s="1"/>
  <c r="DOE28" i="3" a="1"/>
  <c r="DOE28" i="3" s="1"/>
  <c r="DNM28" i="3" a="1"/>
  <c r="DNM28" i="3" s="1"/>
  <c r="DMU28" i="3" a="1"/>
  <c r="DMU28" i="3" s="1"/>
  <c r="DMC28" i="3" a="1"/>
  <c r="DMC28" i="3" s="1"/>
  <c r="DLL28" i="3" a="1"/>
  <c r="DLL28" i="3" s="1"/>
  <c r="DLD28" i="3" a="1"/>
  <c r="DLD28" i="3" s="1"/>
  <c r="DKV28" i="3" a="1"/>
  <c r="DKV28" i="3" s="1"/>
  <c r="DKN28" i="3" a="1"/>
  <c r="DKN28" i="3" s="1"/>
  <c r="DKF28" i="3" a="1"/>
  <c r="DKF28" i="3" s="1"/>
  <c r="DJX28" i="3" a="1"/>
  <c r="DJX28" i="3" s="1"/>
  <c r="DJP28" i="3" a="1"/>
  <c r="DJP28" i="3" s="1"/>
  <c r="DJH28" i="3" a="1"/>
  <c r="DJH28" i="3" s="1"/>
  <c r="DIZ28" i="3" a="1"/>
  <c r="DIZ28" i="3" s="1"/>
  <c r="DIR28" i="3" a="1"/>
  <c r="DIR28" i="3" s="1"/>
  <c r="DIJ28" i="3" a="1"/>
  <c r="DIJ28" i="3" s="1"/>
  <c r="DIB28" i="3" a="1"/>
  <c r="DIB28" i="3" s="1"/>
  <c r="DHT28" i="3" a="1"/>
  <c r="DHT28" i="3" s="1"/>
  <c r="DHM28" i="3" a="1"/>
  <c r="DHM28" i="3" s="1"/>
  <c r="DHG28" i="3" a="1"/>
  <c r="DHG28" i="3" s="1"/>
  <c r="DHA28" i="3" a="1"/>
  <c r="DHA28" i="3" s="1"/>
  <c r="DGU28" i="3" a="1"/>
  <c r="DGU28" i="3" s="1"/>
  <c r="DGO28" i="3" a="1"/>
  <c r="DGO28" i="3" s="1"/>
  <c r="DGI28" i="3" a="1"/>
  <c r="DGI28" i="3" s="1"/>
  <c r="DGC28" i="3" a="1"/>
  <c r="DGC28" i="3" s="1"/>
  <c r="DFW28" i="3" a="1"/>
  <c r="DFW28" i="3" s="1"/>
  <c r="DFQ28" i="3" a="1"/>
  <c r="DFQ28" i="3" s="1"/>
  <c r="DFK28" i="3" a="1"/>
  <c r="DFK28" i="3" s="1"/>
  <c r="DFE28" i="3" a="1"/>
  <c r="DFE28" i="3" s="1"/>
  <c r="DEY28" i="3" a="1"/>
  <c r="DEY28" i="3" s="1"/>
  <c r="DES28" i="3" a="1"/>
  <c r="DES28" i="3" s="1"/>
  <c r="DEM28" i="3" a="1"/>
  <c r="DEM28" i="3" s="1"/>
  <c r="DEG28" i="3" a="1"/>
  <c r="DEG28" i="3" s="1"/>
  <c r="DEA28" i="3" a="1"/>
  <c r="DEA28" i="3" s="1"/>
  <c r="DDU28" i="3" a="1"/>
  <c r="DDU28" i="3" s="1"/>
  <c r="DDO28" i="3" a="1"/>
  <c r="DDO28" i="3" s="1"/>
  <c r="DDI28" i="3" a="1"/>
  <c r="DDI28" i="3" s="1"/>
  <c r="DDC28" i="3" a="1"/>
  <c r="DDC28" i="3" s="1"/>
  <c r="DCW28" i="3" a="1"/>
  <c r="DCW28" i="3" s="1"/>
  <c r="DCQ28" i="3" a="1"/>
  <c r="DCQ28" i="3" s="1"/>
  <c r="DCK28" i="3" a="1"/>
  <c r="DCK28" i="3" s="1"/>
  <c r="DCE28" i="3" a="1"/>
  <c r="DCE28" i="3" s="1"/>
  <c r="DBY28" i="3" a="1"/>
  <c r="DBY28" i="3" s="1"/>
  <c r="DBS28" i="3" a="1"/>
  <c r="DBS28" i="3" s="1"/>
  <c r="DBM28" i="3" a="1"/>
  <c r="DBM28" i="3" s="1"/>
  <c r="DBG28" i="3" a="1"/>
  <c r="DBG28" i="3" s="1"/>
  <c r="DBA28" i="3" a="1"/>
  <c r="DBA28" i="3" s="1"/>
  <c r="DAU28" i="3" a="1"/>
  <c r="DAU28" i="3" s="1"/>
  <c r="DAO28" i="3" a="1"/>
  <c r="DAO28" i="3" s="1"/>
  <c r="DAI28" i="3" a="1"/>
  <c r="DAI28" i="3" s="1"/>
  <c r="DAC28" i="3" a="1"/>
  <c r="DAC28" i="3" s="1"/>
  <c r="CZW28" i="3" a="1"/>
  <c r="CZW28" i="3" s="1"/>
  <c r="CZQ28" i="3" a="1"/>
  <c r="CZQ28" i="3" s="1"/>
  <c r="CZK28" i="3" a="1"/>
  <c r="CZK28" i="3" s="1"/>
  <c r="CZE28" i="3" a="1"/>
  <c r="CZE28" i="3" s="1"/>
  <c r="CYY28" i="3" a="1"/>
  <c r="CYY28" i="3" s="1"/>
  <c r="CYS28" i="3" a="1"/>
  <c r="CYS28" i="3" s="1"/>
  <c r="CYM28" i="3" a="1"/>
  <c r="CYM28" i="3" s="1"/>
  <c r="CYG28" i="3" a="1"/>
  <c r="CYG28" i="3" s="1"/>
  <c r="CYA28" i="3" a="1"/>
  <c r="CYA28" i="3" s="1"/>
  <c r="CXU28" i="3" a="1"/>
  <c r="CXU28" i="3" s="1"/>
  <c r="CXO28" i="3" a="1"/>
  <c r="CXO28" i="3" s="1"/>
  <c r="CXI28" i="3" a="1"/>
  <c r="CXI28" i="3" s="1"/>
  <c r="CXC28" i="3" a="1"/>
  <c r="CXC28" i="3" s="1"/>
  <c r="CWW28" i="3" a="1"/>
  <c r="CWW28" i="3" s="1"/>
  <c r="CWQ28" i="3" a="1"/>
  <c r="CWQ28" i="3" s="1"/>
  <c r="CWK28" i="3" a="1"/>
  <c r="CWK28" i="3" s="1"/>
  <c r="CWE28" i="3" a="1"/>
  <c r="CWE28" i="3" s="1"/>
  <c r="CVY28" i="3" a="1"/>
  <c r="CVY28" i="3" s="1"/>
  <c r="CVS28" i="3" a="1"/>
  <c r="CVS28" i="3" s="1"/>
  <c r="CVM28" i="3" a="1"/>
  <c r="CVM28" i="3" s="1"/>
  <c r="CVG28" i="3" a="1"/>
  <c r="CVG28" i="3" s="1"/>
  <c r="CVA28" i="3" a="1"/>
  <c r="CVA28" i="3" s="1"/>
  <c r="CUU28" i="3" a="1"/>
  <c r="CUU28" i="3" s="1"/>
  <c r="CUO28" i="3" a="1"/>
  <c r="CUO28" i="3" s="1"/>
  <c r="CUI28" i="3" a="1"/>
  <c r="CUI28" i="3" s="1"/>
  <c r="CUC28" i="3" a="1"/>
  <c r="CUC28" i="3" s="1"/>
  <c r="CTW28" i="3" a="1"/>
  <c r="CTW28" i="3" s="1"/>
  <c r="CTQ28" i="3" a="1"/>
  <c r="CTQ28" i="3" s="1"/>
  <c r="CTK28" i="3" a="1"/>
  <c r="CTK28" i="3" s="1"/>
  <c r="CTE28" i="3" a="1"/>
  <c r="CTE28" i="3" s="1"/>
  <c r="CSY28" i="3" a="1"/>
  <c r="CSY28" i="3" s="1"/>
  <c r="CSS28" i="3" a="1"/>
  <c r="CSS28" i="3" s="1"/>
  <c r="CSM28" i="3" a="1"/>
  <c r="CSM28" i="3" s="1"/>
  <c r="CSG28" i="3" a="1"/>
  <c r="CSG28" i="3" s="1"/>
  <c r="CSA28" i="3" a="1"/>
  <c r="CSA28" i="3" s="1"/>
  <c r="CRU28" i="3" a="1"/>
  <c r="CRU28" i="3" s="1"/>
  <c r="CRO28" i="3" a="1"/>
  <c r="CRO28" i="3" s="1"/>
  <c r="CRI28" i="3" a="1"/>
  <c r="CRI28" i="3" s="1"/>
  <c r="CRC28" i="3" a="1"/>
  <c r="CRC28" i="3" s="1"/>
  <c r="CQW28" i="3" a="1"/>
  <c r="CQW28" i="3" s="1"/>
  <c r="CQQ28" i="3" a="1"/>
  <c r="CQQ28" i="3" s="1"/>
  <c r="CQK28" i="3" a="1"/>
  <c r="CQK28" i="3" s="1"/>
  <c r="CQE28" i="3" a="1"/>
  <c r="CQE28" i="3" s="1"/>
  <c r="CPY28" i="3" a="1"/>
  <c r="CPY28" i="3" s="1"/>
  <c r="CPS28" i="3" a="1"/>
  <c r="CPS28" i="3" s="1"/>
  <c r="CPM28" i="3" a="1"/>
  <c r="CPM28" i="3" s="1"/>
  <c r="CPG28" i="3" a="1"/>
  <c r="CPG28" i="3" s="1"/>
  <c r="CPA28" i="3" a="1"/>
  <c r="CPA28" i="3" s="1"/>
  <c r="COU28" i="3" a="1"/>
  <c r="COU28" i="3" s="1"/>
  <c r="COO28" i="3" a="1"/>
  <c r="COO28" i="3" s="1"/>
  <c r="COI28" i="3" a="1"/>
  <c r="COI28" i="3" s="1"/>
  <c r="COC28" i="3" a="1"/>
  <c r="COC28" i="3" s="1"/>
  <c r="CNW28" i="3" a="1"/>
  <c r="CNW28" i="3" s="1"/>
  <c r="CNQ28" i="3" a="1"/>
  <c r="CNQ28" i="3" s="1"/>
  <c r="CNK28" i="3" a="1"/>
  <c r="CNK28" i="3" s="1"/>
  <c r="CNE28" i="3" a="1"/>
  <c r="CNE28" i="3" s="1"/>
  <c r="CMY28" i="3" a="1"/>
  <c r="CMY28" i="3" s="1"/>
  <c r="CMS28" i="3" a="1"/>
  <c r="CMS28" i="3" s="1"/>
  <c r="CMM28" i="3" a="1"/>
  <c r="CMM28" i="3" s="1"/>
  <c r="CMG28" i="3" a="1"/>
  <c r="CMG28" i="3" s="1"/>
  <c r="CMA28" i="3" a="1"/>
  <c r="CMA28" i="3" s="1"/>
  <c r="CLU28" i="3" a="1"/>
  <c r="CLU28" i="3" s="1"/>
  <c r="CLO28" i="3" a="1"/>
  <c r="CLO28" i="3" s="1"/>
  <c r="CLI28" i="3" a="1"/>
  <c r="CLI28" i="3" s="1"/>
  <c r="CLC28" i="3" a="1"/>
  <c r="CLC28" i="3" s="1"/>
  <c r="CKW28" i="3" a="1"/>
  <c r="CKW28" i="3" s="1"/>
  <c r="CKQ28" i="3" a="1"/>
  <c r="CKQ28" i="3" s="1"/>
  <c r="CKK28" i="3" a="1"/>
  <c r="CKK28" i="3" s="1"/>
  <c r="CKE28" i="3" a="1"/>
  <c r="CKE28" i="3" s="1"/>
  <c r="CJY28" i="3" a="1"/>
  <c r="CJY28" i="3" s="1"/>
  <c r="CJS28" i="3" a="1"/>
  <c r="CJS28" i="3" s="1"/>
  <c r="CJM28" i="3" a="1"/>
  <c r="CJM28" i="3" s="1"/>
  <c r="CJG28" i="3" a="1"/>
  <c r="CJG28" i="3" s="1"/>
  <c r="CJA28" i="3" a="1"/>
  <c r="CJA28" i="3" s="1"/>
  <c r="CIU28" i="3" a="1"/>
  <c r="CIU28" i="3" s="1"/>
  <c r="CIO28" i="3" a="1"/>
  <c r="CIO28" i="3" s="1"/>
  <c r="CII28" i="3" a="1"/>
  <c r="CII28" i="3" s="1"/>
  <c r="CIC28" i="3" a="1"/>
  <c r="CIC28" i="3" s="1"/>
  <c r="CHW28" i="3" a="1"/>
  <c r="CHW28" i="3" s="1"/>
  <c r="CHQ28" i="3" a="1"/>
  <c r="CHQ28" i="3" s="1"/>
  <c r="CHK28" i="3" a="1"/>
  <c r="CHK28" i="3" s="1"/>
  <c r="CHE28" i="3" a="1"/>
  <c r="CHE28" i="3" s="1"/>
  <c r="CGY28" i="3" a="1"/>
  <c r="CGY28" i="3" s="1"/>
  <c r="CGS28" i="3" a="1"/>
  <c r="CGS28" i="3" s="1"/>
  <c r="CGM28" i="3" a="1"/>
  <c r="CGM28" i="3" s="1"/>
  <c r="CGG28" i="3" a="1"/>
  <c r="CGG28" i="3" s="1"/>
  <c r="CGA28" i="3" a="1"/>
  <c r="CGA28" i="3" s="1"/>
  <c r="CFU28" i="3" a="1"/>
  <c r="CFU28" i="3" s="1"/>
  <c r="CFO28" i="3" a="1"/>
  <c r="CFO28" i="3" s="1"/>
  <c r="CFI28" i="3" a="1"/>
  <c r="CFI28" i="3" s="1"/>
  <c r="CFC28" i="3" a="1"/>
  <c r="CFC28" i="3" s="1"/>
  <c r="CEW28" i="3" a="1"/>
  <c r="CEW28" i="3" s="1"/>
  <c r="CEQ28" i="3" a="1"/>
  <c r="CEQ28" i="3" s="1"/>
  <c r="CEK28" i="3" a="1"/>
  <c r="CEK28" i="3" s="1"/>
  <c r="CEE28" i="3" a="1"/>
  <c r="CEE28" i="3" s="1"/>
  <c r="CDY28" i="3" a="1"/>
  <c r="CDY28" i="3" s="1"/>
  <c r="CDS28" i="3" a="1"/>
  <c r="CDS28" i="3" s="1"/>
  <c r="CDM28" i="3" a="1"/>
  <c r="CDM28" i="3" s="1"/>
  <c r="CDG28" i="3" a="1"/>
  <c r="CDG28" i="3" s="1"/>
  <c r="CDA28" i="3" a="1"/>
  <c r="CDA28" i="3" s="1"/>
  <c r="CCU28" i="3" a="1"/>
  <c r="CCU28" i="3" s="1"/>
  <c r="CCO28" i="3" a="1"/>
  <c r="CCO28" i="3" s="1"/>
  <c r="CCI28" i="3" a="1"/>
  <c r="CCI28" i="3" s="1"/>
  <c r="CCC28" i="3" a="1"/>
  <c r="CCC28" i="3" s="1"/>
  <c r="CBW28" i="3" a="1"/>
  <c r="CBW28" i="3" s="1"/>
  <c r="CBQ28" i="3" a="1"/>
  <c r="CBQ28" i="3" s="1"/>
  <c r="CBK28" i="3" a="1"/>
  <c r="CBK28" i="3" s="1"/>
  <c r="CBE28" i="3" a="1"/>
  <c r="CBE28" i="3" s="1"/>
  <c r="CAY28" i="3" a="1"/>
  <c r="CAY28" i="3" s="1"/>
  <c r="CAS28" i="3" a="1"/>
  <c r="CAS28" i="3" s="1"/>
  <c r="CAM28" i="3" a="1"/>
  <c r="CAM28" i="3" s="1"/>
  <c r="CAG28" i="3" a="1"/>
  <c r="CAG28" i="3" s="1"/>
  <c r="CAA28" i="3" a="1"/>
  <c r="CAA28" i="3" s="1"/>
  <c r="BZU28" i="3" a="1"/>
  <c r="BZU28" i="3" s="1"/>
  <c r="BZO28" i="3" a="1"/>
  <c r="BZO28" i="3" s="1"/>
  <c r="BZI28" i="3" a="1"/>
  <c r="BZI28" i="3" s="1"/>
  <c r="BZC28" i="3" a="1"/>
  <c r="BZC28" i="3" s="1"/>
  <c r="BYW28" i="3" a="1"/>
  <c r="BYW28" i="3" s="1"/>
  <c r="BYQ28" i="3" a="1"/>
  <c r="BYQ28" i="3" s="1"/>
  <c r="BYK28" i="3" a="1"/>
  <c r="BYK28" i="3" s="1"/>
  <c r="BYE28" i="3" a="1"/>
  <c r="BYE28" i="3" s="1"/>
  <c r="BXY28" i="3" a="1"/>
  <c r="BXY28" i="3" s="1"/>
  <c r="BXS28" i="3" a="1"/>
  <c r="BXS28" i="3" s="1"/>
  <c r="BXM28" i="3" a="1"/>
  <c r="BXM28" i="3" s="1"/>
  <c r="BXG28" i="3" a="1"/>
  <c r="BXG28" i="3" s="1"/>
  <c r="BXA28" i="3" a="1"/>
  <c r="BXA28" i="3" s="1"/>
  <c r="BWU28" i="3" a="1"/>
  <c r="BWU28" i="3" s="1"/>
  <c r="BWO28" i="3" a="1"/>
  <c r="BWO28" i="3" s="1"/>
  <c r="BWI28" i="3" a="1"/>
  <c r="BWI28" i="3" s="1"/>
  <c r="BWC28" i="3" a="1"/>
  <c r="BWC28" i="3" s="1"/>
  <c r="BVW28" i="3" a="1"/>
  <c r="BVW28" i="3" s="1"/>
  <c r="BVQ28" i="3" a="1"/>
  <c r="BVQ28" i="3" s="1"/>
  <c r="BVK28" i="3" a="1"/>
  <c r="BVK28" i="3" s="1"/>
  <c r="BVE28" i="3" a="1"/>
  <c r="BVE28" i="3" s="1"/>
  <c r="BUY28" i="3" a="1"/>
  <c r="BUY28" i="3" s="1"/>
  <c r="BUS28" i="3" a="1"/>
  <c r="BUS28" i="3" s="1"/>
  <c r="BUM28" i="3" a="1"/>
  <c r="BUM28" i="3" s="1"/>
  <c r="BUG28" i="3" a="1"/>
  <c r="BUG28" i="3" s="1"/>
  <c r="BUA28" i="3" a="1"/>
  <c r="BUA28" i="3" s="1"/>
  <c r="BTU28" i="3" a="1"/>
  <c r="BTU28" i="3" s="1"/>
  <c r="BTO28" i="3" a="1"/>
  <c r="BTO28" i="3" s="1"/>
  <c r="BTI28" i="3" a="1"/>
  <c r="BTI28" i="3" s="1"/>
  <c r="BTC28" i="3" a="1"/>
  <c r="BTC28" i="3" s="1"/>
  <c r="BSW28" i="3" a="1"/>
  <c r="BSW28" i="3" s="1"/>
  <c r="BSQ28" i="3" a="1"/>
  <c r="BSQ28" i="3" s="1"/>
  <c r="BSK28" i="3" a="1"/>
  <c r="BSK28" i="3" s="1"/>
  <c r="BSE28" i="3" a="1"/>
  <c r="BSE28" i="3" s="1"/>
  <c r="BRY28" i="3" a="1"/>
  <c r="BRY28" i="3" s="1"/>
  <c r="BRS28" i="3" a="1"/>
  <c r="BRS28" i="3" s="1"/>
  <c r="BRM28" i="3" a="1"/>
  <c r="BRM28" i="3" s="1"/>
  <c r="BRG28" i="3" a="1"/>
  <c r="BRG28" i="3" s="1"/>
  <c r="BRA28" i="3" a="1"/>
  <c r="BRA28" i="3" s="1"/>
  <c r="BQU28" i="3" a="1"/>
  <c r="BQU28" i="3" s="1"/>
  <c r="BQO28" i="3" a="1"/>
  <c r="BQO28" i="3" s="1"/>
  <c r="BQI28" i="3" a="1"/>
  <c r="BQI28" i="3" s="1"/>
  <c r="BQC28" i="3" a="1"/>
  <c r="BQC28" i="3" s="1"/>
  <c r="BPW28" i="3" a="1"/>
  <c r="BPW28" i="3" s="1"/>
  <c r="BPQ28" i="3" a="1"/>
  <c r="BPQ28" i="3" s="1"/>
  <c r="BPK28" i="3" a="1"/>
  <c r="BPK28" i="3" s="1"/>
  <c r="BPE28" i="3" a="1"/>
  <c r="BPE28" i="3" s="1"/>
  <c r="BOY28" i="3" a="1"/>
  <c r="BOY28" i="3" s="1"/>
  <c r="BOS28" i="3" a="1"/>
  <c r="BOS28" i="3" s="1"/>
  <c r="BOM28" i="3" a="1"/>
  <c r="BOM28" i="3" s="1"/>
  <c r="BOG28" i="3" a="1"/>
  <c r="BOG28" i="3" s="1"/>
  <c r="BOA28" i="3" a="1"/>
  <c r="BOA28" i="3" s="1"/>
  <c r="BNU28" i="3" a="1"/>
  <c r="BNU28" i="3" s="1"/>
  <c r="BNO28" i="3" a="1"/>
  <c r="BNO28" i="3" s="1"/>
  <c r="BNI28" i="3" a="1"/>
  <c r="BNI28" i="3" s="1"/>
  <c r="BNC28" i="3" a="1"/>
  <c r="BNC28" i="3" s="1"/>
  <c r="BMW28" i="3" a="1"/>
  <c r="BMW28" i="3" s="1"/>
  <c r="BMQ28" i="3" a="1"/>
  <c r="BMQ28" i="3" s="1"/>
  <c r="BMK28" i="3" a="1"/>
  <c r="BMK28" i="3" s="1"/>
  <c r="BME28" i="3" a="1"/>
  <c r="BME28" i="3" s="1"/>
  <c r="BLY28" i="3" a="1"/>
  <c r="BLY28" i="3" s="1"/>
  <c r="BLS28" i="3" a="1"/>
  <c r="BLS28" i="3" s="1"/>
  <c r="BLM28" i="3" a="1"/>
  <c r="BLM28" i="3" s="1"/>
  <c r="BLG28" i="3" a="1"/>
  <c r="BLG28" i="3" s="1"/>
  <c r="BLA28" i="3" a="1"/>
  <c r="BLA28" i="3" s="1"/>
  <c r="BKU28" i="3" a="1"/>
  <c r="BKU28" i="3" s="1"/>
  <c r="BKO28" i="3" a="1"/>
  <c r="BKO28" i="3" s="1"/>
  <c r="BKI28" i="3" a="1"/>
  <c r="BKI28" i="3" s="1"/>
  <c r="BKC28" i="3" a="1"/>
  <c r="BKC28" i="3" s="1"/>
  <c r="BJW28" i="3" a="1"/>
  <c r="BJW28" i="3" s="1"/>
  <c r="BJQ28" i="3" a="1"/>
  <c r="BJQ28" i="3" s="1"/>
  <c r="BJK28" i="3" a="1"/>
  <c r="BJK28" i="3" s="1"/>
  <c r="BJE28" i="3" a="1"/>
  <c r="BJE28" i="3" s="1"/>
  <c r="BIY28" i="3" a="1"/>
  <c r="BIY28" i="3" s="1"/>
  <c r="BIS28" i="3" a="1"/>
  <c r="BIS28" i="3" s="1"/>
  <c r="BIM28" i="3" a="1"/>
  <c r="BIM28" i="3" s="1"/>
  <c r="BIG28" i="3" a="1"/>
  <c r="BIG28" i="3" s="1"/>
  <c r="BIA28" i="3" a="1"/>
  <c r="BIA28" i="3" s="1"/>
  <c r="BHU28" i="3" a="1"/>
  <c r="BHU28" i="3" s="1"/>
  <c r="BHO28" i="3" a="1"/>
  <c r="BHO28" i="3" s="1"/>
  <c r="BHI28" i="3" a="1"/>
  <c r="BHI28" i="3" s="1"/>
  <c r="BHC28" i="3" a="1"/>
  <c r="BHC28" i="3" s="1"/>
  <c r="BGW28" i="3" a="1"/>
  <c r="BGW28" i="3" s="1"/>
  <c r="BGQ28" i="3" a="1"/>
  <c r="BGQ28" i="3" s="1"/>
  <c r="BGK28" i="3" a="1"/>
  <c r="BGK28" i="3" s="1"/>
  <c r="BGE28" i="3" a="1"/>
  <c r="BGE28" i="3" s="1"/>
  <c r="BFY28" i="3" a="1"/>
  <c r="BFY28" i="3" s="1"/>
  <c r="BFS28" i="3" a="1"/>
  <c r="BFS28" i="3" s="1"/>
  <c r="BFM28" i="3" a="1"/>
  <c r="BFM28" i="3" s="1"/>
  <c r="BFG28" i="3" a="1"/>
  <c r="BFG28" i="3" s="1"/>
  <c r="BFA28" i="3" a="1"/>
  <c r="BFA28" i="3" s="1"/>
  <c r="BEU28" i="3" a="1"/>
  <c r="BEU28" i="3" s="1"/>
  <c r="BEO28" i="3" a="1"/>
  <c r="BEO28" i="3" s="1"/>
  <c r="BEI28" i="3" a="1"/>
  <c r="BEI28" i="3" s="1"/>
  <c r="BEC28" i="3" a="1"/>
  <c r="BEC28" i="3" s="1"/>
  <c r="BDW28" i="3" a="1"/>
  <c r="BDW28" i="3" s="1"/>
  <c r="BDQ28" i="3" a="1"/>
  <c r="BDQ28" i="3" s="1"/>
  <c r="BDK28" i="3" a="1"/>
  <c r="BDK28" i="3" s="1"/>
  <c r="BDE28" i="3" a="1"/>
  <c r="BDE28" i="3" s="1"/>
  <c r="BCY28" i="3" a="1"/>
  <c r="BCY28" i="3" s="1"/>
  <c r="BCS28" i="3" a="1"/>
  <c r="BCS28" i="3" s="1"/>
  <c r="BCM28" i="3" a="1"/>
  <c r="BCM28" i="3" s="1"/>
  <c r="BCG28" i="3" a="1"/>
  <c r="BCG28" i="3" s="1"/>
  <c r="BCA28" i="3" a="1"/>
  <c r="BCA28" i="3" s="1"/>
  <c r="BBU28" i="3" a="1"/>
  <c r="BBU28" i="3" s="1"/>
  <c r="BBO28" i="3" a="1"/>
  <c r="BBO28" i="3" s="1"/>
  <c r="BBI28" i="3" a="1"/>
  <c r="BBI28" i="3" s="1"/>
  <c r="BBC28" i="3" a="1"/>
  <c r="BBC28" i="3" s="1"/>
  <c r="BAW28" i="3" a="1"/>
  <c r="BAW28" i="3" s="1"/>
  <c r="BAQ28" i="3" a="1"/>
  <c r="BAQ28" i="3" s="1"/>
  <c r="BAK28" i="3" a="1"/>
  <c r="BAK28" i="3" s="1"/>
  <c r="BAE28" i="3" a="1"/>
  <c r="BAE28" i="3" s="1"/>
  <c r="AZY28" i="3" a="1"/>
  <c r="AZY28" i="3" s="1"/>
  <c r="AZS28" i="3" a="1"/>
  <c r="AZS28" i="3" s="1"/>
  <c r="AZM28" i="3" a="1"/>
  <c r="AZM28" i="3" s="1"/>
  <c r="AZG28" i="3" a="1"/>
  <c r="AZG28" i="3" s="1"/>
  <c r="AZA28" i="3" a="1"/>
  <c r="AZA28" i="3" s="1"/>
  <c r="AYU28" i="3" a="1"/>
  <c r="AYU28" i="3" s="1"/>
  <c r="AYO28" i="3" a="1"/>
  <c r="AYO28" i="3" s="1"/>
  <c r="AYI28" i="3" a="1"/>
  <c r="AYI28" i="3" s="1"/>
  <c r="AYC28" i="3" a="1"/>
  <c r="AYC28" i="3" s="1"/>
  <c r="AXW28" i="3" a="1"/>
  <c r="AXW28" i="3" s="1"/>
  <c r="AXQ28" i="3" a="1"/>
  <c r="AXQ28" i="3" s="1"/>
  <c r="AXK28" i="3" a="1"/>
  <c r="AXK28" i="3" s="1"/>
  <c r="AXE28" i="3" a="1"/>
  <c r="AXE28" i="3" s="1"/>
  <c r="AWY28" i="3" a="1"/>
  <c r="AWY28" i="3" s="1"/>
  <c r="AWS28" i="3" a="1"/>
  <c r="AWS28" i="3" s="1"/>
  <c r="AWM28" i="3" a="1"/>
  <c r="AWM28" i="3" s="1"/>
  <c r="AWG28" i="3" a="1"/>
  <c r="AWG28" i="3" s="1"/>
  <c r="AWA28" i="3" a="1"/>
  <c r="AWA28" i="3" s="1"/>
  <c r="AVU28" i="3" a="1"/>
  <c r="AVU28" i="3" s="1"/>
  <c r="AVO28" i="3" a="1"/>
  <c r="AVO28" i="3" s="1"/>
  <c r="AVI28" i="3" a="1"/>
  <c r="AVI28" i="3" s="1"/>
  <c r="AVC28" i="3" a="1"/>
  <c r="AVC28" i="3" s="1"/>
  <c r="AUW28" i="3" a="1"/>
  <c r="AUW28" i="3" s="1"/>
  <c r="AUQ28" i="3" a="1"/>
  <c r="AUQ28" i="3" s="1"/>
  <c r="AUK28" i="3" a="1"/>
  <c r="AUK28" i="3" s="1"/>
  <c r="AUE28" i="3" a="1"/>
  <c r="AUE28" i="3" s="1"/>
  <c r="ATY28" i="3" a="1"/>
  <c r="ATY28" i="3" s="1"/>
  <c r="ATS28" i="3" a="1"/>
  <c r="ATS28" i="3" s="1"/>
  <c r="ATM28" i="3" a="1"/>
  <c r="ATM28" i="3" s="1"/>
  <c r="ATG28" i="3" a="1"/>
  <c r="ATG28" i="3" s="1"/>
  <c r="ATA28" i="3" a="1"/>
  <c r="ATA28" i="3" s="1"/>
  <c r="ASU28" i="3" a="1"/>
  <c r="ASU28" i="3" s="1"/>
  <c r="ASO28" i="3" a="1"/>
  <c r="ASO28" i="3" s="1"/>
  <c r="ASI28" i="3" a="1"/>
  <c r="ASI28" i="3" s="1"/>
  <c r="ASC28" i="3" a="1"/>
  <c r="ASC28" i="3" s="1"/>
  <c r="ARW28" i="3" a="1"/>
  <c r="ARW28" i="3" s="1"/>
  <c r="ARQ28" i="3" a="1"/>
  <c r="ARQ28" i="3" s="1"/>
  <c r="ARK28" i="3" a="1"/>
  <c r="ARK28" i="3" s="1"/>
  <c r="ARE28" i="3" a="1"/>
  <c r="ARE28" i="3" s="1"/>
  <c r="AQY28" i="3" a="1"/>
  <c r="AQY28" i="3" s="1"/>
  <c r="AQS28" i="3" a="1"/>
  <c r="AQS28" i="3" s="1"/>
  <c r="AQM28" i="3" a="1"/>
  <c r="AQM28" i="3" s="1"/>
  <c r="AQG28" i="3" a="1"/>
  <c r="AQG28" i="3" s="1"/>
  <c r="AQA28" i="3" a="1"/>
  <c r="AQA28" i="3" s="1"/>
  <c r="APU28" i="3" a="1"/>
  <c r="APU28" i="3" s="1"/>
  <c r="APO28" i="3" a="1"/>
  <c r="APO28" i="3" s="1"/>
  <c r="API28" i="3" a="1"/>
  <c r="API28" i="3" s="1"/>
  <c r="APC28" i="3" a="1"/>
  <c r="APC28" i="3" s="1"/>
  <c r="AOW28" i="3" a="1"/>
  <c r="AOW28" i="3" s="1"/>
  <c r="AOQ28" i="3" a="1"/>
  <c r="AOQ28" i="3" s="1"/>
  <c r="AOK28" i="3" a="1"/>
  <c r="AOK28" i="3" s="1"/>
  <c r="AOE28" i="3" a="1"/>
  <c r="AOE28" i="3" s="1"/>
  <c r="ANY28" i="3" a="1"/>
  <c r="ANY28" i="3" s="1"/>
  <c r="ANS28" i="3" a="1"/>
  <c r="ANS28" i="3" s="1"/>
  <c r="ANM28" i="3" a="1"/>
  <c r="ANM28" i="3" s="1"/>
  <c r="ANG28" i="3" a="1"/>
  <c r="ANG28" i="3" s="1"/>
  <c r="ANA28" i="3" a="1"/>
  <c r="ANA28" i="3" s="1"/>
  <c r="AMU28" i="3" a="1"/>
  <c r="AMU28" i="3" s="1"/>
  <c r="AMO28" i="3" a="1"/>
  <c r="AMO28" i="3" s="1"/>
  <c r="AMI28" i="3" a="1"/>
  <c r="AMI28" i="3" s="1"/>
  <c r="AMC28" i="3" a="1"/>
  <c r="AMC28" i="3" s="1"/>
  <c r="ALW28" i="3" a="1"/>
  <c r="ALW28" i="3" s="1"/>
  <c r="ALQ28" i="3" a="1"/>
  <c r="ALQ28" i="3" s="1"/>
  <c r="ALK28" i="3" a="1"/>
  <c r="ALK28" i="3" s="1"/>
  <c r="ALE28" i="3" a="1"/>
  <c r="ALE28" i="3" s="1"/>
  <c r="AKY28" i="3" a="1"/>
  <c r="AKY28" i="3" s="1"/>
  <c r="AKS28" i="3" a="1"/>
  <c r="AKS28" i="3" s="1"/>
  <c r="AKM28" i="3" a="1"/>
  <c r="AKM28" i="3" s="1"/>
  <c r="AKG28" i="3" a="1"/>
  <c r="AKG28" i="3" s="1"/>
  <c r="AKA28" i="3" a="1"/>
  <c r="AKA28" i="3" s="1"/>
  <c r="AJU28" i="3" a="1"/>
  <c r="AJU28" i="3" s="1"/>
  <c r="AJO28" i="3" a="1"/>
  <c r="AJO28" i="3" s="1"/>
  <c r="AJI28" i="3" a="1"/>
  <c r="AJI28" i="3" s="1"/>
  <c r="AJC28" i="3" a="1"/>
  <c r="AJC28" i="3" s="1"/>
  <c r="AIW28" i="3" a="1"/>
  <c r="AIW28" i="3" s="1"/>
  <c r="AIQ28" i="3" a="1"/>
  <c r="AIQ28" i="3" s="1"/>
  <c r="AIK28" i="3" a="1"/>
  <c r="AIK28" i="3" s="1"/>
  <c r="AIE28" i="3" a="1"/>
  <c r="AIE28" i="3" s="1"/>
  <c r="AHY28" i="3" a="1"/>
  <c r="AHY28" i="3" s="1"/>
  <c r="AHS28" i="3" a="1"/>
  <c r="AHS28" i="3" s="1"/>
  <c r="AHM28" i="3" a="1"/>
  <c r="AHM28" i="3" s="1"/>
  <c r="AHG28" i="3" a="1"/>
  <c r="AHG28" i="3" s="1"/>
  <c r="AHA28" i="3" a="1"/>
  <c r="AHA28" i="3" s="1"/>
  <c r="AGU28" i="3" a="1"/>
  <c r="AGU28" i="3" s="1"/>
  <c r="AGO28" i="3" a="1"/>
  <c r="AGO28" i="3" s="1"/>
  <c r="AGI28" i="3" a="1"/>
  <c r="AGI28" i="3" s="1"/>
  <c r="AGC28" i="3" a="1"/>
  <c r="AGC28" i="3" s="1"/>
  <c r="AFW28" i="3" a="1"/>
  <c r="AFW28" i="3" s="1"/>
  <c r="AFQ28" i="3" a="1"/>
  <c r="AFQ28" i="3" s="1"/>
  <c r="AFK28" i="3" a="1"/>
  <c r="AFK28" i="3" s="1"/>
  <c r="AFE28" i="3" a="1"/>
  <c r="AFE28" i="3" s="1"/>
  <c r="AEY28" i="3" a="1"/>
  <c r="AEY28" i="3" s="1"/>
  <c r="AES28" i="3" a="1"/>
  <c r="AES28" i="3" s="1"/>
  <c r="AEM28" i="3" a="1"/>
  <c r="AEM28" i="3" s="1"/>
  <c r="OTS28" i="3" a="1"/>
  <c r="OTS28" i="3" s="1"/>
  <c r="MWM28" i="3" a="1"/>
  <c r="MWM28" i="3" s="1"/>
  <c r="MCI28" i="3" a="1"/>
  <c r="MCI28" i="3" s="1"/>
  <c r="LRB28" i="3" a="1"/>
  <c r="LRB28" i="3" s="1"/>
  <c r="LGP28" i="3" a="1"/>
  <c r="LGP28" i="3" s="1"/>
  <c r="JMG28" i="3" a="1"/>
  <c r="JMG28" i="3" s="1"/>
  <c r="JIA28" i="3" a="1"/>
  <c r="JIA28" i="3" s="1"/>
  <c r="JDW28" i="3" a="1"/>
  <c r="JDW28" i="3" s="1"/>
  <c r="IZS28" i="3" a="1"/>
  <c r="IZS28" i="3" s="1"/>
  <c r="IVP28" i="3" a="1"/>
  <c r="IVP28" i="3" s="1"/>
  <c r="ISA28" i="3" a="1"/>
  <c r="ISA28" i="3" s="1"/>
  <c r="ILI28" i="3" a="1"/>
  <c r="ILI28" i="3" s="1"/>
  <c r="IGC28" i="3" a="1"/>
  <c r="IGC28" i="3" s="1"/>
  <c r="IDS28" i="3" a="1"/>
  <c r="IDS28" i="3" s="1"/>
  <c r="IBL28" i="3" a="1"/>
  <c r="IBL28" i="3" s="1"/>
  <c r="HKV28" i="3" a="1"/>
  <c r="HKV28" i="3" s="1"/>
  <c r="HHO28" i="3" a="1"/>
  <c r="HHO28" i="3" s="1"/>
  <c r="HCN28" i="3" a="1"/>
  <c r="HCN28" i="3" s="1"/>
  <c r="GZG28" i="3" a="1"/>
  <c r="GZG28" i="3" s="1"/>
  <c r="GUF28" i="3" a="1"/>
  <c r="GUF28" i="3" s="1"/>
  <c r="GQY28" i="3" a="1"/>
  <c r="GQY28" i="3" s="1"/>
  <c r="GLX28" i="3" a="1"/>
  <c r="GLX28" i="3" s="1"/>
  <c r="GIQ28" i="3" a="1"/>
  <c r="GIQ28" i="3" s="1"/>
  <c r="GDP28" i="3" a="1"/>
  <c r="GDP28" i="3" s="1"/>
  <c r="GAI28" i="3" a="1"/>
  <c r="GAI28" i="3" s="1"/>
  <c r="FVH28" i="3" a="1"/>
  <c r="FVH28" i="3" s="1"/>
  <c r="FSA28" i="3" a="1"/>
  <c r="FSA28" i="3" s="1"/>
  <c r="FMZ28" i="3" a="1"/>
  <c r="FMZ28" i="3" s="1"/>
  <c r="EMW28" i="3" a="1"/>
  <c r="EMW28" i="3" s="1"/>
  <c r="EKU28" i="3" a="1"/>
  <c r="EKU28" i="3" s="1"/>
  <c r="EIS28" i="3" a="1"/>
  <c r="EIS28" i="3" s="1"/>
  <c r="EHT28" i="3" a="1"/>
  <c r="EHT28" i="3" s="1"/>
  <c r="EDP28" i="3" a="1"/>
  <c r="EDP28" i="3" s="1"/>
  <c r="DXW28" i="3" a="1"/>
  <c r="DXW28" i="3" s="1"/>
  <c r="DVU28" i="3" a="1"/>
  <c r="DVU28" i="3" s="1"/>
  <c r="DSW28" i="3" a="1"/>
  <c r="DSW28" i="3" s="1"/>
  <c r="DSB28" i="3" a="1"/>
  <c r="DSB28" i="3" s="1"/>
  <c r="DRQ28" i="3" a="1"/>
  <c r="DRQ28" i="3" s="1"/>
  <c r="DRH28" i="3" a="1"/>
  <c r="DRH28" i="3" s="1"/>
  <c r="DQP28" i="3" a="1"/>
  <c r="DQP28" i="3" s="1"/>
  <c r="DPX28" i="3" a="1"/>
  <c r="DPX28" i="3" s="1"/>
  <c r="DPF28" i="3" a="1"/>
  <c r="DPF28" i="3" s="1"/>
  <c r="DON28" i="3" a="1"/>
  <c r="DON28" i="3" s="1"/>
  <c r="DNV28" i="3" a="1"/>
  <c r="DNV28" i="3" s="1"/>
  <c r="DND28" i="3" a="1"/>
  <c r="DND28" i="3" s="1"/>
  <c r="DML28" i="3" a="1"/>
  <c r="DML28" i="3" s="1"/>
  <c r="DLT28" i="3" a="1"/>
  <c r="DLT28" i="3" s="1"/>
  <c r="DLK28" i="3" a="1"/>
  <c r="DLK28" i="3" s="1"/>
  <c r="DLC28" i="3" a="1"/>
  <c r="DLC28" i="3" s="1"/>
  <c r="DKU28" i="3" a="1"/>
  <c r="DKU28" i="3" s="1"/>
  <c r="DKM28" i="3" a="1"/>
  <c r="DKM28" i="3" s="1"/>
  <c r="DKE28" i="3" a="1"/>
  <c r="DKE28" i="3" s="1"/>
  <c r="DJW28" i="3" a="1"/>
  <c r="DJW28" i="3" s="1"/>
  <c r="DJO28" i="3" a="1"/>
  <c r="DJO28" i="3" s="1"/>
  <c r="DJG28" i="3" a="1"/>
  <c r="DJG28" i="3" s="1"/>
  <c r="DIY28" i="3" a="1"/>
  <c r="DIY28" i="3" s="1"/>
  <c r="DIQ28" i="3" a="1"/>
  <c r="DIQ28" i="3" s="1"/>
  <c r="DII28" i="3" a="1"/>
  <c r="DII28" i="3" s="1"/>
  <c r="DIA28" i="3" a="1"/>
  <c r="DIA28" i="3" s="1"/>
  <c r="OEW28" i="3" a="1"/>
  <c r="OEW28" i="3" s="1"/>
  <c r="LEI28" i="3" a="1"/>
  <c r="LEI28" i="3" s="1"/>
  <c r="JQF28" i="3" a="1"/>
  <c r="JQF28" i="3" s="1"/>
  <c r="JLG28" i="3" a="1"/>
  <c r="JLG28" i="3" s="1"/>
  <c r="JHC28" i="3" a="1"/>
  <c r="JHC28" i="3" s="1"/>
  <c r="JCY28" i="3" a="1"/>
  <c r="JCY28" i="3" s="1"/>
  <c r="IYU28" i="3" a="1"/>
  <c r="IYU28" i="3" s="1"/>
  <c r="IUU28" i="3" a="1"/>
  <c r="IUU28" i="3" s="1"/>
  <c r="INT28" i="3" a="1"/>
  <c r="INT28" i="3" s="1"/>
  <c r="IKR28" i="3" a="1"/>
  <c r="IKR28" i="3" s="1"/>
  <c r="IIA28" i="3" a="1"/>
  <c r="IIA28" i="3" s="1"/>
  <c r="IDF28" i="3" a="1"/>
  <c r="IDF28" i="3" s="1"/>
  <c r="IAY28" i="3" a="1"/>
  <c r="IAY28" i="3" s="1"/>
  <c r="HYR28" i="3" a="1"/>
  <c r="HYR28" i="3" s="1"/>
  <c r="HME28" i="3" a="1"/>
  <c r="HME28" i="3" s="1"/>
  <c r="HHD28" i="3" a="1"/>
  <c r="HHD28" i="3" s="1"/>
  <c r="HDW28" i="3" a="1"/>
  <c r="HDW28" i="3" s="1"/>
  <c r="GYV28" i="3" a="1"/>
  <c r="GYV28" i="3" s="1"/>
  <c r="GVO28" i="3" a="1"/>
  <c r="GVO28" i="3" s="1"/>
  <c r="GQN28" i="3" a="1"/>
  <c r="GQN28" i="3" s="1"/>
  <c r="GNG28" i="3" a="1"/>
  <c r="GNG28" i="3" s="1"/>
  <c r="GIF28" i="3" a="1"/>
  <c r="GIF28" i="3" s="1"/>
  <c r="GEY28" i="3" a="1"/>
  <c r="GEY28" i="3" s="1"/>
  <c r="FZX28" i="3" a="1"/>
  <c r="FZX28" i="3" s="1"/>
  <c r="FWQ28" i="3" a="1"/>
  <c r="FWQ28" i="3" s="1"/>
  <c r="FRP28" i="3" a="1"/>
  <c r="FRP28" i="3" s="1"/>
  <c r="FOI28" i="3" a="1"/>
  <c r="FOI28" i="3" s="1"/>
  <c r="EOT28" i="3" a="1"/>
  <c r="EOT28" i="3" s="1"/>
  <c r="EMQ28" i="3" a="1"/>
  <c r="EMQ28" i="3" s="1"/>
  <c r="EKO28" i="3" a="1"/>
  <c r="EKO28" i="3" s="1"/>
  <c r="EIM28" i="3" a="1"/>
  <c r="EIM28" i="3" s="1"/>
  <c r="EFZ28" i="3" a="1"/>
  <c r="EFZ28" i="3" s="1"/>
  <c r="EFG28" i="3" a="1"/>
  <c r="EFG28" i="3" s="1"/>
  <c r="EEI28" i="3" a="1"/>
  <c r="EEI28" i="3" s="1"/>
  <c r="EBV28" i="3" a="1"/>
  <c r="EBV28" i="3" s="1"/>
  <c r="EBD28" i="3" a="1"/>
  <c r="EBD28" i="3" s="1"/>
  <c r="EAL28" i="3" a="1"/>
  <c r="EAL28" i="3" s="1"/>
  <c r="DZY28" i="3" a="1"/>
  <c r="DZY28" i="3" s="1"/>
  <c r="DYI28" i="3" a="1"/>
  <c r="DYI28" i="3" s="1"/>
  <c r="DWG28" i="3" a="1"/>
  <c r="DWG28" i="3" s="1"/>
  <c r="DUE28" i="3" a="1"/>
  <c r="DUE28" i="3" s="1"/>
  <c r="DTR28" i="3" a="1"/>
  <c r="DTR28" i="3" s="1"/>
  <c r="DTG28" i="3" a="1"/>
  <c r="DTG28" i="3" s="1"/>
  <c r="DSK28" i="3" a="1"/>
  <c r="DSK28" i="3" s="1"/>
  <c r="DQX28" i="3" a="1"/>
  <c r="DQX28" i="3" s="1"/>
  <c r="DQF28" i="3" a="1"/>
  <c r="DQF28" i="3" s="1"/>
  <c r="DPN28" i="3" a="1"/>
  <c r="DPN28" i="3" s="1"/>
  <c r="DOV28" i="3" a="1"/>
  <c r="DOV28" i="3" s="1"/>
  <c r="DOD28" i="3" a="1"/>
  <c r="DOD28" i="3" s="1"/>
  <c r="DNL28" i="3" a="1"/>
  <c r="DNL28" i="3" s="1"/>
  <c r="DMT28" i="3" a="1"/>
  <c r="DMT28" i="3" s="1"/>
  <c r="DMB28" i="3" a="1"/>
  <c r="DMB28" i="3" s="1"/>
  <c r="DHS28" i="3" a="1"/>
  <c r="DHS28" i="3" s="1"/>
  <c r="DHL28" i="3" a="1"/>
  <c r="DHL28" i="3" s="1"/>
  <c r="DHF28" i="3" a="1"/>
  <c r="DHF28" i="3" s="1"/>
  <c r="DGZ28" i="3" a="1"/>
  <c r="DGZ28" i="3" s="1"/>
  <c r="DGT28" i="3" a="1"/>
  <c r="DGT28" i="3" s="1"/>
  <c r="DGN28" i="3" a="1"/>
  <c r="DGN28" i="3" s="1"/>
  <c r="DGH28" i="3" a="1"/>
  <c r="DGH28" i="3" s="1"/>
  <c r="DGB28" i="3" a="1"/>
  <c r="DGB28" i="3" s="1"/>
  <c r="DFV28" i="3" a="1"/>
  <c r="DFV28" i="3" s="1"/>
  <c r="DFP28" i="3" a="1"/>
  <c r="DFP28" i="3" s="1"/>
  <c r="DFJ28" i="3" a="1"/>
  <c r="DFJ28" i="3" s="1"/>
  <c r="DFD28" i="3" a="1"/>
  <c r="DFD28" i="3" s="1"/>
  <c r="DEX28" i="3" a="1"/>
  <c r="DEX28" i="3" s="1"/>
  <c r="DER28" i="3" a="1"/>
  <c r="DER28" i="3" s="1"/>
  <c r="DEL28" i="3" a="1"/>
  <c r="DEL28" i="3" s="1"/>
  <c r="DEF28" i="3" a="1"/>
  <c r="DEF28" i="3" s="1"/>
  <c r="DDZ28" i="3" a="1"/>
  <c r="DDZ28" i="3" s="1"/>
  <c r="DDT28" i="3" a="1"/>
  <c r="DDT28" i="3" s="1"/>
  <c r="DDN28" i="3" a="1"/>
  <c r="DDN28" i="3" s="1"/>
  <c r="DDH28" i="3" a="1"/>
  <c r="DDH28" i="3" s="1"/>
  <c r="DDB28" i="3" a="1"/>
  <c r="DDB28" i="3" s="1"/>
  <c r="DCV28" i="3" a="1"/>
  <c r="DCV28" i="3" s="1"/>
  <c r="DCP28" i="3" a="1"/>
  <c r="DCP28" i="3" s="1"/>
  <c r="DCJ28" i="3" a="1"/>
  <c r="DCJ28" i="3" s="1"/>
  <c r="DCD28" i="3" a="1"/>
  <c r="DCD28" i="3" s="1"/>
  <c r="DBX28" i="3" a="1"/>
  <c r="DBX28" i="3" s="1"/>
  <c r="DBR28" i="3" a="1"/>
  <c r="DBR28" i="3" s="1"/>
  <c r="DBL28" i="3" a="1"/>
  <c r="DBL28" i="3" s="1"/>
  <c r="DBF28" i="3" a="1"/>
  <c r="DBF28" i="3" s="1"/>
  <c r="DAZ28" i="3" a="1"/>
  <c r="DAZ28" i="3" s="1"/>
  <c r="DAT28" i="3" a="1"/>
  <c r="DAT28" i="3" s="1"/>
  <c r="DAN28" i="3" a="1"/>
  <c r="DAN28" i="3" s="1"/>
  <c r="DAH28" i="3" a="1"/>
  <c r="DAH28" i="3" s="1"/>
  <c r="DAB28" i="3" a="1"/>
  <c r="DAB28" i="3" s="1"/>
  <c r="CZV28" i="3" a="1"/>
  <c r="CZV28" i="3" s="1"/>
  <c r="CZP28" i="3" a="1"/>
  <c r="CZP28" i="3" s="1"/>
  <c r="CZJ28" i="3" a="1"/>
  <c r="CZJ28" i="3" s="1"/>
  <c r="CZD28" i="3" a="1"/>
  <c r="CZD28" i="3" s="1"/>
  <c r="CYX28" i="3" a="1"/>
  <c r="CYX28" i="3" s="1"/>
  <c r="CYR28" i="3" a="1"/>
  <c r="CYR28" i="3" s="1"/>
  <c r="CYL28" i="3" a="1"/>
  <c r="CYL28" i="3" s="1"/>
  <c r="CYF28" i="3" a="1"/>
  <c r="CYF28" i="3" s="1"/>
  <c r="CXZ28" i="3" a="1"/>
  <c r="CXZ28" i="3" s="1"/>
  <c r="CXT28" i="3" a="1"/>
  <c r="CXT28" i="3" s="1"/>
  <c r="CXN28" i="3" a="1"/>
  <c r="CXN28" i="3" s="1"/>
  <c r="CXH28" i="3" a="1"/>
  <c r="CXH28" i="3" s="1"/>
  <c r="CXB28" i="3" a="1"/>
  <c r="CXB28" i="3" s="1"/>
  <c r="CWV28" i="3" a="1"/>
  <c r="CWV28" i="3" s="1"/>
  <c r="CWP28" i="3" a="1"/>
  <c r="CWP28" i="3" s="1"/>
  <c r="CWJ28" i="3" a="1"/>
  <c r="CWJ28" i="3" s="1"/>
  <c r="CWD28" i="3" a="1"/>
  <c r="CWD28" i="3" s="1"/>
  <c r="CVX28" i="3" a="1"/>
  <c r="CVX28" i="3" s="1"/>
  <c r="CVR28" i="3" a="1"/>
  <c r="CVR28" i="3" s="1"/>
  <c r="CVL28" i="3" a="1"/>
  <c r="CVL28" i="3" s="1"/>
  <c r="CVF28" i="3" a="1"/>
  <c r="CVF28" i="3" s="1"/>
  <c r="CUZ28" i="3" a="1"/>
  <c r="CUZ28" i="3" s="1"/>
  <c r="CUT28" i="3" a="1"/>
  <c r="CUT28" i="3" s="1"/>
  <c r="CUN28" i="3" a="1"/>
  <c r="CUN28" i="3" s="1"/>
  <c r="CUH28" i="3" a="1"/>
  <c r="CUH28" i="3" s="1"/>
  <c r="CUB28" i="3" a="1"/>
  <c r="CUB28" i="3" s="1"/>
  <c r="CTV28" i="3" a="1"/>
  <c r="CTV28" i="3" s="1"/>
  <c r="CTP28" i="3" a="1"/>
  <c r="CTP28" i="3" s="1"/>
  <c r="CTJ28" i="3" a="1"/>
  <c r="CTJ28" i="3" s="1"/>
  <c r="CTD28" i="3" a="1"/>
  <c r="CTD28" i="3" s="1"/>
  <c r="CSX28" i="3" a="1"/>
  <c r="CSX28" i="3" s="1"/>
  <c r="CSR28" i="3" a="1"/>
  <c r="CSR28" i="3" s="1"/>
  <c r="CSL28" i="3" a="1"/>
  <c r="CSL28" i="3" s="1"/>
  <c r="CSF28" i="3" a="1"/>
  <c r="CSF28" i="3" s="1"/>
  <c r="CRZ28" i="3" a="1"/>
  <c r="CRZ28" i="3" s="1"/>
  <c r="CRT28" i="3" a="1"/>
  <c r="CRT28" i="3" s="1"/>
  <c r="CRN28" i="3" a="1"/>
  <c r="CRN28" i="3" s="1"/>
  <c r="CRH28" i="3" a="1"/>
  <c r="CRH28" i="3" s="1"/>
  <c r="CRB28" i="3" a="1"/>
  <c r="CRB28" i="3" s="1"/>
  <c r="CQV28" i="3" a="1"/>
  <c r="CQV28" i="3" s="1"/>
  <c r="CQP28" i="3" a="1"/>
  <c r="CQP28" i="3" s="1"/>
  <c r="CQJ28" i="3" a="1"/>
  <c r="CQJ28" i="3" s="1"/>
  <c r="CQD28" i="3" a="1"/>
  <c r="CQD28" i="3" s="1"/>
  <c r="CPX28" i="3" a="1"/>
  <c r="CPX28" i="3" s="1"/>
  <c r="CPR28" i="3" a="1"/>
  <c r="CPR28" i="3" s="1"/>
  <c r="CPL28" i="3" a="1"/>
  <c r="CPL28" i="3" s="1"/>
  <c r="CPF28" i="3" a="1"/>
  <c r="CPF28" i="3" s="1"/>
  <c r="COZ28" i="3" a="1"/>
  <c r="COZ28" i="3" s="1"/>
  <c r="COT28" i="3" a="1"/>
  <c r="COT28" i="3" s="1"/>
  <c r="CON28" i="3" a="1"/>
  <c r="CON28" i="3" s="1"/>
  <c r="COH28" i="3" a="1"/>
  <c r="COH28" i="3" s="1"/>
  <c r="COB28" i="3" a="1"/>
  <c r="COB28" i="3" s="1"/>
  <c r="CNV28" i="3" a="1"/>
  <c r="CNV28" i="3" s="1"/>
  <c r="CNP28" i="3" a="1"/>
  <c r="CNP28" i="3" s="1"/>
  <c r="CNJ28" i="3" a="1"/>
  <c r="CNJ28" i="3" s="1"/>
  <c r="CND28" i="3" a="1"/>
  <c r="CND28" i="3" s="1"/>
  <c r="CMX28" i="3" a="1"/>
  <c r="CMX28" i="3" s="1"/>
  <c r="CMR28" i="3" a="1"/>
  <c r="CMR28" i="3" s="1"/>
  <c r="CML28" i="3" a="1"/>
  <c r="CML28" i="3" s="1"/>
  <c r="CMF28" i="3" a="1"/>
  <c r="CMF28" i="3" s="1"/>
  <c r="CLZ28" i="3" a="1"/>
  <c r="CLZ28" i="3" s="1"/>
  <c r="CLT28" i="3" a="1"/>
  <c r="CLT28" i="3" s="1"/>
  <c r="CLN28" i="3" a="1"/>
  <c r="CLN28" i="3" s="1"/>
  <c r="CLH28" i="3" a="1"/>
  <c r="CLH28" i="3" s="1"/>
  <c r="CLB28" i="3" a="1"/>
  <c r="CLB28" i="3" s="1"/>
  <c r="CKV28" i="3" a="1"/>
  <c r="CKV28" i="3" s="1"/>
  <c r="CKP28" i="3" a="1"/>
  <c r="CKP28" i="3" s="1"/>
  <c r="CKJ28" i="3" a="1"/>
  <c r="CKJ28" i="3" s="1"/>
  <c r="CKD28" i="3" a="1"/>
  <c r="CKD28" i="3" s="1"/>
  <c r="CJX28" i="3" a="1"/>
  <c r="CJX28" i="3" s="1"/>
  <c r="CJR28" i="3" a="1"/>
  <c r="CJR28" i="3" s="1"/>
  <c r="CJL28" i="3" a="1"/>
  <c r="CJL28" i="3" s="1"/>
  <c r="CJF28" i="3" a="1"/>
  <c r="CJF28" i="3" s="1"/>
  <c r="CIZ28" i="3" a="1"/>
  <c r="CIZ28" i="3" s="1"/>
  <c r="CIT28" i="3" a="1"/>
  <c r="CIT28" i="3" s="1"/>
  <c r="CIN28" i="3" a="1"/>
  <c r="CIN28" i="3" s="1"/>
  <c r="CIH28" i="3" a="1"/>
  <c r="CIH28" i="3" s="1"/>
  <c r="CIB28" i="3" a="1"/>
  <c r="CIB28" i="3" s="1"/>
  <c r="CHV28" i="3" a="1"/>
  <c r="CHV28" i="3" s="1"/>
  <c r="CHP28" i="3" a="1"/>
  <c r="CHP28" i="3" s="1"/>
  <c r="CHJ28" i="3" a="1"/>
  <c r="CHJ28" i="3" s="1"/>
  <c r="CHD28" i="3" a="1"/>
  <c r="CHD28" i="3" s="1"/>
  <c r="CGX28" i="3" a="1"/>
  <c r="CGX28" i="3" s="1"/>
  <c r="CGR28" i="3" a="1"/>
  <c r="CGR28" i="3" s="1"/>
  <c r="CGL28" i="3" a="1"/>
  <c r="CGL28" i="3" s="1"/>
  <c r="CGF28" i="3" a="1"/>
  <c r="CGF28" i="3" s="1"/>
  <c r="CFZ28" i="3" a="1"/>
  <c r="CFZ28" i="3" s="1"/>
  <c r="CFT28" i="3" a="1"/>
  <c r="CFT28" i="3" s="1"/>
  <c r="CFN28" i="3" a="1"/>
  <c r="CFN28" i="3" s="1"/>
  <c r="CFH28" i="3" a="1"/>
  <c r="CFH28" i="3" s="1"/>
  <c r="CFB28" i="3" a="1"/>
  <c r="CFB28" i="3" s="1"/>
  <c r="CEV28" i="3" a="1"/>
  <c r="CEV28" i="3" s="1"/>
  <c r="CEP28" i="3" a="1"/>
  <c r="CEP28" i="3" s="1"/>
  <c r="CEJ28" i="3" a="1"/>
  <c r="CEJ28" i="3" s="1"/>
  <c r="CED28" i="3" a="1"/>
  <c r="CED28" i="3" s="1"/>
  <c r="CDX28" i="3" a="1"/>
  <c r="CDX28" i="3" s="1"/>
  <c r="CDR28" i="3" a="1"/>
  <c r="CDR28" i="3" s="1"/>
  <c r="CDL28" i="3" a="1"/>
  <c r="CDL28" i="3" s="1"/>
  <c r="CDF28" i="3" a="1"/>
  <c r="CDF28" i="3" s="1"/>
  <c r="CCZ28" i="3" a="1"/>
  <c r="CCZ28" i="3" s="1"/>
  <c r="CCT28" i="3" a="1"/>
  <c r="CCT28" i="3" s="1"/>
  <c r="CCN28" i="3" a="1"/>
  <c r="CCN28" i="3" s="1"/>
  <c r="CCH28" i="3" a="1"/>
  <c r="CCH28" i="3" s="1"/>
  <c r="CCB28" i="3" a="1"/>
  <c r="CCB28" i="3" s="1"/>
  <c r="CBV28" i="3" a="1"/>
  <c r="CBV28" i="3" s="1"/>
  <c r="CBP28" i="3" a="1"/>
  <c r="CBP28" i="3" s="1"/>
  <c r="CBJ28" i="3" a="1"/>
  <c r="CBJ28" i="3" s="1"/>
  <c r="CBD28" i="3" a="1"/>
  <c r="CBD28" i="3" s="1"/>
  <c r="CAX28" i="3" a="1"/>
  <c r="CAX28" i="3" s="1"/>
  <c r="CAR28" i="3" a="1"/>
  <c r="CAR28" i="3" s="1"/>
  <c r="CAL28" i="3" a="1"/>
  <c r="CAL28" i="3" s="1"/>
  <c r="CAF28" i="3" a="1"/>
  <c r="CAF28" i="3" s="1"/>
  <c r="BZZ28" i="3" a="1"/>
  <c r="BZZ28" i="3" s="1"/>
  <c r="BZT28" i="3" a="1"/>
  <c r="BZT28" i="3" s="1"/>
  <c r="BZN28" i="3" a="1"/>
  <c r="BZN28" i="3" s="1"/>
  <c r="BZH28" i="3" a="1"/>
  <c r="BZH28" i="3" s="1"/>
  <c r="BZB28" i="3" a="1"/>
  <c r="BZB28" i="3" s="1"/>
  <c r="BYV28" i="3" a="1"/>
  <c r="BYV28" i="3" s="1"/>
  <c r="BYP28" i="3" a="1"/>
  <c r="BYP28" i="3" s="1"/>
  <c r="BYJ28" i="3" a="1"/>
  <c r="BYJ28" i="3" s="1"/>
  <c r="BYD28" i="3" a="1"/>
  <c r="BYD28" i="3" s="1"/>
  <c r="BXX28" i="3" a="1"/>
  <c r="BXX28" i="3" s="1"/>
  <c r="BXR28" i="3" a="1"/>
  <c r="BXR28" i="3" s="1"/>
  <c r="BXL28" i="3" a="1"/>
  <c r="BXL28" i="3" s="1"/>
  <c r="BXF28" i="3" a="1"/>
  <c r="BXF28" i="3" s="1"/>
  <c r="BWZ28" i="3" a="1"/>
  <c r="BWZ28" i="3" s="1"/>
  <c r="BWT28" i="3" a="1"/>
  <c r="BWT28" i="3" s="1"/>
  <c r="BWN28" i="3" a="1"/>
  <c r="BWN28" i="3" s="1"/>
  <c r="BWH28" i="3" a="1"/>
  <c r="BWH28" i="3" s="1"/>
  <c r="BWB28" i="3" a="1"/>
  <c r="BWB28" i="3" s="1"/>
  <c r="BVV28" i="3" a="1"/>
  <c r="BVV28" i="3" s="1"/>
  <c r="BVP28" i="3" a="1"/>
  <c r="BVP28" i="3" s="1"/>
  <c r="BVJ28" i="3" a="1"/>
  <c r="BVJ28" i="3" s="1"/>
  <c r="BVD28" i="3" a="1"/>
  <c r="BVD28" i="3" s="1"/>
  <c r="BUX28" i="3" a="1"/>
  <c r="BUX28" i="3" s="1"/>
  <c r="BUR28" i="3" a="1"/>
  <c r="BUR28" i="3" s="1"/>
  <c r="BUL28" i="3" a="1"/>
  <c r="BUL28" i="3" s="1"/>
  <c r="BUF28" i="3" a="1"/>
  <c r="BUF28" i="3" s="1"/>
  <c r="BTZ28" i="3" a="1"/>
  <c r="BTZ28" i="3" s="1"/>
  <c r="BTT28" i="3" a="1"/>
  <c r="BTT28" i="3" s="1"/>
  <c r="BTN28" i="3" a="1"/>
  <c r="BTN28" i="3" s="1"/>
  <c r="BTH28" i="3" a="1"/>
  <c r="BTH28" i="3" s="1"/>
  <c r="BTB28" i="3" a="1"/>
  <c r="BTB28" i="3" s="1"/>
  <c r="BSV28" i="3" a="1"/>
  <c r="BSV28" i="3" s="1"/>
  <c r="BSP28" i="3" a="1"/>
  <c r="BSP28" i="3" s="1"/>
  <c r="BSJ28" i="3" a="1"/>
  <c r="BSJ28" i="3" s="1"/>
  <c r="BSD28" i="3" a="1"/>
  <c r="BSD28" i="3" s="1"/>
  <c r="BRX28" i="3" a="1"/>
  <c r="BRX28" i="3" s="1"/>
  <c r="BRR28" i="3" a="1"/>
  <c r="BRR28" i="3" s="1"/>
  <c r="BRL28" i="3" a="1"/>
  <c r="BRL28" i="3" s="1"/>
  <c r="BRF28" i="3" a="1"/>
  <c r="BRF28" i="3" s="1"/>
  <c r="BQZ28" i="3" a="1"/>
  <c r="BQZ28" i="3" s="1"/>
  <c r="BQT28" i="3" a="1"/>
  <c r="BQT28" i="3" s="1"/>
  <c r="BQN28" i="3" a="1"/>
  <c r="BQN28" i="3" s="1"/>
  <c r="BQH28" i="3" a="1"/>
  <c r="BQH28" i="3" s="1"/>
  <c r="BQB28" i="3" a="1"/>
  <c r="BQB28" i="3" s="1"/>
  <c r="BPV28" i="3" a="1"/>
  <c r="BPV28" i="3" s="1"/>
  <c r="BPP28" i="3" a="1"/>
  <c r="BPP28" i="3" s="1"/>
  <c r="BPJ28" i="3" a="1"/>
  <c r="BPJ28" i="3" s="1"/>
  <c r="BPD28" i="3" a="1"/>
  <c r="BPD28" i="3" s="1"/>
  <c r="BOX28" i="3" a="1"/>
  <c r="BOX28" i="3" s="1"/>
  <c r="BOR28" i="3" a="1"/>
  <c r="BOR28" i="3" s="1"/>
  <c r="BOL28" i="3" a="1"/>
  <c r="BOL28" i="3" s="1"/>
  <c r="BOF28" i="3" a="1"/>
  <c r="BOF28" i="3" s="1"/>
  <c r="BNZ28" i="3" a="1"/>
  <c r="BNZ28" i="3" s="1"/>
  <c r="BNT28" i="3" a="1"/>
  <c r="BNT28" i="3" s="1"/>
  <c r="BNN28" i="3" a="1"/>
  <c r="BNN28" i="3" s="1"/>
  <c r="BNH28" i="3" a="1"/>
  <c r="BNH28" i="3" s="1"/>
  <c r="BNB28" i="3" a="1"/>
  <c r="BNB28" i="3" s="1"/>
  <c r="BMV28" i="3" a="1"/>
  <c r="BMV28" i="3" s="1"/>
  <c r="BMP28" i="3" a="1"/>
  <c r="BMP28" i="3" s="1"/>
  <c r="BMJ28" i="3" a="1"/>
  <c r="BMJ28" i="3" s="1"/>
  <c r="BMD28" i="3" a="1"/>
  <c r="BMD28" i="3" s="1"/>
  <c r="BLX28" i="3" a="1"/>
  <c r="BLX28" i="3" s="1"/>
  <c r="BLR28" i="3" a="1"/>
  <c r="BLR28" i="3" s="1"/>
  <c r="BLL28" i="3" a="1"/>
  <c r="BLL28" i="3" s="1"/>
  <c r="BLF28" i="3" a="1"/>
  <c r="BLF28" i="3" s="1"/>
  <c r="BKZ28" i="3" a="1"/>
  <c r="BKZ28" i="3" s="1"/>
  <c r="BKT28" i="3" a="1"/>
  <c r="BKT28" i="3" s="1"/>
  <c r="BKN28" i="3" a="1"/>
  <c r="BKN28" i="3" s="1"/>
  <c r="BKH28" i="3" a="1"/>
  <c r="BKH28" i="3" s="1"/>
  <c r="BKB28" i="3" a="1"/>
  <c r="BKB28" i="3" s="1"/>
  <c r="BJV28" i="3" a="1"/>
  <c r="BJV28" i="3" s="1"/>
  <c r="BJP28" i="3" a="1"/>
  <c r="BJP28" i="3" s="1"/>
  <c r="BJJ28" i="3" a="1"/>
  <c r="BJJ28" i="3" s="1"/>
  <c r="BJD28" i="3" a="1"/>
  <c r="BJD28" i="3" s="1"/>
  <c r="BIX28" i="3" a="1"/>
  <c r="BIX28" i="3" s="1"/>
  <c r="BIR28" i="3" a="1"/>
  <c r="BIR28" i="3" s="1"/>
  <c r="BIL28" i="3" a="1"/>
  <c r="BIL28" i="3" s="1"/>
  <c r="BIF28" i="3" a="1"/>
  <c r="BIF28" i="3" s="1"/>
  <c r="BHZ28" i="3" a="1"/>
  <c r="BHZ28" i="3" s="1"/>
  <c r="BHT28" i="3" a="1"/>
  <c r="BHT28" i="3" s="1"/>
  <c r="BHN28" i="3" a="1"/>
  <c r="BHN28" i="3" s="1"/>
  <c r="BHH28" i="3" a="1"/>
  <c r="BHH28" i="3" s="1"/>
  <c r="BHB28" i="3" a="1"/>
  <c r="BHB28" i="3" s="1"/>
  <c r="BGV28" i="3" a="1"/>
  <c r="BGV28" i="3" s="1"/>
  <c r="BGP28" i="3" a="1"/>
  <c r="BGP28" i="3" s="1"/>
  <c r="BGJ28" i="3" a="1"/>
  <c r="BGJ28" i="3" s="1"/>
  <c r="BGD28" i="3" a="1"/>
  <c r="BGD28" i="3" s="1"/>
  <c r="BFX28" i="3" a="1"/>
  <c r="BFX28" i="3" s="1"/>
  <c r="BFR28" i="3" a="1"/>
  <c r="BFR28" i="3" s="1"/>
  <c r="BFL28" i="3" a="1"/>
  <c r="BFL28" i="3" s="1"/>
  <c r="BFF28" i="3" a="1"/>
  <c r="BFF28" i="3" s="1"/>
  <c r="BEZ28" i="3" a="1"/>
  <c r="BEZ28" i="3" s="1"/>
  <c r="BET28" i="3" a="1"/>
  <c r="BET28" i="3" s="1"/>
  <c r="BEN28" i="3" a="1"/>
  <c r="BEN28" i="3" s="1"/>
  <c r="BEH28" i="3" a="1"/>
  <c r="BEH28" i="3" s="1"/>
  <c r="BEB28" i="3" a="1"/>
  <c r="BEB28" i="3" s="1"/>
  <c r="BDV28" i="3" a="1"/>
  <c r="BDV28" i="3" s="1"/>
  <c r="BDP28" i="3" a="1"/>
  <c r="BDP28" i="3" s="1"/>
  <c r="BDJ28" i="3" a="1"/>
  <c r="BDJ28" i="3" s="1"/>
  <c r="BDD28" i="3" a="1"/>
  <c r="BDD28" i="3" s="1"/>
  <c r="BCX28" i="3" a="1"/>
  <c r="BCX28" i="3" s="1"/>
  <c r="BCR28" i="3" a="1"/>
  <c r="BCR28" i="3" s="1"/>
  <c r="BCL28" i="3" a="1"/>
  <c r="BCL28" i="3" s="1"/>
  <c r="BCF28" i="3" a="1"/>
  <c r="BCF28" i="3" s="1"/>
  <c r="BBZ28" i="3" a="1"/>
  <c r="BBZ28" i="3" s="1"/>
  <c r="BBT28" i="3" a="1"/>
  <c r="BBT28" i="3" s="1"/>
  <c r="BBN28" i="3" a="1"/>
  <c r="BBN28" i="3" s="1"/>
  <c r="BBH28" i="3" a="1"/>
  <c r="BBH28" i="3" s="1"/>
  <c r="BBB28" i="3" a="1"/>
  <c r="BBB28" i="3" s="1"/>
  <c r="BAV28" i="3" a="1"/>
  <c r="BAV28" i="3" s="1"/>
  <c r="BAP28" i="3" a="1"/>
  <c r="BAP28" i="3" s="1"/>
  <c r="BAJ28" i="3" a="1"/>
  <c r="BAJ28" i="3" s="1"/>
  <c r="BAD28" i="3" a="1"/>
  <c r="BAD28" i="3" s="1"/>
  <c r="AZX28" i="3" a="1"/>
  <c r="AZX28" i="3" s="1"/>
  <c r="AZR28" i="3" a="1"/>
  <c r="AZR28" i="3" s="1"/>
  <c r="AZL28" i="3" a="1"/>
  <c r="AZL28" i="3" s="1"/>
  <c r="AZF28" i="3" a="1"/>
  <c r="AZF28" i="3" s="1"/>
  <c r="AYZ28" i="3" a="1"/>
  <c r="AYZ28" i="3" s="1"/>
  <c r="AYT28" i="3" a="1"/>
  <c r="AYT28" i="3" s="1"/>
  <c r="AYN28" i="3" a="1"/>
  <c r="AYN28" i="3" s="1"/>
  <c r="AYH28" i="3" a="1"/>
  <c r="AYH28" i="3" s="1"/>
  <c r="AYB28" i="3" a="1"/>
  <c r="AYB28" i="3" s="1"/>
  <c r="AXV28" i="3" a="1"/>
  <c r="AXV28" i="3" s="1"/>
  <c r="AXP28" i="3" a="1"/>
  <c r="AXP28" i="3" s="1"/>
  <c r="AXJ28" i="3" a="1"/>
  <c r="AXJ28" i="3" s="1"/>
  <c r="AXD28" i="3" a="1"/>
  <c r="AXD28" i="3" s="1"/>
  <c r="AWX28" i="3" a="1"/>
  <c r="AWX28" i="3" s="1"/>
  <c r="AWR28" i="3" a="1"/>
  <c r="AWR28" i="3" s="1"/>
  <c r="AWL28" i="3" a="1"/>
  <c r="AWL28" i="3" s="1"/>
  <c r="AWF28" i="3" a="1"/>
  <c r="AWF28" i="3" s="1"/>
  <c r="AVZ28" i="3" a="1"/>
  <c r="AVZ28" i="3" s="1"/>
  <c r="AVT28" i="3" a="1"/>
  <c r="AVT28" i="3" s="1"/>
  <c r="AVN28" i="3" a="1"/>
  <c r="AVN28" i="3" s="1"/>
  <c r="AVH28" i="3" a="1"/>
  <c r="AVH28" i="3" s="1"/>
  <c r="AVB28" i="3" a="1"/>
  <c r="AVB28" i="3" s="1"/>
  <c r="AUV28" i="3" a="1"/>
  <c r="AUV28" i="3" s="1"/>
  <c r="AUP28" i="3" a="1"/>
  <c r="AUP28" i="3" s="1"/>
  <c r="AUJ28" i="3" a="1"/>
  <c r="AUJ28" i="3" s="1"/>
  <c r="AUD28" i="3" a="1"/>
  <c r="AUD28" i="3" s="1"/>
  <c r="ATX28" i="3" a="1"/>
  <c r="ATX28" i="3" s="1"/>
  <c r="ATR28" i="3" a="1"/>
  <c r="ATR28" i="3" s="1"/>
  <c r="ATL28" i="3" a="1"/>
  <c r="ATL28" i="3" s="1"/>
  <c r="ATF28" i="3" a="1"/>
  <c r="ATF28" i="3" s="1"/>
  <c r="ASZ28" i="3" a="1"/>
  <c r="ASZ28" i="3" s="1"/>
  <c r="AST28" i="3" a="1"/>
  <c r="AST28" i="3" s="1"/>
  <c r="ASN28" i="3" a="1"/>
  <c r="ASN28" i="3" s="1"/>
  <c r="ASH28" i="3" a="1"/>
  <c r="ASH28" i="3" s="1"/>
  <c r="ASB28" i="3" a="1"/>
  <c r="ASB28" i="3" s="1"/>
  <c r="ARV28" i="3" a="1"/>
  <c r="ARV28" i="3" s="1"/>
  <c r="ARP28" i="3" a="1"/>
  <c r="ARP28" i="3" s="1"/>
  <c r="ARJ28" i="3" a="1"/>
  <c r="ARJ28" i="3" s="1"/>
  <c r="ARD28" i="3" a="1"/>
  <c r="ARD28" i="3" s="1"/>
  <c r="AQX28" i="3" a="1"/>
  <c r="AQX28" i="3" s="1"/>
  <c r="AQR28" i="3" a="1"/>
  <c r="AQR28" i="3" s="1"/>
  <c r="AQL28" i="3" a="1"/>
  <c r="AQL28" i="3" s="1"/>
  <c r="AQF28" i="3" a="1"/>
  <c r="AQF28" i="3" s="1"/>
  <c r="APZ28" i="3" a="1"/>
  <c r="APZ28" i="3" s="1"/>
  <c r="APT28" i="3" a="1"/>
  <c r="APT28" i="3" s="1"/>
  <c r="APN28" i="3" a="1"/>
  <c r="APN28" i="3" s="1"/>
  <c r="APH28" i="3" a="1"/>
  <c r="APH28" i="3" s="1"/>
  <c r="APB28" i="3" a="1"/>
  <c r="APB28" i="3" s="1"/>
  <c r="AOV28" i="3" a="1"/>
  <c r="AOV28" i="3" s="1"/>
  <c r="AOP28" i="3" a="1"/>
  <c r="AOP28" i="3" s="1"/>
  <c r="AOJ28" i="3" a="1"/>
  <c r="AOJ28" i="3" s="1"/>
  <c r="AOD28" i="3" a="1"/>
  <c r="AOD28" i="3" s="1"/>
  <c r="ANX28" i="3" a="1"/>
  <c r="ANX28" i="3" s="1"/>
  <c r="ANR28" i="3" a="1"/>
  <c r="ANR28" i="3" s="1"/>
  <c r="ANL28" i="3" a="1"/>
  <c r="ANL28" i="3" s="1"/>
  <c r="ANF28" i="3" a="1"/>
  <c r="ANF28" i="3" s="1"/>
  <c r="AMZ28" i="3" a="1"/>
  <c r="AMZ28" i="3" s="1"/>
  <c r="AMT28" i="3" a="1"/>
  <c r="AMT28" i="3" s="1"/>
  <c r="AMN28" i="3" a="1"/>
  <c r="AMN28" i="3" s="1"/>
  <c r="AMH28" i="3" a="1"/>
  <c r="AMH28" i="3" s="1"/>
  <c r="AMB28" i="3" a="1"/>
  <c r="AMB28" i="3" s="1"/>
  <c r="ALV28" i="3" a="1"/>
  <c r="ALV28" i="3" s="1"/>
  <c r="ALP28" i="3" a="1"/>
  <c r="ALP28" i="3" s="1"/>
  <c r="ALJ28" i="3" a="1"/>
  <c r="ALJ28" i="3" s="1"/>
  <c r="ALD28" i="3" a="1"/>
  <c r="ALD28" i="3" s="1"/>
  <c r="AKX28" i="3" a="1"/>
  <c r="AKX28" i="3" s="1"/>
  <c r="AKR28" i="3" a="1"/>
  <c r="AKR28" i="3" s="1"/>
  <c r="AKL28" i="3" a="1"/>
  <c r="AKL28" i="3" s="1"/>
  <c r="AKF28" i="3" a="1"/>
  <c r="AKF28" i="3" s="1"/>
  <c r="AJZ28" i="3" a="1"/>
  <c r="AJZ28" i="3" s="1"/>
  <c r="AJT28" i="3" a="1"/>
  <c r="AJT28" i="3" s="1"/>
  <c r="AJN28" i="3" a="1"/>
  <c r="AJN28" i="3" s="1"/>
  <c r="AJH28" i="3" a="1"/>
  <c r="AJH28" i="3" s="1"/>
  <c r="AJB28" i="3" a="1"/>
  <c r="AJB28" i="3" s="1"/>
  <c r="AIV28" i="3" a="1"/>
  <c r="AIV28" i="3" s="1"/>
  <c r="AIP28" i="3" a="1"/>
  <c r="AIP28" i="3" s="1"/>
  <c r="AIJ28" i="3" a="1"/>
  <c r="AIJ28" i="3" s="1"/>
  <c r="AID28" i="3" a="1"/>
  <c r="AID28" i="3" s="1"/>
  <c r="OCZ28" i="3" a="1"/>
  <c r="OCZ28" i="3" s="1"/>
  <c r="MQX28" i="3" a="1"/>
  <c r="MQX28" i="3" s="1"/>
  <c r="LZC28" i="3" a="1"/>
  <c r="LZC28" i="3" s="1"/>
  <c r="LOG28" i="3" a="1"/>
  <c r="LOG28" i="3" s="1"/>
  <c r="LEA28" i="3" a="1"/>
  <c r="LEA28" i="3" s="1"/>
  <c r="KTY28" i="3" a="1"/>
  <c r="KTY28" i="3" s="1"/>
  <c r="KKS28" i="3" a="1"/>
  <c r="KKS28" i="3" s="1"/>
  <c r="JWC28" i="3" a="1"/>
  <c r="JWC28" i="3" s="1"/>
  <c r="JPZ28" i="3" a="1"/>
  <c r="JPZ28" i="3" s="1"/>
  <c r="IRE28" i="3" a="1"/>
  <c r="IRE28" i="3" s="1"/>
  <c r="HUC28" i="3" a="1"/>
  <c r="HUC28" i="3" s="1"/>
  <c r="HRV28" i="3" a="1"/>
  <c r="HRV28" i="3" s="1"/>
  <c r="HPO28" i="3" a="1"/>
  <c r="HPO28" i="3" s="1"/>
  <c r="HKJ28" i="3" a="1"/>
  <c r="HKJ28" i="3" s="1"/>
  <c r="HHC28" i="3" a="1"/>
  <c r="HHC28" i="3" s="1"/>
  <c r="HCB28" i="3" a="1"/>
  <c r="HCB28" i="3" s="1"/>
  <c r="GYU28" i="3" a="1"/>
  <c r="GYU28" i="3" s="1"/>
  <c r="GTT28" i="3" a="1"/>
  <c r="GTT28" i="3" s="1"/>
  <c r="GQM28" i="3" a="1"/>
  <c r="GQM28" i="3" s="1"/>
  <c r="GLL28" i="3" a="1"/>
  <c r="GLL28" i="3" s="1"/>
  <c r="GIE28" i="3" a="1"/>
  <c r="GIE28" i="3" s="1"/>
  <c r="GDD28" i="3" a="1"/>
  <c r="GDD28" i="3" s="1"/>
  <c r="FZW28" i="3" a="1"/>
  <c r="FZW28" i="3" s="1"/>
  <c r="FUV28" i="3" a="1"/>
  <c r="FUV28" i="3" s="1"/>
  <c r="FRO28" i="3" a="1"/>
  <c r="FRO28" i="3" s="1"/>
  <c r="FMN28" i="3" a="1"/>
  <c r="FMN28" i="3" s="1"/>
  <c r="EOS28" i="3" a="1"/>
  <c r="EOS28" i="3" s="1"/>
  <c r="ENP28" i="3" a="1"/>
  <c r="ENP28" i="3" s="1"/>
  <c r="EMP28" i="3" a="1"/>
  <c r="EMP28" i="3" s="1"/>
  <c r="ELN28" i="3" a="1"/>
  <c r="ELN28" i="3" s="1"/>
  <c r="EKN28" i="3" a="1"/>
  <c r="EKN28" i="3" s="1"/>
  <c r="EJL28" i="3" a="1"/>
  <c r="EJL28" i="3" s="1"/>
  <c r="EIL28" i="3" a="1"/>
  <c r="EIL28" i="3" s="1"/>
  <c r="EEH28" i="3" a="1"/>
  <c r="EEH28" i="3" s="1"/>
  <c r="DZH28" i="3" a="1"/>
  <c r="DZH28" i="3" s="1"/>
  <c r="DYU28" i="3" a="1"/>
  <c r="DYU28" i="3" s="1"/>
  <c r="DYH28" i="3" a="1"/>
  <c r="DYH28" i="3" s="1"/>
  <c r="DXF28" i="3" a="1"/>
  <c r="DXF28" i="3" s="1"/>
  <c r="DWS28" i="3" a="1"/>
  <c r="DWS28" i="3" s="1"/>
  <c r="DWF28" i="3" a="1"/>
  <c r="DWF28" i="3" s="1"/>
  <c r="DVD28" i="3" a="1"/>
  <c r="DVD28" i="3" s="1"/>
  <c r="DUQ28" i="3" a="1"/>
  <c r="DUQ28" i="3" s="1"/>
  <c r="DUD28" i="3" a="1"/>
  <c r="DUD28" i="3" s="1"/>
  <c r="DTQ28" i="3" a="1"/>
  <c r="DTQ28" i="3" s="1"/>
  <c r="DTF28" i="3" a="1"/>
  <c r="DTF28" i="3" s="1"/>
  <c r="DSU28" i="3" a="1"/>
  <c r="DSU28" i="3" s="1"/>
  <c r="DSJ28" i="3" a="1"/>
  <c r="DSJ28" i="3" s="1"/>
  <c r="DRY28" i="3" a="1"/>
  <c r="DRY28" i="3" s="1"/>
  <c r="DRO28" i="3" a="1"/>
  <c r="DRO28" i="3" s="1"/>
  <c r="DRF28" i="3" a="1"/>
  <c r="DRF28" i="3" s="1"/>
  <c r="DQW28" i="3" a="1"/>
  <c r="DQW28" i="3" s="1"/>
  <c r="DQN28" i="3" a="1"/>
  <c r="DQN28" i="3" s="1"/>
  <c r="DQE28" i="3" a="1"/>
  <c r="DQE28" i="3" s="1"/>
  <c r="DPV28" i="3" a="1"/>
  <c r="DPV28" i="3" s="1"/>
  <c r="DPM28" i="3" a="1"/>
  <c r="DPM28" i="3" s="1"/>
  <c r="DPD28" i="3" a="1"/>
  <c r="DPD28" i="3" s="1"/>
  <c r="DOU28" i="3" a="1"/>
  <c r="DOU28" i="3" s="1"/>
  <c r="DOL28" i="3" a="1"/>
  <c r="DOL28" i="3" s="1"/>
  <c r="DOC28" i="3" a="1"/>
  <c r="DOC28" i="3" s="1"/>
  <c r="DNT28" i="3" a="1"/>
  <c r="DNT28" i="3" s="1"/>
  <c r="DNK28" i="3" a="1"/>
  <c r="DNK28" i="3" s="1"/>
  <c r="DNB28" i="3" a="1"/>
  <c r="DNB28" i="3" s="1"/>
  <c r="DMS28" i="3" a="1"/>
  <c r="DMS28" i="3" s="1"/>
  <c r="DMJ28" i="3" a="1"/>
  <c r="DMJ28" i="3" s="1"/>
  <c r="DMA28" i="3" a="1"/>
  <c r="DMA28" i="3" s="1"/>
  <c r="DLR28" i="3" a="1"/>
  <c r="DLR28" i="3" s="1"/>
  <c r="DLJ28" i="3" a="1"/>
  <c r="DLJ28" i="3" s="1"/>
  <c r="DLB28" i="3" a="1"/>
  <c r="DLB28" i="3" s="1"/>
  <c r="DKT28" i="3" a="1"/>
  <c r="DKT28" i="3" s="1"/>
  <c r="DKL28" i="3" a="1"/>
  <c r="DKL28" i="3" s="1"/>
  <c r="DKD28" i="3" a="1"/>
  <c r="DKD28" i="3" s="1"/>
  <c r="DJV28" i="3" a="1"/>
  <c r="DJV28" i="3" s="1"/>
  <c r="DJN28" i="3" a="1"/>
  <c r="DJN28" i="3" s="1"/>
  <c r="DJF28" i="3" a="1"/>
  <c r="DJF28" i="3" s="1"/>
  <c r="DIX28" i="3" a="1"/>
  <c r="DIX28" i="3" s="1"/>
  <c r="DIP28" i="3" a="1"/>
  <c r="DIP28" i="3" s="1"/>
  <c r="DIH28" i="3" a="1"/>
  <c r="DIH28" i="3" s="1"/>
  <c r="DHZ28" i="3" a="1"/>
  <c r="DHZ28" i="3" s="1"/>
  <c r="OCW28" i="3" a="1"/>
  <c r="OCW28" i="3" s="1"/>
  <c r="MQL28" i="3" a="1"/>
  <c r="MQL28" i="3" s="1"/>
  <c r="LDW28" i="3" a="1"/>
  <c r="LDW28" i="3" s="1"/>
  <c r="KCO28" i="3" a="1"/>
  <c r="KCO28" i="3" s="1"/>
  <c r="JWB28" i="3" a="1"/>
  <c r="JWB28" i="3" s="1"/>
  <c r="JPY28" i="3" a="1"/>
  <c r="JPY28" i="3" s="1"/>
  <c r="JLB28" i="3" a="1"/>
  <c r="JLB28" i="3" s="1"/>
  <c r="JGX28" i="3" a="1"/>
  <c r="JGX28" i="3" s="1"/>
  <c r="JCT28" i="3" a="1"/>
  <c r="JCT28" i="3" s="1"/>
  <c r="IYP28" i="3" a="1"/>
  <c r="IYP28" i="3" s="1"/>
  <c r="IUR28" i="3" a="1"/>
  <c r="IUR28" i="3" s="1"/>
  <c r="IRC28" i="3" a="1"/>
  <c r="IRC28" i="3" s="1"/>
  <c r="INQ28" i="3" a="1"/>
  <c r="INQ28" i="3" s="1"/>
  <c r="IKO28" i="3" a="1"/>
  <c r="IKO28" i="3" s="1"/>
  <c r="IHY28" i="3" a="1"/>
  <c r="IHY28" i="3" s="1"/>
  <c r="IFL28" i="3" a="1"/>
  <c r="IFL28" i="3" s="1"/>
  <c r="IDD28" i="3" a="1"/>
  <c r="IDD28" i="3" s="1"/>
  <c r="IAW28" i="3" a="1"/>
  <c r="IAW28" i="3" s="1"/>
  <c r="HYP28" i="3" a="1"/>
  <c r="HYP28" i="3" s="1"/>
  <c r="HWI28" i="3" a="1"/>
  <c r="HWI28" i="3" s="1"/>
  <c r="HUB28" i="3" a="1"/>
  <c r="HUB28" i="3" s="1"/>
  <c r="HLZ28" i="3" a="1"/>
  <c r="HLZ28" i="3" s="1"/>
  <c r="HIS28" i="3" a="1"/>
  <c r="HIS28" i="3" s="1"/>
  <c r="HDR28" i="3" a="1"/>
  <c r="HDR28" i="3" s="1"/>
  <c r="HAK28" i="3" a="1"/>
  <c r="HAK28" i="3" s="1"/>
  <c r="GVJ28" i="3" a="1"/>
  <c r="GVJ28" i="3" s="1"/>
  <c r="GSC28" i="3" a="1"/>
  <c r="GSC28" i="3" s="1"/>
  <c r="GNB28" i="3" a="1"/>
  <c r="GNB28" i="3" s="1"/>
  <c r="GJU28" i="3" a="1"/>
  <c r="GJU28" i="3" s="1"/>
  <c r="GET28" i="3" a="1"/>
  <c r="GET28" i="3" s="1"/>
  <c r="GBM28" i="3" a="1"/>
  <c r="GBM28" i="3" s="1"/>
  <c r="FWL28" i="3" a="1"/>
  <c r="FWL28" i="3" s="1"/>
  <c r="FTE28" i="3" a="1"/>
  <c r="FTE28" i="3" s="1"/>
  <c r="FOD28" i="3" a="1"/>
  <c r="FOD28" i="3" s="1"/>
  <c r="FKW28" i="3" a="1"/>
  <c r="FKW28" i="3" s="1"/>
  <c r="EGR28" i="3" a="1"/>
  <c r="EGR28" i="3" s="1"/>
  <c r="EFY28" i="3" a="1"/>
  <c r="EFY28" i="3" s="1"/>
  <c r="EFA28" i="3" a="1"/>
  <c r="EFA28" i="3" s="1"/>
  <c r="ECN28" i="3" a="1"/>
  <c r="ECN28" i="3" s="1"/>
  <c r="EBU28" i="3" a="1"/>
  <c r="EBU28" i="3" s="1"/>
  <c r="EBC28" i="3" a="1"/>
  <c r="EBC28" i="3" s="1"/>
  <c r="EAK28" i="3" a="1"/>
  <c r="EAK28" i="3" s="1"/>
  <c r="DZT28" i="3" a="1"/>
  <c r="DZT28" i="3" s="1"/>
  <c r="DYT28" i="3" a="1"/>
  <c r="DYT28" i="3" s="1"/>
  <c r="DXR28" i="3" a="1"/>
  <c r="DXR28" i="3" s="1"/>
  <c r="DWR28" i="3" a="1"/>
  <c r="DWR28" i="3" s="1"/>
  <c r="DVP28" i="3" a="1"/>
  <c r="DVP28" i="3" s="1"/>
  <c r="DUP28" i="3" a="1"/>
  <c r="DUP28" i="3" s="1"/>
  <c r="DTE28" i="3" a="1"/>
  <c r="DTE28" i="3" s="1"/>
  <c r="DST28" i="3" a="1"/>
  <c r="DST28" i="3" s="1"/>
  <c r="DRX28" i="3" a="1"/>
  <c r="DRX28" i="3" s="1"/>
  <c r="DRE28" i="3" a="1"/>
  <c r="DRE28" i="3" s="1"/>
  <c r="DQM28" i="3" a="1"/>
  <c r="DQM28" i="3" s="1"/>
  <c r="DPU28" i="3" a="1"/>
  <c r="DPU28" i="3" s="1"/>
  <c r="DPC28" i="3" a="1"/>
  <c r="DPC28" i="3" s="1"/>
  <c r="DOK28" i="3" a="1"/>
  <c r="DOK28" i="3" s="1"/>
  <c r="DNS28" i="3" a="1"/>
  <c r="DNS28" i="3" s="1"/>
  <c r="DNA28" i="3" a="1"/>
  <c r="DNA28" i="3" s="1"/>
  <c r="DMI28" i="3" a="1"/>
  <c r="DMI28" i="3" s="1"/>
  <c r="DLQ28" i="3" a="1"/>
  <c r="DLQ28" i="3" s="1"/>
  <c r="DLI28" i="3" a="1"/>
  <c r="DLI28" i="3" s="1"/>
  <c r="DLA28" i="3" a="1"/>
  <c r="DLA28" i="3" s="1"/>
  <c r="DKS28" i="3" a="1"/>
  <c r="DKS28" i="3" s="1"/>
  <c r="DKK28" i="3" a="1"/>
  <c r="DKK28" i="3" s="1"/>
  <c r="DKC28" i="3" a="1"/>
  <c r="DKC28" i="3" s="1"/>
  <c r="DJU28" i="3" a="1"/>
  <c r="DJU28" i="3" s="1"/>
  <c r="DJM28" i="3" a="1"/>
  <c r="DJM28" i="3" s="1"/>
  <c r="DJE28" i="3" a="1"/>
  <c r="DJE28" i="3" s="1"/>
  <c r="DIW28" i="3" a="1"/>
  <c r="DIW28" i="3" s="1"/>
  <c r="DIO28" i="3" a="1"/>
  <c r="DIO28" i="3" s="1"/>
  <c r="DIG28" i="3" a="1"/>
  <c r="DIG28" i="3" s="1"/>
  <c r="DHY28" i="3" a="1"/>
  <c r="DHY28" i="3" s="1"/>
  <c r="DHR28" i="3" a="1"/>
  <c r="DHR28" i="3" s="1"/>
  <c r="DHK28" i="3" a="1"/>
  <c r="DHK28" i="3" s="1"/>
  <c r="DHE28" i="3" a="1"/>
  <c r="DHE28" i="3" s="1"/>
  <c r="DGY28" i="3" a="1"/>
  <c r="DGY28" i="3" s="1"/>
  <c r="DGS28" i="3" a="1"/>
  <c r="DGS28" i="3" s="1"/>
  <c r="DGM28" i="3" a="1"/>
  <c r="DGM28" i="3" s="1"/>
  <c r="DGG28" i="3" a="1"/>
  <c r="DGG28" i="3" s="1"/>
  <c r="DGA28" i="3" a="1"/>
  <c r="DGA28" i="3" s="1"/>
  <c r="DFU28" i="3" a="1"/>
  <c r="DFU28" i="3" s="1"/>
  <c r="DFO28" i="3" a="1"/>
  <c r="DFO28" i="3" s="1"/>
  <c r="DFI28" i="3" a="1"/>
  <c r="DFI28" i="3" s="1"/>
  <c r="DFC28" i="3" a="1"/>
  <c r="DFC28" i="3" s="1"/>
  <c r="DEW28" i="3" a="1"/>
  <c r="DEW28" i="3" s="1"/>
  <c r="DEQ28" i="3" a="1"/>
  <c r="DEQ28" i="3" s="1"/>
  <c r="DEK28" i="3" a="1"/>
  <c r="DEK28" i="3" s="1"/>
  <c r="DEE28" i="3" a="1"/>
  <c r="DEE28" i="3" s="1"/>
  <c r="DDY28" i="3" a="1"/>
  <c r="DDY28" i="3" s="1"/>
  <c r="DDS28" i="3" a="1"/>
  <c r="DDS28" i="3" s="1"/>
  <c r="DDM28" i="3" a="1"/>
  <c r="DDM28" i="3" s="1"/>
  <c r="DDG28" i="3" a="1"/>
  <c r="DDG28" i="3" s="1"/>
  <c r="DDA28" i="3" a="1"/>
  <c r="DDA28" i="3" s="1"/>
  <c r="DCU28" i="3" a="1"/>
  <c r="DCU28" i="3" s="1"/>
  <c r="DCO28" i="3" a="1"/>
  <c r="DCO28" i="3" s="1"/>
  <c r="DCI28" i="3" a="1"/>
  <c r="DCI28" i="3" s="1"/>
  <c r="DCC28" i="3" a="1"/>
  <c r="DCC28" i="3" s="1"/>
  <c r="DBW28" i="3" a="1"/>
  <c r="DBW28" i="3" s="1"/>
  <c r="DBQ28" i="3" a="1"/>
  <c r="DBQ28" i="3" s="1"/>
  <c r="DBK28" i="3" a="1"/>
  <c r="DBK28" i="3" s="1"/>
  <c r="DBE28" i="3" a="1"/>
  <c r="DBE28" i="3" s="1"/>
  <c r="DAY28" i="3" a="1"/>
  <c r="DAY28" i="3" s="1"/>
  <c r="DAS28" i="3" a="1"/>
  <c r="DAS28" i="3" s="1"/>
  <c r="DAM28" i="3" a="1"/>
  <c r="DAM28" i="3" s="1"/>
  <c r="DAG28" i="3" a="1"/>
  <c r="DAG28" i="3" s="1"/>
  <c r="DAA28" i="3" a="1"/>
  <c r="DAA28" i="3" s="1"/>
  <c r="CZU28" i="3" a="1"/>
  <c r="CZU28" i="3" s="1"/>
  <c r="CZO28" i="3" a="1"/>
  <c r="CZO28" i="3" s="1"/>
  <c r="CZI28" i="3" a="1"/>
  <c r="CZI28" i="3" s="1"/>
  <c r="CZC28" i="3" a="1"/>
  <c r="CZC28" i="3" s="1"/>
  <c r="CYW28" i="3" a="1"/>
  <c r="CYW28" i="3" s="1"/>
  <c r="CYQ28" i="3" a="1"/>
  <c r="CYQ28" i="3" s="1"/>
  <c r="CYK28" i="3" a="1"/>
  <c r="CYK28" i="3" s="1"/>
  <c r="CYE28" i="3" a="1"/>
  <c r="CYE28" i="3" s="1"/>
  <c r="CXY28" i="3" a="1"/>
  <c r="CXY28" i="3" s="1"/>
  <c r="CXS28" i="3" a="1"/>
  <c r="CXS28" i="3" s="1"/>
  <c r="CXM28" i="3" a="1"/>
  <c r="CXM28" i="3" s="1"/>
  <c r="CXG28" i="3" a="1"/>
  <c r="CXG28" i="3" s="1"/>
  <c r="CXA28" i="3" a="1"/>
  <c r="CXA28" i="3" s="1"/>
  <c r="CWU28" i="3" a="1"/>
  <c r="CWU28" i="3" s="1"/>
  <c r="CWO28" i="3" a="1"/>
  <c r="CWO28" i="3" s="1"/>
  <c r="CWI28" i="3" a="1"/>
  <c r="CWI28" i="3" s="1"/>
  <c r="CWC28" i="3" a="1"/>
  <c r="CWC28" i="3" s="1"/>
  <c r="CVW28" i="3" a="1"/>
  <c r="CVW28" i="3" s="1"/>
  <c r="CVQ28" i="3" a="1"/>
  <c r="CVQ28" i="3" s="1"/>
  <c r="CVK28" i="3" a="1"/>
  <c r="CVK28" i="3" s="1"/>
  <c r="CVE28" i="3" a="1"/>
  <c r="CVE28" i="3" s="1"/>
  <c r="CUY28" i="3" a="1"/>
  <c r="CUY28" i="3" s="1"/>
  <c r="CUS28" i="3" a="1"/>
  <c r="CUS28" i="3" s="1"/>
  <c r="CUM28" i="3" a="1"/>
  <c r="CUM28" i="3" s="1"/>
  <c r="CUG28" i="3" a="1"/>
  <c r="CUG28" i="3" s="1"/>
  <c r="CUA28" i="3" a="1"/>
  <c r="CUA28" i="3" s="1"/>
  <c r="CTU28" i="3" a="1"/>
  <c r="CTU28" i="3" s="1"/>
  <c r="CTO28" i="3" a="1"/>
  <c r="CTO28" i="3" s="1"/>
  <c r="CTI28" i="3" a="1"/>
  <c r="CTI28" i="3" s="1"/>
  <c r="CTC28" i="3" a="1"/>
  <c r="CTC28" i="3" s="1"/>
  <c r="CSW28" i="3" a="1"/>
  <c r="CSW28" i="3" s="1"/>
  <c r="CSQ28" i="3" a="1"/>
  <c r="CSQ28" i="3" s="1"/>
  <c r="CSK28" i="3" a="1"/>
  <c r="CSK28" i="3" s="1"/>
  <c r="CSE28" i="3" a="1"/>
  <c r="CSE28" i="3" s="1"/>
  <c r="CRY28" i="3" a="1"/>
  <c r="CRY28" i="3" s="1"/>
  <c r="CRS28" i="3" a="1"/>
  <c r="CRS28" i="3" s="1"/>
  <c r="CRM28" i="3" a="1"/>
  <c r="CRM28" i="3" s="1"/>
  <c r="CRG28" i="3" a="1"/>
  <c r="CRG28" i="3" s="1"/>
  <c r="CRA28" i="3" a="1"/>
  <c r="CRA28" i="3" s="1"/>
  <c r="CQU28" i="3" a="1"/>
  <c r="CQU28" i="3" s="1"/>
  <c r="CQO28" i="3" a="1"/>
  <c r="CQO28" i="3" s="1"/>
  <c r="CQI28" i="3" a="1"/>
  <c r="CQI28" i="3" s="1"/>
  <c r="CQC28" i="3" a="1"/>
  <c r="CQC28" i="3" s="1"/>
  <c r="CPW28" i="3" a="1"/>
  <c r="CPW28" i="3" s="1"/>
  <c r="CPQ28" i="3" a="1"/>
  <c r="CPQ28" i="3" s="1"/>
  <c r="CPK28" i="3" a="1"/>
  <c r="CPK28" i="3" s="1"/>
  <c r="CPE28" i="3" a="1"/>
  <c r="CPE28" i="3" s="1"/>
  <c r="COY28" i="3" a="1"/>
  <c r="COY28" i="3" s="1"/>
  <c r="COS28" i="3" a="1"/>
  <c r="COS28" i="3" s="1"/>
  <c r="COM28" i="3" a="1"/>
  <c r="COM28" i="3" s="1"/>
  <c r="COG28" i="3" a="1"/>
  <c r="COG28" i="3" s="1"/>
  <c r="COA28" i="3" a="1"/>
  <c r="COA28" i="3" s="1"/>
  <c r="CNU28" i="3" a="1"/>
  <c r="CNU28" i="3" s="1"/>
  <c r="CNO28" i="3" a="1"/>
  <c r="CNO28" i="3" s="1"/>
  <c r="CNI28" i="3" a="1"/>
  <c r="CNI28" i="3" s="1"/>
  <c r="CNC28" i="3" a="1"/>
  <c r="CNC28" i="3" s="1"/>
  <c r="CMW28" i="3" a="1"/>
  <c r="CMW28" i="3" s="1"/>
  <c r="CMQ28" i="3" a="1"/>
  <c r="CMQ28" i="3" s="1"/>
  <c r="CMK28" i="3" a="1"/>
  <c r="CMK28" i="3" s="1"/>
  <c r="CME28" i="3" a="1"/>
  <c r="CME28" i="3" s="1"/>
  <c r="CLY28" i="3" a="1"/>
  <c r="CLY28" i="3" s="1"/>
  <c r="CLS28" i="3" a="1"/>
  <c r="CLS28" i="3" s="1"/>
  <c r="CLM28" i="3" a="1"/>
  <c r="CLM28" i="3" s="1"/>
  <c r="CLG28" i="3" a="1"/>
  <c r="CLG28" i="3" s="1"/>
  <c r="CLA28" i="3" a="1"/>
  <c r="CLA28" i="3" s="1"/>
  <c r="CKU28" i="3" a="1"/>
  <c r="CKU28" i="3" s="1"/>
  <c r="CKO28" i="3" a="1"/>
  <c r="CKO28" i="3" s="1"/>
  <c r="CKI28" i="3" a="1"/>
  <c r="CKI28" i="3" s="1"/>
  <c r="CKC28" i="3" a="1"/>
  <c r="CKC28" i="3" s="1"/>
  <c r="CJW28" i="3" a="1"/>
  <c r="CJW28" i="3" s="1"/>
  <c r="CJQ28" i="3" a="1"/>
  <c r="CJQ28" i="3" s="1"/>
  <c r="CJK28" i="3" a="1"/>
  <c r="CJK28" i="3" s="1"/>
  <c r="CJE28" i="3" a="1"/>
  <c r="CJE28" i="3" s="1"/>
  <c r="CIY28" i="3" a="1"/>
  <c r="CIY28" i="3" s="1"/>
  <c r="CIS28" i="3" a="1"/>
  <c r="CIS28" i="3" s="1"/>
  <c r="CIM28" i="3" a="1"/>
  <c r="CIM28" i="3" s="1"/>
  <c r="CIG28" i="3" a="1"/>
  <c r="CIG28" i="3" s="1"/>
  <c r="CIA28" i="3" a="1"/>
  <c r="CIA28" i="3" s="1"/>
  <c r="CHU28" i="3" a="1"/>
  <c r="CHU28" i="3" s="1"/>
  <c r="CHO28" i="3" a="1"/>
  <c r="CHO28" i="3" s="1"/>
  <c r="CHI28" i="3" a="1"/>
  <c r="CHI28" i="3" s="1"/>
  <c r="CHC28" i="3" a="1"/>
  <c r="CHC28" i="3" s="1"/>
  <c r="CGW28" i="3" a="1"/>
  <c r="CGW28" i="3" s="1"/>
  <c r="CGQ28" i="3" a="1"/>
  <c r="CGQ28" i="3" s="1"/>
  <c r="CGK28" i="3" a="1"/>
  <c r="CGK28" i="3" s="1"/>
  <c r="CGE28" i="3" a="1"/>
  <c r="CGE28" i="3" s="1"/>
  <c r="CFY28" i="3" a="1"/>
  <c r="CFY28" i="3" s="1"/>
  <c r="CFS28" i="3" a="1"/>
  <c r="CFS28" i="3" s="1"/>
  <c r="CFM28" i="3" a="1"/>
  <c r="CFM28" i="3" s="1"/>
  <c r="CFG28" i="3" a="1"/>
  <c r="CFG28" i="3" s="1"/>
  <c r="CFA28" i="3" a="1"/>
  <c r="CFA28" i="3" s="1"/>
  <c r="CEU28" i="3" a="1"/>
  <c r="CEU28" i="3" s="1"/>
  <c r="CEO28" i="3" a="1"/>
  <c r="CEO28" i="3" s="1"/>
  <c r="CEI28" i="3" a="1"/>
  <c r="CEI28" i="3" s="1"/>
  <c r="CEC28" i="3" a="1"/>
  <c r="CEC28" i="3" s="1"/>
  <c r="CDW28" i="3" a="1"/>
  <c r="CDW28" i="3" s="1"/>
  <c r="CDQ28" i="3" a="1"/>
  <c r="CDQ28" i="3" s="1"/>
  <c r="CDK28" i="3" a="1"/>
  <c r="CDK28" i="3" s="1"/>
  <c r="CDE28" i="3" a="1"/>
  <c r="CDE28" i="3" s="1"/>
  <c r="CCY28" i="3" a="1"/>
  <c r="CCY28" i="3" s="1"/>
  <c r="CCS28" i="3" a="1"/>
  <c r="CCS28" i="3" s="1"/>
  <c r="CCM28" i="3" a="1"/>
  <c r="CCM28" i="3" s="1"/>
  <c r="CCG28" i="3" a="1"/>
  <c r="CCG28" i="3" s="1"/>
  <c r="CCA28" i="3" a="1"/>
  <c r="CCA28" i="3" s="1"/>
  <c r="CBU28" i="3" a="1"/>
  <c r="CBU28" i="3" s="1"/>
  <c r="CBO28" i="3" a="1"/>
  <c r="CBO28" i="3" s="1"/>
  <c r="CBI28" i="3" a="1"/>
  <c r="CBI28" i="3" s="1"/>
  <c r="CBC28" i="3" a="1"/>
  <c r="CBC28" i="3" s="1"/>
  <c r="CAW28" i="3" a="1"/>
  <c r="CAW28" i="3" s="1"/>
  <c r="CAQ28" i="3" a="1"/>
  <c r="CAQ28" i="3" s="1"/>
  <c r="CAK28" i="3" a="1"/>
  <c r="CAK28" i="3" s="1"/>
  <c r="CAE28" i="3" a="1"/>
  <c r="CAE28" i="3" s="1"/>
  <c r="BZY28" i="3" a="1"/>
  <c r="BZY28" i="3" s="1"/>
  <c r="BZS28" i="3" a="1"/>
  <c r="BZS28" i="3" s="1"/>
  <c r="BZM28" i="3" a="1"/>
  <c r="BZM28" i="3" s="1"/>
  <c r="BZG28" i="3" a="1"/>
  <c r="BZG28" i="3" s="1"/>
  <c r="BZA28" i="3" a="1"/>
  <c r="BZA28" i="3" s="1"/>
  <c r="BYU28" i="3" a="1"/>
  <c r="BYU28" i="3" s="1"/>
  <c r="BYO28" i="3" a="1"/>
  <c r="BYO28" i="3" s="1"/>
  <c r="BYI28" i="3" a="1"/>
  <c r="BYI28" i="3" s="1"/>
  <c r="BYC28" i="3" a="1"/>
  <c r="BYC28" i="3" s="1"/>
  <c r="BXW28" i="3" a="1"/>
  <c r="BXW28" i="3" s="1"/>
  <c r="BXQ28" i="3" a="1"/>
  <c r="BXQ28" i="3" s="1"/>
  <c r="BXK28" i="3" a="1"/>
  <c r="BXK28" i="3" s="1"/>
  <c r="BXE28" i="3" a="1"/>
  <c r="BXE28" i="3" s="1"/>
  <c r="BWY28" i="3" a="1"/>
  <c r="BWY28" i="3" s="1"/>
  <c r="BWS28" i="3" a="1"/>
  <c r="BWS28" i="3" s="1"/>
  <c r="BWM28" i="3" a="1"/>
  <c r="BWM28" i="3" s="1"/>
  <c r="BWG28" i="3" a="1"/>
  <c r="BWG28" i="3" s="1"/>
  <c r="BWA28" i="3" a="1"/>
  <c r="BWA28" i="3" s="1"/>
  <c r="BVU28" i="3" a="1"/>
  <c r="BVU28" i="3" s="1"/>
  <c r="BVO28" i="3" a="1"/>
  <c r="BVO28" i="3" s="1"/>
  <c r="BVI28" i="3" a="1"/>
  <c r="BVI28" i="3" s="1"/>
  <c r="BVC28" i="3" a="1"/>
  <c r="BVC28" i="3" s="1"/>
  <c r="BUW28" i="3" a="1"/>
  <c r="BUW28" i="3" s="1"/>
  <c r="BUQ28" i="3" a="1"/>
  <c r="BUQ28" i="3" s="1"/>
  <c r="BUK28" i="3" a="1"/>
  <c r="BUK28" i="3" s="1"/>
  <c r="BUE28" i="3" a="1"/>
  <c r="BUE28" i="3" s="1"/>
  <c r="BTY28" i="3" a="1"/>
  <c r="BTY28" i="3" s="1"/>
  <c r="BTS28" i="3" a="1"/>
  <c r="BTS28" i="3" s="1"/>
  <c r="BTM28" i="3" a="1"/>
  <c r="BTM28" i="3" s="1"/>
  <c r="BTG28" i="3" a="1"/>
  <c r="BTG28" i="3" s="1"/>
  <c r="BTA28" i="3" a="1"/>
  <c r="BTA28" i="3" s="1"/>
  <c r="BSU28" i="3" a="1"/>
  <c r="BSU28" i="3" s="1"/>
  <c r="BSO28" i="3" a="1"/>
  <c r="BSO28" i="3" s="1"/>
  <c r="BSI28" i="3" a="1"/>
  <c r="BSI28" i="3" s="1"/>
  <c r="BSC28" i="3" a="1"/>
  <c r="BSC28" i="3" s="1"/>
  <c r="BRW28" i="3" a="1"/>
  <c r="BRW28" i="3" s="1"/>
  <c r="BRQ28" i="3" a="1"/>
  <c r="BRQ28" i="3" s="1"/>
  <c r="BRK28" i="3" a="1"/>
  <c r="BRK28" i="3" s="1"/>
  <c r="BRE28" i="3" a="1"/>
  <c r="BRE28" i="3" s="1"/>
  <c r="BQY28" i="3" a="1"/>
  <c r="BQY28" i="3" s="1"/>
  <c r="BQS28" i="3" a="1"/>
  <c r="BQS28" i="3" s="1"/>
  <c r="BQM28" i="3" a="1"/>
  <c r="BQM28" i="3" s="1"/>
  <c r="BQG28" i="3" a="1"/>
  <c r="BQG28" i="3" s="1"/>
  <c r="BQA28" i="3" a="1"/>
  <c r="BQA28" i="3" s="1"/>
  <c r="BPU28" i="3" a="1"/>
  <c r="BPU28" i="3" s="1"/>
  <c r="BPO28" i="3" a="1"/>
  <c r="BPO28" i="3" s="1"/>
  <c r="BPI28" i="3" a="1"/>
  <c r="BPI28" i="3" s="1"/>
  <c r="BPC28" i="3" a="1"/>
  <c r="BPC28" i="3" s="1"/>
  <c r="BOW28" i="3" a="1"/>
  <c r="BOW28" i="3" s="1"/>
  <c r="BOQ28" i="3" a="1"/>
  <c r="BOQ28" i="3" s="1"/>
  <c r="BOK28" i="3" a="1"/>
  <c r="BOK28" i="3" s="1"/>
  <c r="BOE28" i="3" a="1"/>
  <c r="BOE28" i="3" s="1"/>
  <c r="BNY28" i="3" a="1"/>
  <c r="BNY28" i="3" s="1"/>
  <c r="BNS28" i="3" a="1"/>
  <c r="BNS28" i="3" s="1"/>
  <c r="BNM28" i="3" a="1"/>
  <c r="BNM28" i="3" s="1"/>
  <c r="BNG28" i="3" a="1"/>
  <c r="BNG28" i="3" s="1"/>
  <c r="BNA28" i="3" a="1"/>
  <c r="BNA28" i="3" s="1"/>
  <c r="BMU28" i="3" a="1"/>
  <c r="BMU28" i="3" s="1"/>
  <c r="BMO28" i="3" a="1"/>
  <c r="BMO28" i="3" s="1"/>
  <c r="BMI28" i="3" a="1"/>
  <c r="BMI28" i="3" s="1"/>
  <c r="BMC28" i="3" a="1"/>
  <c r="BMC28" i="3" s="1"/>
  <c r="BLW28" i="3" a="1"/>
  <c r="BLW28" i="3" s="1"/>
  <c r="BLQ28" i="3" a="1"/>
  <c r="BLQ28" i="3" s="1"/>
  <c r="BLK28" i="3" a="1"/>
  <c r="BLK28" i="3" s="1"/>
  <c r="BLE28" i="3" a="1"/>
  <c r="BLE28" i="3" s="1"/>
  <c r="BKY28" i="3" a="1"/>
  <c r="BKY28" i="3" s="1"/>
  <c r="BKS28" i="3" a="1"/>
  <c r="BKS28" i="3" s="1"/>
  <c r="BKM28" i="3" a="1"/>
  <c r="BKM28" i="3" s="1"/>
  <c r="BKG28" i="3" a="1"/>
  <c r="BKG28" i="3" s="1"/>
  <c r="BKA28" i="3" a="1"/>
  <c r="BKA28" i="3" s="1"/>
  <c r="BJU28" i="3" a="1"/>
  <c r="BJU28" i="3" s="1"/>
  <c r="BJO28" i="3" a="1"/>
  <c r="BJO28" i="3" s="1"/>
  <c r="BJI28" i="3" a="1"/>
  <c r="BJI28" i="3" s="1"/>
  <c r="BJC28" i="3" a="1"/>
  <c r="BJC28" i="3" s="1"/>
  <c r="BIW28" i="3" a="1"/>
  <c r="BIW28" i="3" s="1"/>
  <c r="BIQ28" i="3" a="1"/>
  <c r="BIQ28" i="3" s="1"/>
  <c r="BIK28" i="3" a="1"/>
  <c r="BIK28" i="3" s="1"/>
  <c r="BIE28" i="3" a="1"/>
  <c r="BIE28" i="3" s="1"/>
  <c r="BHY28" i="3" a="1"/>
  <c r="BHY28" i="3" s="1"/>
  <c r="BHS28" i="3" a="1"/>
  <c r="BHS28" i="3" s="1"/>
  <c r="BHM28" i="3" a="1"/>
  <c r="BHM28" i="3" s="1"/>
  <c r="BHG28" i="3" a="1"/>
  <c r="BHG28" i="3" s="1"/>
  <c r="BHA28" i="3" a="1"/>
  <c r="BHA28" i="3" s="1"/>
  <c r="BGU28" i="3" a="1"/>
  <c r="BGU28" i="3" s="1"/>
  <c r="BGO28" i="3" a="1"/>
  <c r="BGO28" i="3" s="1"/>
  <c r="BGI28" i="3" a="1"/>
  <c r="BGI28" i="3" s="1"/>
  <c r="BGC28" i="3" a="1"/>
  <c r="BGC28" i="3" s="1"/>
  <c r="BFW28" i="3" a="1"/>
  <c r="BFW28" i="3" s="1"/>
  <c r="BFQ28" i="3" a="1"/>
  <c r="BFQ28" i="3" s="1"/>
  <c r="BFK28" i="3" a="1"/>
  <c r="BFK28" i="3" s="1"/>
  <c r="BFE28" i="3" a="1"/>
  <c r="BFE28" i="3" s="1"/>
  <c r="BEY28" i="3" a="1"/>
  <c r="BEY28" i="3" s="1"/>
  <c r="BES28" i="3" a="1"/>
  <c r="BES28" i="3" s="1"/>
  <c r="BEM28" i="3" a="1"/>
  <c r="BEM28" i="3" s="1"/>
  <c r="BEG28" i="3" a="1"/>
  <c r="BEG28" i="3" s="1"/>
  <c r="BEA28" i="3" a="1"/>
  <c r="BEA28" i="3" s="1"/>
  <c r="BDU28" i="3" a="1"/>
  <c r="BDU28" i="3" s="1"/>
  <c r="BDO28" i="3" a="1"/>
  <c r="BDO28" i="3" s="1"/>
  <c r="BDI28" i="3" a="1"/>
  <c r="BDI28" i="3" s="1"/>
  <c r="BDC28" i="3" a="1"/>
  <c r="BDC28" i="3" s="1"/>
  <c r="BCW28" i="3" a="1"/>
  <c r="BCW28" i="3" s="1"/>
  <c r="BCQ28" i="3" a="1"/>
  <c r="BCQ28" i="3" s="1"/>
  <c r="BCK28" i="3" a="1"/>
  <c r="BCK28" i="3" s="1"/>
  <c r="BCE28" i="3" a="1"/>
  <c r="BCE28" i="3" s="1"/>
  <c r="BBY28" i="3" a="1"/>
  <c r="BBY28" i="3" s="1"/>
  <c r="BBS28" i="3" a="1"/>
  <c r="BBS28" i="3" s="1"/>
  <c r="BBM28" i="3" a="1"/>
  <c r="BBM28" i="3" s="1"/>
  <c r="BBG28" i="3" a="1"/>
  <c r="BBG28" i="3" s="1"/>
  <c r="BBA28" i="3" a="1"/>
  <c r="BBA28" i="3" s="1"/>
  <c r="BAU28" i="3" a="1"/>
  <c r="BAU28" i="3" s="1"/>
  <c r="BAO28" i="3" a="1"/>
  <c r="BAO28" i="3" s="1"/>
  <c r="BAI28" i="3" a="1"/>
  <c r="BAI28" i="3" s="1"/>
  <c r="BAC28" i="3" a="1"/>
  <c r="BAC28" i="3" s="1"/>
  <c r="AZW28" i="3" a="1"/>
  <c r="AZW28" i="3" s="1"/>
  <c r="AZQ28" i="3" a="1"/>
  <c r="AZQ28" i="3" s="1"/>
  <c r="AZK28" i="3" a="1"/>
  <c r="AZK28" i="3" s="1"/>
  <c r="AZE28" i="3" a="1"/>
  <c r="AZE28" i="3" s="1"/>
  <c r="AYY28" i="3" a="1"/>
  <c r="AYY28" i="3" s="1"/>
  <c r="AYS28" i="3" a="1"/>
  <c r="AYS28" i="3" s="1"/>
  <c r="AYM28" i="3" a="1"/>
  <c r="AYM28" i="3" s="1"/>
  <c r="AYG28" i="3" a="1"/>
  <c r="AYG28" i="3" s="1"/>
  <c r="AYA28" i="3" a="1"/>
  <c r="AYA28" i="3" s="1"/>
  <c r="AXU28" i="3" a="1"/>
  <c r="AXU28" i="3" s="1"/>
  <c r="AXO28" i="3" a="1"/>
  <c r="AXO28" i="3" s="1"/>
  <c r="AXI28" i="3" a="1"/>
  <c r="AXI28" i="3" s="1"/>
  <c r="AXC28" i="3" a="1"/>
  <c r="AXC28" i="3" s="1"/>
  <c r="AWW28" i="3" a="1"/>
  <c r="AWW28" i="3" s="1"/>
  <c r="AWQ28" i="3" a="1"/>
  <c r="AWQ28" i="3" s="1"/>
  <c r="AWK28" i="3" a="1"/>
  <c r="AWK28" i="3" s="1"/>
  <c r="AWE28" i="3" a="1"/>
  <c r="AWE28" i="3" s="1"/>
  <c r="AVY28" i="3" a="1"/>
  <c r="AVY28" i="3" s="1"/>
  <c r="AVS28" i="3" a="1"/>
  <c r="AVS28" i="3" s="1"/>
  <c r="AVM28" i="3" a="1"/>
  <c r="AVM28" i="3" s="1"/>
  <c r="AVG28" i="3" a="1"/>
  <c r="AVG28" i="3" s="1"/>
  <c r="AVA28" i="3" a="1"/>
  <c r="AVA28" i="3" s="1"/>
  <c r="AUU28" i="3" a="1"/>
  <c r="AUU28" i="3" s="1"/>
  <c r="AUO28" i="3" a="1"/>
  <c r="AUO28" i="3" s="1"/>
  <c r="AUI28" i="3" a="1"/>
  <c r="AUI28" i="3" s="1"/>
  <c r="AUC28" i="3" a="1"/>
  <c r="AUC28" i="3" s="1"/>
  <c r="ATW28" i="3" a="1"/>
  <c r="ATW28" i="3" s="1"/>
  <c r="ATQ28" i="3" a="1"/>
  <c r="ATQ28" i="3" s="1"/>
  <c r="NYY28" i="3" a="1"/>
  <c r="NYY28" i="3" s="1"/>
  <c r="MPG28" i="3" a="1"/>
  <c r="MPG28" i="3" s="1"/>
  <c r="LDI28" i="3" a="1"/>
  <c r="LDI28" i="3" s="1"/>
  <c r="KTG28" i="3" a="1"/>
  <c r="KTG28" i="3" s="1"/>
  <c r="KCC28" i="3" a="1"/>
  <c r="KCC28" i="3" s="1"/>
  <c r="JKU28" i="3" a="1"/>
  <c r="JKU28" i="3" s="1"/>
  <c r="JGQ28" i="3" a="1"/>
  <c r="JGQ28" i="3" s="1"/>
  <c r="JCM28" i="3" a="1"/>
  <c r="JCM28" i="3" s="1"/>
  <c r="IYI28" i="3" a="1"/>
  <c r="IYI28" i="3" s="1"/>
  <c r="INK28" i="3" a="1"/>
  <c r="INK28" i="3" s="1"/>
  <c r="IHT28" i="3" a="1"/>
  <c r="IHT28" i="3" s="1"/>
  <c r="IFG28" i="3" a="1"/>
  <c r="IFG28" i="3" s="1"/>
  <c r="HWE28" i="3" a="1"/>
  <c r="HWE28" i="3" s="1"/>
  <c r="HTX28" i="3" a="1"/>
  <c r="HTX28" i="3" s="1"/>
  <c r="HRQ28" i="3" a="1"/>
  <c r="HRQ28" i="3" s="1"/>
  <c r="HPJ28" i="3" a="1"/>
  <c r="HPJ28" i="3" s="1"/>
  <c r="HNP28" i="3" a="1"/>
  <c r="HNP28" i="3" s="1"/>
  <c r="HKI28" i="3" a="1"/>
  <c r="HKI28" i="3" s="1"/>
  <c r="HFH28" i="3" a="1"/>
  <c r="HFH28" i="3" s="1"/>
  <c r="HCA28" i="3" a="1"/>
  <c r="HCA28" i="3" s="1"/>
  <c r="GWZ28" i="3" a="1"/>
  <c r="GWZ28" i="3" s="1"/>
  <c r="GTS28" i="3" a="1"/>
  <c r="GTS28" i="3" s="1"/>
  <c r="GOR28" i="3" a="1"/>
  <c r="GOR28" i="3" s="1"/>
  <c r="GLK28" i="3" a="1"/>
  <c r="GLK28" i="3" s="1"/>
  <c r="GGJ28" i="3" a="1"/>
  <c r="GGJ28" i="3" s="1"/>
  <c r="GDC28" i="3" a="1"/>
  <c r="GDC28" i="3" s="1"/>
  <c r="FYB28" i="3" a="1"/>
  <c r="FYB28" i="3" s="1"/>
  <c r="FUU28" i="3" a="1"/>
  <c r="FUU28" i="3" s="1"/>
  <c r="FPT28" i="3" a="1"/>
  <c r="FPT28" i="3" s="1"/>
  <c r="FMM28" i="3" a="1"/>
  <c r="FMM28" i="3" s="1"/>
  <c r="EOR28" i="3" a="1"/>
  <c r="EOR28" i="3" s="1"/>
  <c r="ENO28" i="3" a="1"/>
  <c r="ENO28" i="3" s="1"/>
  <c r="ELM28" i="3" a="1"/>
  <c r="ELM28" i="3" s="1"/>
  <c r="EJK28" i="3" a="1"/>
  <c r="EJK28" i="3" s="1"/>
  <c r="EEZ28" i="3" a="1"/>
  <c r="EEZ28" i="3" s="1"/>
  <c r="EBT28" i="3" a="1"/>
  <c r="EBT28" i="3" s="1"/>
  <c r="EBB28" i="3" a="1"/>
  <c r="EBB28" i="3" s="1"/>
  <c r="EAJ28" i="3" a="1"/>
  <c r="EAJ28" i="3" s="1"/>
  <c r="DZG28" i="3" a="1"/>
  <c r="DZG28" i="3" s="1"/>
  <c r="DXE28" i="3" a="1"/>
  <c r="DXE28" i="3" s="1"/>
  <c r="DVC28" i="3" a="1"/>
  <c r="DVC28" i="3" s="1"/>
  <c r="DSS28" i="3" a="1"/>
  <c r="DSS28" i="3" s="1"/>
  <c r="DSI28" i="3" a="1"/>
  <c r="DSI28" i="3" s="1"/>
  <c r="DRN28" i="3" a="1"/>
  <c r="DRN28" i="3" s="1"/>
  <c r="DQV28" i="3" a="1"/>
  <c r="DQV28" i="3" s="1"/>
  <c r="DQD28" i="3" a="1"/>
  <c r="DQD28" i="3" s="1"/>
  <c r="DPL28" i="3" a="1"/>
  <c r="DPL28" i="3" s="1"/>
  <c r="DOT28" i="3" a="1"/>
  <c r="DOT28" i="3" s="1"/>
  <c r="DOB28" i="3" a="1"/>
  <c r="DOB28" i="3" s="1"/>
  <c r="DNJ28" i="3" a="1"/>
  <c r="DNJ28" i="3" s="1"/>
  <c r="DMR28" i="3" a="1"/>
  <c r="DMR28" i="3" s="1"/>
  <c r="DLZ28" i="3" a="1"/>
  <c r="DLZ28" i="3" s="1"/>
  <c r="DHQ28" i="3" a="1"/>
  <c r="DHQ28" i="3" s="1"/>
  <c r="NOV28" i="3" a="1"/>
  <c r="NOV28" i="3" s="1"/>
  <c r="LVJ28" i="3" a="1"/>
  <c r="LVJ28" i="3" s="1"/>
  <c r="KXU28" i="3" a="1"/>
  <c r="KXU28" i="3" s="1"/>
  <c r="KAG28" i="3" a="1"/>
  <c r="KAG28" i="3" s="1"/>
  <c r="JNY28" i="3" a="1"/>
  <c r="JNY28" i="3" s="1"/>
  <c r="JBO28" i="3" a="1"/>
  <c r="JBO28" i="3" s="1"/>
  <c r="ILR28" i="3" a="1"/>
  <c r="ILR28" i="3" s="1"/>
  <c r="HZY28" i="3" a="1"/>
  <c r="HZY28" i="3" s="1"/>
  <c r="HTK28" i="3" a="1"/>
  <c r="HTK28" i="3" s="1"/>
  <c r="GYI28" i="3" a="1"/>
  <c r="GYI28" i="3" s="1"/>
  <c r="GUW28" i="3" a="1"/>
  <c r="GUW28" i="3" s="1"/>
  <c r="GJD28" i="3" a="1"/>
  <c r="GJD28" i="3" s="1"/>
  <c r="FXD28" i="3" a="1"/>
  <c r="FXD28" i="3" s="1"/>
  <c r="FPG28" i="3" a="1"/>
  <c r="FPG28" i="3" s="1"/>
  <c r="EOA28" i="3" a="1"/>
  <c r="EOA28" i="3" s="1"/>
  <c r="ELF28" i="3" a="1"/>
  <c r="ELF28" i="3" s="1"/>
  <c r="EGQ28" i="3" a="1"/>
  <c r="EGQ28" i="3" s="1"/>
  <c r="ECY28" i="3" a="1"/>
  <c r="ECY28" i="3" s="1"/>
  <c r="EAW28" i="3" a="1"/>
  <c r="EAW28" i="3" s="1"/>
  <c r="DWZ28" i="3" a="1"/>
  <c r="DWZ28" i="3" s="1"/>
  <c r="DUL28" i="3" a="1"/>
  <c r="DUL28" i="3" s="1"/>
  <c r="DTL28" i="3" a="1"/>
  <c r="DTL28" i="3" s="1"/>
  <c r="DSG28" i="3" a="1"/>
  <c r="DSG28" i="3" s="1"/>
  <c r="DRK28" i="3" a="1"/>
  <c r="DRK28" i="3" s="1"/>
  <c r="DQR28" i="3" a="1"/>
  <c r="DQR28" i="3" s="1"/>
  <c r="DPS28" i="3" a="1"/>
  <c r="DPS28" i="3" s="1"/>
  <c r="DOZ28" i="3" a="1"/>
  <c r="DOZ28" i="3" s="1"/>
  <c r="DNG28" i="3" a="1"/>
  <c r="DNG28" i="3" s="1"/>
  <c r="DMN28" i="3" a="1"/>
  <c r="DMN28" i="3" s="1"/>
  <c r="DLO28" i="3" a="1"/>
  <c r="DLO28" i="3" s="1"/>
  <c r="DKX28" i="3" a="1"/>
  <c r="DKX28" i="3" s="1"/>
  <c r="DKB28" i="3" a="1"/>
  <c r="DKB28" i="3" s="1"/>
  <c r="DIS28" i="3" a="1"/>
  <c r="DIS28" i="3" s="1"/>
  <c r="DHW28" i="3" a="1"/>
  <c r="DHW28" i="3" s="1"/>
  <c r="DGR28" i="3" a="1"/>
  <c r="DGR28" i="3" s="1"/>
  <c r="DGE28" i="3" a="1"/>
  <c r="DGE28" i="3" s="1"/>
  <c r="DFR28" i="3" a="1"/>
  <c r="DFR28" i="3" s="1"/>
  <c r="DDX28" i="3" a="1"/>
  <c r="DDX28" i="3" s="1"/>
  <c r="DDK28" i="3" a="1"/>
  <c r="DDK28" i="3" s="1"/>
  <c r="DCX28" i="3" a="1"/>
  <c r="DCX28" i="3" s="1"/>
  <c r="DBD28" i="3" a="1"/>
  <c r="DBD28" i="3" s="1"/>
  <c r="DAQ28" i="3" a="1"/>
  <c r="DAQ28" i="3" s="1"/>
  <c r="DAD28" i="3" a="1"/>
  <c r="DAD28" i="3" s="1"/>
  <c r="CYJ28" i="3" a="1"/>
  <c r="CYJ28" i="3" s="1"/>
  <c r="CXW28" i="3" a="1"/>
  <c r="CXW28" i="3" s="1"/>
  <c r="CXJ28" i="3" a="1"/>
  <c r="CXJ28" i="3" s="1"/>
  <c r="CVP28" i="3" a="1"/>
  <c r="CVP28" i="3" s="1"/>
  <c r="CVC28" i="3" a="1"/>
  <c r="CVC28" i="3" s="1"/>
  <c r="CUP28" i="3" a="1"/>
  <c r="CUP28" i="3" s="1"/>
  <c r="CSV28" i="3" a="1"/>
  <c r="CSV28" i="3" s="1"/>
  <c r="CSI28" i="3" a="1"/>
  <c r="CSI28" i="3" s="1"/>
  <c r="CRV28" i="3" a="1"/>
  <c r="CRV28" i="3" s="1"/>
  <c r="CQB28" i="3" a="1"/>
  <c r="CQB28" i="3" s="1"/>
  <c r="CPO28" i="3" a="1"/>
  <c r="CPO28" i="3" s="1"/>
  <c r="CPB28" i="3" a="1"/>
  <c r="CPB28" i="3" s="1"/>
  <c r="CNH28" i="3" a="1"/>
  <c r="CNH28" i="3" s="1"/>
  <c r="CMU28" i="3" a="1"/>
  <c r="CMU28" i="3" s="1"/>
  <c r="CMH28" i="3" a="1"/>
  <c r="CMH28" i="3" s="1"/>
  <c r="CKN28" i="3" a="1"/>
  <c r="CKN28" i="3" s="1"/>
  <c r="CKA28" i="3" a="1"/>
  <c r="CKA28" i="3" s="1"/>
  <c r="CJN28" i="3" a="1"/>
  <c r="CJN28" i="3" s="1"/>
  <c r="CHT28" i="3" a="1"/>
  <c r="CHT28" i="3" s="1"/>
  <c r="CHG28" i="3" a="1"/>
  <c r="CHG28" i="3" s="1"/>
  <c r="CGT28" i="3" a="1"/>
  <c r="CGT28" i="3" s="1"/>
  <c r="CEZ28" i="3" a="1"/>
  <c r="CEZ28" i="3" s="1"/>
  <c r="CEM28" i="3" a="1"/>
  <c r="CEM28" i="3" s="1"/>
  <c r="CDZ28" i="3" a="1"/>
  <c r="CDZ28" i="3" s="1"/>
  <c r="KAF28" i="3" a="1"/>
  <c r="KAF28" i="3" s="1"/>
  <c r="JMV28" i="3" a="1"/>
  <c r="JMV28" i="3" s="1"/>
  <c r="ITG28" i="3" a="1"/>
  <c r="ITG28" i="3" s="1"/>
  <c r="IJT28" i="3" a="1"/>
  <c r="IJT28" i="3" s="1"/>
  <c r="IEQ28" i="3" a="1"/>
  <c r="IEQ28" i="3" s="1"/>
  <c r="HZL28" i="3" a="1"/>
  <c r="HZL28" i="3" s="1"/>
  <c r="HTI28" i="3" a="1"/>
  <c r="HTI28" i="3" s="1"/>
  <c r="HOV28" i="3" a="1"/>
  <c r="HOV28" i="3" s="1"/>
  <c r="HJX28" i="3" a="1"/>
  <c r="HJX28" i="3" s="1"/>
  <c r="HGL28" i="3" a="1"/>
  <c r="HGL28" i="3" s="1"/>
  <c r="GQA28" i="3" a="1"/>
  <c r="GQA28" i="3" s="1"/>
  <c r="GMO28" i="3" a="1"/>
  <c r="GMO28" i="3" s="1"/>
  <c r="GAV28" i="3" a="1"/>
  <c r="GAV28" i="3" s="1"/>
  <c r="FOV28" i="3" a="1"/>
  <c r="FOV28" i="3" s="1"/>
  <c r="ENI28" i="3" a="1"/>
  <c r="ENI28" i="3" s="1"/>
  <c r="ECM28" i="3" a="1"/>
  <c r="ECM28" i="3" s="1"/>
  <c r="EAV28" i="3" a="1"/>
  <c r="EAV28" i="3" s="1"/>
  <c r="DYC28" i="3" a="1"/>
  <c r="DYC28" i="3" s="1"/>
  <c r="DVO28" i="3" a="1"/>
  <c r="DVO28" i="3" s="1"/>
  <c r="DQL28" i="3" a="1"/>
  <c r="DQL28" i="3" s="1"/>
  <c r="DNZ28" i="3" a="1"/>
  <c r="DNZ28" i="3" s="1"/>
  <c r="DMH28" i="3" a="1"/>
  <c r="DMH28" i="3" s="1"/>
  <c r="DKW28" i="3" a="1"/>
  <c r="DKW28" i="3" s="1"/>
  <c r="DKA28" i="3" a="1"/>
  <c r="DKA28" i="3" s="1"/>
  <c r="DJJ28" i="3" a="1"/>
  <c r="DJJ28" i="3" s="1"/>
  <c r="DIN28" i="3" a="1"/>
  <c r="DIN28" i="3" s="1"/>
  <c r="DHH28" i="3" a="1"/>
  <c r="DHH28" i="3" s="1"/>
  <c r="DFN28" i="3" a="1"/>
  <c r="DFN28" i="3" s="1"/>
  <c r="DFA28" i="3" a="1"/>
  <c r="DFA28" i="3" s="1"/>
  <c r="DEN28" i="3" a="1"/>
  <c r="DEN28" i="3" s="1"/>
  <c r="DCT28" i="3" a="1"/>
  <c r="DCT28" i="3" s="1"/>
  <c r="DCG28" i="3" a="1"/>
  <c r="DCG28" i="3" s="1"/>
  <c r="DBT28" i="3" a="1"/>
  <c r="DBT28" i="3" s="1"/>
  <c r="CZZ28" i="3" a="1"/>
  <c r="CZZ28" i="3" s="1"/>
  <c r="CZM28" i="3" a="1"/>
  <c r="CZM28" i="3" s="1"/>
  <c r="CYZ28" i="3" a="1"/>
  <c r="CYZ28" i="3" s="1"/>
  <c r="CXF28" i="3" a="1"/>
  <c r="CXF28" i="3" s="1"/>
  <c r="CWS28" i="3" a="1"/>
  <c r="CWS28" i="3" s="1"/>
  <c r="CWF28" i="3" a="1"/>
  <c r="CWF28" i="3" s="1"/>
  <c r="CUL28" i="3" a="1"/>
  <c r="CUL28" i="3" s="1"/>
  <c r="CTY28" i="3" a="1"/>
  <c r="CTY28" i="3" s="1"/>
  <c r="CTL28" i="3" a="1"/>
  <c r="CTL28" i="3" s="1"/>
  <c r="NNC28" i="3" a="1"/>
  <c r="NNC28" i="3" s="1"/>
  <c r="LSH28" i="3" a="1"/>
  <c r="LSH28" i="3" s="1"/>
  <c r="KQR28" i="3" a="1"/>
  <c r="KQR28" i="3" s="1"/>
  <c r="JJW28" i="3" a="1"/>
  <c r="JJW28" i="3" s="1"/>
  <c r="JBJ28" i="3" a="1"/>
  <c r="JBJ28" i="3" s="1"/>
  <c r="ISK28" i="3" a="1"/>
  <c r="ISK28" i="3" s="1"/>
  <c r="IEM28" i="3" a="1"/>
  <c r="IEM28" i="3" s="1"/>
  <c r="HOJ28" i="3" a="1"/>
  <c r="HOJ28" i="3" s="1"/>
  <c r="HJW28" i="3" a="1"/>
  <c r="HJW28" i="3" s="1"/>
  <c r="HBP28" i="3" a="1"/>
  <c r="HBP28" i="3" s="1"/>
  <c r="GYD28" i="3" a="1"/>
  <c r="GYD28" i="3" s="1"/>
  <c r="GHS28" i="3" a="1"/>
  <c r="GHS28" i="3" s="1"/>
  <c r="GEG28" i="3" a="1"/>
  <c r="GEG28" i="3" s="1"/>
  <c r="FSN28" i="3" a="1"/>
  <c r="FSN28" i="3" s="1"/>
  <c r="ENH28" i="3" a="1"/>
  <c r="ENH28" i="3" s="1"/>
  <c r="EGK28" i="3" a="1"/>
  <c r="EGK28" i="3" s="1"/>
  <c r="EEP28" i="3" a="1"/>
  <c r="EEP28" i="3" s="1"/>
  <c r="DYB28" i="3" a="1"/>
  <c r="DYB28" i="3" s="1"/>
  <c r="DWY28" i="3" a="1"/>
  <c r="DWY28" i="3" s="1"/>
  <c r="DVN28" i="3" a="1"/>
  <c r="DVN28" i="3" s="1"/>
  <c r="DUK28" i="3" a="1"/>
  <c r="DUK28" i="3" s="1"/>
  <c r="DSE28" i="3" a="1"/>
  <c r="DSE28" i="3" s="1"/>
  <c r="DRJ28" i="3" a="1"/>
  <c r="DRJ28" i="3" s="1"/>
  <c r="DQK28" i="3" a="1"/>
  <c r="DQK28" i="3" s="1"/>
  <c r="DPR28" i="3" a="1"/>
  <c r="DPR28" i="3" s="1"/>
  <c r="DNY28" i="3" a="1"/>
  <c r="DNY28" i="3" s="1"/>
  <c r="DNF28" i="3" a="1"/>
  <c r="DNF28" i="3" s="1"/>
  <c r="DMG28" i="3" a="1"/>
  <c r="DMG28" i="3" s="1"/>
  <c r="DLN28" i="3" a="1"/>
  <c r="DLN28" i="3" s="1"/>
  <c r="DKR28" i="3" a="1"/>
  <c r="DKR28" i="3" s="1"/>
  <c r="DJI28" i="3" a="1"/>
  <c r="DJI28" i="3" s="1"/>
  <c r="DIM28" i="3" a="1"/>
  <c r="DIM28" i="3" s="1"/>
  <c r="DHV28" i="3" a="1"/>
  <c r="DHV28" i="3" s="1"/>
  <c r="DHD28" i="3" a="1"/>
  <c r="DHD28" i="3" s="1"/>
  <c r="DGQ28" i="3" a="1"/>
  <c r="DGQ28" i="3" s="1"/>
  <c r="DGD28" i="3" a="1"/>
  <c r="DGD28" i="3" s="1"/>
  <c r="DEJ28" i="3" a="1"/>
  <c r="DEJ28" i="3" s="1"/>
  <c r="DDW28" i="3" a="1"/>
  <c r="DDW28" i="3" s="1"/>
  <c r="DDJ28" i="3" a="1"/>
  <c r="DDJ28" i="3" s="1"/>
  <c r="DBP28" i="3" a="1"/>
  <c r="DBP28" i="3" s="1"/>
  <c r="DBC28" i="3" a="1"/>
  <c r="DBC28" i="3" s="1"/>
  <c r="DAP28" i="3" a="1"/>
  <c r="DAP28" i="3" s="1"/>
  <c r="CYV28" i="3" a="1"/>
  <c r="CYV28" i="3" s="1"/>
  <c r="CYI28" i="3" a="1"/>
  <c r="CYI28" i="3" s="1"/>
  <c r="CXV28" i="3" a="1"/>
  <c r="CXV28" i="3" s="1"/>
  <c r="CWB28" i="3" a="1"/>
  <c r="CWB28" i="3" s="1"/>
  <c r="CVO28" i="3" a="1"/>
  <c r="CVO28" i="3" s="1"/>
  <c r="CVB28" i="3" a="1"/>
  <c r="CVB28" i="3" s="1"/>
  <c r="CTH28" i="3" a="1"/>
  <c r="CTH28" i="3" s="1"/>
  <c r="CSU28" i="3" a="1"/>
  <c r="CSU28" i="3" s="1"/>
  <c r="LLA28" i="3" a="1"/>
  <c r="LLA28" i="3" s="1"/>
  <c r="JBC28" i="3" a="1"/>
  <c r="JBC28" i="3" s="1"/>
  <c r="IQB28" i="3" a="1"/>
  <c r="IQB28" i="3" s="1"/>
  <c r="IJQ28" i="3" a="1"/>
  <c r="IJQ28" i="3" s="1"/>
  <c r="HXW28" i="3" a="1"/>
  <c r="HXW28" i="3" s="1"/>
  <c r="HTD28" i="3" a="1"/>
  <c r="HTD28" i="3" s="1"/>
  <c r="HBO28" i="3" a="1"/>
  <c r="HBO28" i="3" s="1"/>
  <c r="GTH28" i="3" a="1"/>
  <c r="GTH28" i="3" s="1"/>
  <c r="GPV28" i="3" a="1"/>
  <c r="GPV28" i="3" s="1"/>
  <c r="FZK28" i="3" a="1"/>
  <c r="FZK28" i="3" s="1"/>
  <c r="FVY28" i="3" a="1"/>
  <c r="FVY28" i="3" s="1"/>
  <c r="EGJ28" i="3" a="1"/>
  <c r="EGJ28" i="3" s="1"/>
  <c r="ECG28" i="3" a="1"/>
  <c r="ECG28" i="3" s="1"/>
  <c r="DTB28" i="3" a="1"/>
  <c r="DTB28" i="3" s="1"/>
  <c r="DRD28" i="3" a="1"/>
  <c r="DRD28" i="3" s="1"/>
  <c r="DOR28" i="3" a="1"/>
  <c r="DOR28" i="3" s="1"/>
  <c r="DMZ28" i="3" a="1"/>
  <c r="DMZ28" i="3" s="1"/>
  <c r="DLM28" i="3" a="1"/>
  <c r="DLM28" i="3" s="1"/>
  <c r="DKQ28" i="3" a="1"/>
  <c r="DKQ28" i="3" s="1"/>
  <c r="DJZ28" i="3" a="1"/>
  <c r="DJZ28" i="3" s="1"/>
  <c r="DJD28" i="3" a="1"/>
  <c r="DJD28" i="3" s="1"/>
  <c r="DHU28" i="3" a="1"/>
  <c r="DHU28" i="3" s="1"/>
  <c r="DFZ28" i="3" a="1"/>
  <c r="DFZ28" i="3" s="1"/>
  <c r="DFM28" i="3" a="1"/>
  <c r="DFM28" i="3" s="1"/>
  <c r="DEZ28" i="3" a="1"/>
  <c r="DEZ28" i="3" s="1"/>
  <c r="DDF28" i="3" a="1"/>
  <c r="DDF28" i="3" s="1"/>
  <c r="DCS28" i="3" a="1"/>
  <c r="DCS28" i="3" s="1"/>
  <c r="DCF28" i="3" a="1"/>
  <c r="DCF28" i="3" s="1"/>
  <c r="DAL28" i="3" a="1"/>
  <c r="DAL28" i="3" s="1"/>
  <c r="CZY28" i="3" a="1"/>
  <c r="CZY28" i="3" s="1"/>
  <c r="CZL28" i="3" a="1"/>
  <c r="CZL28" i="3" s="1"/>
  <c r="CXR28" i="3" a="1"/>
  <c r="CXR28" i="3" s="1"/>
  <c r="CXE28" i="3" a="1"/>
  <c r="CXE28" i="3" s="1"/>
  <c r="CWR28" i="3" a="1"/>
  <c r="CWR28" i="3" s="1"/>
  <c r="CUX28" i="3" a="1"/>
  <c r="CUX28" i="3" s="1"/>
  <c r="CUK28" i="3" a="1"/>
  <c r="CUK28" i="3" s="1"/>
  <c r="CTX28" i="3" a="1"/>
  <c r="CTX28" i="3" s="1"/>
  <c r="NAF28" i="3" a="1"/>
  <c r="NAF28" i="3" s="1"/>
  <c r="LKO28" i="3" a="1"/>
  <c r="LKO28" i="3" s="1"/>
  <c r="KPZ28" i="3" a="1"/>
  <c r="KPZ28" i="3" s="1"/>
  <c r="JJR28" i="3" a="1"/>
  <c r="JJR28" i="3" s="1"/>
  <c r="JAE28" i="3" a="1"/>
  <c r="JAE28" i="3" s="1"/>
  <c r="IPY28" i="3" a="1"/>
  <c r="IPY28" i="3" s="1"/>
  <c r="HSQ28" i="3" a="1"/>
  <c r="HSQ28" i="3" s="1"/>
  <c r="HND28" i="3" a="1"/>
  <c r="HND28" i="3" s="1"/>
  <c r="GTG28" i="3" a="1"/>
  <c r="GTG28" i="3" s="1"/>
  <c r="GKZ28" i="3" a="1"/>
  <c r="GKZ28" i="3" s="1"/>
  <c r="GHN28" i="3" a="1"/>
  <c r="GHN28" i="3" s="1"/>
  <c r="FRC28" i="3" a="1"/>
  <c r="FRC28" i="3" s="1"/>
  <c r="FNQ28" i="3" a="1"/>
  <c r="FNQ28" i="3" s="1"/>
  <c r="EIB28" i="3" a="1"/>
  <c r="EIB28" i="3" s="1"/>
  <c r="ECF28" i="3" a="1"/>
  <c r="ECF28" i="3" s="1"/>
  <c r="DZB28" i="3" a="1"/>
  <c r="DZB28" i="3" s="1"/>
  <c r="DWN28" i="3" a="1"/>
  <c r="DWN28" i="3" s="1"/>
  <c r="DTA28" i="3" a="1"/>
  <c r="DTA28" i="3" s="1"/>
  <c r="DSD28" i="3" a="1"/>
  <c r="DSD28" i="3" s="1"/>
  <c r="DRC28" i="3" a="1"/>
  <c r="DRC28" i="3" s="1"/>
  <c r="DQJ28" i="3" a="1"/>
  <c r="DQJ28" i="3" s="1"/>
  <c r="DOQ28" i="3" a="1"/>
  <c r="DOQ28" i="3" s="1"/>
  <c r="DNX28" i="3" a="1"/>
  <c r="DNX28" i="3" s="1"/>
  <c r="DMY28" i="3" a="1"/>
  <c r="DMY28" i="3" s="1"/>
  <c r="DMF28" i="3" a="1"/>
  <c r="DMF28" i="3" s="1"/>
  <c r="DLH28" i="3" a="1"/>
  <c r="DLH28" i="3" s="1"/>
  <c r="DJY28" i="3" a="1"/>
  <c r="DJY28" i="3" s="1"/>
  <c r="DJC28" i="3" a="1"/>
  <c r="DJC28" i="3" s="1"/>
  <c r="DIL28" i="3" a="1"/>
  <c r="DIL28" i="3" s="1"/>
  <c r="DHC28" i="3" a="1"/>
  <c r="DHC28" i="3" s="1"/>
  <c r="DGP28" i="3" a="1"/>
  <c r="DGP28" i="3" s="1"/>
  <c r="DEV28" i="3" a="1"/>
  <c r="DEV28" i="3" s="1"/>
  <c r="DEI28" i="3" a="1"/>
  <c r="DEI28" i="3" s="1"/>
  <c r="DDV28" i="3" a="1"/>
  <c r="DDV28" i="3" s="1"/>
  <c r="DCB28" i="3" a="1"/>
  <c r="DCB28" i="3" s="1"/>
  <c r="DBO28" i="3" a="1"/>
  <c r="DBO28" i="3" s="1"/>
  <c r="DBB28" i="3" a="1"/>
  <c r="DBB28" i="3" s="1"/>
  <c r="CZH28" i="3" a="1"/>
  <c r="CZH28" i="3" s="1"/>
  <c r="CYU28" i="3" a="1"/>
  <c r="CYU28" i="3" s="1"/>
  <c r="CYH28" i="3" a="1"/>
  <c r="CYH28" i="3" s="1"/>
  <c r="CWN28" i="3" a="1"/>
  <c r="CWN28" i="3" s="1"/>
  <c r="CWA28" i="3" a="1"/>
  <c r="CWA28" i="3" s="1"/>
  <c r="CVN28" i="3" a="1"/>
  <c r="CVN28" i="3" s="1"/>
  <c r="CTT28" i="3" a="1"/>
  <c r="CTT28" i="3" s="1"/>
  <c r="CTG28" i="3" a="1"/>
  <c r="CTG28" i="3" s="1"/>
  <c r="CST28" i="3" a="1"/>
  <c r="CST28" i="3" s="1"/>
  <c r="CQZ28" i="3" a="1"/>
  <c r="CQZ28" i="3" s="1"/>
  <c r="CQM28" i="3" a="1"/>
  <c r="CQM28" i="3" s="1"/>
  <c r="CPZ28" i="3" a="1"/>
  <c r="CPZ28" i="3" s="1"/>
  <c r="COF28" i="3" a="1"/>
  <c r="COF28" i="3" s="1"/>
  <c r="CNS28" i="3" a="1"/>
  <c r="CNS28" i="3" s="1"/>
  <c r="CNF28" i="3" a="1"/>
  <c r="CNF28" i="3" s="1"/>
  <c r="CLL28" i="3" a="1"/>
  <c r="CLL28" i="3" s="1"/>
  <c r="CKY28" i="3" a="1"/>
  <c r="CKY28" i="3" s="1"/>
  <c r="CKL28" i="3" a="1"/>
  <c r="CKL28" i="3" s="1"/>
  <c r="CIR28" i="3" a="1"/>
  <c r="CIR28" i="3" s="1"/>
  <c r="CIE28" i="3" a="1"/>
  <c r="CIE28" i="3" s="1"/>
  <c r="CHR28" i="3" a="1"/>
  <c r="CHR28" i="3" s="1"/>
  <c r="CFX28" i="3" a="1"/>
  <c r="CFX28" i="3" s="1"/>
  <c r="CFK28" i="3" a="1"/>
  <c r="CFK28" i="3" s="1"/>
  <c r="CEX28" i="3" a="1"/>
  <c r="CEX28" i="3" s="1"/>
  <c r="CDD28" i="3" a="1"/>
  <c r="CDD28" i="3" s="1"/>
  <c r="CCQ28" i="3" a="1"/>
  <c r="CCQ28" i="3" s="1"/>
  <c r="JUA28" i="3" a="1"/>
  <c r="JUA28" i="3" s="1"/>
  <c r="JJK28" i="3" a="1"/>
  <c r="JJK28" i="3" s="1"/>
  <c r="IXK28" i="3" a="1"/>
  <c r="IXK28" i="3" s="1"/>
  <c r="IIW28" i="3" a="1"/>
  <c r="IIW28" i="3" s="1"/>
  <c r="ICK28" i="3" a="1"/>
  <c r="ICK28" i="3" s="1"/>
  <c r="HXR28" i="3" a="1"/>
  <c r="HXR28" i="3" s="1"/>
  <c r="HRD28" i="3" a="1"/>
  <c r="HRD28" i="3" s="1"/>
  <c r="HJK28" i="3" a="1"/>
  <c r="HJK28" i="3" s="1"/>
  <c r="HEV28" i="3" a="1"/>
  <c r="HEV28" i="3" s="1"/>
  <c r="GKY28" i="3" a="1"/>
  <c r="GKY28" i="3" s="1"/>
  <c r="GCR28" i="3" a="1"/>
  <c r="GCR28" i="3" s="1"/>
  <c r="FZF28" i="3" a="1"/>
  <c r="FZF28" i="3" s="1"/>
  <c r="EKD28" i="3" a="1"/>
  <c r="EKD28" i="3" s="1"/>
  <c r="EFS28" i="3" a="1"/>
  <c r="EFS28" i="3" s="1"/>
  <c r="EDX28" i="3" a="1"/>
  <c r="EDX28" i="3" s="1"/>
  <c r="DXQ28" i="3" a="1"/>
  <c r="DXQ28" i="3" s="1"/>
  <c r="DTY28" i="3" a="1"/>
  <c r="DTY28" i="3" s="1"/>
  <c r="DRW28" i="3" a="1"/>
  <c r="DRW28" i="3" s="1"/>
  <c r="DPJ28" i="3" a="1"/>
  <c r="DPJ28" i="3" s="1"/>
  <c r="DNR28" i="3" a="1"/>
  <c r="DNR28" i="3" s="1"/>
  <c r="DLG28" i="3" a="1"/>
  <c r="DLG28" i="3" s="1"/>
  <c r="DKP28" i="3" a="1"/>
  <c r="DKP28" i="3" s="1"/>
  <c r="DJT28" i="3" a="1"/>
  <c r="DJT28" i="3" s="1"/>
  <c r="DIK28" i="3" a="1"/>
  <c r="DIK28" i="3" s="1"/>
  <c r="DHP28" i="3" a="1"/>
  <c r="DHP28" i="3" s="1"/>
  <c r="DGL28" i="3" a="1"/>
  <c r="DGL28" i="3" s="1"/>
  <c r="DFY28" i="3" a="1"/>
  <c r="DFY28" i="3" s="1"/>
  <c r="DFL28" i="3" a="1"/>
  <c r="DFL28" i="3" s="1"/>
  <c r="DDR28" i="3" a="1"/>
  <c r="DDR28" i="3" s="1"/>
  <c r="DDE28" i="3" a="1"/>
  <c r="DDE28" i="3" s="1"/>
  <c r="DCR28" i="3" a="1"/>
  <c r="DCR28" i="3" s="1"/>
  <c r="DAX28" i="3" a="1"/>
  <c r="DAX28" i="3" s="1"/>
  <c r="DAK28" i="3" a="1"/>
  <c r="DAK28" i="3" s="1"/>
  <c r="CZX28" i="3" a="1"/>
  <c r="CZX28" i="3" s="1"/>
  <c r="CYD28" i="3" a="1"/>
  <c r="CYD28" i="3" s="1"/>
  <c r="CXQ28" i="3" a="1"/>
  <c r="CXQ28" i="3" s="1"/>
  <c r="CXD28" i="3" a="1"/>
  <c r="CXD28" i="3" s="1"/>
  <c r="CVJ28" i="3" a="1"/>
  <c r="CVJ28" i="3" s="1"/>
  <c r="CUW28" i="3" a="1"/>
  <c r="CUW28" i="3" s="1"/>
  <c r="CUJ28" i="3" a="1"/>
  <c r="CUJ28" i="3" s="1"/>
  <c r="CSP28" i="3" a="1"/>
  <c r="CSP28" i="3" s="1"/>
  <c r="CSC28" i="3" a="1"/>
  <c r="CSC28" i="3" s="1"/>
  <c r="CRP28" i="3" a="1"/>
  <c r="CRP28" i="3" s="1"/>
  <c r="CPV28" i="3" a="1"/>
  <c r="CPV28" i="3" s="1"/>
  <c r="CPI28" i="3" a="1"/>
  <c r="CPI28" i="3" s="1"/>
  <c r="COV28" i="3" a="1"/>
  <c r="COV28" i="3" s="1"/>
  <c r="CNB28" i="3" a="1"/>
  <c r="CNB28" i="3" s="1"/>
  <c r="CMO28" i="3" a="1"/>
  <c r="CMO28" i="3" s="1"/>
  <c r="CMB28" i="3" a="1"/>
  <c r="CMB28" i="3" s="1"/>
  <c r="CKH28" i="3" a="1"/>
  <c r="CKH28" i="3" s="1"/>
  <c r="CJU28" i="3" a="1"/>
  <c r="CJU28" i="3" s="1"/>
  <c r="CJH28" i="3" a="1"/>
  <c r="CJH28" i="3" s="1"/>
  <c r="CHN28" i="3" a="1"/>
  <c r="CHN28" i="3" s="1"/>
  <c r="CHA28" i="3" a="1"/>
  <c r="CHA28" i="3" s="1"/>
  <c r="CGN28" i="3" a="1"/>
  <c r="CGN28" i="3" s="1"/>
  <c r="CET28" i="3" a="1"/>
  <c r="CET28" i="3" s="1"/>
  <c r="CEG28" i="3" a="1"/>
  <c r="CEG28" i="3" s="1"/>
  <c r="CDT28" i="3" a="1"/>
  <c r="CDT28" i="3" s="1"/>
  <c r="MJX28" i="3" a="1"/>
  <c r="MJX28" i="3" s="1"/>
  <c r="LJW28" i="3" a="1"/>
  <c r="LJW28" i="3" s="1"/>
  <c r="JTZ28" i="3" a="1"/>
  <c r="JTZ28" i="3" s="1"/>
  <c r="JIM28" i="3" a="1"/>
  <c r="JIM28" i="3" s="1"/>
  <c r="IPQ28" i="3" a="1"/>
  <c r="IPQ28" i="3" s="1"/>
  <c r="ICJ28" i="3" a="1"/>
  <c r="ICJ28" i="3" s="1"/>
  <c r="HXE28" i="3" a="1"/>
  <c r="HXE28" i="3" s="1"/>
  <c r="HRB28" i="3" a="1"/>
  <c r="HRB28" i="3" s="1"/>
  <c r="HNC28" i="3" a="1"/>
  <c r="HNC28" i="3" s="1"/>
  <c r="HBC28" i="3" a="1"/>
  <c r="HBC28" i="3" s="1"/>
  <c r="GWN28" i="3" a="1"/>
  <c r="GWN28" i="3" s="1"/>
  <c r="GCQ28" i="3" a="1"/>
  <c r="GCQ28" i="3" s="1"/>
  <c r="FUJ28" i="3" a="1"/>
  <c r="FUJ28" i="3" s="1"/>
  <c r="FQX28" i="3" a="1"/>
  <c r="FQX28" i="3" s="1"/>
  <c r="EIA28" i="3" a="1"/>
  <c r="EIA28" i="3" s="1"/>
  <c r="EFR28" i="3" a="1"/>
  <c r="EFR28" i="3" s="1"/>
  <c r="EAE28" i="3" a="1"/>
  <c r="EAE28" i="3" s="1"/>
  <c r="DZA28" i="3" a="1"/>
  <c r="DZA28" i="3" s="1"/>
  <c r="DXP28" i="3" a="1"/>
  <c r="DXP28" i="3" s="1"/>
  <c r="DWM28" i="3" a="1"/>
  <c r="DWM28" i="3" s="1"/>
  <c r="DTX28" i="3" a="1"/>
  <c r="DTX28" i="3" s="1"/>
  <c r="DSZ28" i="3" a="1"/>
  <c r="DSZ28" i="3" s="1"/>
  <c r="DRV28" i="3" a="1"/>
  <c r="DRV28" i="3" s="1"/>
  <c r="DRB28" i="3" a="1"/>
  <c r="DRB28" i="3" s="1"/>
  <c r="DPI28" i="3" a="1"/>
  <c r="DPI28" i="3" s="1"/>
  <c r="DOP28" i="3" a="1"/>
  <c r="DOP28" i="3" s="1"/>
  <c r="DNQ28" i="3" a="1"/>
  <c r="DNQ28" i="3" s="1"/>
  <c r="DMX28" i="3" a="1"/>
  <c r="DMX28" i="3" s="1"/>
  <c r="DKO28" i="3" a="1"/>
  <c r="DKO28" i="3" s="1"/>
  <c r="DJS28" i="3" a="1"/>
  <c r="DJS28" i="3" s="1"/>
  <c r="DJB28" i="3" a="1"/>
  <c r="DJB28" i="3" s="1"/>
  <c r="DIF28" i="3" a="1"/>
  <c r="DIF28" i="3" s="1"/>
  <c r="DHO28" i="3" a="1"/>
  <c r="DHO28" i="3" s="1"/>
  <c r="DHB28" i="3" a="1"/>
  <c r="DHB28" i="3" s="1"/>
  <c r="DFH28" i="3" a="1"/>
  <c r="DFH28" i="3" s="1"/>
  <c r="DEU28" i="3" a="1"/>
  <c r="DEU28" i="3" s="1"/>
  <c r="DEH28" i="3" a="1"/>
  <c r="DEH28" i="3" s="1"/>
  <c r="DCN28" i="3" a="1"/>
  <c r="DCN28" i="3" s="1"/>
  <c r="DCA28" i="3" a="1"/>
  <c r="DCA28" i="3" s="1"/>
  <c r="DBN28" i="3" a="1"/>
  <c r="DBN28" i="3" s="1"/>
  <c r="CZT28" i="3" a="1"/>
  <c r="CZT28" i="3" s="1"/>
  <c r="CZG28" i="3" a="1"/>
  <c r="CZG28" i="3" s="1"/>
  <c r="CYT28" i="3" a="1"/>
  <c r="CYT28" i="3" s="1"/>
  <c r="CWZ28" i="3" a="1"/>
  <c r="CWZ28" i="3" s="1"/>
  <c r="CWM28" i="3" a="1"/>
  <c r="CWM28" i="3" s="1"/>
  <c r="CVZ28" i="3" a="1"/>
  <c r="CVZ28" i="3" s="1"/>
  <c r="CUF28" i="3" a="1"/>
  <c r="CUF28" i="3" s="1"/>
  <c r="CTS28" i="3" a="1"/>
  <c r="CTS28" i="3" s="1"/>
  <c r="CTF28" i="3" a="1"/>
  <c r="CTF28" i="3" s="1"/>
  <c r="KHY28" i="3" a="1"/>
  <c r="KHY28" i="3" s="1"/>
  <c r="JFS28" i="3" a="1"/>
  <c r="JFS28" i="3" s="1"/>
  <c r="IXF28" i="3" a="1"/>
  <c r="IXF28" i="3" s="1"/>
  <c r="ICF28" i="3" a="1"/>
  <c r="ICF28" i="3" s="1"/>
  <c r="HMR28" i="3" a="1"/>
  <c r="HMR28" i="3" s="1"/>
  <c r="HEU28" i="3" a="1"/>
  <c r="HEU28" i="3" s="1"/>
  <c r="GSU28" i="3" a="1"/>
  <c r="GSU28" i="3" s="1"/>
  <c r="GOF28" i="3" a="1"/>
  <c r="GOF28" i="3" s="1"/>
  <c r="FUI28" i="3" a="1"/>
  <c r="FUI28" i="3" s="1"/>
  <c r="FMB28" i="3" a="1"/>
  <c r="FMB28" i="3" s="1"/>
  <c r="EMF28" i="3" a="1"/>
  <c r="EMF28" i="3" s="1"/>
  <c r="EKC28" i="3" a="1"/>
  <c r="EKC28" i="3" s="1"/>
  <c r="EHJ28" i="3" a="1"/>
  <c r="EHJ28" i="3" s="1"/>
  <c r="EDW28" i="3" a="1"/>
  <c r="EDW28" i="3" s="1"/>
  <c r="EBO28" i="3" a="1"/>
  <c r="EBO28" i="3" s="1"/>
  <c r="EAD28" i="3" a="1"/>
  <c r="EAD28" i="3" s="1"/>
  <c r="DTW28" i="3" a="1"/>
  <c r="DTW28" i="3" s="1"/>
  <c r="DRU28" i="3" a="1"/>
  <c r="DRU28" i="3" s="1"/>
  <c r="DQB28" i="3" a="1"/>
  <c r="DQB28" i="3" s="1"/>
  <c r="DOJ28" i="3" a="1"/>
  <c r="DOJ28" i="3" s="1"/>
  <c r="DLX28" i="3" a="1"/>
  <c r="DLX28" i="3" s="1"/>
  <c r="DLF28" i="3" a="1"/>
  <c r="DLF28" i="3" s="1"/>
  <c r="DKJ28" i="3" a="1"/>
  <c r="DKJ28" i="3" s="1"/>
  <c r="DJA28" i="3" a="1"/>
  <c r="DJA28" i="3" s="1"/>
  <c r="DIE28" i="3" a="1"/>
  <c r="DIE28" i="3" s="1"/>
  <c r="DGX28" i="3" a="1"/>
  <c r="DGX28" i="3" s="1"/>
  <c r="DGK28" i="3" a="1"/>
  <c r="DGK28" i="3" s="1"/>
  <c r="DFX28" i="3" a="1"/>
  <c r="DFX28" i="3" s="1"/>
  <c r="DED28" i="3" a="1"/>
  <c r="DED28" i="3" s="1"/>
  <c r="DDQ28" i="3" a="1"/>
  <c r="DDQ28" i="3" s="1"/>
  <c r="DDD28" i="3" a="1"/>
  <c r="DDD28" i="3" s="1"/>
  <c r="DBJ28" i="3" a="1"/>
  <c r="DBJ28" i="3" s="1"/>
  <c r="DAW28" i="3" a="1"/>
  <c r="DAW28" i="3" s="1"/>
  <c r="DAJ28" i="3" a="1"/>
  <c r="DAJ28" i="3" s="1"/>
  <c r="CYP28" i="3" a="1"/>
  <c r="CYP28" i="3" s="1"/>
  <c r="CYC28" i="3" a="1"/>
  <c r="CYC28" i="3" s="1"/>
  <c r="CXP28" i="3" a="1"/>
  <c r="CXP28" i="3" s="1"/>
  <c r="CVV28" i="3" a="1"/>
  <c r="CVV28" i="3" s="1"/>
  <c r="CVI28" i="3" a="1"/>
  <c r="CVI28" i="3" s="1"/>
  <c r="CUV28" i="3" a="1"/>
  <c r="CUV28" i="3" s="1"/>
  <c r="CTB28" i="3" a="1"/>
  <c r="CTB28" i="3" s="1"/>
  <c r="MIU28" i="3" a="1"/>
  <c r="MIU28" i="3" s="1"/>
  <c r="IMS28" i="3" a="1"/>
  <c r="IMS28" i="3" s="1"/>
  <c r="HVP28" i="3" a="1"/>
  <c r="HVP28" i="3" s="1"/>
  <c r="GWM28" i="3" a="1"/>
  <c r="GWM28" i="3" s="1"/>
  <c r="GKM28" i="3" a="1"/>
  <c r="GKM28" i="3" s="1"/>
  <c r="FMA28" i="3" a="1"/>
  <c r="FMA28" i="3" s="1"/>
  <c r="EJW28" i="3" a="1"/>
  <c r="EJW28" i="3" s="1"/>
  <c r="EDF28" i="3" a="1"/>
  <c r="EDF28" i="3" s="1"/>
  <c r="DYP28" i="3" a="1"/>
  <c r="DYP28" i="3" s="1"/>
  <c r="DUX28" i="3" a="1"/>
  <c r="DUX28" i="3" s="1"/>
  <c r="DPH28" i="3" a="1"/>
  <c r="DPH28" i="3" s="1"/>
  <c r="DKI28" i="3" a="1"/>
  <c r="DKI28" i="3" s="1"/>
  <c r="DET28" i="3" a="1"/>
  <c r="DET28" i="3" s="1"/>
  <c r="DCZ28" i="3" a="1"/>
  <c r="DCZ28" i="3" s="1"/>
  <c r="CZS28" i="3" a="1"/>
  <c r="CZS28" i="3" s="1"/>
  <c r="CWL28" i="3" a="1"/>
  <c r="CWL28" i="3" s="1"/>
  <c r="CUR28" i="3" a="1"/>
  <c r="CUR28" i="3" s="1"/>
  <c r="CQR28" i="3" a="1"/>
  <c r="CQR28" i="3" s="1"/>
  <c r="COK28" i="3" a="1"/>
  <c r="COK28" i="3" s="1"/>
  <c r="CNR28" i="3" a="1"/>
  <c r="CNR28" i="3" s="1"/>
  <c r="CMZ28" i="3" a="1"/>
  <c r="CMZ28" i="3" s="1"/>
  <c r="CMD28" i="3" a="1"/>
  <c r="CMD28" i="3" s="1"/>
  <c r="CLK28" i="3" a="1"/>
  <c r="CLK28" i="3" s="1"/>
  <c r="CKS28" i="3" a="1"/>
  <c r="CKS28" i="3" s="1"/>
  <c r="CJD28" i="3" a="1"/>
  <c r="CJD28" i="3" s="1"/>
  <c r="CIL28" i="3" a="1"/>
  <c r="CIL28" i="3" s="1"/>
  <c r="CFP28" i="3" a="1"/>
  <c r="CFP28" i="3" s="1"/>
  <c r="CDI28" i="3" a="1"/>
  <c r="CDI28" i="3" s="1"/>
  <c r="CCP28" i="3" a="1"/>
  <c r="CCP28" i="3" s="1"/>
  <c r="CAV28" i="3" a="1"/>
  <c r="CAV28" i="3" s="1"/>
  <c r="CAI28" i="3" a="1"/>
  <c r="CAI28" i="3" s="1"/>
  <c r="BZV28" i="3" a="1"/>
  <c r="BZV28" i="3" s="1"/>
  <c r="BYB28" i="3" a="1"/>
  <c r="BYB28" i="3" s="1"/>
  <c r="BXO28" i="3" a="1"/>
  <c r="BXO28" i="3" s="1"/>
  <c r="BXB28" i="3" a="1"/>
  <c r="BXB28" i="3" s="1"/>
  <c r="BVH28" i="3" a="1"/>
  <c r="BVH28" i="3" s="1"/>
  <c r="BUU28" i="3" a="1"/>
  <c r="BUU28" i="3" s="1"/>
  <c r="BUH28" i="3" a="1"/>
  <c r="BUH28" i="3" s="1"/>
  <c r="BSN28" i="3" a="1"/>
  <c r="BSN28" i="3" s="1"/>
  <c r="BSA28" i="3" a="1"/>
  <c r="BSA28" i="3" s="1"/>
  <c r="BRN28" i="3" a="1"/>
  <c r="BRN28" i="3" s="1"/>
  <c r="BPT28" i="3" a="1"/>
  <c r="BPT28" i="3" s="1"/>
  <c r="BPG28" i="3" a="1"/>
  <c r="BPG28" i="3" s="1"/>
  <c r="BOT28" i="3" a="1"/>
  <c r="BOT28" i="3" s="1"/>
  <c r="BMZ28" i="3" a="1"/>
  <c r="BMZ28" i="3" s="1"/>
  <c r="BMM28" i="3" a="1"/>
  <c r="BMM28" i="3" s="1"/>
  <c r="BLZ28" i="3" a="1"/>
  <c r="BLZ28" i="3" s="1"/>
  <c r="BKF28" i="3" a="1"/>
  <c r="BKF28" i="3" s="1"/>
  <c r="BJS28" i="3" a="1"/>
  <c r="BJS28" i="3" s="1"/>
  <c r="BJF28" i="3" a="1"/>
  <c r="BJF28" i="3" s="1"/>
  <c r="BHL28" i="3" a="1"/>
  <c r="BHL28" i="3" s="1"/>
  <c r="BGY28" i="3" a="1"/>
  <c r="BGY28" i="3" s="1"/>
  <c r="BGL28" i="3" a="1"/>
  <c r="BGL28" i="3" s="1"/>
  <c r="BER28" i="3" a="1"/>
  <c r="BER28" i="3" s="1"/>
  <c r="BEE28" i="3" a="1"/>
  <c r="BEE28" i="3" s="1"/>
  <c r="BDR28" i="3" a="1"/>
  <c r="BDR28" i="3" s="1"/>
  <c r="BBX28" i="3" a="1"/>
  <c r="BBX28" i="3" s="1"/>
  <c r="BBK28" i="3" a="1"/>
  <c r="BBK28" i="3" s="1"/>
  <c r="BAX28" i="3" a="1"/>
  <c r="BAX28" i="3" s="1"/>
  <c r="AZD28" i="3" a="1"/>
  <c r="AZD28" i="3" s="1"/>
  <c r="AYQ28" i="3" a="1"/>
  <c r="AYQ28" i="3" s="1"/>
  <c r="AYD28" i="3" a="1"/>
  <c r="AYD28" i="3" s="1"/>
  <c r="AWJ28" i="3" a="1"/>
  <c r="AWJ28" i="3" s="1"/>
  <c r="AVW28" i="3" a="1"/>
  <c r="AVW28" i="3" s="1"/>
  <c r="AVJ28" i="3" a="1"/>
  <c r="AVJ28" i="3" s="1"/>
  <c r="ATP28" i="3" a="1"/>
  <c r="ATP28" i="3" s="1"/>
  <c r="ATD28" i="3" a="1"/>
  <c r="ATD28" i="3" s="1"/>
  <c r="ASR28" i="3" a="1"/>
  <c r="ASR28" i="3" s="1"/>
  <c r="ASF28" i="3" a="1"/>
  <c r="ASF28" i="3" s="1"/>
  <c r="ART28" i="3" a="1"/>
  <c r="ART28" i="3" s="1"/>
  <c r="ARH28" i="3" a="1"/>
  <c r="ARH28" i="3" s="1"/>
  <c r="AQV28" i="3" a="1"/>
  <c r="AQV28" i="3" s="1"/>
  <c r="AQJ28" i="3" a="1"/>
  <c r="AQJ28" i="3" s="1"/>
  <c r="APX28" i="3" a="1"/>
  <c r="APX28" i="3" s="1"/>
  <c r="APL28" i="3" a="1"/>
  <c r="APL28" i="3" s="1"/>
  <c r="AOZ28" i="3" a="1"/>
  <c r="AOZ28" i="3" s="1"/>
  <c r="AON28" i="3" a="1"/>
  <c r="AON28" i="3" s="1"/>
  <c r="AOB28" i="3" a="1"/>
  <c r="AOB28" i="3" s="1"/>
  <c r="ANP28" i="3" a="1"/>
  <c r="ANP28" i="3" s="1"/>
  <c r="AND28" i="3" a="1"/>
  <c r="AND28" i="3" s="1"/>
  <c r="AMR28" i="3" a="1"/>
  <c r="AMR28" i="3" s="1"/>
  <c r="AMF28" i="3" a="1"/>
  <c r="AMF28" i="3" s="1"/>
  <c r="ALT28" i="3" a="1"/>
  <c r="ALT28" i="3" s="1"/>
  <c r="ALH28" i="3" a="1"/>
  <c r="ALH28" i="3" s="1"/>
  <c r="AKV28" i="3" a="1"/>
  <c r="AKV28" i="3" s="1"/>
  <c r="AKJ28" i="3" a="1"/>
  <c r="AKJ28" i="3" s="1"/>
  <c r="AJX28" i="3" a="1"/>
  <c r="AJX28" i="3" s="1"/>
  <c r="AJL28" i="3" a="1"/>
  <c r="AJL28" i="3" s="1"/>
  <c r="AIZ28" i="3" a="1"/>
  <c r="AIZ28" i="3" s="1"/>
  <c r="AIN28" i="3" a="1"/>
  <c r="AIN28" i="3" s="1"/>
  <c r="AIB28" i="3" a="1"/>
  <c r="AIB28" i="3" s="1"/>
  <c r="AHR28" i="3" a="1"/>
  <c r="AHR28" i="3" s="1"/>
  <c r="AGM28" i="3" a="1"/>
  <c r="AGM28" i="3" s="1"/>
  <c r="AGD28" i="3" a="1"/>
  <c r="AGD28" i="3" s="1"/>
  <c r="AFS28" i="3" a="1"/>
  <c r="AFS28" i="3" s="1"/>
  <c r="AFH28" i="3" a="1"/>
  <c r="AFH28" i="3" s="1"/>
  <c r="AEX28" i="3" a="1"/>
  <c r="AEX28" i="3" s="1"/>
  <c r="AED28" i="3" a="1"/>
  <c r="AED28" i="3" s="1"/>
  <c r="JOM28" i="3" a="1"/>
  <c r="JOM28" i="3" s="1"/>
  <c r="HIB28" i="3" a="1"/>
  <c r="HIB28" i="3" s="1"/>
  <c r="GWB28" i="3" a="1"/>
  <c r="GWB28" i="3" s="1"/>
  <c r="FXP28" i="3" a="1"/>
  <c r="FXP28" i="3" s="1"/>
  <c r="EJE28" i="3" a="1"/>
  <c r="EJE28" i="3" s="1"/>
  <c r="DRS28" i="3" a="1"/>
  <c r="DRS28" i="3" s="1"/>
  <c r="DPB28" i="3" a="1"/>
  <c r="DPB28" i="3" s="1"/>
  <c r="DMP28" i="3" a="1"/>
  <c r="DMP28" i="3" s="1"/>
  <c r="DID28" i="3" a="1"/>
  <c r="DID28" i="3" s="1"/>
  <c r="DGJ28" i="3" a="1"/>
  <c r="DGJ28" i="3" s="1"/>
  <c r="DEP28" i="3" a="1"/>
  <c r="DEP28" i="3" s="1"/>
  <c r="DBI28" i="3" a="1"/>
  <c r="DBI28" i="3" s="1"/>
  <c r="CYB28" i="3" a="1"/>
  <c r="CYB28" i="3" s="1"/>
  <c r="CWH28" i="3" a="1"/>
  <c r="CWH28" i="3" s="1"/>
  <c r="CTA28" i="3" a="1"/>
  <c r="CTA28" i="3" s="1"/>
  <c r="CSB28" i="3" a="1"/>
  <c r="CSB28" i="3" s="1"/>
  <c r="CRJ28" i="3" a="1"/>
  <c r="CRJ28" i="3" s="1"/>
  <c r="CQN28" i="3" a="1"/>
  <c r="CQN28" i="3" s="1"/>
  <c r="CPU28" i="3" a="1"/>
  <c r="CPU28" i="3" s="1"/>
  <c r="CPC28" i="3" a="1"/>
  <c r="CPC28" i="3" s="1"/>
  <c r="CNN28" i="3" a="1"/>
  <c r="CNN28" i="3" s="1"/>
  <c r="CMV28" i="3" a="1"/>
  <c r="CMV28" i="3" s="1"/>
  <c r="CJZ28" i="3" a="1"/>
  <c r="CJZ28" i="3" s="1"/>
  <c r="CHS28" i="3" a="1"/>
  <c r="CHS28" i="3" s="1"/>
  <c r="CGZ28" i="3" a="1"/>
  <c r="CGZ28" i="3" s="1"/>
  <c r="CGH28" i="3" a="1"/>
  <c r="CGH28" i="3" s="1"/>
  <c r="CFL28" i="3" a="1"/>
  <c r="CFL28" i="3" s="1"/>
  <c r="CES28" i="3" a="1"/>
  <c r="CES28" i="3" s="1"/>
  <c r="CEA28" i="3" a="1"/>
  <c r="CEA28" i="3" s="1"/>
  <c r="CCL28" i="3" a="1"/>
  <c r="CCL28" i="3" s="1"/>
  <c r="CBY28" i="3" a="1"/>
  <c r="CBY28" i="3" s="1"/>
  <c r="CBL28" i="3" a="1"/>
  <c r="CBL28" i="3" s="1"/>
  <c r="BZR28" i="3" a="1"/>
  <c r="BZR28" i="3" s="1"/>
  <c r="BZE28" i="3" a="1"/>
  <c r="BZE28" i="3" s="1"/>
  <c r="BYR28" i="3" a="1"/>
  <c r="BYR28" i="3" s="1"/>
  <c r="BWX28" i="3" a="1"/>
  <c r="BWX28" i="3" s="1"/>
  <c r="BWK28" i="3" a="1"/>
  <c r="BWK28" i="3" s="1"/>
  <c r="BVX28" i="3" a="1"/>
  <c r="BVX28" i="3" s="1"/>
  <c r="BUD28" i="3" a="1"/>
  <c r="BUD28" i="3" s="1"/>
  <c r="BTQ28" i="3" a="1"/>
  <c r="BTQ28" i="3" s="1"/>
  <c r="BTD28" i="3" a="1"/>
  <c r="BTD28" i="3" s="1"/>
  <c r="BRJ28" i="3" a="1"/>
  <c r="BRJ28" i="3" s="1"/>
  <c r="BQW28" i="3" a="1"/>
  <c r="BQW28" i="3" s="1"/>
  <c r="BQJ28" i="3" a="1"/>
  <c r="BQJ28" i="3" s="1"/>
  <c r="BOP28" i="3" a="1"/>
  <c r="BOP28" i="3" s="1"/>
  <c r="BOC28" i="3" a="1"/>
  <c r="BOC28" i="3" s="1"/>
  <c r="BNP28" i="3" a="1"/>
  <c r="BNP28" i="3" s="1"/>
  <c r="BLV28" i="3" a="1"/>
  <c r="BLV28" i="3" s="1"/>
  <c r="BLI28" i="3" a="1"/>
  <c r="BLI28" i="3" s="1"/>
  <c r="BKV28" i="3" a="1"/>
  <c r="BKV28" i="3" s="1"/>
  <c r="BJB28" i="3" a="1"/>
  <c r="BJB28" i="3" s="1"/>
  <c r="BIO28" i="3" a="1"/>
  <c r="BIO28" i="3" s="1"/>
  <c r="BIB28" i="3" a="1"/>
  <c r="BIB28" i="3" s="1"/>
  <c r="BGH28" i="3" a="1"/>
  <c r="BGH28" i="3" s="1"/>
  <c r="BFU28" i="3" a="1"/>
  <c r="BFU28" i="3" s="1"/>
  <c r="BFH28" i="3" a="1"/>
  <c r="BFH28" i="3" s="1"/>
  <c r="BDN28" i="3" a="1"/>
  <c r="BDN28" i="3" s="1"/>
  <c r="BDA28" i="3" a="1"/>
  <c r="BDA28" i="3" s="1"/>
  <c r="BCN28" i="3" a="1"/>
  <c r="BCN28" i="3" s="1"/>
  <c r="BAT28" i="3" a="1"/>
  <c r="BAT28" i="3" s="1"/>
  <c r="BAG28" i="3" a="1"/>
  <c r="BAG28" i="3" s="1"/>
  <c r="AZT28" i="3" a="1"/>
  <c r="AZT28" i="3" s="1"/>
  <c r="AXZ28" i="3" a="1"/>
  <c r="AXZ28" i="3" s="1"/>
  <c r="AXM28" i="3" a="1"/>
  <c r="AXM28" i="3" s="1"/>
  <c r="AWZ28" i="3" a="1"/>
  <c r="AWZ28" i="3" s="1"/>
  <c r="AVF28" i="3" a="1"/>
  <c r="AVF28" i="3" s="1"/>
  <c r="AUS28" i="3" a="1"/>
  <c r="AUS28" i="3" s="1"/>
  <c r="AUF28" i="3" a="1"/>
  <c r="AUF28" i="3" s="1"/>
  <c r="AHQ28" i="3" a="1"/>
  <c r="AHQ28" i="3" s="1"/>
  <c r="AHH28" i="3" a="1"/>
  <c r="AHH28" i="3" s="1"/>
  <c r="AGW28" i="3" a="1"/>
  <c r="AGW28" i="3" s="1"/>
  <c r="AGL28" i="3" a="1"/>
  <c r="AGL28" i="3" s="1"/>
  <c r="AGB28" i="3" a="1"/>
  <c r="AGB28" i="3" s="1"/>
  <c r="AEW28" i="3" a="1"/>
  <c r="AEW28" i="3" s="1"/>
  <c r="AEN28" i="3" a="1"/>
  <c r="AEN28" i="3" s="1"/>
  <c r="ADU28" i="3" a="1"/>
  <c r="ADU28" i="3" s="1"/>
  <c r="ADC28" i="3" a="1"/>
  <c r="ADC28" i="3" s="1"/>
  <c r="ACK28" i="3" a="1"/>
  <c r="ACK28" i="3" s="1"/>
  <c r="ABS28" i="3" a="1"/>
  <c r="ABS28" i="3" s="1"/>
  <c r="ABA28" i="3" a="1"/>
  <c r="ABA28" i="3" s="1"/>
  <c r="AAI28" i="3" a="1"/>
  <c r="AAI28" i="3" s="1"/>
  <c r="ZQ28" i="3" a="1"/>
  <c r="ZQ28" i="3" s="1"/>
  <c r="YY28" i="3" a="1"/>
  <c r="YY28" i="3" s="1"/>
  <c r="YG28" i="3" a="1"/>
  <c r="YG28" i="3" s="1"/>
  <c r="XO28" i="3" a="1"/>
  <c r="XO28" i="3" s="1"/>
  <c r="WW28" i="3" a="1"/>
  <c r="WW28" i="3" s="1"/>
  <c r="WE28" i="3" a="1"/>
  <c r="WE28" i="3" s="1"/>
  <c r="LVW28" i="3" a="1"/>
  <c r="LVW28" i="3" s="1"/>
  <c r="IMP28" i="3" a="1"/>
  <c r="IMP28" i="3" s="1"/>
  <c r="HVK28" i="3" a="1"/>
  <c r="HVK28" i="3" s="1"/>
  <c r="EJD28" i="3" a="1"/>
  <c r="EJD28" i="3" s="1"/>
  <c r="EDE28" i="3" a="1"/>
  <c r="EDE28" i="3" s="1"/>
  <c r="DYO28" i="3" a="1"/>
  <c r="DYO28" i="3" s="1"/>
  <c r="DUW28" i="3" a="1"/>
  <c r="DUW28" i="3" s="1"/>
  <c r="DPA28" i="3" a="1"/>
  <c r="DPA28" i="3" s="1"/>
  <c r="DMO28" i="3" a="1"/>
  <c r="DMO28" i="3" s="1"/>
  <c r="DKH28" i="3" a="1"/>
  <c r="DKH28" i="3" s="1"/>
  <c r="DIC28" i="3" a="1"/>
  <c r="DIC28" i="3" s="1"/>
  <c r="DGF28" i="3" a="1"/>
  <c r="DGF28" i="3" s="1"/>
  <c r="DCY28" i="3" a="1"/>
  <c r="DCY28" i="3" s="1"/>
  <c r="CZR28" i="3" a="1"/>
  <c r="CZR28" i="3" s="1"/>
  <c r="CXX28" i="3" a="1"/>
  <c r="CXX28" i="3" s="1"/>
  <c r="CUQ28" i="3" a="1"/>
  <c r="CUQ28" i="3" s="1"/>
  <c r="CRX28" i="3" a="1"/>
  <c r="CRX28" i="3" s="1"/>
  <c r="CRF28" i="3" a="1"/>
  <c r="CRF28" i="3" s="1"/>
  <c r="COJ28" i="3" a="1"/>
  <c r="COJ28" i="3" s="1"/>
  <c r="CMC28" i="3" a="1"/>
  <c r="CMC28" i="3" s="1"/>
  <c r="CLJ28" i="3" a="1"/>
  <c r="CLJ28" i="3" s="1"/>
  <c r="CKR28" i="3" a="1"/>
  <c r="CKR28" i="3" s="1"/>
  <c r="CJV28" i="3" a="1"/>
  <c r="CJV28" i="3" s="1"/>
  <c r="CJC28" i="3" a="1"/>
  <c r="CJC28" i="3" s="1"/>
  <c r="CIK28" i="3" a="1"/>
  <c r="CIK28" i="3" s="1"/>
  <c r="CGV28" i="3" a="1"/>
  <c r="CGV28" i="3" s="1"/>
  <c r="CGD28" i="3" a="1"/>
  <c r="CGD28" i="3" s="1"/>
  <c r="CDH28" i="3" a="1"/>
  <c r="CDH28" i="3" s="1"/>
  <c r="CBH28" i="3" a="1"/>
  <c r="CBH28" i="3" s="1"/>
  <c r="CAU28" i="3" a="1"/>
  <c r="CAU28" i="3" s="1"/>
  <c r="CAH28" i="3" a="1"/>
  <c r="CAH28" i="3" s="1"/>
  <c r="BYN28" i="3" a="1"/>
  <c r="BYN28" i="3" s="1"/>
  <c r="BYA28" i="3" a="1"/>
  <c r="BYA28" i="3" s="1"/>
  <c r="BXN28" i="3" a="1"/>
  <c r="BXN28" i="3" s="1"/>
  <c r="BVT28" i="3" a="1"/>
  <c r="BVT28" i="3" s="1"/>
  <c r="BVG28" i="3" a="1"/>
  <c r="BVG28" i="3" s="1"/>
  <c r="BUT28" i="3" a="1"/>
  <c r="BUT28" i="3" s="1"/>
  <c r="BSZ28" i="3" a="1"/>
  <c r="BSZ28" i="3" s="1"/>
  <c r="BSM28" i="3" a="1"/>
  <c r="BSM28" i="3" s="1"/>
  <c r="BRZ28" i="3" a="1"/>
  <c r="BRZ28" i="3" s="1"/>
  <c r="BQF28" i="3" a="1"/>
  <c r="BQF28" i="3" s="1"/>
  <c r="BPS28" i="3" a="1"/>
  <c r="BPS28" i="3" s="1"/>
  <c r="BPF28" i="3" a="1"/>
  <c r="BPF28" i="3" s="1"/>
  <c r="BNL28" i="3" a="1"/>
  <c r="BNL28" i="3" s="1"/>
  <c r="BMY28" i="3" a="1"/>
  <c r="BMY28" i="3" s="1"/>
  <c r="BML28" i="3" a="1"/>
  <c r="BML28" i="3" s="1"/>
  <c r="BKR28" i="3" a="1"/>
  <c r="BKR28" i="3" s="1"/>
  <c r="BKE28" i="3" a="1"/>
  <c r="BKE28" i="3" s="1"/>
  <c r="BJR28" i="3" a="1"/>
  <c r="BJR28" i="3" s="1"/>
  <c r="BHX28" i="3" a="1"/>
  <c r="BHX28" i="3" s="1"/>
  <c r="BHK28" i="3" a="1"/>
  <c r="BHK28" i="3" s="1"/>
  <c r="BGX28" i="3" a="1"/>
  <c r="BGX28" i="3" s="1"/>
  <c r="BFD28" i="3" a="1"/>
  <c r="BFD28" i="3" s="1"/>
  <c r="BEQ28" i="3" a="1"/>
  <c r="BEQ28" i="3" s="1"/>
  <c r="BED28" i="3" a="1"/>
  <c r="BED28" i="3" s="1"/>
  <c r="BCJ28" i="3" a="1"/>
  <c r="BCJ28" i="3" s="1"/>
  <c r="BBW28" i="3" a="1"/>
  <c r="BBW28" i="3" s="1"/>
  <c r="BBJ28" i="3" a="1"/>
  <c r="BBJ28" i="3" s="1"/>
  <c r="AZP28" i="3" a="1"/>
  <c r="AZP28" i="3" s="1"/>
  <c r="AZC28" i="3" a="1"/>
  <c r="AZC28" i="3" s="1"/>
  <c r="AYP28" i="3" a="1"/>
  <c r="AYP28" i="3" s="1"/>
  <c r="AWV28" i="3" a="1"/>
  <c r="AWV28" i="3" s="1"/>
  <c r="AWI28" i="3" a="1"/>
  <c r="AWI28" i="3" s="1"/>
  <c r="AVV28" i="3" a="1"/>
  <c r="AVV28" i="3" s="1"/>
  <c r="AUB28" i="3" a="1"/>
  <c r="AUB28" i="3" s="1"/>
  <c r="ATO28" i="3" a="1"/>
  <c r="ATO28" i="3" s="1"/>
  <c r="ATC28" i="3" a="1"/>
  <c r="ATC28" i="3" s="1"/>
  <c r="ASQ28" i="3" a="1"/>
  <c r="ASQ28" i="3" s="1"/>
  <c r="ASE28" i="3" a="1"/>
  <c r="ASE28" i="3" s="1"/>
  <c r="ARS28" i="3" a="1"/>
  <c r="ARS28" i="3" s="1"/>
  <c r="ARG28" i="3" a="1"/>
  <c r="ARG28" i="3" s="1"/>
  <c r="AQU28" i="3" a="1"/>
  <c r="AQU28" i="3" s="1"/>
  <c r="AQI28" i="3" a="1"/>
  <c r="AQI28" i="3" s="1"/>
  <c r="APW28" i="3" a="1"/>
  <c r="APW28" i="3" s="1"/>
  <c r="APK28" i="3" a="1"/>
  <c r="APK28" i="3" s="1"/>
  <c r="AOY28" i="3" a="1"/>
  <c r="AOY28" i="3" s="1"/>
  <c r="AOM28" i="3" a="1"/>
  <c r="AOM28" i="3" s="1"/>
  <c r="AOA28" i="3" a="1"/>
  <c r="AOA28" i="3" s="1"/>
  <c r="ANO28" i="3" a="1"/>
  <c r="ANO28" i="3" s="1"/>
  <c r="ANC28" i="3" a="1"/>
  <c r="ANC28" i="3" s="1"/>
  <c r="AMQ28" i="3" a="1"/>
  <c r="AMQ28" i="3" s="1"/>
  <c r="AME28" i="3" a="1"/>
  <c r="AME28" i="3" s="1"/>
  <c r="ALS28" i="3" a="1"/>
  <c r="ALS28" i="3" s="1"/>
  <c r="ALG28" i="3" a="1"/>
  <c r="ALG28" i="3" s="1"/>
  <c r="AKU28" i="3" a="1"/>
  <c r="AKU28" i="3" s="1"/>
  <c r="AKI28" i="3" a="1"/>
  <c r="AKI28" i="3" s="1"/>
  <c r="AJW28" i="3" a="1"/>
  <c r="AJW28" i="3" s="1"/>
  <c r="AJK28" i="3" a="1"/>
  <c r="AJK28" i="3" s="1"/>
  <c r="AIY28" i="3" a="1"/>
  <c r="AIY28" i="3" s="1"/>
  <c r="AIM28" i="3" a="1"/>
  <c r="AIM28" i="3" s="1"/>
  <c r="AIA28" i="3" a="1"/>
  <c r="AIA28" i="3" s="1"/>
  <c r="AHP28" i="3" a="1"/>
  <c r="AHP28" i="3" s="1"/>
  <c r="AHF28" i="3" a="1"/>
  <c r="AHF28" i="3" s="1"/>
  <c r="AGA28" i="3" a="1"/>
  <c r="AGA28" i="3" s="1"/>
  <c r="AFR28" i="3" a="1"/>
  <c r="AFR28" i="3" s="1"/>
  <c r="AFG28" i="3" a="1"/>
  <c r="AFG28" i="3" s="1"/>
  <c r="AEV28" i="3" a="1"/>
  <c r="AEV28" i="3" s="1"/>
  <c r="AEL28" i="3" a="1"/>
  <c r="AEL28" i="3" s="1"/>
  <c r="AEC28" i="3" a="1"/>
  <c r="AEC28" i="3" s="1"/>
  <c r="LVN28" i="3" a="1"/>
  <c r="LVN28" i="3" s="1"/>
  <c r="JOG28" i="3" a="1"/>
  <c r="JOG28" i="3" s="1"/>
  <c r="IMJ28" i="3" a="1"/>
  <c r="IMJ28" i="3" s="1"/>
  <c r="HUX28" i="3" a="1"/>
  <c r="HUX28" i="3" s="1"/>
  <c r="HGQ28" i="3" a="1"/>
  <c r="HGQ28" i="3" s="1"/>
  <c r="FXO28" i="3" a="1"/>
  <c r="FXO28" i="3" s="1"/>
  <c r="FLO28" i="3" a="1"/>
  <c r="FLO28" i="3" s="1"/>
  <c r="DRL28" i="3" a="1"/>
  <c r="DRL28" i="3" s="1"/>
  <c r="DKG28" i="3" a="1"/>
  <c r="DKG28" i="3" s="1"/>
  <c r="DHX28" i="3" a="1"/>
  <c r="DHX28" i="3" s="1"/>
  <c r="DEO28" i="3" a="1"/>
  <c r="DEO28" i="3" s="1"/>
  <c r="DBH28" i="3" a="1"/>
  <c r="DBH28" i="3" s="1"/>
  <c r="CZN28" i="3" a="1"/>
  <c r="CZN28" i="3" s="1"/>
  <c r="CWG28" i="3" a="1"/>
  <c r="CWG28" i="3" s="1"/>
  <c r="CSZ28" i="3" a="1"/>
  <c r="CSZ28" i="3" s="1"/>
  <c r="CRE28" i="3" a="1"/>
  <c r="CRE28" i="3" s="1"/>
  <c r="CQL28" i="3" a="1"/>
  <c r="CQL28" i="3" s="1"/>
  <c r="CPT28" i="3" a="1"/>
  <c r="CPT28" i="3" s="1"/>
  <c r="COX28" i="3" a="1"/>
  <c r="COX28" i="3" s="1"/>
  <c r="COE28" i="3" a="1"/>
  <c r="COE28" i="3" s="1"/>
  <c r="CNM28" i="3" a="1"/>
  <c r="CNM28" i="3" s="1"/>
  <c r="CLX28" i="3" a="1"/>
  <c r="CLX28" i="3" s="1"/>
  <c r="CLF28" i="3" a="1"/>
  <c r="CLF28" i="3" s="1"/>
  <c r="CIJ28" i="3" a="1"/>
  <c r="CIJ28" i="3" s="1"/>
  <c r="CGC28" i="3" a="1"/>
  <c r="CGC28" i="3" s="1"/>
  <c r="CFJ28" i="3" a="1"/>
  <c r="CFJ28" i="3" s="1"/>
  <c r="CER28" i="3" a="1"/>
  <c r="CER28" i="3" s="1"/>
  <c r="CDV28" i="3" a="1"/>
  <c r="CDV28" i="3" s="1"/>
  <c r="CDC28" i="3" a="1"/>
  <c r="CDC28" i="3" s="1"/>
  <c r="CCK28" i="3" a="1"/>
  <c r="CCK28" i="3" s="1"/>
  <c r="CBX28" i="3" a="1"/>
  <c r="CBX28" i="3" s="1"/>
  <c r="CAD28" i="3" a="1"/>
  <c r="CAD28" i="3" s="1"/>
  <c r="BZQ28" i="3" a="1"/>
  <c r="BZQ28" i="3" s="1"/>
  <c r="BZD28" i="3" a="1"/>
  <c r="BZD28" i="3" s="1"/>
  <c r="BXJ28" i="3" a="1"/>
  <c r="BXJ28" i="3" s="1"/>
  <c r="BWW28" i="3" a="1"/>
  <c r="BWW28" i="3" s="1"/>
  <c r="BWJ28" i="3" a="1"/>
  <c r="BWJ28" i="3" s="1"/>
  <c r="BUP28" i="3" a="1"/>
  <c r="BUP28" i="3" s="1"/>
  <c r="BUC28" i="3" a="1"/>
  <c r="BUC28" i="3" s="1"/>
  <c r="BTP28" i="3" a="1"/>
  <c r="BTP28" i="3" s="1"/>
  <c r="BRV28" i="3" a="1"/>
  <c r="BRV28" i="3" s="1"/>
  <c r="BRI28" i="3" a="1"/>
  <c r="BRI28" i="3" s="1"/>
  <c r="BQV28" i="3" a="1"/>
  <c r="BQV28" i="3" s="1"/>
  <c r="BPB28" i="3" a="1"/>
  <c r="BPB28" i="3" s="1"/>
  <c r="BOO28" i="3" a="1"/>
  <c r="BOO28" i="3" s="1"/>
  <c r="BOB28" i="3" a="1"/>
  <c r="BOB28" i="3" s="1"/>
  <c r="BMH28" i="3" a="1"/>
  <c r="BMH28" i="3" s="1"/>
  <c r="BLU28" i="3" a="1"/>
  <c r="BLU28" i="3" s="1"/>
  <c r="BLH28" i="3" a="1"/>
  <c r="BLH28" i="3" s="1"/>
  <c r="BJN28" i="3" a="1"/>
  <c r="BJN28" i="3" s="1"/>
  <c r="BJA28" i="3" a="1"/>
  <c r="BJA28" i="3" s="1"/>
  <c r="BIN28" i="3" a="1"/>
  <c r="BIN28" i="3" s="1"/>
  <c r="BGT28" i="3" a="1"/>
  <c r="BGT28" i="3" s="1"/>
  <c r="BGG28" i="3" a="1"/>
  <c r="BGG28" i="3" s="1"/>
  <c r="BFT28" i="3" a="1"/>
  <c r="BFT28" i="3" s="1"/>
  <c r="BDZ28" i="3" a="1"/>
  <c r="BDZ28" i="3" s="1"/>
  <c r="BDM28" i="3" a="1"/>
  <c r="BDM28" i="3" s="1"/>
  <c r="BCZ28" i="3" a="1"/>
  <c r="BCZ28" i="3" s="1"/>
  <c r="BBF28" i="3" a="1"/>
  <c r="BBF28" i="3" s="1"/>
  <c r="BAS28" i="3" a="1"/>
  <c r="BAS28" i="3" s="1"/>
  <c r="BAF28" i="3" a="1"/>
  <c r="BAF28" i="3" s="1"/>
  <c r="AYL28" i="3" a="1"/>
  <c r="AYL28" i="3" s="1"/>
  <c r="AXY28" i="3" a="1"/>
  <c r="AXY28" i="3" s="1"/>
  <c r="AXL28" i="3" a="1"/>
  <c r="AXL28" i="3" s="1"/>
  <c r="AVR28" i="3" a="1"/>
  <c r="AVR28" i="3" s="1"/>
  <c r="AVE28" i="3" a="1"/>
  <c r="AVE28" i="3" s="1"/>
  <c r="AUR28" i="3" a="1"/>
  <c r="AUR28" i="3" s="1"/>
  <c r="AHE28" i="3" a="1"/>
  <c r="AHE28" i="3" s="1"/>
  <c r="AGV28" i="3" a="1"/>
  <c r="AGV28" i="3" s="1"/>
  <c r="AGK28" i="3" a="1"/>
  <c r="AGK28" i="3" s="1"/>
  <c r="AFZ28" i="3" a="1"/>
  <c r="AFZ28" i="3" s="1"/>
  <c r="AFP28" i="3" a="1"/>
  <c r="AFP28" i="3" s="1"/>
  <c r="AEK28" i="3" a="1"/>
  <c r="AEK28" i="3" s="1"/>
  <c r="ADS28" i="3" a="1"/>
  <c r="ADS28" i="3" s="1"/>
  <c r="ADA28" i="3" a="1"/>
  <c r="ADA28" i="3" s="1"/>
  <c r="ACI28" i="3" a="1"/>
  <c r="ACI28" i="3" s="1"/>
  <c r="ABQ28" i="3" a="1"/>
  <c r="ABQ28" i="3" s="1"/>
  <c r="AAY28" i="3" a="1"/>
  <c r="AAY28" i="3" s="1"/>
  <c r="AAG28" i="3" a="1"/>
  <c r="AAG28" i="3" s="1"/>
  <c r="ZO28" i="3" a="1"/>
  <c r="ZO28" i="3" s="1"/>
  <c r="YW28" i="3" a="1"/>
  <c r="YW28" i="3" s="1"/>
  <c r="YE28" i="3" a="1"/>
  <c r="YE28" i="3" s="1"/>
  <c r="XM28" i="3" a="1"/>
  <c r="XM28" i="3" s="1"/>
  <c r="LBB28" i="3" a="1"/>
  <c r="LBB28" i="3" s="1"/>
  <c r="IHC28" i="3" a="1"/>
  <c r="IHC28" i="3" s="1"/>
  <c r="HEJ28" i="3" a="1"/>
  <c r="HEJ28" i="3" s="1"/>
  <c r="GFX28" i="3" a="1"/>
  <c r="GFX28" i="3" s="1"/>
  <c r="EBN28" i="3" a="1"/>
  <c r="EBN28" i="3" s="1"/>
  <c r="DOI28" i="3" a="1"/>
  <c r="DOI28" i="3" s="1"/>
  <c r="DLW28" i="3" a="1"/>
  <c r="DLW28" i="3" s="1"/>
  <c r="DJR28" i="3" a="1"/>
  <c r="DJR28" i="3" s="1"/>
  <c r="DHN28" i="3" a="1"/>
  <c r="DHN28" i="3" s="1"/>
  <c r="DFT28" i="3" a="1"/>
  <c r="DFT28" i="3" s="1"/>
  <c r="DCM28" i="3" a="1"/>
  <c r="DCM28" i="3" s="1"/>
  <c r="CZF28" i="3" a="1"/>
  <c r="CZF28" i="3" s="1"/>
  <c r="CXL28" i="3" a="1"/>
  <c r="CXL28" i="3" s="1"/>
  <c r="CUE28" i="3" a="1"/>
  <c r="CUE28" i="3" s="1"/>
  <c r="CSO28" i="3" a="1"/>
  <c r="CSO28" i="3" s="1"/>
  <c r="CRW28" i="3" a="1"/>
  <c r="CRW28" i="3" s="1"/>
  <c r="CQH28" i="3" a="1"/>
  <c r="CQH28" i="3" s="1"/>
  <c r="CPP28" i="3" a="1"/>
  <c r="CPP28" i="3" s="1"/>
  <c r="CMT28" i="3" a="1"/>
  <c r="CMT28" i="3" s="1"/>
  <c r="CKM28" i="3" a="1"/>
  <c r="CKM28" i="3" s="1"/>
  <c r="CJT28" i="3" a="1"/>
  <c r="CJT28" i="3" s="1"/>
  <c r="CJB28" i="3" a="1"/>
  <c r="CJB28" i="3" s="1"/>
  <c r="CIF28" i="3" a="1"/>
  <c r="CIF28" i="3" s="1"/>
  <c r="CHM28" i="3" a="1"/>
  <c r="CHM28" i="3" s="1"/>
  <c r="CGU28" i="3" a="1"/>
  <c r="CGU28" i="3" s="1"/>
  <c r="CFF28" i="3" a="1"/>
  <c r="CFF28" i="3" s="1"/>
  <c r="CEN28" i="3" a="1"/>
  <c r="CEN28" i="3" s="1"/>
  <c r="CBT28" i="3" a="1"/>
  <c r="CBT28" i="3" s="1"/>
  <c r="CBG28" i="3" a="1"/>
  <c r="CBG28" i="3" s="1"/>
  <c r="CAT28" i="3" a="1"/>
  <c r="CAT28" i="3" s="1"/>
  <c r="BYZ28" i="3" a="1"/>
  <c r="BYZ28" i="3" s="1"/>
  <c r="BYM28" i="3" a="1"/>
  <c r="BYM28" i="3" s="1"/>
  <c r="BXZ28" i="3" a="1"/>
  <c r="BXZ28" i="3" s="1"/>
  <c r="BWF28" i="3" a="1"/>
  <c r="BWF28" i="3" s="1"/>
  <c r="BVS28" i="3" a="1"/>
  <c r="BVS28" i="3" s="1"/>
  <c r="BVF28" i="3" a="1"/>
  <c r="BVF28" i="3" s="1"/>
  <c r="BTL28" i="3" a="1"/>
  <c r="BTL28" i="3" s="1"/>
  <c r="BSY28" i="3" a="1"/>
  <c r="BSY28" i="3" s="1"/>
  <c r="BSL28" i="3" a="1"/>
  <c r="BSL28" i="3" s="1"/>
  <c r="BQR28" i="3" a="1"/>
  <c r="BQR28" i="3" s="1"/>
  <c r="BQE28" i="3" a="1"/>
  <c r="BQE28" i="3" s="1"/>
  <c r="BPR28" i="3" a="1"/>
  <c r="BPR28" i="3" s="1"/>
  <c r="BNX28" i="3" a="1"/>
  <c r="BNX28" i="3" s="1"/>
  <c r="BNK28" i="3" a="1"/>
  <c r="BNK28" i="3" s="1"/>
  <c r="BMX28" i="3" a="1"/>
  <c r="BMX28" i="3" s="1"/>
  <c r="BLD28" i="3" a="1"/>
  <c r="BLD28" i="3" s="1"/>
  <c r="BKQ28" i="3" a="1"/>
  <c r="BKQ28" i="3" s="1"/>
  <c r="BKD28" i="3" a="1"/>
  <c r="BKD28" i="3" s="1"/>
  <c r="BIJ28" i="3" a="1"/>
  <c r="BIJ28" i="3" s="1"/>
  <c r="BHW28" i="3" a="1"/>
  <c r="BHW28" i="3" s="1"/>
  <c r="BHJ28" i="3" a="1"/>
  <c r="BHJ28" i="3" s="1"/>
  <c r="BFP28" i="3" a="1"/>
  <c r="BFP28" i="3" s="1"/>
  <c r="BFC28" i="3" a="1"/>
  <c r="BFC28" i="3" s="1"/>
  <c r="BEP28" i="3" a="1"/>
  <c r="BEP28" i="3" s="1"/>
  <c r="BCV28" i="3" a="1"/>
  <c r="BCV28" i="3" s="1"/>
  <c r="BCI28" i="3" a="1"/>
  <c r="BCI28" i="3" s="1"/>
  <c r="BBV28" i="3" a="1"/>
  <c r="BBV28" i="3" s="1"/>
  <c r="BAB28" i="3" a="1"/>
  <c r="BAB28" i="3" s="1"/>
  <c r="AZO28" i="3" a="1"/>
  <c r="AZO28" i="3" s="1"/>
  <c r="AZB28" i="3" a="1"/>
  <c r="AZB28" i="3" s="1"/>
  <c r="AXH28" i="3" a="1"/>
  <c r="AXH28" i="3" s="1"/>
  <c r="AWU28" i="3" a="1"/>
  <c r="AWU28" i="3" s="1"/>
  <c r="AWH28" i="3" a="1"/>
  <c r="AWH28" i="3" s="1"/>
  <c r="AUN28" i="3" a="1"/>
  <c r="AUN28" i="3" s="1"/>
  <c r="AUA28" i="3" a="1"/>
  <c r="AUA28" i="3" s="1"/>
  <c r="ATN28" i="3" a="1"/>
  <c r="ATN28" i="3" s="1"/>
  <c r="ATB28" i="3" a="1"/>
  <c r="ATB28" i="3" s="1"/>
  <c r="ASP28" i="3" a="1"/>
  <c r="ASP28" i="3" s="1"/>
  <c r="ASD28" i="3" a="1"/>
  <c r="ASD28" i="3" s="1"/>
  <c r="ARR28" i="3" a="1"/>
  <c r="ARR28" i="3" s="1"/>
  <c r="ARF28" i="3" a="1"/>
  <c r="ARF28" i="3" s="1"/>
  <c r="AQT28" i="3" a="1"/>
  <c r="AQT28" i="3" s="1"/>
  <c r="AQH28" i="3" a="1"/>
  <c r="AQH28" i="3" s="1"/>
  <c r="APV28" i="3" a="1"/>
  <c r="APV28" i="3" s="1"/>
  <c r="APJ28" i="3" a="1"/>
  <c r="APJ28" i="3" s="1"/>
  <c r="AOX28" i="3" a="1"/>
  <c r="AOX28" i="3" s="1"/>
  <c r="AOL28" i="3" a="1"/>
  <c r="AOL28" i="3" s="1"/>
  <c r="ANZ28" i="3" a="1"/>
  <c r="ANZ28" i="3" s="1"/>
  <c r="ANN28" i="3" a="1"/>
  <c r="ANN28" i="3" s="1"/>
  <c r="ANB28" i="3" a="1"/>
  <c r="ANB28" i="3" s="1"/>
  <c r="JFN28" i="3" a="1"/>
  <c r="JFN28" i="3" s="1"/>
  <c r="HQJ28" i="3" a="1"/>
  <c r="HQJ28" i="3" s="1"/>
  <c r="EOH28" i="3" a="1"/>
  <c r="EOH28" i="3" s="1"/>
  <c r="EHI28" i="3" a="1"/>
  <c r="EHI28" i="3" s="1"/>
  <c r="DTN28" i="3" a="1"/>
  <c r="DTN28" i="3" s="1"/>
  <c r="DQT28" i="3" a="1"/>
  <c r="DQT28" i="3" s="1"/>
  <c r="DJQ28" i="3" a="1"/>
  <c r="DJQ28" i="3" s="1"/>
  <c r="DHJ28" i="3" a="1"/>
  <c r="DHJ28" i="3" s="1"/>
  <c r="DEC28" i="3" a="1"/>
  <c r="DEC28" i="3" s="1"/>
  <c r="DAV28" i="3" a="1"/>
  <c r="DAV28" i="3" s="1"/>
  <c r="CZB28" i="3" a="1"/>
  <c r="CZB28" i="3" s="1"/>
  <c r="CVU28" i="3" a="1"/>
  <c r="CVU28" i="3" s="1"/>
  <c r="CRD28" i="3" a="1"/>
  <c r="CRD28" i="3" s="1"/>
  <c r="COW28" i="3" a="1"/>
  <c r="COW28" i="3" s="1"/>
  <c r="COD28" i="3" a="1"/>
  <c r="COD28" i="3" s="1"/>
  <c r="CNL28" i="3" a="1"/>
  <c r="CNL28" i="3" s="1"/>
  <c r="CMP28" i="3" a="1"/>
  <c r="CMP28" i="3" s="1"/>
  <c r="CLW28" i="3" a="1"/>
  <c r="CLW28" i="3" s="1"/>
  <c r="CLE28" i="3" a="1"/>
  <c r="CLE28" i="3" s="1"/>
  <c r="CJP28" i="3" a="1"/>
  <c r="CJP28" i="3" s="1"/>
  <c r="CIX28" i="3" a="1"/>
  <c r="CIX28" i="3" s="1"/>
  <c r="CGB28" i="3" a="1"/>
  <c r="CGB28" i="3" s="1"/>
  <c r="CDU28" i="3" a="1"/>
  <c r="CDU28" i="3" s="1"/>
  <c r="CDB28" i="3" a="1"/>
  <c r="CDB28" i="3" s="1"/>
  <c r="CCJ28" i="3" a="1"/>
  <c r="CCJ28" i="3" s="1"/>
  <c r="CAP28" i="3" a="1"/>
  <c r="CAP28" i="3" s="1"/>
  <c r="CAC28" i="3" a="1"/>
  <c r="CAC28" i="3" s="1"/>
  <c r="BZP28" i="3" a="1"/>
  <c r="BZP28" i="3" s="1"/>
  <c r="BXV28" i="3" a="1"/>
  <c r="BXV28" i="3" s="1"/>
  <c r="BXI28" i="3" a="1"/>
  <c r="BXI28" i="3" s="1"/>
  <c r="BWV28" i="3" a="1"/>
  <c r="BWV28" i="3" s="1"/>
  <c r="BVB28" i="3" a="1"/>
  <c r="BVB28" i="3" s="1"/>
  <c r="BUO28" i="3" a="1"/>
  <c r="BUO28" i="3" s="1"/>
  <c r="BUB28" i="3" a="1"/>
  <c r="BUB28" i="3" s="1"/>
  <c r="BSH28" i="3" a="1"/>
  <c r="BSH28" i="3" s="1"/>
  <c r="BRU28" i="3" a="1"/>
  <c r="BRU28" i="3" s="1"/>
  <c r="BRH28" i="3" a="1"/>
  <c r="BRH28" i="3" s="1"/>
  <c r="BPN28" i="3" a="1"/>
  <c r="BPN28" i="3" s="1"/>
  <c r="BPA28" i="3" a="1"/>
  <c r="BPA28" i="3" s="1"/>
  <c r="BON28" i="3" a="1"/>
  <c r="BON28" i="3" s="1"/>
  <c r="BMT28" i="3" a="1"/>
  <c r="BMT28" i="3" s="1"/>
  <c r="BMG28" i="3" a="1"/>
  <c r="BMG28" i="3" s="1"/>
  <c r="BLT28" i="3" a="1"/>
  <c r="BLT28" i="3" s="1"/>
  <c r="BJZ28" i="3" a="1"/>
  <c r="BJZ28" i="3" s="1"/>
  <c r="BJM28" i="3" a="1"/>
  <c r="BJM28" i="3" s="1"/>
  <c r="BIZ28" i="3" a="1"/>
  <c r="BIZ28" i="3" s="1"/>
  <c r="BHF28" i="3" a="1"/>
  <c r="BHF28" i="3" s="1"/>
  <c r="BGS28" i="3" a="1"/>
  <c r="BGS28" i="3" s="1"/>
  <c r="BGF28" i="3" a="1"/>
  <c r="BGF28" i="3" s="1"/>
  <c r="BEL28" i="3" a="1"/>
  <c r="BEL28" i="3" s="1"/>
  <c r="BDY28" i="3" a="1"/>
  <c r="BDY28" i="3" s="1"/>
  <c r="BDL28" i="3" a="1"/>
  <c r="BDL28" i="3" s="1"/>
  <c r="BBR28" i="3" a="1"/>
  <c r="BBR28" i="3" s="1"/>
  <c r="BBE28" i="3" a="1"/>
  <c r="BBE28" i="3" s="1"/>
  <c r="BAR28" i="3" a="1"/>
  <c r="BAR28" i="3" s="1"/>
  <c r="AYX28" i="3" a="1"/>
  <c r="AYX28" i="3" s="1"/>
  <c r="AYK28" i="3" a="1"/>
  <c r="AYK28" i="3" s="1"/>
  <c r="AXX28" i="3" a="1"/>
  <c r="AXX28" i="3" s="1"/>
  <c r="AWD28" i="3" a="1"/>
  <c r="AWD28" i="3" s="1"/>
  <c r="AVQ28" i="3" a="1"/>
  <c r="AVQ28" i="3" s="1"/>
  <c r="AVD28" i="3" a="1"/>
  <c r="AVD28" i="3" s="1"/>
  <c r="ATK28" i="3" a="1"/>
  <c r="ATK28" i="3" s="1"/>
  <c r="ASY28" i="3" a="1"/>
  <c r="ASY28" i="3" s="1"/>
  <c r="ASM28" i="3" a="1"/>
  <c r="ASM28" i="3" s="1"/>
  <c r="ASA28" i="3" a="1"/>
  <c r="ASA28" i="3" s="1"/>
  <c r="ARO28" i="3" a="1"/>
  <c r="ARO28" i="3" s="1"/>
  <c r="ARC28" i="3" a="1"/>
  <c r="ARC28" i="3" s="1"/>
  <c r="AQQ28" i="3" a="1"/>
  <c r="AQQ28" i="3" s="1"/>
  <c r="AQE28" i="3" a="1"/>
  <c r="AQE28" i="3" s="1"/>
  <c r="APS28" i="3" a="1"/>
  <c r="APS28" i="3" s="1"/>
  <c r="APG28" i="3" a="1"/>
  <c r="APG28" i="3" s="1"/>
  <c r="AOU28" i="3" a="1"/>
  <c r="AOU28" i="3" s="1"/>
  <c r="AOI28" i="3" a="1"/>
  <c r="AOI28" i="3" s="1"/>
  <c r="ANW28" i="3" a="1"/>
  <c r="ANW28" i="3" s="1"/>
  <c r="ANK28" i="3" a="1"/>
  <c r="ANK28" i="3" s="1"/>
  <c r="AMY28" i="3" a="1"/>
  <c r="AMY28" i="3" s="1"/>
  <c r="AMM28" i="3" a="1"/>
  <c r="AMM28" i="3" s="1"/>
  <c r="AMA28" i="3" a="1"/>
  <c r="AMA28" i="3" s="1"/>
  <c r="ALO28" i="3" a="1"/>
  <c r="ALO28" i="3" s="1"/>
  <c r="ALC28" i="3" a="1"/>
  <c r="ALC28" i="3" s="1"/>
  <c r="AKQ28" i="3" a="1"/>
  <c r="AKQ28" i="3" s="1"/>
  <c r="AKE28" i="3" a="1"/>
  <c r="AKE28" i="3" s="1"/>
  <c r="AJS28" i="3" a="1"/>
  <c r="AJS28" i="3" s="1"/>
  <c r="AJG28" i="3" a="1"/>
  <c r="AJG28" i="3" s="1"/>
  <c r="AIU28" i="3" a="1"/>
  <c r="AIU28" i="3" s="1"/>
  <c r="AII28" i="3" a="1"/>
  <c r="AII28" i="3" s="1"/>
  <c r="AHX28" i="3" a="1"/>
  <c r="AHX28" i="3" s="1"/>
  <c r="AGS28" i="3" a="1"/>
  <c r="AGS28" i="3" s="1"/>
  <c r="AGJ28" i="3" a="1"/>
  <c r="AGJ28" i="3" s="1"/>
  <c r="AFY28" i="3" a="1"/>
  <c r="AFY28" i="3" s="1"/>
  <c r="AFN28" i="3" a="1"/>
  <c r="AFN28" i="3" s="1"/>
  <c r="AFD28" i="3" a="1"/>
  <c r="AFD28" i="3" s="1"/>
  <c r="LAP28" i="3" a="1"/>
  <c r="LAP28" i="3" s="1"/>
  <c r="JFG28" i="3" a="1"/>
  <c r="JFG28" i="3" s="1"/>
  <c r="IGJ28" i="3" a="1"/>
  <c r="IGJ28" i="3" s="1"/>
  <c r="HPB28" i="3" a="1"/>
  <c r="HPB28" i="3" s="1"/>
  <c r="GFW28" i="3" a="1"/>
  <c r="GFW28" i="3" s="1"/>
  <c r="FTW28" i="3" a="1"/>
  <c r="FTW28" i="3" s="1"/>
  <c r="DTM28" i="3" a="1"/>
  <c r="DTM28" i="3" s="1"/>
  <c r="DQS28" i="3" a="1"/>
  <c r="DQS28" i="3" s="1"/>
  <c r="DOH28" i="3" a="1"/>
  <c r="DOH28" i="3" s="1"/>
  <c r="DLV28" i="3" a="1"/>
  <c r="DLV28" i="3" s="1"/>
  <c r="DJL28" i="3" a="1"/>
  <c r="DJL28" i="3" s="1"/>
  <c r="DFS28" i="3" a="1"/>
  <c r="DFS28" i="3" s="1"/>
  <c r="DCL28" i="3" a="1"/>
  <c r="DCL28" i="3" s="1"/>
  <c r="DAR28" i="3" a="1"/>
  <c r="DAR28" i="3" s="1"/>
  <c r="CXK28" i="3" a="1"/>
  <c r="CXK28" i="3" s="1"/>
  <c r="CUD28" i="3" a="1"/>
  <c r="CUD28" i="3" s="1"/>
  <c r="CSN28" i="3" a="1"/>
  <c r="CSN28" i="3" s="1"/>
  <c r="CRR28" i="3" a="1"/>
  <c r="CRR28" i="3" s="1"/>
  <c r="CQY28" i="3" a="1"/>
  <c r="CQY28" i="3" s="1"/>
  <c r="CQG28" i="3" a="1"/>
  <c r="CQG28" i="3" s="1"/>
  <c r="COR28" i="3" a="1"/>
  <c r="COR28" i="3" s="1"/>
  <c r="CNZ28" i="3" a="1"/>
  <c r="CNZ28" i="3" s="1"/>
  <c r="CLD28" i="3" a="1"/>
  <c r="CLD28" i="3" s="1"/>
  <c r="CIW28" i="3" a="1"/>
  <c r="CIW28" i="3" s="1"/>
  <c r="CID28" i="3" a="1"/>
  <c r="CID28" i="3" s="1"/>
  <c r="CHL28" i="3" a="1"/>
  <c r="CHL28" i="3" s="1"/>
  <c r="CGP28" i="3" a="1"/>
  <c r="CGP28" i="3" s="1"/>
  <c r="CFW28" i="3" a="1"/>
  <c r="CFW28" i="3" s="1"/>
  <c r="CFE28" i="3" a="1"/>
  <c r="CFE28" i="3" s="1"/>
  <c r="CDP28" i="3" a="1"/>
  <c r="CDP28" i="3" s="1"/>
  <c r="CCX28" i="3" a="1"/>
  <c r="CCX28" i="3" s="1"/>
  <c r="CCF28" i="3" a="1"/>
  <c r="CCF28" i="3" s="1"/>
  <c r="CBS28" i="3" a="1"/>
  <c r="CBS28" i="3" s="1"/>
  <c r="CBF28" i="3" a="1"/>
  <c r="CBF28" i="3" s="1"/>
  <c r="BZL28" i="3" a="1"/>
  <c r="BZL28" i="3" s="1"/>
  <c r="BYY28" i="3" a="1"/>
  <c r="BYY28" i="3" s="1"/>
  <c r="BYL28" i="3" a="1"/>
  <c r="BYL28" i="3" s="1"/>
  <c r="BWR28" i="3" a="1"/>
  <c r="BWR28" i="3" s="1"/>
  <c r="BWE28" i="3" a="1"/>
  <c r="BWE28" i="3" s="1"/>
  <c r="BVR28" i="3" a="1"/>
  <c r="BVR28" i="3" s="1"/>
  <c r="BTX28" i="3" a="1"/>
  <c r="BTX28" i="3" s="1"/>
  <c r="BTK28" i="3" a="1"/>
  <c r="BTK28" i="3" s="1"/>
  <c r="BSX28" i="3" a="1"/>
  <c r="BSX28" i="3" s="1"/>
  <c r="BRD28" i="3" a="1"/>
  <c r="BRD28" i="3" s="1"/>
  <c r="BQQ28" i="3" a="1"/>
  <c r="BQQ28" i="3" s="1"/>
  <c r="BQD28" i="3" a="1"/>
  <c r="BQD28" i="3" s="1"/>
  <c r="BOJ28" i="3" a="1"/>
  <c r="BOJ28" i="3" s="1"/>
  <c r="BNW28" i="3" a="1"/>
  <c r="BNW28" i="3" s="1"/>
  <c r="BNJ28" i="3" a="1"/>
  <c r="BNJ28" i="3" s="1"/>
  <c r="BLP28" i="3" a="1"/>
  <c r="BLP28" i="3" s="1"/>
  <c r="BLC28" i="3" a="1"/>
  <c r="BLC28" i="3" s="1"/>
  <c r="BKP28" i="3" a="1"/>
  <c r="BKP28" i="3" s="1"/>
  <c r="BIV28" i="3" a="1"/>
  <c r="BIV28" i="3" s="1"/>
  <c r="BII28" i="3" a="1"/>
  <c r="BII28" i="3" s="1"/>
  <c r="BHV28" i="3" a="1"/>
  <c r="BHV28" i="3" s="1"/>
  <c r="BGB28" i="3" a="1"/>
  <c r="BGB28" i="3" s="1"/>
  <c r="BFO28" i="3" a="1"/>
  <c r="BFO28" i="3" s="1"/>
  <c r="BFB28" i="3" a="1"/>
  <c r="BFB28" i="3" s="1"/>
  <c r="BDH28" i="3" a="1"/>
  <c r="BDH28" i="3" s="1"/>
  <c r="BCU28" i="3" a="1"/>
  <c r="BCU28" i="3" s="1"/>
  <c r="BCH28" i="3" a="1"/>
  <c r="BCH28" i="3" s="1"/>
  <c r="BAN28" i="3" a="1"/>
  <c r="BAN28" i="3" s="1"/>
  <c r="BAA28" i="3" a="1"/>
  <c r="BAA28" i="3" s="1"/>
  <c r="AZN28" i="3" a="1"/>
  <c r="AZN28" i="3" s="1"/>
  <c r="AXT28" i="3" a="1"/>
  <c r="AXT28" i="3" s="1"/>
  <c r="AXG28" i="3" a="1"/>
  <c r="AXG28" i="3" s="1"/>
  <c r="AWT28" i="3" a="1"/>
  <c r="AWT28" i="3" s="1"/>
  <c r="AUZ28" i="3" a="1"/>
  <c r="AUZ28" i="3" s="1"/>
  <c r="AUM28" i="3" a="1"/>
  <c r="AUM28" i="3" s="1"/>
  <c r="ATZ28" i="3" a="1"/>
  <c r="ATZ28" i="3" s="1"/>
  <c r="ATJ28" i="3" a="1"/>
  <c r="ATJ28" i="3" s="1"/>
  <c r="ASX28" i="3" a="1"/>
  <c r="ASX28" i="3" s="1"/>
  <c r="ASL28" i="3" a="1"/>
  <c r="ASL28" i="3" s="1"/>
  <c r="ARZ28" i="3" a="1"/>
  <c r="ARZ28" i="3" s="1"/>
  <c r="ARN28" i="3" a="1"/>
  <c r="ARN28" i="3" s="1"/>
  <c r="ARB28" i="3" a="1"/>
  <c r="ARB28" i="3" s="1"/>
  <c r="AQP28" i="3" a="1"/>
  <c r="AQP28" i="3" s="1"/>
  <c r="AQD28" i="3" a="1"/>
  <c r="AQD28" i="3" s="1"/>
  <c r="APR28" i="3" a="1"/>
  <c r="APR28" i="3" s="1"/>
  <c r="APF28" i="3" a="1"/>
  <c r="APF28" i="3" s="1"/>
  <c r="AOT28" i="3" a="1"/>
  <c r="AOT28" i="3" s="1"/>
  <c r="AOH28" i="3" a="1"/>
  <c r="AOH28" i="3" s="1"/>
  <c r="ANV28" i="3" a="1"/>
  <c r="ANV28" i="3" s="1"/>
  <c r="ANJ28" i="3" a="1"/>
  <c r="ANJ28" i="3" s="1"/>
  <c r="AMX28" i="3" a="1"/>
  <c r="AMX28" i="3" s="1"/>
  <c r="AML28" i="3" a="1"/>
  <c r="AML28" i="3" s="1"/>
  <c r="ALZ28" i="3" a="1"/>
  <c r="ALZ28" i="3" s="1"/>
  <c r="ALN28" i="3" a="1"/>
  <c r="ALN28" i="3" s="1"/>
  <c r="ALB28" i="3" a="1"/>
  <c r="ALB28" i="3" s="1"/>
  <c r="AKP28" i="3" a="1"/>
  <c r="AKP28" i="3" s="1"/>
  <c r="AKD28" i="3" a="1"/>
  <c r="AKD28" i="3" s="1"/>
  <c r="AJR28" i="3" a="1"/>
  <c r="AJR28" i="3" s="1"/>
  <c r="AJF28" i="3" a="1"/>
  <c r="AJF28" i="3" s="1"/>
  <c r="AIT28" i="3" a="1"/>
  <c r="AIT28" i="3" s="1"/>
  <c r="AIH28" i="3" a="1"/>
  <c r="AIH28" i="3" s="1"/>
  <c r="AHW28" i="3" a="1"/>
  <c r="AHW28" i="3" s="1"/>
  <c r="AHN28" i="3" a="1"/>
  <c r="AHN28" i="3" s="1"/>
  <c r="AHC28" i="3" a="1"/>
  <c r="AHC28" i="3" s="1"/>
  <c r="AGR28" i="3" a="1"/>
  <c r="AGR28" i="3" s="1"/>
  <c r="AGH28" i="3" a="1"/>
  <c r="AGH28" i="3" s="1"/>
  <c r="AFC28" i="3" a="1"/>
  <c r="AFC28" i="3" s="1"/>
  <c r="AET28" i="3" a="1"/>
  <c r="AET28" i="3" s="1"/>
  <c r="AEI28" i="3" a="1"/>
  <c r="AEI28" i="3" s="1"/>
  <c r="ADZ28" i="3" a="1"/>
  <c r="ADZ28" i="3" s="1"/>
  <c r="ADQ28" i="3" a="1"/>
  <c r="ADQ28" i="3" s="1"/>
  <c r="ADH28" i="3" a="1"/>
  <c r="ADH28" i="3" s="1"/>
  <c r="ACY28" i="3" a="1"/>
  <c r="ACY28" i="3" s="1"/>
  <c r="ACP28" i="3" a="1"/>
  <c r="ACP28" i="3" s="1"/>
  <c r="ACG28" i="3" a="1"/>
  <c r="ACG28" i="3" s="1"/>
  <c r="ABX28" i="3" a="1"/>
  <c r="ABX28" i="3" s="1"/>
  <c r="ABO28" i="3" a="1"/>
  <c r="ABO28" i="3" s="1"/>
  <c r="ABF28" i="3" a="1"/>
  <c r="ABF28" i="3" s="1"/>
  <c r="AAW28" i="3" a="1"/>
  <c r="AAW28" i="3" s="1"/>
  <c r="AAN28" i="3" a="1"/>
  <c r="AAN28" i="3" s="1"/>
  <c r="AAE28" i="3" a="1"/>
  <c r="AAE28" i="3" s="1"/>
  <c r="ZV28" i="3" a="1"/>
  <c r="ZV28" i="3" s="1"/>
  <c r="ZM28" i="3" a="1"/>
  <c r="ZM28" i="3" s="1"/>
  <c r="ZD28" i="3" a="1"/>
  <c r="ZD28" i="3" s="1"/>
  <c r="JEI28" i="3" a="1"/>
  <c r="JEI28" i="3" s="1"/>
  <c r="HOW28" i="3" a="1"/>
  <c r="HOW28" i="3" s="1"/>
  <c r="HDE28" i="3" a="1"/>
  <c r="HDE28" i="3" s="1"/>
  <c r="GRL28" i="3" a="1"/>
  <c r="GRL28" i="3" s="1"/>
  <c r="GFL28" i="3" a="1"/>
  <c r="GFL28" i="3" s="1"/>
  <c r="EOG28" i="3" a="1"/>
  <c r="EOG28" i="3" s="1"/>
  <c r="EHC28" i="3" a="1"/>
  <c r="EHC28" i="3" s="1"/>
  <c r="DLP28" i="3" a="1"/>
  <c r="DLP28" i="3" s="1"/>
  <c r="DJK28" i="3" a="1"/>
  <c r="DJK28" i="3" s="1"/>
  <c r="DHI28" i="3" a="1"/>
  <c r="DHI28" i="3" s="1"/>
  <c r="DEB28" i="3" a="1"/>
  <c r="DEB28" i="3" s="1"/>
  <c r="DCH28" i="3" a="1"/>
  <c r="DCH28" i="3" s="1"/>
  <c r="CZA28" i="3" a="1"/>
  <c r="CZA28" i="3" s="1"/>
  <c r="CVT28" i="3" a="1"/>
  <c r="CVT28" i="3" s="1"/>
  <c r="CTZ28" i="3" a="1"/>
  <c r="CTZ28" i="3" s="1"/>
  <c r="CSJ28" i="3" a="1"/>
  <c r="CSJ28" i="3" s="1"/>
  <c r="CPN28" i="3" a="1"/>
  <c r="CPN28" i="3" s="1"/>
  <c r="CNG28" i="3" a="1"/>
  <c r="CNG28" i="3" s="1"/>
  <c r="CMN28" i="3" a="1"/>
  <c r="CMN28" i="3" s="1"/>
  <c r="CLV28" i="3" a="1"/>
  <c r="CLV28" i="3" s="1"/>
  <c r="CKZ28" i="3" a="1"/>
  <c r="CKZ28" i="3" s="1"/>
  <c r="CKG28" i="3" a="1"/>
  <c r="CKG28" i="3" s="1"/>
  <c r="CJO28" i="3" a="1"/>
  <c r="CJO28" i="3" s="1"/>
  <c r="CHZ28" i="3" a="1"/>
  <c r="CHZ28" i="3" s="1"/>
  <c r="CHH28" i="3" a="1"/>
  <c r="CHH28" i="3" s="1"/>
  <c r="CEL28" i="3" a="1"/>
  <c r="CEL28" i="3" s="1"/>
  <c r="CBB28" i="3" a="1"/>
  <c r="CBB28" i="3" s="1"/>
  <c r="CAO28" i="3" a="1"/>
  <c r="CAO28" i="3" s="1"/>
  <c r="CAB28" i="3" a="1"/>
  <c r="CAB28" i="3" s="1"/>
  <c r="BYH28" i="3" a="1"/>
  <c r="BYH28" i="3" s="1"/>
  <c r="BXU28" i="3" a="1"/>
  <c r="BXU28" i="3" s="1"/>
  <c r="BXH28" i="3" a="1"/>
  <c r="BXH28" i="3" s="1"/>
  <c r="BVN28" i="3" a="1"/>
  <c r="BVN28" i="3" s="1"/>
  <c r="BVA28" i="3" a="1"/>
  <c r="BVA28" i="3" s="1"/>
  <c r="BUN28" i="3" a="1"/>
  <c r="BUN28" i="3" s="1"/>
  <c r="BST28" i="3" a="1"/>
  <c r="BST28" i="3" s="1"/>
  <c r="BSG28" i="3" a="1"/>
  <c r="BSG28" i="3" s="1"/>
  <c r="BRT28" i="3" a="1"/>
  <c r="BRT28" i="3" s="1"/>
  <c r="BPZ28" i="3" a="1"/>
  <c r="BPZ28" i="3" s="1"/>
  <c r="BPM28" i="3" a="1"/>
  <c r="BPM28" i="3" s="1"/>
  <c r="BOZ28" i="3" a="1"/>
  <c r="BOZ28" i="3" s="1"/>
  <c r="BNF28" i="3" a="1"/>
  <c r="BNF28" i="3" s="1"/>
  <c r="BMS28" i="3" a="1"/>
  <c r="BMS28" i="3" s="1"/>
  <c r="BMF28" i="3" a="1"/>
  <c r="BMF28" i="3" s="1"/>
  <c r="BKL28" i="3" a="1"/>
  <c r="BKL28" i="3" s="1"/>
  <c r="BJY28" i="3" a="1"/>
  <c r="BJY28" i="3" s="1"/>
  <c r="BJL28" i="3" a="1"/>
  <c r="BJL28" i="3" s="1"/>
  <c r="BHR28" i="3" a="1"/>
  <c r="BHR28" i="3" s="1"/>
  <c r="BHE28" i="3" a="1"/>
  <c r="BHE28" i="3" s="1"/>
  <c r="BGR28" i="3" a="1"/>
  <c r="BGR28" i="3" s="1"/>
  <c r="BEX28" i="3" a="1"/>
  <c r="BEX28" i="3" s="1"/>
  <c r="BEK28" i="3" a="1"/>
  <c r="BEK28" i="3" s="1"/>
  <c r="BDX28" i="3" a="1"/>
  <c r="BDX28" i="3" s="1"/>
  <c r="BCD28" i="3" a="1"/>
  <c r="BCD28" i="3" s="1"/>
  <c r="BBQ28" i="3" a="1"/>
  <c r="BBQ28" i="3" s="1"/>
  <c r="BBD28" i="3" a="1"/>
  <c r="BBD28" i="3" s="1"/>
  <c r="AZJ28" i="3" a="1"/>
  <c r="AZJ28" i="3" s="1"/>
  <c r="AYW28" i="3" a="1"/>
  <c r="AYW28" i="3" s="1"/>
  <c r="AYJ28" i="3" a="1"/>
  <c r="AYJ28" i="3" s="1"/>
  <c r="AWP28" i="3" a="1"/>
  <c r="AWP28" i="3" s="1"/>
  <c r="AWC28" i="3" a="1"/>
  <c r="AWC28" i="3" s="1"/>
  <c r="AVP28" i="3" a="1"/>
  <c r="AVP28" i="3" s="1"/>
  <c r="ATV28" i="3" a="1"/>
  <c r="ATV28" i="3" s="1"/>
  <c r="AHV28" i="3" a="1"/>
  <c r="AHV28" i="3" s="1"/>
  <c r="AHL28" i="3" a="1"/>
  <c r="AHL28" i="3" s="1"/>
  <c r="AGG28" i="3" a="1"/>
  <c r="AGG28" i="3" s="1"/>
  <c r="AFX28" i="3" a="1"/>
  <c r="AFX28" i="3" s="1"/>
  <c r="AFM28" i="3" a="1"/>
  <c r="AFM28" i="3" s="1"/>
  <c r="AFB28" i="3" a="1"/>
  <c r="AFB28" i="3" s="1"/>
  <c r="AER28" i="3" a="1"/>
  <c r="AER28" i="3" s="1"/>
  <c r="ADY28" i="3" a="1"/>
  <c r="ADY28" i="3" s="1"/>
  <c r="ADG28" i="3" a="1"/>
  <c r="ADG28" i="3" s="1"/>
  <c r="ACO28" i="3" a="1"/>
  <c r="ACO28" i="3" s="1"/>
  <c r="ABW28" i="3" a="1"/>
  <c r="ABW28" i="3" s="1"/>
  <c r="ABE28" i="3" a="1"/>
  <c r="ABE28" i="3" s="1"/>
  <c r="AAM28" i="3" a="1"/>
  <c r="AAM28" i="3" s="1"/>
  <c r="ZU28" i="3" a="1"/>
  <c r="ZU28" i="3" s="1"/>
  <c r="ZC28" i="3" a="1"/>
  <c r="ZC28" i="3" s="1"/>
  <c r="YK28" i="3" a="1"/>
  <c r="YK28" i="3" s="1"/>
  <c r="XS28" i="3" a="1"/>
  <c r="XS28" i="3" s="1"/>
  <c r="XA28" i="3" a="1"/>
  <c r="XA28" i="3" s="1"/>
  <c r="DQA28" i="3" a="1"/>
  <c r="DQA28" i="3" s="1"/>
  <c r="DIV28" i="3" a="1"/>
  <c r="DIV28" i="3" s="1"/>
  <c r="CTR28" i="3" a="1"/>
  <c r="CTR28" i="3" s="1"/>
  <c r="CQX28" i="3" a="1"/>
  <c r="CQX28" i="3" s="1"/>
  <c r="COQ28" i="3" a="1"/>
  <c r="COQ28" i="3" s="1"/>
  <c r="CMJ28" i="3" a="1"/>
  <c r="CMJ28" i="3" s="1"/>
  <c r="CFV28" i="3" a="1"/>
  <c r="CFV28" i="3" s="1"/>
  <c r="CDO28" i="3" a="1"/>
  <c r="CDO28" i="3" s="1"/>
  <c r="CBR28" i="3" a="1"/>
  <c r="CBR28" i="3" s="1"/>
  <c r="BZX28" i="3" a="1"/>
  <c r="BZX28" i="3" s="1"/>
  <c r="BWQ28" i="3" a="1"/>
  <c r="BWQ28" i="3" s="1"/>
  <c r="BTJ28" i="3" a="1"/>
  <c r="BTJ28" i="3" s="1"/>
  <c r="BRP28" i="3" a="1"/>
  <c r="BRP28" i="3" s="1"/>
  <c r="BOI28" i="3" a="1"/>
  <c r="BOI28" i="3" s="1"/>
  <c r="BLB28" i="3" a="1"/>
  <c r="BLB28" i="3" s="1"/>
  <c r="BJH28" i="3" a="1"/>
  <c r="BJH28" i="3" s="1"/>
  <c r="BGA28" i="3" a="1"/>
  <c r="BGA28" i="3" s="1"/>
  <c r="BCT28" i="3" a="1"/>
  <c r="BCT28" i="3" s="1"/>
  <c r="BAZ28" i="3" a="1"/>
  <c r="BAZ28" i="3" s="1"/>
  <c r="AXS28" i="3" a="1"/>
  <c r="AXS28" i="3" s="1"/>
  <c r="AUL28" i="3" a="1"/>
  <c r="AUL28" i="3" s="1"/>
  <c r="ASW28" i="3" a="1"/>
  <c r="ASW28" i="3" s="1"/>
  <c r="ARM28" i="3" a="1"/>
  <c r="ARM28" i="3" s="1"/>
  <c r="AQC28" i="3" a="1"/>
  <c r="AQC28" i="3" s="1"/>
  <c r="AOS28" i="3" a="1"/>
  <c r="AOS28" i="3" s="1"/>
  <c r="ANI28" i="3" a="1"/>
  <c r="ANI28" i="3" s="1"/>
  <c r="AMG28" i="3" a="1"/>
  <c r="AMG28" i="3" s="1"/>
  <c r="ALA28" i="3" a="1"/>
  <c r="ALA28" i="3" s="1"/>
  <c r="AKB28" i="3" a="1"/>
  <c r="AKB28" i="3" s="1"/>
  <c r="AIX28" i="3" a="1"/>
  <c r="AIX28" i="3" s="1"/>
  <c r="AHU28" i="3" a="1"/>
  <c r="AHU28" i="3" s="1"/>
  <c r="AGX28" i="3" a="1"/>
  <c r="AGX28" i="3" s="1"/>
  <c r="AFV28" i="3" a="1"/>
  <c r="AFV28" i="3" s="1"/>
  <c r="AEB28" i="3" a="1"/>
  <c r="AEB28" i="3" s="1"/>
  <c r="ADN28" i="3" a="1"/>
  <c r="ADN28" i="3" s="1"/>
  <c r="ACZ28" i="3" a="1"/>
  <c r="ACZ28" i="3" s="1"/>
  <c r="ACM28" i="3" a="1"/>
  <c r="ACM28" i="3" s="1"/>
  <c r="ABZ28" i="3" a="1"/>
  <c r="ABZ28" i="3" s="1"/>
  <c r="ABL28" i="3" a="1"/>
  <c r="ABL28" i="3" s="1"/>
  <c r="AAX28" i="3" a="1"/>
  <c r="AAX28" i="3" s="1"/>
  <c r="AAK28" i="3" a="1"/>
  <c r="AAK28" i="3" s="1"/>
  <c r="ZX28" i="3" a="1"/>
  <c r="ZX28" i="3" s="1"/>
  <c r="ZJ28" i="3" a="1"/>
  <c r="ZJ28" i="3" s="1"/>
  <c r="YV28" i="3" a="1"/>
  <c r="YV28" i="3" s="1"/>
  <c r="YJ28" i="3" a="1"/>
  <c r="YJ28" i="3" s="1"/>
  <c r="XY28" i="3" a="1"/>
  <c r="XY28" i="3" s="1"/>
  <c r="XL28" i="3" a="1"/>
  <c r="XL28" i="3" s="1"/>
  <c r="WZ28" i="3" a="1"/>
  <c r="WZ28" i="3" s="1"/>
  <c r="WP28" i="3" a="1"/>
  <c r="WP28" i="3" s="1"/>
  <c r="VV28" i="3" a="1"/>
  <c r="VV28" i="3" s="1"/>
  <c r="VN28" i="3" a="1"/>
  <c r="VN28" i="3" s="1"/>
  <c r="VD28" i="3" a="1"/>
  <c r="VD28" i="3" s="1"/>
  <c r="UV28" i="3" a="1"/>
  <c r="UV28" i="3" s="1"/>
  <c r="UL28" i="3" a="1"/>
  <c r="UL28" i="3" s="1"/>
  <c r="UD28" i="3" a="1"/>
  <c r="UD28" i="3" s="1"/>
  <c r="TT28" i="3" a="1"/>
  <c r="TT28" i="3" s="1"/>
  <c r="TL28" i="3" a="1"/>
  <c r="TL28" i="3" s="1"/>
  <c r="TB28" i="3" a="1"/>
  <c r="TB28" i="3" s="1"/>
  <c r="ST28" i="3" a="1"/>
  <c r="ST28" i="3" s="1"/>
  <c r="SJ28" i="3" a="1"/>
  <c r="SJ28" i="3" s="1"/>
  <c r="SB28" i="3" a="1"/>
  <c r="SB28" i="3" s="1"/>
  <c r="RR28" i="3" a="1"/>
  <c r="RR28" i="3" s="1"/>
  <c r="RJ28" i="3" a="1"/>
  <c r="RJ28" i="3" s="1"/>
  <c r="QZ28" i="3" a="1"/>
  <c r="QZ28" i="3" s="1"/>
  <c r="QR28" i="3" a="1"/>
  <c r="QR28" i="3" s="1"/>
  <c r="QH28" i="3" a="1"/>
  <c r="QH28" i="3" s="1"/>
  <c r="PZ28" i="3" a="1"/>
  <c r="PZ28" i="3" s="1"/>
  <c r="PP28" i="3" a="1"/>
  <c r="PP28" i="3" s="1"/>
  <c r="PH28" i="3" a="1"/>
  <c r="PH28" i="3" s="1"/>
  <c r="OX28" i="3" a="1"/>
  <c r="OX28" i="3" s="1"/>
  <c r="OP28" i="3" a="1"/>
  <c r="OP28" i="3" s="1"/>
  <c r="OF28" i="3" a="1"/>
  <c r="OF28" i="3" s="1"/>
  <c r="NX28" i="3" a="1"/>
  <c r="NX28" i="3" s="1"/>
  <c r="NN28" i="3" a="1"/>
  <c r="NN28" i="3" s="1"/>
  <c r="NF28" i="3" a="1"/>
  <c r="NF28" i="3" s="1"/>
  <c r="MV28" i="3" a="1"/>
  <c r="MV28" i="3" s="1"/>
  <c r="MN28" i="3" a="1"/>
  <c r="MN28" i="3" s="1"/>
  <c r="MD28" i="3" a="1"/>
  <c r="MD28" i="3" s="1"/>
  <c r="LV28" i="3" a="1"/>
  <c r="LV28" i="3" s="1"/>
  <c r="LL28" i="3" a="1"/>
  <c r="LL28" i="3" s="1"/>
  <c r="LD28" i="3" a="1"/>
  <c r="LD28" i="3" s="1"/>
  <c r="KT28" i="3" a="1"/>
  <c r="KT28" i="3" s="1"/>
  <c r="KL28" i="3" a="1"/>
  <c r="KL28" i="3" s="1"/>
  <c r="KB28" i="3" a="1"/>
  <c r="KB28" i="3" s="1"/>
  <c r="JT28" i="3" a="1"/>
  <c r="JT28" i="3" s="1"/>
  <c r="JJ28" i="3" a="1"/>
  <c r="JJ28" i="3" s="1"/>
  <c r="JB28" i="3" a="1"/>
  <c r="JB28" i="3" s="1"/>
  <c r="IR28" i="3" a="1"/>
  <c r="IR28" i="3" s="1"/>
  <c r="IJ28" i="3" a="1"/>
  <c r="IJ28" i="3" s="1"/>
  <c r="HZ28" i="3" a="1"/>
  <c r="HZ28" i="3" s="1"/>
  <c r="HR28" i="3" a="1"/>
  <c r="HR28" i="3" s="1"/>
  <c r="HH28" i="3" a="1"/>
  <c r="HH28" i="3" s="1"/>
  <c r="GZ28" i="3" a="1"/>
  <c r="GZ28" i="3" s="1"/>
  <c r="GP28" i="3" a="1"/>
  <c r="GP28" i="3" s="1"/>
  <c r="GH28" i="3" a="1"/>
  <c r="GH28" i="3" s="1"/>
  <c r="FX28" i="3" a="1"/>
  <c r="FX28" i="3" s="1"/>
  <c r="FP28" i="3" a="1"/>
  <c r="FP28" i="3" s="1"/>
  <c r="FF28" i="3" a="1"/>
  <c r="FF28" i="3" s="1"/>
  <c r="EX28" i="3" a="1"/>
  <c r="EX28" i="3" s="1"/>
  <c r="EN28" i="3" a="1"/>
  <c r="EN28" i="3" s="1"/>
  <c r="EF28" i="3" a="1"/>
  <c r="EF28" i="3" s="1"/>
  <c r="DV28" i="3" a="1"/>
  <c r="DV28" i="3" s="1"/>
  <c r="DN28" i="3" a="1"/>
  <c r="DN28" i="3" s="1"/>
  <c r="DD28" i="3" a="1"/>
  <c r="DD28" i="3" s="1"/>
  <c r="CV28" i="3" a="1"/>
  <c r="CV28" i="3" s="1"/>
  <c r="CL28" i="3" a="1"/>
  <c r="CL28" i="3" s="1"/>
  <c r="CD28" i="3" a="1"/>
  <c r="CD28" i="3" s="1"/>
  <c r="BT28" i="3" a="1"/>
  <c r="BT28" i="3" s="1"/>
  <c r="GCE28" i="3" a="1"/>
  <c r="GCE28" i="3" s="1"/>
  <c r="DZS28" i="3" a="1"/>
  <c r="DZS28" i="3" s="1"/>
  <c r="DIU28" i="3" a="1"/>
  <c r="DIU28" i="3" s="1"/>
  <c r="DDP28" i="3" a="1"/>
  <c r="DDP28" i="3" s="1"/>
  <c r="CYO28" i="3" a="1"/>
  <c r="CYO28" i="3" s="1"/>
  <c r="CTN28" i="3" a="1"/>
  <c r="CTN28" i="3" s="1"/>
  <c r="CQT28" i="3" a="1"/>
  <c r="CQT28" i="3" s="1"/>
  <c r="CKF28" i="3" a="1"/>
  <c r="CKF28" i="3" s="1"/>
  <c r="CHY28" i="3" a="1"/>
  <c r="CHY28" i="3" s="1"/>
  <c r="CFR28" i="3" a="1"/>
  <c r="CFR28" i="3" s="1"/>
  <c r="CBN28" i="3" a="1"/>
  <c r="CBN28" i="3" s="1"/>
  <c r="BYG28" i="3" a="1"/>
  <c r="BYG28" i="3" s="1"/>
  <c r="BUZ28" i="3" a="1"/>
  <c r="BUZ28" i="3" s="1"/>
  <c r="BTF28" i="3" a="1"/>
  <c r="BTF28" i="3" s="1"/>
  <c r="BPY28" i="3" a="1"/>
  <c r="BPY28" i="3" s="1"/>
  <c r="BMR28" i="3" a="1"/>
  <c r="BMR28" i="3" s="1"/>
  <c r="BKX28" i="3" a="1"/>
  <c r="BKX28" i="3" s="1"/>
  <c r="BHQ28" i="3" a="1"/>
  <c r="BHQ28" i="3" s="1"/>
  <c r="BEJ28" i="3" a="1"/>
  <c r="BEJ28" i="3" s="1"/>
  <c r="BCP28" i="3" a="1"/>
  <c r="BCP28" i="3" s="1"/>
  <c r="AZI28" i="3" a="1"/>
  <c r="AZI28" i="3" s="1"/>
  <c r="AWB28" i="3" a="1"/>
  <c r="AWB28" i="3" s="1"/>
  <c r="AUH28" i="3" a="1"/>
  <c r="AUH28" i="3" s="1"/>
  <c r="AMD28" i="3" a="1"/>
  <c r="AMD28" i="3" s="1"/>
  <c r="AJY28" i="3" a="1"/>
  <c r="AJY28" i="3" s="1"/>
  <c r="AIS28" i="3" a="1"/>
  <c r="AIS28" i="3" s="1"/>
  <c r="AGT28" i="3" a="1"/>
  <c r="AGT28" i="3" s="1"/>
  <c r="AFU28" i="3" a="1"/>
  <c r="AFU28" i="3" s="1"/>
  <c r="AEZ28" i="3" a="1"/>
  <c r="AEZ28" i="3" s="1"/>
  <c r="AEA28" i="3" a="1"/>
  <c r="AEA28" i="3" s="1"/>
  <c r="ADM28" i="3" a="1"/>
  <c r="ADM28" i="3" s="1"/>
  <c r="ABY28" i="3" a="1"/>
  <c r="ABY28" i="3" s="1"/>
  <c r="ABK28" i="3" a="1"/>
  <c r="ABK28" i="3" s="1"/>
  <c r="ZW28" i="3" a="1"/>
  <c r="ZW28" i="3" s="1"/>
  <c r="ZI28" i="3" a="1"/>
  <c r="ZI28" i="3" s="1"/>
  <c r="XX28" i="3" a="1"/>
  <c r="XX28" i="3" s="1"/>
  <c r="WO28" i="3" a="1"/>
  <c r="WO28" i="3" s="1"/>
  <c r="WF28" i="3" a="1"/>
  <c r="WF28" i="3" s="1"/>
  <c r="VM28" i="3" a="1"/>
  <c r="VM28" i="3" s="1"/>
  <c r="UU28" i="3" a="1"/>
  <c r="UU28" i="3" s="1"/>
  <c r="UC28" i="3" a="1"/>
  <c r="UC28" i="3" s="1"/>
  <c r="TK28" i="3" a="1"/>
  <c r="TK28" i="3" s="1"/>
  <c r="SS28" i="3" a="1"/>
  <c r="SS28" i="3" s="1"/>
  <c r="SA28" i="3" a="1"/>
  <c r="SA28" i="3" s="1"/>
  <c r="RI28" i="3" a="1"/>
  <c r="RI28" i="3" s="1"/>
  <c r="QQ28" i="3" a="1"/>
  <c r="QQ28" i="3" s="1"/>
  <c r="PY28" i="3" a="1"/>
  <c r="PY28" i="3" s="1"/>
  <c r="PG28" i="3" a="1"/>
  <c r="PG28" i="3" s="1"/>
  <c r="OO28" i="3" a="1"/>
  <c r="OO28" i="3" s="1"/>
  <c r="NW28" i="3" a="1"/>
  <c r="NW28" i="3" s="1"/>
  <c r="NE28" i="3" a="1"/>
  <c r="NE28" i="3" s="1"/>
  <c r="MM28" i="3" a="1"/>
  <c r="MM28" i="3" s="1"/>
  <c r="LU28" i="3" a="1"/>
  <c r="LU28" i="3" s="1"/>
  <c r="LC28" i="3" a="1"/>
  <c r="LC28" i="3" s="1"/>
  <c r="KK28" i="3" a="1"/>
  <c r="KK28" i="3" s="1"/>
  <c r="JS28" i="3" a="1"/>
  <c r="JS28" i="3" s="1"/>
  <c r="JA28" i="3" a="1"/>
  <c r="JA28" i="3" s="1"/>
  <c r="II28" i="3" a="1"/>
  <c r="II28" i="3" s="1"/>
  <c r="HQ28" i="3" a="1"/>
  <c r="HQ28" i="3" s="1"/>
  <c r="GY28" i="3" a="1"/>
  <c r="GY28" i="3" s="1"/>
  <c r="GG28" i="3" a="1"/>
  <c r="GG28" i="3" s="1"/>
  <c r="FO28" i="3" a="1"/>
  <c r="FO28" i="3" s="1"/>
  <c r="EW28" i="3" a="1"/>
  <c r="EW28" i="3" s="1"/>
  <c r="EE28" i="3" a="1"/>
  <c r="EE28" i="3" s="1"/>
  <c r="DM28" i="3" a="1"/>
  <c r="DM28" i="3" s="1"/>
  <c r="CU28" i="3" a="1"/>
  <c r="CU28" i="3" s="1"/>
  <c r="CC28" i="3" a="1"/>
  <c r="CC28" i="3" s="1"/>
  <c r="HLM28" i="3" a="1"/>
  <c r="HLM28" i="3" s="1"/>
  <c r="DZR28" i="3" a="1"/>
  <c r="DZR28" i="3" s="1"/>
  <c r="DPZ28" i="3" a="1"/>
  <c r="DPZ28" i="3" s="1"/>
  <c r="DDL28" i="3" a="1"/>
  <c r="DDL28" i="3" s="1"/>
  <c r="COP28" i="3" a="1"/>
  <c r="COP28" i="3" s="1"/>
  <c r="CMI28" i="3" a="1"/>
  <c r="CMI28" i="3" s="1"/>
  <c r="CKB28" i="3" a="1"/>
  <c r="CKB28" i="3" s="1"/>
  <c r="CDN28" i="3" a="1"/>
  <c r="CDN28" i="3" s="1"/>
  <c r="BZW28" i="3" a="1"/>
  <c r="BZW28" i="3" s="1"/>
  <c r="BWP28" i="3" a="1"/>
  <c r="BWP28" i="3" s="1"/>
  <c r="BUV28" i="3" a="1"/>
  <c r="BUV28" i="3" s="1"/>
  <c r="BRO28" i="3" a="1"/>
  <c r="BRO28" i="3" s="1"/>
  <c r="BOH28" i="3" a="1"/>
  <c r="BOH28" i="3" s="1"/>
  <c r="BMN28" i="3" a="1"/>
  <c r="BMN28" i="3" s="1"/>
  <c r="BJG28" i="3" a="1"/>
  <c r="BJG28" i="3" s="1"/>
  <c r="BFZ28" i="3" a="1"/>
  <c r="BFZ28" i="3" s="1"/>
  <c r="BEF28" i="3" a="1"/>
  <c r="BEF28" i="3" s="1"/>
  <c r="BAY28" i="3" a="1"/>
  <c r="BAY28" i="3" s="1"/>
  <c r="AXR28" i="3" a="1"/>
  <c r="AXR28" i="3" s="1"/>
  <c r="AVX28" i="3" a="1"/>
  <c r="AVX28" i="3" s="1"/>
  <c r="ASV28" i="3" a="1"/>
  <c r="ASV28" i="3" s="1"/>
  <c r="ARL28" i="3" a="1"/>
  <c r="ARL28" i="3" s="1"/>
  <c r="AQB28" i="3" a="1"/>
  <c r="AQB28" i="3" s="1"/>
  <c r="AOR28" i="3" a="1"/>
  <c r="AOR28" i="3" s="1"/>
  <c r="ANH28" i="3" a="1"/>
  <c r="ANH28" i="3" s="1"/>
  <c r="ALY28" i="3" a="1"/>
  <c r="ALY28" i="3" s="1"/>
  <c r="AKZ28" i="3" a="1"/>
  <c r="AKZ28" i="3" s="1"/>
  <c r="AJV28" i="3" a="1"/>
  <c r="AJV28" i="3" s="1"/>
  <c r="AHT28" i="3" a="1"/>
  <c r="AHT28" i="3" s="1"/>
  <c r="AGQ28" i="3" a="1"/>
  <c r="AGQ28" i="3" s="1"/>
  <c r="AFT28" i="3" a="1"/>
  <c r="AFT28" i="3" s="1"/>
  <c r="AEU28" i="3" a="1"/>
  <c r="AEU28" i="3" s="1"/>
  <c r="ADX28" i="3" a="1"/>
  <c r="ADX28" i="3" s="1"/>
  <c r="ADL28" i="3" a="1"/>
  <c r="ADL28" i="3" s="1"/>
  <c r="ACX28" i="3" a="1"/>
  <c r="ACX28" i="3" s="1"/>
  <c r="ACL28" i="3" a="1"/>
  <c r="ACL28" i="3" s="1"/>
  <c r="ABV28" i="3" a="1"/>
  <c r="ABV28" i="3" s="1"/>
  <c r="ABJ28" i="3" a="1"/>
  <c r="ABJ28" i="3" s="1"/>
  <c r="AAV28" i="3" a="1"/>
  <c r="AAV28" i="3" s="1"/>
  <c r="AAJ28" i="3" a="1"/>
  <c r="AAJ28" i="3" s="1"/>
  <c r="ZT28" i="3" a="1"/>
  <c r="ZT28" i="3" s="1"/>
  <c r="ZH28" i="3" a="1"/>
  <c r="ZH28" i="3" s="1"/>
  <c r="YU28" i="3" a="1"/>
  <c r="YU28" i="3" s="1"/>
  <c r="YI28" i="3" a="1"/>
  <c r="YI28" i="3" s="1"/>
  <c r="XW28" i="3" a="1"/>
  <c r="XW28" i="3" s="1"/>
  <c r="XK28" i="3" a="1"/>
  <c r="XK28" i="3" s="1"/>
  <c r="WY28" i="3" a="1"/>
  <c r="WY28" i="3" s="1"/>
  <c r="WN28" i="3" a="1"/>
  <c r="WN28" i="3" s="1"/>
  <c r="WD28" i="3" a="1"/>
  <c r="WD28" i="3" s="1"/>
  <c r="VU28" i="3" a="1"/>
  <c r="VU28" i="3" s="1"/>
  <c r="VL28" i="3" a="1"/>
  <c r="VL28" i="3" s="1"/>
  <c r="VC28" i="3" a="1"/>
  <c r="VC28" i="3" s="1"/>
  <c r="UT28" i="3" a="1"/>
  <c r="UT28" i="3" s="1"/>
  <c r="UK28" i="3" a="1"/>
  <c r="UK28" i="3" s="1"/>
  <c r="UB28" i="3" a="1"/>
  <c r="UB28" i="3" s="1"/>
  <c r="TS28" i="3" a="1"/>
  <c r="TS28" i="3" s="1"/>
  <c r="TJ28" i="3" a="1"/>
  <c r="TJ28" i="3" s="1"/>
  <c r="TA28" i="3" a="1"/>
  <c r="TA28" i="3" s="1"/>
  <c r="SR28" i="3" a="1"/>
  <c r="SR28" i="3" s="1"/>
  <c r="SI28" i="3" a="1"/>
  <c r="SI28" i="3" s="1"/>
  <c r="RZ28" i="3" a="1"/>
  <c r="RZ28" i="3" s="1"/>
  <c r="RQ28" i="3" a="1"/>
  <c r="RQ28" i="3" s="1"/>
  <c r="RH28" i="3" a="1"/>
  <c r="RH28" i="3" s="1"/>
  <c r="QY28" i="3" a="1"/>
  <c r="QY28" i="3" s="1"/>
  <c r="QP28" i="3" a="1"/>
  <c r="QP28" i="3" s="1"/>
  <c r="QG28" i="3" a="1"/>
  <c r="QG28" i="3" s="1"/>
  <c r="PX28" i="3" a="1"/>
  <c r="PX28" i="3" s="1"/>
  <c r="PO28" i="3" a="1"/>
  <c r="PO28" i="3" s="1"/>
  <c r="PF28" i="3" a="1"/>
  <c r="PF28" i="3" s="1"/>
  <c r="OW28" i="3" a="1"/>
  <c r="OW28" i="3" s="1"/>
  <c r="ON28" i="3" a="1"/>
  <c r="ON28" i="3" s="1"/>
  <c r="OE28" i="3" a="1"/>
  <c r="OE28" i="3" s="1"/>
  <c r="NV28" i="3" a="1"/>
  <c r="NV28" i="3" s="1"/>
  <c r="NM28" i="3" a="1"/>
  <c r="NM28" i="3" s="1"/>
  <c r="ND28" i="3" a="1"/>
  <c r="ND28" i="3" s="1"/>
  <c r="MU28" i="3" a="1"/>
  <c r="MU28" i="3" s="1"/>
  <c r="ML28" i="3" a="1"/>
  <c r="ML28" i="3" s="1"/>
  <c r="MC28" i="3" a="1"/>
  <c r="MC28" i="3" s="1"/>
  <c r="LT28" i="3" a="1"/>
  <c r="LT28" i="3" s="1"/>
  <c r="LK28" i="3" a="1"/>
  <c r="LK28" i="3" s="1"/>
  <c r="LB28" i="3" a="1"/>
  <c r="LB28" i="3" s="1"/>
  <c r="KS28" i="3" a="1"/>
  <c r="KS28" i="3" s="1"/>
  <c r="KJ28" i="3" a="1"/>
  <c r="KJ28" i="3" s="1"/>
  <c r="KA28" i="3" a="1"/>
  <c r="KA28" i="3" s="1"/>
  <c r="JR28" i="3" a="1"/>
  <c r="JR28" i="3" s="1"/>
  <c r="JI28" i="3" a="1"/>
  <c r="JI28" i="3" s="1"/>
  <c r="IZ28" i="3" a="1"/>
  <c r="IZ28" i="3" s="1"/>
  <c r="IQ28" i="3" a="1"/>
  <c r="IQ28" i="3" s="1"/>
  <c r="IH28" i="3" a="1"/>
  <c r="IH28" i="3" s="1"/>
  <c r="HY28" i="3" a="1"/>
  <c r="HY28" i="3" s="1"/>
  <c r="HP28" i="3" a="1"/>
  <c r="HP28" i="3" s="1"/>
  <c r="HG28" i="3" a="1"/>
  <c r="HG28" i="3" s="1"/>
  <c r="GX28" i="3" a="1"/>
  <c r="GX28" i="3" s="1"/>
  <c r="GO28" i="3" a="1"/>
  <c r="GO28" i="3" s="1"/>
  <c r="GF28" i="3" a="1"/>
  <c r="GF28" i="3" s="1"/>
  <c r="FW28" i="3" a="1"/>
  <c r="FW28" i="3" s="1"/>
  <c r="FN28" i="3" a="1"/>
  <c r="FN28" i="3" s="1"/>
  <c r="FE28" i="3" a="1"/>
  <c r="FE28" i="3" s="1"/>
  <c r="EV28" i="3" a="1"/>
  <c r="EV28" i="3" s="1"/>
  <c r="EM28" i="3" a="1"/>
  <c r="EM28" i="3" s="1"/>
  <c r="ED28" i="3" a="1"/>
  <c r="ED28" i="3" s="1"/>
  <c r="DU28" i="3" a="1"/>
  <c r="DU28" i="3" s="1"/>
  <c r="DL28" i="3" a="1"/>
  <c r="DL28" i="3" s="1"/>
  <c r="DC28" i="3" a="1"/>
  <c r="DC28" i="3" s="1"/>
  <c r="CT28" i="3" a="1"/>
  <c r="CT28" i="3" s="1"/>
  <c r="CK28" i="3" a="1"/>
  <c r="CK28" i="3" s="1"/>
  <c r="CB28" i="3" a="1"/>
  <c r="CB28" i="3" s="1"/>
  <c r="BS28" i="3" a="1"/>
  <c r="BS28" i="3" s="1"/>
  <c r="DPT28" i="3" a="1"/>
  <c r="DPT28" i="3" s="1"/>
  <c r="DIT28" i="3" a="1"/>
  <c r="DIT28" i="3" s="1"/>
  <c r="CYN28" i="3" a="1"/>
  <c r="CYN28" i="3" s="1"/>
  <c r="CTM28" i="3" a="1"/>
  <c r="CTM28" i="3" s="1"/>
  <c r="CQS28" i="3" a="1"/>
  <c r="CQS28" i="3" s="1"/>
  <c r="COL28" i="3" a="1"/>
  <c r="COL28" i="3" s="1"/>
  <c r="CHX28" i="3" a="1"/>
  <c r="CHX28" i="3" s="1"/>
  <c r="CFQ28" i="3" a="1"/>
  <c r="CFQ28" i="3" s="1"/>
  <c r="CDJ28" i="3" a="1"/>
  <c r="CDJ28" i="3" s="1"/>
  <c r="CBM28" i="3" a="1"/>
  <c r="CBM28" i="3" s="1"/>
  <c r="BYF28" i="3" a="1"/>
  <c r="BYF28" i="3" s="1"/>
  <c r="BWL28" i="3" a="1"/>
  <c r="BWL28" i="3" s="1"/>
  <c r="BTE28" i="3" a="1"/>
  <c r="BTE28" i="3" s="1"/>
  <c r="BPX28" i="3" a="1"/>
  <c r="BPX28" i="3" s="1"/>
  <c r="BOD28" i="3" a="1"/>
  <c r="BOD28" i="3" s="1"/>
  <c r="BKW28" i="3" a="1"/>
  <c r="BKW28" i="3" s="1"/>
  <c r="BHP28" i="3" a="1"/>
  <c r="BHP28" i="3" s="1"/>
  <c r="BFV28" i="3" a="1"/>
  <c r="BFV28" i="3" s="1"/>
  <c r="BCO28" i="3" a="1"/>
  <c r="BCO28" i="3" s="1"/>
  <c r="AZH28" i="3" a="1"/>
  <c r="AZH28" i="3" s="1"/>
  <c r="AXN28" i="3" a="1"/>
  <c r="AXN28" i="3" s="1"/>
  <c r="AUG28" i="3" a="1"/>
  <c r="AUG28" i="3" s="1"/>
  <c r="ASS28" i="3" a="1"/>
  <c r="ASS28" i="3" s="1"/>
  <c r="ARI28" i="3" a="1"/>
  <c r="ARI28" i="3" s="1"/>
  <c r="APY28" i="3" a="1"/>
  <c r="APY28" i="3" s="1"/>
  <c r="AOO28" i="3" a="1"/>
  <c r="AOO28" i="3" s="1"/>
  <c r="ANE28" i="3" a="1"/>
  <c r="ANE28" i="3" s="1"/>
  <c r="AKW28" i="3" a="1"/>
  <c r="AKW28" i="3" s="1"/>
  <c r="AJQ28" i="3" a="1"/>
  <c r="AJQ28" i="3" s="1"/>
  <c r="AIR28" i="3" a="1"/>
  <c r="AIR28" i="3" s="1"/>
  <c r="AHO28" i="3" a="1"/>
  <c r="AHO28" i="3" s="1"/>
  <c r="AEQ28" i="3" a="1"/>
  <c r="AEQ28" i="3" s="1"/>
  <c r="ADK28" i="3" a="1"/>
  <c r="ADK28" i="3" s="1"/>
  <c r="ACW28" i="3" a="1"/>
  <c r="ACW28" i="3" s="1"/>
  <c r="ACJ28" i="3" a="1"/>
  <c r="ACJ28" i="3" s="1"/>
  <c r="ABI28" i="3" a="1"/>
  <c r="ABI28" i="3" s="1"/>
  <c r="AAU28" i="3" a="1"/>
  <c r="AAU28" i="3" s="1"/>
  <c r="AAH28" i="3" a="1"/>
  <c r="AAH28" i="3" s="1"/>
  <c r="ZG28" i="3" a="1"/>
  <c r="ZG28" i="3" s="1"/>
  <c r="YT28" i="3" a="1"/>
  <c r="YT28" i="3" s="1"/>
  <c r="XV28" i="3" a="1"/>
  <c r="XV28" i="3" s="1"/>
  <c r="XJ28" i="3" a="1"/>
  <c r="XJ28" i="3" s="1"/>
  <c r="WM28" i="3" a="1"/>
  <c r="WM28" i="3" s="1"/>
  <c r="WC28" i="3" a="1"/>
  <c r="WC28" i="3" s="1"/>
  <c r="VK28" i="3" a="1"/>
  <c r="VK28" i="3" s="1"/>
  <c r="US28" i="3" a="1"/>
  <c r="US28" i="3" s="1"/>
  <c r="UA28" i="3" a="1"/>
  <c r="UA28" i="3" s="1"/>
  <c r="TI28" i="3" a="1"/>
  <c r="TI28" i="3" s="1"/>
  <c r="SQ28" i="3" a="1"/>
  <c r="SQ28" i="3" s="1"/>
  <c r="RY28" i="3" a="1"/>
  <c r="RY28" i="3" s="1"/>
  <c r="RG28" i="3" a="1"/>
  <c r="RG28" i="3" s="1"/>
  <c r="QO28" i="3" a="1"/>
  <c r="QO28" i="3" s="1"/>
  <c r="PW28" i="3" a="1"/>
  <c r="PW28" i="3" s="1"/>
  <c r="PE28" i="3" a="1"/>
  <c r="PE28" i="3" s="1"/>
  <c r="OM28" i="3" a="1"/>
  <c r="OM28" i="3" s="1"/>
  <c r="NU28" i="3" a="1"/>
  <c r="NU28" i="3" s="1"/>
  <c r="NC28" i="3" a="1"/>
  <c r="NC28" i="3" s="1"/>
  <c r="MK28" i="3" a="1"/>
  <c r="MK28" i="3" s="1"/>
  <c r="LS28" i="3" a="1"/>
  <c r="LS28" i="3" s="1"/>
  <c r="LA28" i="3" a="1"/>
  <c r="LA28" i="3" s="1"/>
  <c r="KI28" i="3" a="1"/>
  <c r="KI28" i="3" s="1"/>
  <c r="JQ28" i="3" a="1"/>
  <c r="JQ28" i="3" s="1"/>
  <c r="IY28" i="3" a="1"/>
  <c r="IY28" i="3" s="1"/>
  <c r="IG28" i="3" a="1"/>
  <c r="IG28" i="3" s="1"/>
  <c r="HO28" i="3" a="1"/>
  <c r="HO28" i="3" s="1"/>
  <c r="GW28" i="3" a="1"/>
  <c r="GW28" i="3" s="1"/>
  <c r="GE28" i="3" a="1"/>
  <c r="GE28" i="3" s="1"/>
  <c r="FM28" i="3" a="1"/>
  <c r="FM28" i="3" s="1"/>
  <c r="EU28" i="3" a="1"/>
  <c r="EU28" i="3" s="1"/>
  <c r="EC28" i="3" a="1"/>
  <c r="EC28" i="3" s="1"/>
  <c r="DK28" i="3" a="1"/>
  <c r="DK28" i="3" s="1"/>
  <c r="CS28" i="3" a="1"/>
  <c r="CS28" i="3" s="1"/>
  <c r="CA28" i="3" a="1"/>
  <c r="CA28" i="3" s="1"/>
  <c r="IWY28" i="3" a="1"/>
  <c r="IWY28" i="3" s="1"/>
  <c r="DNP28" i="3" a="1"/>
  <c r="DNP28" i="3" s="1"/>
  <c r="DBZ28" i="3" a="1"/>
  <c r="DBZ28" i="3" s="1"/>
  <c r="CWY28" i="3" a="1"/>
  <c r="CWY28" i="3" s="1"/>
  <c r="CQF28" i="3" a="1"/>
  <c r="CQF28" i="3" s="1"/>
  <c r="CNY28" i="3" a="1"/>
  <c r="CNY28" i="3" s="1"/>
  <c r="CLR28" i="3" a="1"/>
  <c r="CLR28" i="3" s="1"/>
  <c r="CFD28" i="3" a="1"/>
  <c r="CFD28" i="3" s="1"/>
  <c r="CCW28" i="3" a="1"/>
  <c r="CCW28" i="3" s="1"/>
  <c r="BZK28" i="3" a="1"/>
  <c r="BZK28" i="3" s="1"/>
  <c r="BWD28" i="3" a="1"/>
  <c r="BWD28" i="3" s="1"/>
  <c r="BUJ28" i="3" a="1"/>
  <c r="BUJ28" i="3" s="1"/>
  <c r="BRC28" i="3" a="1"/>
  <c r="BRC28" i="3" s="1"/>
  <c r="BNV28" i="3" a="1"/>
  <c r="BNV28" i="3" s="1"/>
  <c r="BMB28" i="3" a="1"/>
  <c r="BMB28" i="3" s="1"/>
  <c r="BIU28" i="3" a="1"/>
  <c r="BIU28" i="3" s="1"/>
  <c r="BFN28" i="3" a="1"/>
  <c r="BFN28" i="3" s="1"/>
  <c r="BDT28" i="3" a="1"/>
  <c r="BDT28" i="3" s="1"/>
  <c r="BAM28" i="3" a="1"/>
  <c r="BAM28" i="3" s="1"/>
  <c r="AXF28" i="3" a="1"/>
  <c r="AXF28" i="3" s="1"/>
  <c r="AVL28" i="3" a="1"/>
  <c r="AVL28" i="3" s="1"/>
  <c r="ASK28" i="3" a="1"/>
  <c r="ASK28" i="3" s="1"/>
  <c r="ARA28" i="3" a="1"/>
  <c r="ARA28" i="3" s="1"/>
  <c r="APQ28" i="3" a="1"/>
  <c r="APQ28" i="3" s="1"/>
  <c r="AOG28" i="3" a="1"/>
  <c r="AOG28" i="3" s="1"/>
  <c r="AMW28" i="3" a="1"/>
  <c r="AMW28" i="3" s="1"/>
  <c r="ALX28" i="3" a="1"/>
  <c r="ALX28" i="3" s="1"/>
  <c r="AKT28" i="3" a="1"/>
  <c r="AKT28" i="3" s="1"/>
  <c r="AIO28" i="3" a="1"/>
  <c r="AIO28" i="3" s="1"/>
  <c r="AHK28" i="3" a="1"/>
  <c r="AHK28" i="3" s="1"/>
  <c r="AGP28" i="3" a="1"/>
  <c r="AGP28" i="3" s="1"/>
  <c r="AFO28" i="3" a="1"/>
  <c r="AFO28" i="3" s="1"/>
  <c r="AEP28" i="3" a="1"/>
  <c r="AEP28" i="3" s="1"/>
  <c r="ADW28" i="3" a="1"/>
  <c r="ADW28" i="3" s="1"/>
  <c r="ADJ28" i="3" a="1"/>
  <c r="ADJ28" i="3" s="1"/>
  <c r="ACV28" i="3" a="1"/>
  <c r="ACV28" i="3" s="1"/>
  <c r="ACH28" i="3" a="1"/>
  <c r="ACH28" i="3" s="1"/>
  <c r="ABU28" i="3" a="1"/>
  <c r="ABU28" i="3" s="1"/>
  <c r="ABH28" i="3" a="1"/>
  <c r="ABH28" i="3" s="1"/>
  <c r="AAT28" i="3" a="1"/>
  <c r="AAT28" i="3" s="1"/>
  <c r="AAF28" i="3" a="1"/>
  <c r="AAF28" i="3" s="1"/>
  <c r="ZS28" i="3" a="1"/>
  <c r="ZS28" i="3" s="1"/>
  <c r="ZF28" i="3" a="1"/>
  <c r="ZF28" i="3" s="1"/>
  <c r="YS28" i="3" a="1"/>
  <c r="YS28" i="3" s="1"/>
  <c r="YH28" i="3" a="1"/>
  <c r="YH28" i="3" s="1"/>
  <c r="XU28" i="3" a="1"/>
  <c r="XU28" i="3" s="1"/>
  <c r="XI28" i="3" a="1"/>
  <c r="XI28" i="3" s="1"/>
  <c r="WX28" i="3" a="1"/>
  <c r="WX28" i="3" s="1"/>
  <c r="WB28" i="3" a="1"/>
  <c r="WB28" i="3" s="1"/>
  <c r="VT28" i="3" a="1"/>
  <c r="VT28" i="3" s="1"/>
  <c r="VJ28" i="3" a="1"/>
  <c r="VJ28" i="3" s="1"/>
  <c r="VB28" i="3" a="1"/>
  <c r="VB28" i="3" s="1"/>
  <c r="UR28" i="3" a="1"/>
  <c r="UR28" i="3" s="1"/>
  <c r="UJ28" i="3" a="1"/>
  <c r="UJ28" i="3" s="1"/>
  <c r="TZ28" i="3" a="1"/>
  <c r="TZ28" i="3" s="1"/>
  <c r="TR28" i="3" a="1"/>
  <c r="TR28" i="3" s="1"/>
  <c r="TH28" i="3" a="1"/>
  <c r="TH28" i="3" s="1"/>
  <c r="SZ28" i="3" a="1"/>
  <c r="SZ28" i="3" s="1"/>
  <c r="SP28" i="3" a="1"/>
  <c r="SP28" i="3" s="1"/>
  <c r="SH28" i="3" a="1"/>
  <c r="SH28" i="3" s="1"/>
  <c r="RX28" i="3" a="1"/>
  <c r="RX28" i="3" s="1"/>
  <c r="RP28" i="3" a="1"/>
  <c r="RP28" i="3" s="1"/>
  <c r="RF28" i="3" a="1"/>
  <c r="RF28" i="3" s="1"/>
  <c r="QX28" i="3" a="1"/>
  <c r="QX28" i="3" s="1"/>
  <c r="QN28" i="3" a="1"/>
  <c r="QN28" i="3" s="1"/>
  <c r="QF28" i="3" a="1"/>
  <c r="QF28" i="3" s="1"/>
  <c r="PV28" i="3" a="1"/>
  <c r="PV28" i="3" s="1"/>
  <c r="PN28" i="3" a="1"/>
  <c r="PN28" i="3" s="1"/>
  <c r="PD28" i="3" a="1"/>
  <c r="PD28" i="3" s="1"/>
  <c r="OV28" i="3" a="1"/>
  <c r="OV28" i="3" s="1"/>
  <c r="OL28" i="3" a="1"/>
  <c r="OL28" i="3" s="1"/>
  <c r="OD28" i="3" a="1"/>
  <c r="OD28" i="3" s="1"/>
  <c r="NT28" i="3" a="1"/>
  <c r="NT28" i="3" s="1"/>
  <c r="NL28" i="3" a="1"/>
  <c r="NL28" i="3" s="1"/>
  <c r="NB28" i="3" a="1"/>
  <c r="NB28" i="3" s="1"/>
  <c r="MT28" i="3" a="1"/>
  <c r="MT28" i="3" s="1"/>
  <c r="MJ28" i="3" a="1"/>
  <c r="MJ28" i="3" s="1"/>
  <c r="MB28" i="3" a="1"/>
  <c r="MB28" i="3" s="1"/>
  <c r="LR28" i="3" a="1"/>
  <c r="LR28" i="3" s="1"/>
  <c r="LJ28" i="3" a="1"/>
  <c r="LJ28" i="3" s="1"/>
  <c r="KZ28" i="3" a="1"/>
  <c r="KZ28" i="3" s="1"/>
  <c r="KR28" i="3" a="1"/>
  <c r="KR28" i="3" s="1"/>
  <c r="KH28" i="3" a="1"/>
  <c r="KH28" i="3" s="1"/>
  <c r="JZ28" i="3" a="1"/>
  <c r="JZ28" i="3" s="1"/>
  <c r="JP28" i="3" a="1"/>
  <c r="JP28" i="3" s="1"/>
  <c r="JH28" i="3" a="1"/>
  <c r="JH28" i="3" s="1"/>
  <c r="IX28" i="3" a="1"/>
  <c r="IX28" i="3" s="1"/>
  <c r="IP28" i="3" a="1"/>
  <c r="IP28" i="3" s="1"/>
  <c r="IF28" i="3" a="1"/>
  <c r="IF28" i="3" s="1"/>
  <c r="HX28" i="3" a="1"/>
  <c r="HX28" i="3" s="1"/>
  <c r="HN28" i="3" a="1"/>
  <c r="HN28" i="3" s="1"/>
  <c r="HF28" i="3" a="1"/>
  <c r="HF28" i="3" s="1"/>
  <c r="GV28" i="3" a="1"/>
  <c r="GV28" i="3" s="1"/>
  <c r="GN28" i="3" a="1"/>
  <c r="GN28" i="3" s="1"/>
  <c r="GD28" i="3" a="1"/>
  <c r="GD28" i="3" s="1"/>
  <c r="FV28" i="3" a="1"/>
  <c r="FV28" i="3" s="1"/>
  <c r="FL28" i="3" a="1"/>
  <c r="FL28" i="3" s="1"/>
  <c r="FD28" i="3" a="1"/>
  <c r="FD28" i="3" s="1"/>
  <c r="ET28" i="3" a="1"/>
  <c r="ET28" i="3" s="1"/>
  <c r="EL28" i="3" a="1"/>
  <c r="EL28" i="3" s="1"/>
  <c r="EB28" i="3" a="1"/>
  <c r="EB28" i="3" s="1"/>
  <c r="DT28" i="3" a="1"/>
  <c r="DT28" i="3" s="1"/>
  <c r="DJ28" i="3" a="1"/>
  <c r="DJ28" i="3" s="1"/>
  <c r="DB28" i="3" a="1"/>
  <c r="DB28" i="3" s="1"/>
  <c r="CR28" i="3" a="1"/>
  <c r="CR28" i="3" s="1"/>
  <c r="CJ28" i="3" a="1"/>
  <c r="CJ28" i="3" s="1"/>
  <c r="BZ28" i="3" a="1"/>
  <c r="BZ28" i="3" s="1"/>
  <c r="BR28" i="3" a="1"/>
  <c r="BR28" i="3" s="1"/>
  <c r="IWA28" i="3" a="1"/>
  <c r="IWA28" i="3" s="1"/>
  <c r="EME28" i="3" a="1"/>
  <c r="EME28" i="3" s="1"/>
  <c r="DWA28" i="3" a="1"/>
  <c r="DWA28" i="3" s="1"/>
  <c r="DGW28" i="3" a="1"/>
  <c r="DGW28" i="3" s="1"/>
  <c r="DBV28" i="3" a="1"/>
  <c r="DBV28" i="3" s="1"/>
  <c r="CNX28" i="3" a="1"/>
  <c r="CNX28" i="3" s="1"/>
  <c r="CLQ28" i="3" a="1"/>
  <c r="CLQ28" i="3" s="1"/>
  <c r="CJJ28" i="3" a="1"/>
  <c r="CJJ28" i="3" s="1"/>
  <c r="CCV28" i="3" a="1"/>
  <c r="CCV28" i="3" s="1"/>
  <c r="CBA28" i="3" a="1"/>
  <c r="CBA28" i="3" s="1"/>
  <c r="BXT28" i="3" a="1"/>
  <c r="BXT28" i="3" s="1"/>
  <c r="BVZ28" i="3" a="1"/>
  <c r="BVZ28" i="3" s="1"/>
  <c r="BSS28" i="3" a="1"/>
  <c r="BSS28" i="3" s="1"/>
  <c r="BPL28" i="3" a="1"/>
  <c r="BPL28" i="3" s="1"/>
  <c r="BNR28" i="3" a="1"/>
  <c r="BNR28" i="3" s="1"/>
  <c r="BKK28" i="3" a="1"/>
  <c r="BKK28" i="3" s="1"/>
  <c r="BHD28" i="3" a="1"/>
  <c r="BHD28" i="3" s="1"/>
  <c r="BFJ28" i="3" a="1"/>
  <c r="BFJ28" i="3" s="1"/>
  <c r="BCC28" i="3" a="1"/>
  <c r="BCC28" i="3" s="1"/>
  <c r="AYV28" i="3" a="1"/>
  <c r="AYV28" i="3" s="1"/>
  <c r="AXB28" i="3" a="1"/>
  <c r="AXB28" i="3" s="1"/>
  <c r="ATU28" i="3" a="1"/>
  <c r="ATU28" i="3" s="1"/>
  <c r="ALU28" i="3" a="1"/>
  <c r="ALU28" i="3" s="1"/>
  <c r="AKO28" i="3" a="1"/>
  <c r="AKO28" i="3" s="1"/>
  <c r="AJP28" i="3" a="1"/>
  <c r="AJP28" i="3" s="1"/>
  <c r="AIL28" i="3" a="1"/>
  <c r="AIL28" i="3" s="1"/>
  <c r="AHJ28" i="3" a="1"/>
  <c r="AHJ28" i="3" s="1"/>
  <c r="AGN28" i="3" a="1"/>
  <c r="AGN28" i="3" s="1"/>
  <c r="ADI28" i="3" a="1"/>
  <c r="ADI28" i="3" s="1"/>
  <c r="ACU28" i="3" a="1"/>
  <c r="ACU28" i="3" s="1"/>
  <c r="ABG28" i="3" a="1"/>
  <c r="ABG28" i="3" s="1"/>
  <c r="AAS28" i="3" a="1"/>
  <c r="AAS28" i="3" s="1"/>
  <c r="ZE28" i="3" a="1"/>
  <c r="ZE28" i="3" s="1"/>
  <c r="YR28" i="3" a="1"/>
  <c r="YR28" i="3" s="1"/>
  <c r="YF28" i="3" a="1"/>
  <c r="YF28" i="3" s="1"/>
  <c r="XT28" i="3" a="1"/>
  <c r="XT28" i="3" s="1"/>
  <c r="XH28" i="3" a="1"/>
  <c r="XH28" i="3" s="1"/>
  <c r="WV28" i="3" a="1"/>
  <c r="WV28" i="3" s="1"/>
  <c r="WL28" i="3" a="1"/>
  <c r="WL28" i="3" s="1"/>
  <c r="VS28" i="3" a="1"/>
  <c r="VS28" i="3" s="1"/>
  <c r="VA28" i="3" a="1"/>
  <c r="VA28" i="3" s="1"/>
  <c r="UI28" i="3" a="1"/>
  <c r="UI28" i="3" s="1"/>
  <c r="TQ28" i="3" a="1"/>
  <c r="TQ28" i="3" s="1"/>
  <c r="SY28" i="3" a="1"/>
  <c r="SY28" i="3" s="1"/>
  <c r="SG28" i="3" a="1"/>
  <c r="SG28" i="3" s="1"/>
  <c r="RO28" i="3" a="1"/>
  <c r="RO28" i="3" s="1"/>
  <c r="QW28" i="3" a="1"/>
  <c r="QW28" i="3" s="1"/>
  <c r="QE28" i="3" a="1"/>
  <c r="QE28" i="3" s="1"/>
  <c r="PM28" i="3" a="1"/>
  <c r="PM28" i="3" s="1"/>
  <c r="OU28" i="3" a="1"/>
  <c r="OU28" i="3" s="1"/>
  <c r="OC28" i="3" a="1"/>
  <c r="OC28" i="3" s="1"/>
  <c r="NK28" i="3" a="1"/>
  <c r="NK28" i="3" s="1"/>
  <c r="MS28" i="3" a="1"/>
  <c r="MS28" i="3" s="1"/>
  <c r="MA28" i="3" a="1"/>
  <c r="MA28" i="3" s="1"/>
  <c r="LI28" i="3" a="1"/>
  <c r="LI28" i="3" s="1"/>
  <c r="KQ28" i="3" a="1"/>
  <c r="KQ28" i="3" s="1"/>
  <c r="JY28" i="3" a="1"/>
  <c r="JY28" i="3" s="1"/>
  <c r="JG28" i="3" a="1"/>
  <c r="JG28" i="3" s="1"/>
  <c r="IO28" i="3" a="1"/>
  <c r="IO28" i="3" s="1"/>
  <c r="HW28" i="3" a="1"/>
  <c r="HW28" i="3" s="1"/>
  <c r="HE28" i="3" a="1"/>
  <c r="HE28" i="3" s="1"/>
  <c r="GM28" i="3" a="1"/>
  <c r="GM28" i="3" s="1"/>
  <c r="FU28" i="3" a="1"/>
  <c r="FU28" i="3" s="1"/>
  <c r="FC28" i="3" a="1"/>
  <c r="FC28" i="3" s="1"/>
  <c r="EK28" i="3" a="1"/>
  <c r="EK28" i="3" s="1"/>
  <c r="DS28" i="3" a="1"/>
  <c r="DS28" i="3" s="1"/>
  <c r="DA28" i="3" a="1"/>
  <c r="DA28" i="3" s="1"/>
  <c r="CI28" i="3" a="1"/>
  <c r="CI28" i="3" s="1"/>
  <c r="BQ28" i="3" a="1"/>
  <c r="BQ28" i="3" s="1"/>
  <c r="GZT28" i="3" a="1"/>
  <c r="GZT28" i="3" s="1"/>
  <c r="FPH28" i="3" a="1"/>
  <c r="FPH28" i="3" s="1"/>
  <c r="ELY28" i="3" a="1"/>
  <c r="ELY28" i="3" s="1"/>
  <c r="DVZ28" i="3" a="1"/>
  <c r="DVZ28" i="3" s="1"/>
  <c r="CWX28" i="3" a="1"/>
  <c r="CWX28" i="3" s="1"/>
  <c r="CSH28" i="3" a="1"/>
  <c r="CSH28" i="3" s="1"/>
  <c r="CQA28" i="3" a="1"/>
  <c r="CQA28" i="3" s="1"/>
  <c r="CNT28" i="3" a="1"/>
  <c r="CNT28" i="3" s="1"/>
  <c r="CHF28" i="3" a="1"/>
  <c r="CHF28" i="3" s="1"/>
  <c r="CEY28" i="3" a="1"/>
  <c r="CEY28" i="3" s="1"/>
  <c r="CCR28" i="3" a="1"/>
  <c r="CCR28" i="3" s="1"/>
  <c r="BZJ28" i="3" a="1"/>
  <c r="BZJ28" i="3" s="1"/>
  <c r="BXP28" i="3" a="1"/>
  <c r="BXP28" i="3" s="1"/>
  <c r="BUI28" i="3" a="1"/>
  <c r="BUI28" i="3" s="1"/>
  <c r="BRB28" i="3" a="1"/>
  <c r="BRB28" i="3" s="1"/>
  <c r="BPH28" i="3" a="1"/>
  <c r="BPH28" i="3" s="1"/>
  <c r="BMA28" i="3" a="1"/>
  <c r="BMA28" i="3" s="1"/>
  <c r="BIT28" i="3" a="1"/>
  <c r="BIT28" i="3" s="1"/>
  <c r="BGZ28" i="3" a="1"/>
  <c r="BGZ28" i="3" s="1"/>
  <c r="BDS28" i="3" a="1"/>
  <c r="BDS28" i="3" s="1"/>
  <c r="BAL28" i="3" a="1"/>
  <c r="BAL28" i="3" s="1"/>
  <c r="AYR28" i="3" a="1"/>
  <c r="AYR28" i="3" s="1"/>
  <c r="AVK28" i="3" a="1"/>
  <c r="AVK28" i="3" s="1"/>
  <c r="ASJ28" i="3" a="1"/>
  <c r="ASJ28" i="3" s="1"/>
  <c r="AQZ28" i="3" a="1"/>
  <c r="AQZ28" i="3" s="1"/>
  <c r="APP28" i="3" a="1"/>
  <c r="APP28" i="3" s="1"/>
  <c r="AOF28" i="3" a="1"/>
  <c r="AOF28" i="3" s="1"/>
  <c r="AMV28" i="3" a="1"/>
  <c r="AMV28" i="3" s="1"/>
  <c r="ALR28" i="3" a="1"/>
  <c r="ALR28" i="3" s="1"/>
  <c r="AJM28" i="3" a="1"/>
  <c r="AJM28" i="3" s="1"/>
  <c r="AIG28" i="3" a="1"/>
  <c r="AIG28" i="3" s="1"/>
  <c r="AFL28" i="3" a="1"/>
  <c r="AFL28" i="3" s="1"/>
  <c r="AEO28" i="3" a="1"/>
  <c r="AEO28" i="3" s="1"/>
  <c r="ADV28" i="3" a="1"/>
  <c r="ADV28" i="3" s="1"/>
  <c r="ADF28" i="3" a="1"/>
  <c r="ADF28" i="3" s="1"/>
  <c r="ACT28" i="3" a="1"/>
  <c r="ACT28" i="3" s="1"/>
  <c r="ACF28" i="3" a="1"/>
  <c r="ACF28" i="3" s="1"/>
  <c r="ABT28" i="3" a="1"/>
  <c r="ABT28" i="3" s="1"/>
  <c r="ABD28" i="3" a="1"/>
  <c r="ABD28" i="3" s="1"/>
  <c r="AAR28" i="3" a="1"/>
  <c r="AAR28" i="3" s="1"/>
  <c r="AAD28" i="3" a="1"/>
  <c r="AAD28" i="3" s="1"/>
  <c r="ZR28" i="3" a="1"/>
  <c r="ZR28" i="3" s="1"/>
  <c r="ZB28" i="3" a="1"/>
  <c r="ZB28" i="3" s="1"/>
  <c r="YQ28" i="3" a="1"/>
  <c r="YQ28" i="3" s="1"/>
  <c r="YD28" i="3" a="1"/>
  <c r="YD28" i="3" s="1"/>
  <c r="XR28" i="3" a="1"/>
  <c r="XR28" i="3" s="1"/>
  <c r="XG28" i="3" a="1"/>
  <c r="XG28" i="3" s="1"/>
  <c r="WU28" i="3" a="1"/>
  <c r="WU28" i="3" s="1"/>
  <c r="WK28" i="3" a="1"/>
  <c r="WK28" i="3" s="1"/>
  <c r="WA28" i="3" a="1"/>
  <c r="WA28" i="3" s="1"/>
  <c r="VR28" i="3" a="1"/>
  <c r="VR28" i="3" s="1"/>
  <c r="VI28" i="3" a="1"/>
  <c r="VI28" i="3" s="1"/>
  <c r="UZ28" i="3" a="1"/>
  <c r="UZ28" i="3" s="1"/>
  <c r="UQ28" i="3" a="1"/>
  <c r="UQ28" i="3" s="1"/>
  <c r="UH28" i="3" a="1"/>
  <c r="UH28" i="3" s="1"/>
  <c r="TY28" i="3" a="1"/>
  <c r="TY28" i="3" s="1"/>
  <c r="TP28" i="3" a="1"/>
  <c r="TP28" i="3" s="1"/>
  <c r="TG28" i="3" a="1"/>
  <c r="TG28" i="3" s="1"/>
  <c r="SX28" i="3" a="1"/>
  <c r="SX28" i="3" s="1"/>
  <c r="SO28" i="3" a="1"/>
  <c r="SO28" i="3" s="1"/>
  <c r="SF28" i="3" a="1"/>
  <c r="SF28" i="3" s="1"/>
  <c r="RW28" i="3" a="1"/>
  <c r="RW28" i="3" s="1"/>
  <c r="RN28" i="3" a="1"/>
  <c r="RN28" i="3" s="1"/>
  <c r="RE28" i="3" a="1"/>
  <c r="RE28" i="3" s="1"/>
  <c r="QV28" i="3" a="1"/>
  <c r="QV28" i="3" s="1"/>
  <c r="QM28" i="3" a="1"/>
  <c r="QM28" i="3" s="1"/>
  <c r="QD28" i="3" a="1"/>
  <c r="QD28" i="3" s="1"/>
  <c r="PU28" i="3" a="1"/>
  <c r="PU28" i="3" s="1"/>
  <c r="PL28" i="3" a="1"/>
  <c r="PL28" i="3" s="1"/>
  <c r="PC28" i="3" a="1"/>
  <c r="PC28" i="3" s="1"/>
  <c r="OT28" i="3" a="1"/>
  <c r="OT28" i="3" s="1"/>
  <c r="OK28" i="3" a="1"/>
  <c r="OK28" i="3" s="1"/>
  <c r="OB28" i="3" a="1"/>
  <c r="OB28" i="3" s="1"/>
  <c r="NS28" i="3" a="1"/>
  <c r="NS28" i="3" s="1"/>
  <c r="NJ28" i="3" a="1"/>
  <c r="NJ28" i="3" s="1"/>
  <c r="NA28" i="3" a="1"/>
  <c r="NA28" i="3" s="1"/>
  <c r="MR28" i="3" a="1"/>
  <c r="MR28" i="3" s="1"/>
  <c r="MI28" i="3" a="1"/>
  <c r="MI28" i="3" s="1"/>
  <c r="LZ28" i="3" a="1"/>
  <c r="LZ28" i="3" s="1"/>
  <c r="LQ28" i="3" a="1"/>
  <c r="LQ28" i="3" s="1"/>
  <c r="LH28" i="3" a="1"/>
  <c r="LH28" i="3" s="1"/>
  <c r="KY28" i="3" a="1"/>
  <c r="KY28" i="3" s="1"/>
  <c r="KP28" i="3" a="1"/>
  <c r="KP28" i="3" s="1"/>
  <c r="KG28" i="3" a="1"/>
  <c r="KG28" i="3" s="1"/>
  <c r="JX28" i="3" a="1"/>
  <c r="JX28" i="3" s="1"/>
  <c r="JO28" i="3" a="1"/>
  <c r="JO28" i="3" s="1"/>
  <c r="JF28" i="3" a="1"/>
  <c r="JF28" i="3" s="1"/>
  <c r="IW28" i="3" a="1"/>
  <c r="IW28" i="3" s="1"/>
  <c r="IN28" i="3" a="1"/>
  <c r="IN28" i="3" s="1"/>
  <c r="IE28" i="3" a="1"/>
  <c r="IE28" i="3" s="1"/>
  <c r="HV28" i="3" a="1"/>
  <c r="HV28" i="3" s="1"/>
  <c r="HM28" i="3" a="1"/>
  <c r="HM28" i="3" s="1"/>
  <c r="HD28" i="3" a="1"/>
  <c r="HD28" i="3" s="1"/>
  <c r="GU28" i="3" a="1"/>
  <c r="GU28" i="3" s="1"/>
  <c r="GL28" i="3" a="1"/>
  <c r="GL28" i="3" s="1"/>
  <c r="GC28" i="3" a="1"/>
  <c r="GC28" i="3" s="1"/>
  <c r="FT28" i="3" a="1"/>
  <c r="FT28" i="3" s="1"/>
  <c r="FK28" i="3" a="1"/>
  <c r="FK28" i="3" s="1"/>
  <c r="FB28" i="3" a="1"/>
  <c r="FB28" i="3" s="1"/>
  <c r="ES28" i="3" a="1"/>
  <c r="ES28" i="3" s="1"/>
  <c r="EJ28" i="3" a="1"/>
  <c r="EJ28" i="3" s="1"/>
  <c r="EA28" i="3" a="1"/>
  <c r="EA28" i="3" s="1"/>
  <c r="DR28" i="3" a="1"/>
  <c r="DR28" i="3" s="1"/>
  <c r="DI28" i="3" a="1"/>
  <c r="DI28" i="3" s="1"/>
  <c r="CZ28" i="3" a="1"/>
  <c r="CZ28" i="3" s="1"/>
  <c r="CQ28" i="3" a="1"/>
  <c r="CQ28" i="3" s="1"/>
  <c r="CH28" i="3" a="1"/>
  <c r="CH28" i="3" s="1"/>
  <c r="BY28" i="3" a="1"/>
  <c r="BY28" i="3" s="1"/>
  <c r="BP28" i="3" a="1"/>
  <c r="BP28" i="3" s="1"/>
  <c r="ITN28" i="3" a="1"/>
  <c r="ITN28" i="3" s="1"/>
  <c r="ELG28" i="3" a="1"/>
  <c r="ELG28" i="3" s="1"/>
  <c r="DNH28" i="3" a="1"/>
  <c r="DNH28" i="3" s="1"/>
  <c r="DGV28" i="3" a="1"/>
  <c r="DGV28" i="3" s="1"/>
  <c r="DBU28" i="3" a="1"/>
  <c r="DBU28" i="3" s="1"/>
  <c r="CWT28" i="3" a="1"/>
  <c r="CWT28" i="3" s="1"/>
  <c r="CSD28" i="3" a="1"/>
  <c r="CSD28" i="3" s="1"/>
  <c r="CLP28" i="3" a="1"/>
  <c r="CLP28" i="3" s="1"/>
  <c r="CJI28" i="3" a="1"/>
  <c r="CJI28" i="3" s="1"/>
  <c r="CHB28" i="3" a="1"/>
  <c r="CHB28" i="3" s="1"/>
  <c r="CAZ28" i="3" a="1"/>
  <c r="CAZ28" i="3" s="1"/>
  <c r="BZF28" i="3" a="1"/>
  <c r="BZF28" i="3" s="1"/>
  <c r="BVY28" i="3" a="1"/>
  <c r="BVY28" i="3" s="1"/>
  <c r="BSR28" i="3" a="1"/>
  <c r="BSR28" i="3" s="1"/>
  <c r="BQX28" i="3" a="1"/>
  <c r="BQX28" i="3" s="1"/>
  <c r="BNQ28" i="3" a="1"/>
  <c r="BNQ28" i="3" s="1"/>
  <c r="BKJ28" i="3" a="1"/>
  <c r="BKJ28" i="3" s="1"/>
  <c r="BIP28" i="3" a="1"/>
  <c r="BIP28" i="3" s="1"/>
  <c r="BFI28" i="3" a="1"/>
  <c r="BFI28" i="3" s="1"/>
  <c r="BCB28" i="3" a="1"/>
  <c r="BCB28" i="3" s="1"/>
  <c r="BAH28" i="3" a="1"/>
  <c r="BAH28" i="3" s="1"/>
  <c r="AXA28" i="3" a="1"/>
  <c r="AXA28" i="3" s="1"/>
  <c r="ATT28" i="3" a="1"/>
  <c r="ATT28" i="3" s="1"/>
  <c r="ASG28" i="3" a="1"/>
  <c r="ASG28" i="3" s="1"/>
  <c r="AQW28" i="3" a="1"/>
  <c r="AQW28" i="3" s="1"/>
  <c r="APM28" i="3" a="1"/>
  <c r="APM28" i="3" s="1"/>
  <c r="AOC28" i="3" a="1"/>
  <c r="AOC28" i="3" s="1"/>
  <c r="AMS28" i="3" a="1"/>
  <c r="AMS28" i="3" s="1"/>
  <c r="ALM28" i="3" a="1"/>
  <c r="ALM28" i="3" s="1"/>
  <c r="AKN28" i="3" a="1"/>
  <c r="AKN28" i="3" s="1"/>
  <c r="AJJ28" i="3" a="1"/>
  <c r="AJJ28" i="3" s="1"/>
  <c r="AHI28" i="3" a="1"/>
  <c r="AHI28" i="3" s="1"/>
  <c r="AGF28" i="3" a="1"/>
  <c r="AGF28" i="3" s="1"/>
  <c r="AFJ28" i="3" a="1"/>
  <c r="AFJ28" i="3" s="1"/>
  <c r="AEJ28" i="3" a="1"/>
  <c r="AEJ28" i="3" s="1"/>
  <c r="ADT28" i="3" a="1"/>
  <c r="ADT28" i="3" s="1"/>
  <c r="ACS28" i="3" a="1"/>
  <c r="ACS28" i="3" s="1"/>
  <c r="ACE28" i="3" a="1"/>
  <c r="ACE28" i="3" s="1"/>
  <c r="ABR28" i="3" a="1"/>
  <c r="ABR28" i="3" s="1"/>
  <c r="AAQ28" i="3" a="1"/>
  <c r="AAQ28" i="3" s="1"/>
  <c r="AAC28" i="3" a="1"/>
  <c r="AAC28" i="3" s="1"/>
  <c r="ZP28" i="3" a="1"/>
  <c r="ZP28" i="3" s="1"/>
  <c r="YP28" i="3" a="1"/>
  <c r="YP28" i="3" s="1"/>
  <c r="XF28" i="3" a="1"/>
  <c r="XF28" i="3" s="1"/>
  <c r="WT28" i="3" a="1"/>
  <c r="WT28" i="3" s="1"/>
  <c r="WJ28" i="3" a="1"/>
  <c r="WJ28" i="3" s="1"/>
  <c r="VQ28" i="3" a="1"/>
  <c r="VQ28" i="3" s="1"/>
  <c r="UY28" i="3" a="1"/>
  <c r="UY28" i="3" s="1"/>
  <c r="UG28" i="3" a="1"/>
  <c r="UG28" i="3" s="1"/>
  <c r="TO28" i="3" a="1"/>
  <c r="TO28" i="3" s="1"/>
  <c r="SW28" i="3" a="1"/>
  <c r="SW28" i="3" s="1"/>
  <c r="SE28" i="3" a="1"/>
  <c r="SE28" i="3" s="1"/>
  <c r="RM28" i="3" a="1"/>
  <c r="RM28" i="3" s="1"/>
  <c r="QU28" i="3" a="1"/>
  <c r="QU28" i="3" s="1"/>
  <c r="QC28" i="3" a="1"/>
  <c r="QC28" i="3" s="1"/>
  <c r="PK28" i="3" a="1"/>
  <c r="PK28" i="3" s="1"/>
  <c r="OS28" i="3" a="1"/>
  <c r="OS28" i="3" s="1"/>
  <c r="OA28" i="3" a="1"/>
  <c r="OA28" i="3" s="1"/>
  <c r="NI28" i="3" a="1"/>
  <c r="NI28" i="3" s="1"/>
  <c r="MQ28" i="3" a="1"/>
  <c r="MQ28" i="3" s="1"/>
  <c r="LY28" i="3" a="1"/>
  <c r="LY28" i="3" s="1"/>
  <c r="LG28" i="3" a="1"/>
  <c r="LG28" i="3" s="1"/>
  <c r="KO28" i="3" a="1"/>
  <c r="KO28" i="3" s="1"/>
  <c r="JW28" i="3" a="1"/>
  <c r="JW28" i="3" s="1"/>
  <c r="JE28" i="3" a="1"/>
  <c r="JE28" i="3" s="1"/>
  <c r="IM28" i="3" a="1"/>
  <c r="IM28" i="3" s="1"/>
  <c r="HU28" i="3" a="1"/>
  <c r="HU28" i="3" s="1"/>
  <c r="HC28" i="3" a="1"/>
  <c r="HC28" i="3" s="1"/>
  <c r="GK28" i="3" a="1"/>
  <c r="GK28" i="3" s="1"/>
  <c r="FS28" i="3" a="1"/>
  <c r="FS28" i="3" s="1"/>
  <c r="FA28" i="3" a="1"/>
  <c r="FA28" i="3" s="1"/>
  <c r="EI28" i="3" a="1"/>
  <c r="EI28" i="3" s="1"/>
  <c r="DQ28" i="3" a="1"/>
  <c r="DQ28" i="3" s="1"/>
  <c r="CY28" i="3" a="1"/>
  <c r="CY28" i="3" s="1"/>
  <c r="CG28" i="3" a="1"/>
  <c r="CG28" i="3" s="1"/>
  <c r="BO28" i="3" a="1"/>
  <c r="BO28" i="3" s="1"/>
  <c r="IBS28" i="3" a="1"/>
  <c r="IBS28" i="3" s="1"/>
  <c r="DFG28" i="3" a="1"/>
  <c r="DFG28" i="3" s="1"/>
  <c r="CRQ28" i="3" a="1"/>
  <c r="CRQ28" i="3" s="1"/>
  <c r="CEH28" i="3" a="1"/>
  <c r="CEH28" i="3" s="1"/>
  <c r="BYX28" i="3" a="1"/>
  <c r="BYX28" i="3" s="1"/>
  <c r="BTW28" i="3" a="1"/>
  <c r="BTW28" i="3" s="1"/>
  <c r="BOV28" i="3" a="1"/>
  <c r="BOV28" i="3" s="1"/>
  <c r="AZZ28" i="3" a="1"/>
  <c r="AZZ28" i="3" s="1"/>
  <c r="AUY28" i="3" a="1"/>
  <c r="AUY28" i="3" s="1"/>
  <c r="AQO28" i="3" a="1"/>
  <c r="AQO28" i="3" s="1"/>
  <c r="AMP28" i="3" a="1"/>
  <c r="AMP28" i="3" s="1"/>
  <c r="AJE28" i="3" a="1"/>
  <c r="AJE28" i="3" s="1"/>
  <c r="ADR28" i="3" a="1"/>
  <c r="ADR28" i="3" s="1"/>
  <c r="ACD28" i="3" a="1"/>
  <c r="ACD28" i="3" s="1"/>
  <c r="AAP28" i="3" a="1"/>
  <c r="AAP28" i="3" s="1"/>
  <c r="ZA28" i="3" a="1"/>
  <c r="ZA28" i="3" s="1"/>
  <c r="XQ28" i="3" a="1"/>
  <c r="XQ28" i="3" s="1"/>
  <c r="WI28" i="3" a="1"/>
  <c r="WI28" i="3" s="1"/>
  <c r="VH28" i="3" a="1"/>
  <c r="VH28" i="3" s="1"/>
  <c r="UF28" i="3" a="1"/>
  <c r="UF28" i="3" s="1"/>
  <c r="TF28" i="3" a="1"/>
  <c r="TF28" i="3" s="1"/>
  <c r="SD28" i="3" a="1"/>
  <c r="SD28" i="3" s="1"/>
  <c r="RD28" i="3" a="1"/>
  <c r="RD28" i="3" s="1"/>
  <c r="QB28" i="3" a="1"/>
  <c r="QB28" i="3" s="1"/>
  <c r="PB28" i="3" a="1"/>
  <c r="PB28" i="3" s="1"/>
  <c r="NZ28" i="3" a="1"/>
  <c r="NZ28" i="3" s="1"/>
  <c r="MZ28" i="3" a="1"/>
  <c r="MZ28" i="3" s="1"/>
  <c r="LX28" i="3" a="1"/>
  <c r="LX28" i="3" s="1"/>
  <c r="KX28" i="3" a="1"/>
  <c r="KX28" i="3" s="1"/>
  <c r="JV28" i="3" a="1"/>
  <c r="JV28" i="3" s="1"/>
  <c r="IV28" i="3" a="1"/>
  <c r="IV28" i="3" s="1"/>
  <c r="HT28" i="3" a="1"/>
  <c r="HT28" i="3" s="1"/>
  <c r="GT28" i="3" a="1"/>
  <c r="GT28" i="3" s="1"/>
  <c r="FR28" i="3" a="1"/>
  <c r="FR28" i="3" s="1"/>
  <c r="ER28" i="3" a="1"/>
  <c r="ER28" i="3" s="1"/>
  <c r="DP28" i="3" a="1"/>
  <c r="DP28" i="3" s="1"/>
  <c r="CP28" i="3" a="1"/>
  <c r="CP28" i="3" s="1"/>
  <c r="BN28" i="3" a="1"/>
  <c r="BN28" i="3" s="1"/>
  <c r="CRL28" i="3" a="1"/>
  <c r="CRL28" i="3" s="1"/>
  <c r="CKX28" i="3" a="1"/>
  <c r="CKX28" i="3" s="1"/>
  <c r="BYT28" i="3" a="1"/>
  <c r="BYT28" i="3" s="1"/>
  <c r="BJX28" i="3" a="1"/>
  <c r="BJX28" i="3" s="1"/>
  <c r="BEW28" i="3" a="1"/>
  <c r="BEW28" i="3" s="1"/>
  <c r="AZV28" i="3" a="1"/>
  <c r="AZV28" i="3" s="1"/>
  <c r="AMK28" i="3" a="1"/>
  <c r="AMK28" i="3" s="1"/>
  <c r="AGE28" i="3" a="1"/>
  <c r="AGE28" i="3" s="1"/>
  <c r="ACC28" i="3" a="1"/>
  <c r="ACC28" i="3" s="1"/>
  <c r="AAO28" i="3" a="1"/>
  <c r="AAO28" i="3" s="1"/>
  <c r="WH28" i="3" a="1"/>
  <c r="WH28" i="3" s="1"/>
  <c r="VG28" i="3" a="1"/>
  <c r="VG28" i="3" s="1"/>
  <c r="TE28" i="3" a="1"/>
  <c r="TE28" i="3" s="1"/>
  <c r="RC28" i="3" a="1"/>
  <c r="RC28" i="3" s="1"/>
  <c r="PA28" i="3" a="1"/>
  <c r="PA28" i="3" s="1"/>
  <c r="MY28" i="3" a="1"/>
  <c r="MY28" i="3" s="1"/>
  <c r="KW28" i="3" a="1"/>
  <c r="KW28" i="3" s="1"/>
  <c r="IU28" i="3" a="1"/>
  <c r="IU28" i="3" s="1"/>
  <c r="GS28" i="3" a="1"/>
  <c r="GS28" i="3" s="1"/>
  <c r="EQ28" i="3" a="1"/>
  <c r="EQ28" i="3" s="1"/>
  <c r="CO28" i="3" a="1"/>
  <c r="CO28" i="3" s="1"/>
  <c r="IAD28" i="3" a="1"/>
  <c r="IAD28" i="3" s="1"/>
  <c r="DFF28" i="3" a="1"/>
  <c r="DFF28" i="3" s="1"/>
  <c r="CKT28" i="3" a="1"/>
  <c r="CKT28" i="3" s="1"/>
  <c r="CEF28" i="3" a="1"/>
  <c r="CEF28" i="3" s="1"/>
  <c r="BTV28" i="3" a="1"/>
  <c r="BTV28" i="3" s="1"/>
  <c r="BOU28" i="3" a="1"/>
  <c r="BOU28" i="3" s="1"/>
  <c r="BJT28" i="3" a="1"/>
  <c r="BJT28" i="3" s="1"/>
  <c r="AUX28" i="3" a="1"/>
  <c r="AUX28" i="3" s="1"/>
  <c r="AQN28" i="3" a="1"/>
  <c r="AQN28" i="3" s="1"/>
  <c r="AJD28" i="3" a="1"/>
  <c r="AJD28" i="3" s="1"/>
  <c r="ADP28" i="3" a="1"/>
  <c r="ADP28" i="3" s="1"/>
  <c r="ACB28" i="3" a="1"/>
  <c r="ACB28" i="3" s="1"/>
  <c r="AAL28" i="3" a="1"/>
  <c r="AAL28" i="3" s="1"/>
  <c r="YZ28" i="3" a="1"/>
  <c r="YZ28" i="3" s="1"/>
  <c r="XP28" i="3" a="1"/>
  <c r="XP28" i="3" s="1"/>
  <c r="VF28" i="3" a="1"/>
  <c r="VF28" i="3" s="1"/>
  <c r="UE28" i="3" a="1"/>
  <c r="UE28" i="3" s="1"/>
  <c r="TD28" i="3" a="1"/>
  <c r="TD28" i="3" s="1"/>
  <c r="SC28" i="3" a="1"/>
  <c r="SC28" i="3" s="1"/>
  <c r="RB28" i="3" a="1"/>
  <c r="RB28" i="3" s="1"/>
  <c r="QA28" i="3" a="1"/>
  <c r="QA28" i="3" s="1"/>
  <c r="OZ28" i="3" a="1"/>
  <c r="OZ28" i="3" s="1"/>
  <c r="NY28" i="3" a="1"/>
  <c r="NY28" i="3" s="1"/>
  <c r="MX28" i="3" a="1"/>
  <c r="MX28" i="3" s="1"/>
  <c r="LW28" i="3" a="1"/>
  <c r="LW28" i="3" s="1"/>
  <c r="KV28" i="3" a="1"/>
  <c r="KV28" i="3" s="1"/>
  <c r="JU28" i="3" a="1"/>
  <c r="JU28" i="3" s="1"/>
  <c r="IT28" i="3" a="1"/>
  <c r="IT28" i="3" s="1"/>
  <c r="HS28" i="3" a="1"/>
  <c r="HS28" i="3" s="1"/>
  <c r="GR28" i="3" a="1"/>
  <c r="GR28" i="3" s="1"/>
  <c r="FQ28" i="3" a="1"/>
  <c r="FQ28" i="3" s="1"/>
  <c r="EP28" i="3" a="1"/>
  <c r="EP28" i="3" s="1"/>
  <c r="DO28" i="3" a="1"/>
  <c r="DO28" i="3" s="1"/>
  <c r="CN28" i="3" a="1"/>
  <c r="CN28" i="3" s="1"/>
  <c r="DFB28" i="3" a="1"/>
  <c r="DFB28" i="3" s="1"/>
  <c r="CRK28" i="3" a="1"/>
  <c r="CRK28" i="3" s="1"/>
  <c r="CEB28" i="3" a="1"/>
  <c r="CEB28" i="3" s="1"/>
  <c r="BYS28" i="3" a="1"/>
  <c r="BYS28" i="3" s="1"/>
  <c r="BTR28" i="3" a="1"/>
  <c r="BTR28" i="3" s="1"/>
  <c r="BEV28" i="3" a="1"/>
  <c r="BEV28" i="3" s="1"/>
  <c r="AZU28" i="3" a="1"/>
  <c r="AZU28" i="3" s="1"/>
  <c r="AUT28" i="3" a="1"/>
  <c r="AUT28" i="3" s="1"/>
  <c r="AQK28" i="3" a="1"/>
  <c r="AQK28" i="3" s="1"/>
  <c r="AMJ28" i="3" a="1"/>
  <c r="AMJ28" i="3" s="1"/>
  <c r="AJA28" i="3" a="1"/>
  <c r="AJA28" i="3" s="1"/>
  <c r="ADO28" i="3" a="1"/>
  <c r="ADO28" i="3" s="1"/>
  <c r="ACA28" i="3" a="1"/>
  <c r="ACA28" i="3" s="1"/>
  <c r="YX28" i="3" a="1"/>
  <c r="YX28" i="3" s="1"/>
  <c r="XN28" i="3" a="1"/>
  <c r="XN28" i="3" s="1"/>
  <c r="WG28" i="3" a="1"/>
  <c r="WG28" i="3" s="1"/>
  <c r="VE28" i="3" a="1"/>
  <c r="VE28" i="3" s="1"/>
  <c r="TC28" i="3" a="1"/>
  <c r="TC28" i="3" s="1"/>
  <c r="RA28" i="3" a="1"/>
  <c r="RA28" i="3" s="1"/>
  <c r="OY28" i="3" a="1"/>
  <c r="OY28" i="3" s="1"/>
  <c r="MW28" i="3" a="1"/>
  <c r="MW28" i="3" s="1"/>
  <c r="KU28" i="3" a="1"/>
  <c r="KU28" i="3" s="1"/>
  <c r="IS28" i="3" a="1"/>
  <c r="IS28" i="3" s="1"/>
  <c r="GQ28" i="3" a="1"/>
  <c r="GQ28" i="3" s="1"/>
  <c r="EO28" i="3" a="1"/>
  <c r="EO28" i="3" s="1"/>
  <c r="CM28" i="3" a="1"/>
  <c r="CM28" i="3" s="1"/>
  <c r="DSQ28" i="3" a="1"/>
  <c r="DSQ28" i="3" s="1"/>
  <c r="DAF28" i="3" a="1"/>
  <c r="DAF28" i="3" s="1"/>
  <c r="CPJ28" i="3" a="1"/>
  <c r="CPJ28" i="3" s="1"/>
  <c r="CIV28" i="3" a="1"/>
  <c r="CIV28" i="3" s="1"/>
  <c r="CCE28" i="3" a="1"/>
  <c r="CCE28" i="3" s="1"/>
  <c r="BXD28" i="3" a="1"/>
  <c r="BXD28" i="3" s="1"/>
  <c r="BIH28" i="3" a="1"/>
  <c r="BIH28" i="3" s="1"/>
  <c r="BDG28" i="3" a="1"/>
  <c r="BDG28" i="3" s="1"/>
  <c r="AYF28" i="3" a="1"/>
  <c r="AYF28" i="3" s="1"/>
  <c r="ATI28" i="3" a="1"/>
  <c r="ATI28" i="3" s="1"/>
  <c r="APE28" i="3" a="1"/>
  <c r="APE28" i="3" s="1"/>
  <c r="AIF28" i="3" a="1"/>
  <c r="AIF28" i="3" s="1"/>
  <c r="AFI28" i="3" a="1"/>
  <c r="AFI28" i="3" s="1"/>
  <c r="ADE28" i="3" a="1"/>
  <c r="ADE28" i="3" s="1"/>
  <c r="ABP28" i="3" a="1"/>
  <c r="ABP28" i="3" s="1"/>
  <c r="AAB28" i="3" a="1"/>
  <c r="AAB28" i="3" s="1"/>
  <c r="YO28" i="3" a="1"/>
  <c r="YO28" i="3" s="1"/>
  <c r="XE28" i="3" a="1"/>
  <c r="XE28" i="3" s="1"/>
  <c r="VZ28" i="3" a="1"/>
  <c r="VZ28" i="3" s="1"/>
  <c r="UX28" i="3" a="1"/>
  <c r="UX28" i="3" s="1"/>
  <c r="TX28" i="3" a="1"/>
  <c r="TX28" i="3" s="1"/>
  <c r="SV28" i="3" a="1"/>
  <c r="SV28" i="3" s="1"/>
  <c r="RV28" i="3" a="1"/>
  <c r="RV28" i="3" s="1"/>
  <c r="QT28" i="3" a="1"/>
  <c r="QT28" i="3" s="1"/>
  <c r="PT28" i="3" a="1"/>
  <c r="PT28" i="3" s="1"/>
  <c r="OR28" i="3" a="1"/>
  <c r="OR28" i="3" s="1"/>
  <c r="NR28" i="3" a="1"/>
  <c r="NR28" i="3" s="1"/>
  <c r="MP28" i="3" a="1"/>
  <c r="MP28" i="3" s="1"/>
  <c r="LP28" i="3" a="1"/>
  <c r="LP28" i="3" s="1"/>
  <c r="KN28" i="3" a="1"/>
  <c r="KN28" i="3" s="1"/>
  <c r="JN28" i="3" a="1"/>
  <c r="JN28" i="3" s="1"/>
  <c r="IL28" i="3" a="1"/>
  <c r="IL28" i="3" s="1"/>
  <c r="HL28" i="3" a="1"/>
  <c r="HL28" i="3" s="1"/>
  <c r="GJ28" i="3" a="1"/>
  <c r="GJ28" i="3" s="1"/>
  <c r="FJ28" i="3" a="1"/>
  <c r="FJ28" i="3" s="1"/>
  <c r="EH28" i="3" a="1"/>
  <c r="EH28" i="3" s="1"/>
  <c r="DH28" i="3" a="1"/>
  <c r="DH28" i="3" s="1"/>
  <c r="CF28" i="3" a="1"/>
  <c r="CF28" i="3" s="1"/>
  <c r="GOE28" i="3" a="1"/>
  <c r="GOE28" i="3" s="1"/>
  <c r="CIQ28" i="3" a="1"/>
  <c r="CIQ28" i="3" s="1"/>
  <c r="BSF28" i="3" a="1"/>
  <c r="BSF28" i="3" s="1"/>
  <c r="BNE28" i="3" a="1"/>
  <c r="BNE28" i="3" s="1"/>
  <c r="BID28" i="3" a="1"/>
  <c r="BID28" i="3" s="1"/>
  <c r="ALL28" i="3" a="1"/>
  <c r="ALL28" i="3" s="1"/>
  <c r="AIC28" i="3" a="1"/>
  <c r="AIC28" i="3" s="1"/>
  <c r="AFF28" i="3" a="1"/>
  <c r="AFF28" i="3" s="1"/>
  <c r="AAA28" i="3" a="1"/>
  <c r="AAA28" i="3" s="1"/>
  <c r="YN28" i="3" a="1"/>
  <c r="YN28" i="3" s="1"/>
  <c r="XD28" i="3" a="1"/>
  <c r="XD28" i="3" s="1"/>
  <c r="VY28" i="3" a="1"/>
  <c r="VY28" i="3" s="1"/>
  <c r="TW28" i="3" a="1"/>
  <c r="TW28" i="3" s="1"/>
  <c r="RU28" i="3" a="1"/>
  <c r="RU28" i="3" s="1"/>
  <c r="PS28" i="3" a="1"/>
  <c r="PS28" i="3" s="1"/>
  <c r="NQ28" i="3" a="1"/>
  <c r="NQ28" i="3" s="1"/>
  <c r="LO28" i="3" a="1"/>
  <c r="LO28" i="3" s="1"/>
  <c r="JM28" i="3" a="1"/>
  <c r="JM28" i="3" s="1"/>
  <c r="HK28" i="3" a="1"/>
  <c r="HK28" i="3" s="1"/>
  <c r="FI28" i="3" a="1"/>
  <c r="FI28" i="3" s="1"/>
  <c r="DG28" i="3" a="1"/>
  <c r="DG28" i="3" s="1"/>
  <c r="GNT28" i="3" a="1"/>
  <c r="GNT28" i="3" s="1"/>
  <c r="DSP28" i="3" a="1"/>
  <c r="DSP28" i="3" s="1"/>
  <c r="DAE28" i="3" a="1"/>
  <c r="DAE28" i="3" s="1"/>
  <c r="CPH28" i="3" a="1"/>
  <c r="CPH28" i="3" s="1"/>
  <c r="CCD28" i="3" a="1"/>
  <c r="CCD28" i="3" s="1"/>
  <c r="BXC28" i="3" a="1"/>
  <c r="BXC28" i="3" s="1"/>
  <c r="BSB28" i="3" a="1"/>
  <c r="BSB28" i="3" s="1"/>
  <c r="BDF28" i="3" a="1"/>
  <c r="BDF28" i="3" s="1"/>
  <c r="AYE28" i="3" a="1"/>
  <c r="AYE28" i="3" s="1"/>
  <c r="ATH28" i="3" a="1"/>
  <c r="ATH28" i="3" s="1"/>
  <c r="APD28" i="3" a="1"/>
  <c r="APD28" i="3" s="1"/>
  <c r="ALI28" i="3" a="1"/>
  <c r="ALI28" i="3" s="1"/>
  <c r="AHZ28" i="3" a="1"/>
  <c r="AHZ28" i="3" s="1"/>
  <c r="ADD28" i="3" a="1"/>
  <c r="ADD28" i="3" s="1"/>
  <c r="ABN28" i="3" a="1"/>
  <c r="ABN28" i="3" s="1"/>
  <c r="ZZ28" i="3" a="1"/>
  <c r="ZZ28" i="3" s="1"/>
  <c r="YM28" i="3" a="1"/>
  <c r="YM28" i="3" s="1"/>
  <c r="XC28" i="3" a="1"/>
  <c r="XC28" i="3" s="1"/>
  <c r="VX28" i="3" a="1"/>
  <c r="VX28" i="3" s="1"/>
  <c r="UW28" i="3" a="1"/>
  <c r="UW28" i="3" s="1"/>
  <c r="TV28" i="3" a="1"/>
  <c r="TV28" i="3" s="1"/>
  <c r="SU28" i="3" a="1"/>
  <c r="SU28" i="3" s="1"/>
  <c r="RT28" i="3" a="1"/>
  <c r="RT28" i="3" s="1"/>
  <c r="QS28" i="3" a="1"/>
  <c r="QS28" i="3" s="1"/>
  <c r="PR28" i="3" a="1"/>
  <c r="PR28" i="3" s="1"/>
  <c r="OQ28" i="3" a="1"/>
  <c r="OQ28" i="3" s="1"/>
  <c r="NP28" i="3" a="1"/>
  <c r="NP28" i="3" s="1"/>
  <c r="MO28" i="3" a="1"/>
  <c r="MO28" i="3" s="1"/>
  <c r="LN28" i="3" a="1"/>
  <c r="LN28" i="3" s="1"/>
  <c r="KM28" i="3" a="1"/>
  <c r="KM28" i="3" s="1"/>
  <c r="JL28" i="3" a="1"/>
  <c r="JL28" i="3" s="1"/>
  <c r="IK28" i="3" a="1"/>
  <c r="IK28" i="3" s="1"/>
  <c r="HJ28" i="3" a="1"/>
  <c r="HJ28" i="3" s="1"/>
  <c r="GI28" i="3" a="1"/>
  <c r="GI28" i="3" s="1"/>
  <c r="FH28" i="3" a="1"/>
  <c r="FH28" i="3" s="1"/>
  <c r="EG28" i="3" a="1"/>
  <c r="EG28" i="3" s="1"/>
  <c r="DF28" i="3" a="1"/>
  <c r="DF28" i="3" s="1"/>
  <c r="CE28" i="3" a="1"/>
  <c r="CE28" i="3" s="1"/>
  <c r="CPD28" i="3" a="1"/>
  <c r="CPD28" i="3" s="1"/>
  <c r="CIP28" i="3" a="1"/>
  <c r="CIP28" i="3" s="1"/>
  <c r="CBZ28" i="3" a="1"/>
  <c r="CBZ28" i="3" s="1"/>
  <c r="BND28" i="3" a="1"/>
  <c r="BND28" i="3" s="1"/>
  <c r="BIC28" i="3" a="1"/>
  <c r="BIC28" i="3" s="1"/>
  <c r="BDB28" i="3" a="1"/>
  <c r="BDB28" i="3" s="1"/>
  <c r="ATE28" i="3" a="1"/>
  <c r="ATE28" i="3" s="1"/>
  <c r="APA28" i="3" a="1"/>
  <c r="APA28" i="3" s="1"/>
  <c r="ALF28" i="3" a="1"/>
  <c r="ALF28" i="3" s="1"/>
  <c r="AFA28" i="3" a="1"/>
  <c r="AFA28" i="3" s="1"/>
  <c r="ADB28" i="3" a="1"/>
  <c r="ADB28" i="3" s="1"/>
  <c r="ABM28" i="3" a="1"/>
  <c r="ABM28" i="3" s="1"/>
  <c r="ZY28" i="3" a="1"/>
  <c r="ZY28" i="3" s="1"/>
  <c r="YL28" i="3" a="1"/>
  <c r="YL28" i="3" s="1"/>
  <c r="XB28" i="3" a="1"/>
  <c r="XB28" i="3" s="1"/>
  <c r="VW28" i="3" a="1"/>
  <c r="VW28" i="3" s="1"/>
  <c r="TU28" i="3" a="1"/>
  <c r="TU28" i="3" s="1"/>
  <c r="RS28" i="3" a="1"/>
  <c r="RS28" i="3" s="1"/>
  <c r="PQ28" i="3" a="1"/>
  <c r="PQ28" i="3" s="1"/>
  <c r="NO28" i="3" a="1"/>
  <c r="NO28" i="3" s="1"/>
  <c r="LM28" i="3" a="1"/>
  <c r="LM28" i="3" s="1"/>
  <c r="JK28" i="3" a="1"/>
  <c r="JK28" i="3" s="1"/>
  <c r="HI28" i="3" a="1"/>
  <c r="HI28" i="3" s="1"/>
  <c r="FG28" i="3" a="1"/>
  <c r="FG28" i="3" s="1"/>
  <c r="DE28" i="3" a="1"/>
  <c r="DE28" i="3" s="1"/>
  <c r="RMB28" i="3" a="1"/>
  <c r="RMB28" i="3" s="1"/>
  <c r="DKZ28" i="3" a="1"/>
  <c r="DKZ28" i="3" s="1"/>
  <c r="CVH28" i="3" a="1"/>
  <c r="CVH28" i="3" s="1"/>
  <c r="CGJ28" i="3" a="1"/>
  <c r="CGJ28" i="3" s="1"/>
  <c r="CAN28" i="3" a="1"/>
  <c r="CAN28" i="3" s="1"/>
  <c r="BVM28" i="3" a="1"/>
  <c r="BVM28" i="3" s="1"/>
  <c r="BQL28" i="3" a="1"/>
  <c r="BQL28" i="3" s="1"/>
  <c r="BBP28" i="3" a="1"/>
  <c r="BBP28" i="3" s="1"/>
  <c r="AWO28" i="3" a="1"/>
  <c r="AWO28" i="3" s="1"/>
  <c r="AKH28" i="3" a="1"/>
  <c r="AKH28" i="3" s="1"/>
  <c r="AHB28" i="3" a="1"/>
  <c r="AHB28" i="3" s="1"/>
  <c r="AEG28" i="3" a="1"/>
  <c r="AEG28" i="3" s="1"/>
  <c r="ACQ28" i="3" a="1"/>
  <c r="ACQ28" i="3" s="1"/>
  <c r="YB28" i="3" a="1"/>
  <c r="YB28" i="3" s="1"/>
  <c r="WS28" i="3" a="1"/>
  <c r="WS28" i="3" s="1"/>
  <c r="UO28" i="3" a="1"/>
  <c r="UO28" i="3" s="1"/>
  <c r="SM28" i="3" a="1"/>
  <c r="SM28" i="3" s="1"/>
  <c r="QK28" i="3" a="1"/>
  <c r="QK28" i="3" s="1"/>
  <c r="OI28" i="3" a="1"/>
  <c r="OI28" i="3" s="1"/>
  <c r="MG28" i="3" a="1"/>
  <c r="MG28" i="3" s="1"/>
  <c r="KE28" i="3" a="1"/>
  <c r="KE28" i="3" s="1"/>
  <c r="IC28" i="3" a="1"/>
  <c r="IC28" i="3" s="1"/>
  <c r="GA28" i="3" a="1"/>
  <c r="GA28" i="3" s="1"/>
  <c r="DY28" i="3" a="1"/>
  <c r="DY28" i="3" s="1"/>
  <c r="BW28" i="3" a="1"/>
  <c r="BW28" i="3" s="1"/>
  <c r="BLN28" i="3" a="1"/>
  <c r="BLN28" i="3" s="1"/>
  <c r="ARX28" i="3" a="1"/>
  <c r="ARX28" i="3" s="1"/>
  <c r="AEF28" i="3" a="1"/>
  <c r="AEF28" i="3" s="1"/>
  <c r="YA28" i="3" a="1"/>
  <c r="YA28" i="3" s="1"/>
  <c r="TM28" i="3" a="1"/>
  <c r="TM28" i="3" s="1"/>
  <c r="PI28" i="3" a="1"/>
  <c r="PI28" i="3" s="1"/>
  <c r="LE28" i="3" a="1"/>
  <c r="LE28" i="3" s="1"/>
  <c r="HA28" i="3" a="1"/>
  <c r="HA28" i="3" s="1"/>
  <c r="CW28" i="3" a="1"/>
  <c r="CW28" i="3" s="1"/>
  <c r="CGI28" i="3" a="1"/>
  <c r="CGI28" i="3" s="1"/>
  <c r="BLJ28" i="3" a="1"/>
  <c r="BLJ28" i="3" s="1"/>
  <c r="ARU28" i="3" a="1"/>
  <c r="ARU28" i="3" s="1"/>
  <c r="AEE28" i="3" a="1"/>
  <c r="AEE28" i="3" s="1"/>
  <c r="XZ28" i="3" a="1"/>
  <c r="XZ28" i="3" s="1"/>
  <c r="DLE28" i="3" a="1"/>
  <c r="DLE28" i="3" s="1"/>
  <c r="BGN28" i="3" a="1"/>
  <c r="BGN28" i="3" s="1"/>
  <c r="ANU28" i="3" a="1"/>
  <c r="ANU28" i="3" s="1"/>
  <c r="ACR28" i="3" a="1"/>
  <c r="ACR28" i="3" s="1"/>
  <c r="SN28" i="3" a="1"/>
  <c r="SN28" i="3" s="1"/>
  <c r="OJ28" i="3" a="1"/>
  <c r="OJ28" i="3" s="1"/>
  <c r="KF28" i="3" a="1"/>
  <c r="KF28" i="3" s="1"/>
  <c r="GB28" i="3" a="1"/>
  <c r="GB28" i="3" s="1"/>
  <c r="BX28" i="3" a="1"/>
  <c r="BX28" i="3" s="1"/>
  <c r="DKY28" i="3" a="1"/>
  <c r="DKY28" i="3" s="1"/>
  <c r="CAJ28" i="3" a="1"/>
  <c r="CAJ28" i="3" s="1"/>
  <c r="BGM28" i="3" a="1"/>
  <c r="BGM28" i="3" s="1"/>
  <c r="ANT28" i="3" a="1"/>
  <c r="ANT28" i="3" s="1"/>
  <c r="ACN28" i="3" a="1"/>
  <c r="ACN28" i="3" s="1"/>
  <c r="WR28" i="3" a="1"/>
  <c r="WR28" i="3" s="1"/>
  <c r="SL28" i="3" a="1"/>
  <c r="SL28" i="3" s="1"/>
  <c r="OH28" i="3" a="1"/>
  <c r="OH28" i="3" s="1"/>
  <c r="KD28" i="3" a="1"/>
  <c r="KD28" i="3" s="1"/>
  <c r="FZ28" i="3" a="1"/>
  <c r="FZ28" i="3" s="1"/>
  <c r="BV28" i="3" a="1"/>
  <c r="BV28" i="3" s="1"/>
  <c r="ANQ28" i="3" a="1"/>
  <c r="ANQ28" i="3" s="1"/>
  <c r="WQ28" i="3" a="1"/>
  <c r="WQ28" i="3" s="1"/>
  <c r="SK28" i="3" a="1"/>
  <c r="SK28" i="3" s="1"/>
  <c r="OG28" i="3" a="1"/>
  <c r="OG28" i="3" s="1"/>
  <c r="KC28" i="3" a="1"/>
  <c r="KC28" i="3" s="1"/>
  <c r="FY28" i="3" a="1"/>
  <c r="FY28" i="3" s="1"/>
  <c r="BU28" i="3" a="1"/>
  <c r="BU28" i="3" s="1"/>
  <c r="AKK28" i="3" a="1"/>
  <c r="AKK28" i="3" s="1"/>
  <c r="ABC28" i="3" a="1"/>
  <c r="ABC28" i="3" s="1"/>
  <c r="VP28" i="3" a="1"/>
  <c r="VP28" i="3" s="1"/>
  <c r="RL28" i="3" a="1"/>
  <c r="RL28" i="3" s="1"/>
  <c r="NH28" i="3" a="1"/>
  <c r="NH28" i="3" s="1"/>
  <c r="JD28" i="3" a="1"/>
  <c r="JD28" i="3" s="1"/>
  <c r="EZ28" i="3" a="1"/>
  <c r="EZ28" i="3" s="1"/>
  <c r="CVD28" i="3" a="1"/>
  <c r="CVD28" i="3" s="1"/>
  <c r="BBL28" i="3" a="1"/>
  <c r="BBL28" i="3" s="1"/>
  <c r="AKC28" i="3" a="1"/>
  <c r="AKC28" i="3" s="1"/>
  <c r="ABB28" i="3" a="1"/>
  <c r="ABB28" i="3" s="1"/>
  <c r="VO28" i="3" a="1"/>
  <c r="VO28" i="3" s="1"/>
  <c r="RK28" i="3" a="1"/>
  <c r="RK28" i="3" s="1"/>
  <c r="NG28" i="3" a="1"/>
  <c r="NG28" i="3" s="1"/>
  <c r="JC28" i="3" a="1"/>
  <c r="JC28" i="3" s="1"/>
  <c r="EY28" i="3" a="1"/>
  <c r="EY28" i="3" s="1"/>
  <c r="BVL28" i="3" a="1"/>
  <c r="BVL28" i="3" s="1"/>
  <c r="AAZ28" i="3" a="1"/>
  <c r="AAZ28" i="3" s="1"/>
  <c r="QUC28" i="3" a="1"/>
  <c r="QUC28" i="3" s="1"/>
  <c r="CNA28" i="3" a="1"/>
  <c r="CNA28" i="3" s="1"/>
  <c r="AGZ28" i="3" a="1"/>
  <c r="AGZ28" i="3" s="1"/>
  <c r="ZL28" i="3" a="1"/>
  <c r="ZL28" i="3" s="1"/>
  <c r="UN28" i="3" a="1"/>
  <c r="UN28" i="3" s="1"/>
  <c r="QJ28" i="3" a="1"/>
  <c r="QJ28" i="3" s="1"/>
  <c r="MF28" i="3" a="1"/>
  <c r="MF28" i="3" s="1"/>
  <c r="IB28" i="3" a="1"/>
  <c r="IB28" i="3" s="1"/>
  <c r="DX28" i="3" a="1"/>
  <c r="DX28" i="3" s="1"/>
  <c r="ZK28" i="3" a="1"/>
  <c r="ZK28" i="3" s="1"/>
  <c r="IA28" i="3" a="1"/>
  <c r="IA28" i="3" s="1"/>
  <c r="CGO28" i="3" a="1"/>
  <c r="CGO28" i="3" s="1"/>
  <c r="YC28" i="3" a="1"/>
  <c r="YC28" i="3" s="1"/>
  <c r="HB28" i="3" a="1"/>
  <c r="HB28" i="3" s="1"/>
  <c r="BQP28" i="3" a="1"/>
  <c r="BQP28" i="3" s="1"/>
  <c r="UP28" i="3" a="1"/>
  <c r="UP28" i="3" s="1"/>
  <c r="DZ28" i="3" a="1"/>
  <c r="DZ28" i="3" s="1"/>
  <c r="BQK28" i="3" a="1"/>
  <c r="BQK28" i="3" s="1"/>
  <c r="UM28" i="3" a="1"/>
  <c r="UM28" i="3" s="1"/>
  <c r="DW28" i="3" a="1"/>
  <c r="DW28" i="3" s="1"/>
  <c r="BLO28" i="3" a="1"/>
  <c r="BLO28" i="3" s="1"/>
  <c r="TN28" i="3" a="1"/>
  <c r="TN28" i="3" s="1"/>
  <c r="CX28" i="3" a="1"/>
  <c r="CX28" i="3" s="1"/>
  <c r="QL28" i="3" a="1"/>
  <c r="QL28" i="3" s="1"/>
  <c r="AWN28" i="3" a="1"/>
  <c r="AWN28" i="3" s="1"/>
  <c r="QI28" i="3" a="1"/>
  <c r="QI28" i="3" s="1"/>
  <c r="ARY28" i="3" a="1"/>
  <c r="ARY28" i="3" s="1"/>
  <c r="PJ28" i="3" a="1"/>
  <c r="PJ28" i="3" s="1"/>
  <c r="AHD28" i="3" a="1"/>
  <c r="AHD28" i="3" s="1"/>
  <c r="AGY28" i="3" a="1"/>
  <c r="AGY28" i="3" s="1"/>
  <c r="AEH28" i="3" a="1"/>
  <c r="AEH28" i="3" s="1"/>
  <c r="ZN28" i="3" a="1"/>
  <c r="ZN28" i="3" s="1"/>
  <c r="MH28" i="3" a="1"/>
  <c r="MH28" i="3" s="1"/>
  <c r="ME28" i="3" a="1"/>
  <c r="ME28" i="3" s="1"/>
  <c r="LF28" i="3" a="1"/>
  <c r="LF28" i="3" s="1"/>
  <c r="ID28" i="3" a="1"/>
  <c r="ID28" i="3" s="1"/>
  <c r="URC28" i="3" a="1"/>
  <c r="URC28" i="3" s="1"/>
  <c r="PCZ28" i="3" a="1"/>
  <c r="PCZ28" i="3" s="1"/>
  <c r="G8" i="4"/>
  <c r="G35" i="4" a="1"/>
  <c r="E20" i="3" a="1"/>
  <c r="E24" i="3" a="1"/>
  <c r="E22" i="3" a="1"/>
  <c r="E19" i="3" a="1"/>
  <c r="E23" i="3" a="1"/>
  <c r="G99" i="4" l="1"/>
  <c r="G100" i="4"/>
  <c r="G101" i="4"/>
  <c r="G102" i="4"/>
  <c r="G103" i="4"/>
  <c r="C279" i="4"/>
  <c r="D279" i="4" s="1"/>
  <c r="C282" i="4"/>
  <c r="D282" i="4" s="1"/>
  <c r="C278" i="4"/>
  <c r="D278" i="4" s="1"/>
  <c r="C280" i="4"/>
  <c r="D280" i="4" s="1"/>
  <c r="L36" i="2" a="1"/>
  <c r="L40" i="2" s="1"/>
  <c r="BM16" i="3"/>
  <c r="BA16" i="3"/>
  <c r="AO16" i="3"/>
  <c r="AC16" i="3"/>
  <c r="Q16" i="3"/>
  <c r="E16" i="3"/>
  <c r="BK16" i="3"/>
  <c r="AY16" i="3"/>
  <c r="AM16" i="3"/>
  <c r="AA16" i="3"/>
  <c r="O16" i="3"/>
  <c r="D16" i="3"/>
  <c r="BI16" i="3"/>
  <c r="AW16" i="3"/>
  <c r="AK16" i="3"/>
  <c r="Y16" i="3"/>
  <c r="M16" i="3"/>
  <c r="AZ16" i="3"/>
  <c r="AI16" i="3"/>
  <c r="T16" i="3"/>
  <c r="AX16" i="3"/>
  <c r="AH16" i="3"/>
  <c r="S16" i="3"/>
  <c r="AV16" i="3"/>
  <c r="AG16" i="3"/>
  <c r="R16" i="3"/>
  <c r="BL16" i="3"/>
  <c r="AU16" i="3"/>
  <c r="AF16" i="3"/>
  <c r="P16" i="3"/>
  <c r="BJ16" i="3"/>
  <c r="AT16" i="3"/>
  <c r="AE16" i="3"/>
  <c r="N16" i="3"/>
  <c r="BH16" i="3"/>
  <c r="AS16" i="3"/>
  <c r="AD16" i="3"/>
  <c r="L16" i="3"/>
  <c r="BG16" i="3"/>
  <c r="AR16" i="3"/>
  <c r="AB16" i="3"/>
  <c r="K16" i="3"/>
  <c r="BF16" i="3"/>
  <c r="AQ16" i="3"/>
  <c r="Z16" i="3"/>
  <c r="J16" i="3"/>
  <c r="BD16" i="3"/>
  <c r="H16" i="3"/>
  <c r="BC16" i="3"/>
  <c r="G16" i="3"/>
  <c r="BB16" i="3"/>
  <c r="F16" i="3"/>
  <c r="AP16" i="3"/>
  <c r="AN16" i="3"/>
  <c r="AL16" i="3"/>
  <c r="AJ16" i="3"/>
  <c r="X16" i="3"/>
  <c r="V16" i="3"/>
  <c r="BE16" i="3"/>
  <c r="W16" i="3"/>
  <c r="U16" i="3"/>
  <c r="I16" i="3"/>
  <c r="BB21" i="3"/>
  <c r="AP21" i="3"/>
  <c r="AD21" i="3"/>
  <c r="R21" i="3"/>
  <c r="F21" i="3"/>
  <c r="BL21" i="3"/>
  <c r="AZ21" i="3"/>
  <c r="AN21" i="3"/>
  <c r="AB21" i="3"/>
  <c r="P21" i="3"/>
  <c r="E21" i="3"/>
  <c r="BJ21" i="3"/>
  <c r="AX21" i="3"/>
  <c r="AL21" i="3"/>
  <c r="Z21" i="3"/>
  <c r="N21" i="3"/>
  <c r="BH21" i="3"/>
  <c r="AV21" i="3"/>
  <c r="AJ21" i="3"/>
  <c r="X21" i="3"/>
  <c r="L21" i="3"/>
  <c r="BC21" i="3"/>
  <c r="AI21" i="3"/>
  <c r="S21" i="3"/>
  <c r="BA21" i="3"/>
  <c r="AH21" i="3"/>
  <c r="Q21" i="3"/>
  <c r="AY21" i="3"/>
  <c r="AG21" i="3"/>
  <c r="O21" i="3"/>
  <c r="AW21" i="3"/>
  <c r="AF21" i="3"/>
  <c r="M21" i="3"/>
  <c r="AU21" i="3"/>
  <c r="AE21" i="3"/>
  <c r="K21" i="3"/>
  <c r="BM21" i="3"/>
  <c r="AT21" i="3"/>
  <c r="AC21" i="3"/>
  <c r="J21" i="3"/>
  <c r="BK21" i="3"/>
  <c r="AS21" i="3"/>
  <c r="AA21" i="3"/>
  <c r="I21" i="3"/>
  <c r="BI21" i="3"/>
  <c r="AR21" i="3"/>
  <c r="Y21" i="3"/>
  <c r="H21" i="3"/>
  <c r="BG21" i="3"/>
  <c r="G21" i="3"/>
  <c r="BF21" i="3"/>
  <c r="BE21" i="3"/>
  <c r="BD21" i="3"/>
  <c r="AQ21" i="3"/>
  <c r="AO21" i="3"/>
  <c r="AM21" i="3"/>
  <c r="AK21" i="3"/>
  <c r="V21" i="3"/>
  <c r="W21" i="3"/>
  <c r="U21" i="3"/>
  <c r="T21" i="3"/>
  <c r="BJ23" i="3"/>
  <c r="AX23" i="3"/>
  <c r="AL23" i="3"/>
  <c r="Z23" i="3"/>
  <c r="N23" i="3"/>
  <c r="BH23" i="3"/>
  <c r="AV23" i="3"/>
  <c r="AJ23" i="3"/>
  <c r="X23" i="3"/>
  <c r="L23" i="3"/>
  <c r="BF23" i="3"/>
  <c r="AT23" i="3"/>
  <c r="AH23" i="3"/>
  <c r="V23" i="3"/>
  <c r="J23" i="3"/>
  <c r="BD23" i="3"/>
  <c r="AR23" i="3"/>
  <c r="AF23" i="3"/>
  <c r="T23" i="3"/>
  <c r="H23" i="3"/>
  <c r="BC23" i="3"/>
  <c r="AM23" i="3"/>
  <c r="S23" i="3"/>
  <c r="BB23" i="3"/>
  <c r="AK23" i="3"/>
  <c r="R23" i="3"/>
  <c r="BA23" i="3"/>
  <c r="AI23" i="3"/>
  <c r="Q23" i="3"/>
  <c r="AZ23" i="3"/>
  <c r="AG23" i="3"/>
  <c r="P23" i="3"/>
  <c r="AY23" i="3"/>
  <c r="AE23" i="3"/>
  <c r="O23" i="3"/>
  <c r="AW23" i="3"/>
  <c r="AD23" i="3"/>
  <c r="M23" i="3"/>
  <c r="BM23" i="3"/>
  <c r="AU23" i="3"/>
  <c r="AC23" i="3"/>
  <c r="K23" i="3"/>
  <c r="BL23" i="3"/>
  <c r="AS23" i="3"/>
  <c r="AB23" i="3"/>
  <c r="I23" i="3"/>
  <c r="AQ23" i="3"/>
  <c r="AP23" i="3"/>
  <c r="AO23" i="3"/>
  <c r="AN23" i="3"/>
  <c r="AA23" i="3"/>
  <c r="Y23" i="3"/>
  <c r="W23" i="3"/>
  <c r="U23" i="3"/>
  <c r="BI23" i="3"/>
  <c r="F23" i="3"/>
  <c r="BK23" i="3"/>
  <c r="BG23" i="3"/>
  <c r="BE23" i="3"/>
  <c r="G23" i="3"/>
  <c r="E23" i="3"/>
  <c r="G104" i="4"/>
  <c r="BD20" i="3"/>
  <c r="AR20" i="3"/>
  <c r="AF20" i="3"/>
  <c r="T20" i="3"/>
  <c r="H20" i="3"/>
  <c r="BB20" i="3"/>
  <c r="AP20" i="3"/>
  <c r="AD20" i="3"/>
  <c r="R20" i="3"/>
  <c r="F20" i="3"/>
  <c r="BL20" i="3"/>
  <c r="AZ20" i="3"/>
  <c r="AN20" i="3"/>
  <c r="AB20" i="3"/>
  <c r="P20" i="3"/>
  <c r="E20" i="3"/>
  <c r="BJ20" i="3"/>
  <c r="AX20" i="3"/>
  <c r="AL20" i="3"/>
  <c r="Z20" i="3"/>
  <c r="N20" i="3"/>
  <c r="BI20" i="3"/>
  <c r="AS20" i="3"/>
  <c r="Y20" i="3"/>
  <c r="I20" i="3"/>
  <c r="BH20" i="3"/>
  <c r="AQ20" i="3"/>
  <c r="X20" i="3"/>
  <c r="G20" i="3"/>
  <c r="BG20" i="3"/>
  <c r="AO20" i="3"/>
  <c r="W20" i="3"/>
  <c r="BF20" i="3"/>
  <c r="AM20" i="3"/>
  <c r="V20" i="3"/>
  <c r="BE20" i="3"/>
  <c r="AK20" i="3"/>
  <c r="U20" i="3"/>
  <c r="BC20" i="3"/>
  <c r="AJ20" i="3"/>
  <c r="S20" i="3"/>
  <c r="BA20" i="3"/>
  <c r="AI20" i="3"/>
  <c r="Q20" i="3"/>
  <c r="AY20" i="3"/>
  <c r="AH20" i="3"/>
  <c r="O20" i="3"/>
  <c r="M20" i="3"/>
  <c r="L20" i="3"/>
  <c r="BM20" i="3"/>
  <c r="K20" i="3"/>
  <c r="BK20" i="3"/>
  <c r="J20" i="3"/>
  <c r="AW20" i="3"/>
  <c r="AV20" i="3"/>
  <c r="AU20" i="3"/>
  <c r="AT20" i="3"/>
  <c r="AE20" i="3"/>
  <c r="AG20" i="3"/>
  <c r="AC20" i="3"/>
  <c r="AA20" i="3"/>
  <c r="BL22" i="3"/>
  <c r="AZ22" i="3"/>
  <c r="AN22" i="3"/>
  <c r="AB22" i="3"/>
  <c r="P22" i="3"/>
  <c r="E22" i="3"/>
  <c r="BJ22" i="3"/>
  <c r="AX22" i="3"/>
  <c r="AL22" i="3"/>
  <c r="Z22" i="3"/>
  <c r="N22" i="3"/>
  <c r="BH22" i="3"/>
  <c r="AV22" i="3"/>
  <c r="AJ22" i="3"/>
  <c r="X22" i="3"/>
  <c r="L22" i="3"/>
  <c r="BF22" i="3"/>
  <c r="AT22" i="3"/>
  <c r="AH22" i="3"/>
  <c r="V22" i="3"/>
  <c r="J22" i="3"/>
  <c r="BM22" i="3"/>
  <c r="AS22" i="3"/>
  <c r="AC22" i="3"/>
  <c r="I22" i="3"/>
  <c r="BK22" i="3"/>
  <c r="AR22" i="3"/>
  <c r="AA22" i="3"/>
  <c r="H22" i="3"/>
  <c r="BI22" i="3"/>
  <c r="AQ22" i="3"/>
  <c r="Y22" i="3"/>
  <c r="G22" i="3"/>
  <c r="BG22" i="3"/>
  <c r="AP22" i="3"/>
  <c r="W22" i="3"/>
  <c r="F22" i="3"/>
  <c r="BE22" i="3"/>
  <c r="AO22" i="3"/>
  <c r="U22" i="3"/>
  <c r="BD22" i="3"/>
  <c r="AM22" i="3"/>
  <c r="T22" i="3"/>
  <c r="BC22" i="3"/>
  <c r="AK22" i="3"/>
  <c r="S22" i="3"/>
  <c r="BB22" i="3"/>
  <c r="AI22" i="3"/>
  <c r="R22" i="3"/>
  <c r="BA22" i="3"/>
  <c r="AY22" i="3"/>
  <c r="AW22" i="3"/>
  <c r="AU22" i="3"/>
  <c r="AG22" i="3"/>
  <c r="AF22" i="3"/>
  <c r="AE22" i="3"/>
  <c r="AD22" i="3"/>
  <c r="O22" i="3"/>
  <c r="K22" i="3"/>
  <c r="M22" i="3"/>
  <c r="Q22" i="3"/>
  <c r="BH24" i="3"/>
  <c r="AV24" i="3"/>
  <c r="AJ24" i="3"/>
  <c r="X24" i="3"/>
  <c r="L24" i="3"/>
  <c r="BF24" i="3"/>
  <c r="AT24" i="3"/>
  <c r="AH24" i="3"/>
  <c r="V24" i="3"/>
  <c r="J24" i="3"/>
  <c r="BD24" i="3"/>
  <c r="AR24" i="3"/>
  <c r="AF24" i="3"/>
  <c r="T24" i="3"/>
  <c r="H24" i="3"/>
  <c r="BB24" i="3"/>
  <c r="AP24" i="3"/>
  <c r="AD24" i="3"/>
  <c r="R24" i="3"/>
  <c r="F24" i="3"/>
  <c r="BM24" i="3"/>
  <c r="AW24" i="3"/>
  <c r="AC24" i="3"/>
  <c r="M24" i="3"/>
  <c r="BL24" i="3"/>
  <c r="AU24" i="3"/>
  <c r="AB24" i="3"/>
  <c r="K24" i="3"/>
  <c r="BK24" i="3"/>
  <c r="AS24" i="3"/>
  <c r="AA24" i="3"/>
  <c r="I24" i="3"/>
  <c r="BJ24" i="3"/>
  <c r="AQ24" i="3"/>
  <c r="Z24" i="3"/>
  <c r="G24" i="3"/>
  <c r="BI24" i="3"/>
  <c r="AO24" i="3"/>
  <c r="Y24" i="3"/>
  <c r="BG24" i="3"/>
  <c r="AN24" i="3"/>
  <c r="W24" i="3"/>
  <c r="E24" i="3"/>
  <c r="BE24" i="3"/>
  <c r="AM24" i="3"/>
  <c r="U24" i="3"/>
  <c r="BC24" i="3"/>
  <c r="AL24" i="3"/>
  <c r="S24" i="3"/>
  <c r="AK24" i="3"/>
  <c r="AI24" i="3"/>
  <c r="AG24" i="3"/>
  <c r="AE24" i="3"/>
  <c r="Q24" i="3"/>
  <c r="P24" i="3"/>
  <c r="O24" i="3"/>
  <c r="N24" i="3"/>
  <c r="AZ24" i="3"/>
  <c r="BA24" i="3"/>
  <c r="AY24" i="3"/>
  <c r="AX24" i="3"/>
  <c r="C312" i="4" a="1"/>
  <c r="C285" i="4" a="1"/>
  <c r="BF19" i="3"/>
  <c r="AT19" i="3"/>
  <c r="AH19" i="3"/>
  <c r="V19" i="3"/>
  <c r="J19" i="3"/>
  <c r="BD19" i="3"/>
  <c r="AR19" i="3"/>
  <c r="AF19" i="3"/>
  <c r="T19" i="3"/>
  <c r="H19" i="3"/>
  <c r="BB19" i="3"/>
  <c r="AP19" i="3"/>
  <c r="AD19" i="3"/>
  <c r="R19" i="3"/>
  <c r="F19" i="3"/>
  <c r="BL19" i="3"/>
  <c r="AZ19" i="3"/>
  <c r="AN19" i="3"/>
  <c r="AB19" i="3"/>
  <c r="P19" i="3"/>
  <c r="E19" i="3"/>
  <c r="AY19" i="3"/>
  <c r="AI19" i="3"/>
  <c r="O19" i="3"/>
  <c r="AX19" i="3"/>
  <c r="AG19" i="3"/>
  <c r="N19" i="3"/>
  <c r="AW19" i="3"/>
  <c r="AE19" i="3"/>
  <c r="M19" i="3"/>
  <c r="BM19" i="3"/>
  <c r="AV19" i="3"/>
  <c r="AC19" i="3"/>
  <c r="L19" i="3"/>
  <c r="BK19" i="3"/>
  <c r="AU19" i="3"/>
  <c r="AA19" i="3"/>
  <c r="K19" i="3"/>
  <c r="BJ19" i="3"/>
  <c r="AS19" i="3"/>
  <c r="Z19" i="3"/>
  <c r="I19" i="3"/>
  <c r="BI19" i="3"/>
  <c r="AQ19" i="3"/>
  <c r="Y19" i="3"/>
  <c r="G19" i="3"/>
  <c r="BH19" i="3"/>
  <c r="AO19" i="3"/>
  <c r="X19" i="3"/>
  <c r="W19" i="3"/>
  <c r="U19" i="3"/>
  <c r="S19" i="3"/>
  <c r="Q19" i="3"/>
  <c r="BG19" i="3"/>
  <c r="BE19" i="3"/>
  <c r="BC19" i="3"/>
  <c r="BA19" i="3"/>
  <c r="AL19" i="3"/>
  <c r="AM19" i="3"/>
  <c r="AJ19" i="3"/>
  <c r="AK19" i="3"/>
  <c r="BL40" i="4"/>
  <c r="AZ40" i="4"/>
  <c r="AN40" i="4"/>
  <c r="AB40" i="4"/>
  <c r="P40" i="4"/>
  <c r="BN39" i="4"/>
  <c r="BB39" i="4"/>
  <c r="AP39" i="4"/>
  <c r="AD39" i="4"/>
  <c r="R39" i="4"/>
  <c r="BP38" i="4"/>
  <c r="BD38" i="4"/>
  <c r="AR38" i="4"/>
  <c r="AF38" i="4"/>
  <c r="T38" i="4"/>
  <c r="H38" i="4"/>
  <c r="BF37" i="4"/>
  <c r="AT37" i="4"/>
  <c r="AH37" i="4"/>
  <c r="V37" i="4"/>
  <c r="J37" i="4"/>
  <c r="BH36" i="4"/>
  <c r="AV36" i="4"/>
  <c r="AJ36" i="4"/>
  <c r="X36" i="4"/>
  <c r="L36" i="4"/>
  <c r="BJ35" i="4"/>
  <c r="AX35" i="4"/>
  <c r="AL35" i="4"/>
  <c r="Z35" i="4"/>
  <c r="N35" i="4"/>
  <c r="BK40" i="4"/>
  <c r="AY40" i="4"/>
  <c r="AM40" i="4"/>
  <c r="AA40" i="4"/>
  <c r="O40" i="4"/>
  <c r="BM39" i="4"/>
  <c r="BA39" i="4"/>
  <c r="AO39" i="4"/>
  <c r="AC39" i="4"/>
  <c r="Q39" i="4"/>
  <c r="BO38" i="4"/>
  <c r="BC38" i="4"/>
  <c r="AQ38" i="4"/>
  <c r="AE38" i="4"/>
  <c r="S38" i="4"/>
  <c r="G38" i="4"/>
  <c r="BE37" i="4"/>
  <c r="AS37" i="4"/>
  <c r="AG37" i="4"/>
  <c r="U37" i="4"/>
  <c r="I37" i="4"/>
  <c r="BG36" i="4"/>
  <c r="AU36" i="4"/>
  <c r="AI36" i="4"/>
  <c r="W36" i="4"/>
  <c r="K36" i="4"/>
  <c r="BI35" i="4"/>
  <c r="AW35" i="4"/>
  <c r="AK35" i="4"/>
  <c r="Y35" i="4"/>
  <c r="M35" i="4"/>
  <c r="BJ40" i="4"/>
  <c r="AX40" i="4"/>
  <c r="AL40" i="4"/>
  <c r="Z40" i="4"/>
  <c r="N40" i="4"/>
  <c r="BL39" i="4"/>
  <c r="AZ39" i="4"/>
  <c r="AN39" i="4"/>
  <c r="AB39" i="4"/>
  <c r="P39" i="4"/>
  <c r="BN38" i="4"/>
  <c r="BB38" i="4"/>
  <c r="AP38" i="4"/>
  <c r="AD38" i="4"/>
  <c r="R38" i="4"/>
  <c r="BP37" i="4"/>
  <c r="BD37" i="4"/>
  <c r="AR37" i="4"/>
  <c r="AF37" i="4"/>
  <c r="T37" i="4"/>
  <c r="H37" i="4"/>
  <c r="BF36" i="4"/>
  <c r="AT36" i="4"/>
  <c r="AH36" i="4"/>
  <c r="V36" i="4"/>
  <c r="J36" i="4"/>
  <c r="BH35" i="4"/>
  <c r="AV35" i="4"/>
  <c r="AJ35" i="4"/>
  <c r="X35" i="4"/>
  <c r="L35" i="4"/>
  <c r="BI40" i="4"/>
  <c r="AW40" i="4"/>
  <c r="AK40" i="4"/>
  <c r="Y40" i="4"/>
  <c r="M40" i="4"/>
  <c r="BK39" i="4"/>
  <c r="AY39" i="4"/>
  <c r="AM39" i="4"/>
  <c r="AA39" i="4"/>
  <c r="O39" i="4"/>
  <c r="BM38" i="4"/>
  <c r="BA38" i="4"/>
  <c r="AO38" i="4"/>
  <c r="AC38" i="4"/>
  <c r="Q38" i="4"/>
  <c r="BO37" i="4"/>
  <c r="BC37" i="4"/>
  <c r="AQ37" i="4"/>
  <c r="AE37" i="4"/>
  <c r="S37" i="4"/>
  <c r="G37" i="4"/>
  <c r="BE36" i="4"/>
  <c r="AS36" i="4"/>
  <c r="AG36" i="4"/>
  <c r="U36" i="4"/>
  <c r="I36" i="4"/>
  <c r="BG35" i="4"/>
  <c r="AU35" i="4"/>
  <c r="AI35" i="4"/>
  <c r="W35" i="4"/>
  <c r="K35" i="4"/>
  <c r="BH40" i="4"/>
  <c r="AV40" i="4"/>
  <c r="AJ40" i="4"/>
  <c r="X40" i="4"/>
  <c r="L40" i="4"/>
  <c r="BJ39" i="4"/>
  <c r="AX39" i="4"/>
  <c r="AL39" i="4"/>
  <c r="Z39" i="4"/>
  <c r="N39" i="4"/>
  <c r="BL38" i="4"/>
  <c r="AZ38" i="4"/>
  <c r="AN38" i="4"/>
  <c r="AB38" i="4"/>
  <c r="P38" i="4"/>
  <c r="BN37" i="4"/>
  <c r="BB37" i="4"/>
  <c r="AP37" i="4"/>
  <c r="AD37" i="4"/>
  <c r="R37" i="4"/>
  <c r="BP36" i="4"/>
  <c r="BD36" i="4"/>
  <c r="AR36" i="4"/>
  <c r="AF36" i="4"/>
  <c r="T36" i="4"/>
  <c r="H36" i="4"/>
  <c r="BF35" i="4"/>
  <c r="AT35" i="4"/>
  <c r="AH35" i="4"/>
  <c r="V35" i="4"/>
  <c r="J35" i="4"/>
  <c r="BG40" i="4"/>
  <c r="AU40" i="4"/>
  <c r="AI40" i="4"/>
  <c r="W40" i="4"/>
  <c r="K40" i="4"/>
  <c r="BI39" i="4"/>
  <c r="AW39" i="4"/>
  <c r="AK39" i="4"/>
  <c r="Y39" i="4"/>
  <c r="M39" i="4"/>
  <c r="BK38" i="4"/>
  <c r="AY38" i="4"/>
  <c r="AM38" i="4"/>
  <c r="AA38" i="4"/>
  <c r="O38" i="4"/>
  <c r="BM37" i="4"/>
  <c r="BA37" i="4"/>
  <c r="AO37" i="4"/>
  <c r="AC37" i="4"/>
  <c r="Q37" i="4"/>
  <c r="BO36" i="4"/>
  <c r="BC36" i="4"/>
  <c r="AQ36" i="4"/>
  <c r="AE36" i="4"/>
  <c r="S36" i="4"/>
  <c r="G36" i="4"/>
  <c r="BE35" i="4"/>
  <c r="AS35" i="4"/>
  <c r="AG35" i="4"/>
  <c r="U35" i="4"/>
  <c r="I35" i="4"/>
  <c r="BF40" i="4"/>
  <c r="AT40" i="4"/>
  <c r="AH40" i="4"/>
  <c r="V40" i="4"/>
  <c r="J40" i="4"/>
  <c r="BH39" i="4"/>
  <c r="AV39" i="4"/>
  <c r="AJ39" i="4"/>
  <c r="X39" i="4"/>
  <c r="L39" i="4"/>
  <c r="BJ38" i="4"/>
  <c r="AX38" i="4"/>
  <c r="AL38" i="4"/>
  <c r="Z38" i="4"/>
  <c r="N38" i="4"/>
  <c r="BL37" i="4"/>
  <c r="AZ37" i="4"/>
  <c r="AN37" i="4"/>
  <c r="AB37" i="4"/>
  <c r="P37" i="4"/>
  <c r="BN36" i="4"/>
  <c r="BB36" i="4"/>
  <c r="AP36" i="4"/>
  <c r="AD36" i="4"/>
  <c r="R36" i="4"/>
  <c r="BP35" i="4"/>
  <c r="BD35" i="4"/>
  <c r="AR35" i="4"/>
  <c r="AF35" i="4"/>
  <c r="T35" i="4"/>
  <c r="H35" i="4"/>
  <c r="BE40" i="4"/>
  <c r="AS40" i="4"/>
  <c r="AG40" i="4"/>
  <c r="U40" i="4"/>
  <c r="I40" i="4"/>
  <c r="BG39" i="4"/>
  <c r="AU39" i="4"/>
  <c r="AI39" i="4"/>
  <c r="W39" i="4"/>
  <c r="K39" i="4"/>
  <c r="BI38" i="4"/>
  <c r="AW38" i="4"/>
  <c r="AK38" i="4"/>
  <c r="Y38" i="4"/>
  <c r="M38" i="4"/>
  <c r="BK37" i="4"/>
  <c r="AY37" i="4"/>
  <c r="AM37" i="4"/>
  <c r="AA37" i="4"/>
  <c r="O37" i="4"/>
  <c r="BM36" i="4"/>
  <c r="BA36" i="4"/>
  <c r="AO36" i="4"/>
  <c r="AC36" i="4"/>
  <c r="Q36" i="4"/>
  <c r="BO35" i="4"/>
  <c r="BC35" i="4"/>
  <c r="AR40" i="4"/>
  <c r="H40" i="4"/>
  <c r="H103" i="4" s="1"/>
  <c r="AH39" i="4"/>
  <c r="BH38" i="4"/>
  <c r="X38" i="4"/>
  <c r="AX37" i="4"/>
  <c r="N37" i="4"/>
  <c r="AN36" i="4"/>
  <c r="BN35" i="4"/>
  <c r="AM35" i="4"/>
  <c r="G35" i="4"/>
  <c r="AT39" i="4"/>
  <c r="P36" i="4"/>
  <c r="AI38" i="4"/>
  <c r="P35" i="4"/>
  <c r="R40" i="4"/>
  <c r="X37" i="4"/>
  <c r="AQ40" i="4"/>
  <c r="G40" i="4"/>
  <c r="AG39" i="4"/>
  <c r="BG38" i="4"/>
  <c r="W38" i="4"/>
  <c r="AW37" i="4"/>
  <c r="M37" i="4"/>
  <c r="AM36" i="4"/>
  <c r="BM35" i="4"/>
  <c r="AE35" i="4"/>
  <c r="AP40" i="4"/>
  <c r="BP39" i="4"/>
  <c r="AF39" i="4"/>
  <c r="BF38" i="4"/>
  <c r="V38" i="4"/>
  <c r="L37" i="4"/>
  <c r="AL36" i="4"/>
  <c r="BL35" i="4"/>
  <c r="AD35" i="4"/>
  <c r="BO40" i="4"/>
  <c r="AE40" i="4"/>
  <c r="BE39" i="4"/>
  <c r="U39" i="4"/>
  <c r="AU38" i="4"/>
  <c r="K38" i="4"/>
  <c r="AK37" i="4"/>
  <c r="BK36" i="4"/>
  <c r="AA36" i="4"/>
  <c r="BA35" i="4"/>
  <c r="AA35" i="4"/>
  <c r="J39" i="4"/>
  <c r="AQ35" i="4"/>
  <c r="AS39" i="4"/>
  <c r="O36" i="4"/>
  <c r="AR39" i="4"/>
  <c r="N36" i="4"/>
  <c r="AV37" i="4"/>
  <c r="BD40" i="4"/>
  <c r="BJ37" i="4"/>
  <c r="Q35" i="4"/>
  <c r="BC40" i="4"/>
  <c r="Y37" i="4"/>
  <c r="BH37" i="4"/>
  <c r="O35" i="4"/>
  <c r="BA40" i="4"/>
  <c r="AG38" i="4"/>
  <c r="M36" i="4"/>
  <c r="AO40" i="4"/>
  <c r="BO39" i="4"/>
  <c r="AE39" i="4"/>
  <c r="BE38" i="4"/>
  <c r="U38" i="4"/>
  <c r="AU37" i="4"/>
  <c r="K37" i="4"/>
  <c r="AK36" i="4"/>
  <c r="BK35" i="4"/>
  <c r="AC35" i="4"/>
  <c r="T40" i="4"/>
  <c r="AZ36" i="4"/>
  <c r="S40" i="4"/>
  <c r="AY36" i="4"/>
  <c r="H39" i="4"/>
  <c r="AO35" i="4"/>
  <c r="Q40" i="4"/>
  <c r="BG37" i="4"/>
  <c r="AN35" i="4"/>
  <c r="BP40" i="4"/>
  <c r="AF40" i="4"/>
  <c r="BF39" i="4"/>
  <c r="V39" i="4"/>
  <c r="AV38" i="4"/>
  <c r="L38" i="4"/>
  <c r="AL37" i="4"/>
  <c r="BL36" i="4"/>
  <c r="AB36" i="4"/>
  <c r="BB35" i="4"/>
  <c r="AB35" i="4"/>
  <c r="AJ38" i="4"/>
  <c r="BI37" i="4"/>
  <c r="AH38" i="4"/>
  <c r="AQ39" i="4"/>
  <c r="W37" i="4"/>
  <c r="BN40" i="4"/>
  <c r="AD40" i="4"/>
  <c r="BD39" i="4"/>
  <c r="T39" i="4"/>
  <c r="AT38" i="4"/>
  <c r="J38" i="4"/>
  <c r="AJ37" i="4"/>
  <c r="BJ36" i="4"/>
  <c r="Z36" i="4"/>
  <c r="AZ35" i="4"/>
  <c r="S35" i="4"/>
  <c r="BM40" i="4"/>
  <c r="AC40" i="4"/>
  <c r="BC39" i="4"/>
  <c r="S39" i="4"/>
  <c r="AS38" i="4"/>
  <c r="I38" i="4"/>
  <c r="AI37" i="4"/>
  <c r="BI36" i="4"/>
  <c r="Y36" i="4"/>
  <c r="AY35" i="4"/>
  <c r="R35" i="4"/>
  <c r="Z37" i="4"/>
  <c r="I39" i="4"/>
  <c r="AP35" i="4"/>
  <c r="BB40" i="4"/>
  <c r="AX36" i="4"/>
  <c r="G39" i="4"/>
  <c r="AW36" i="4"/>
  <c r="G10" i="4" a="1"/>
  <c r="G9" i="4" a="1"/>
  <c r="D11" i="3" a="1"/>
  <c r="L41" i="2" l="1"/>
  <c r="L36" i="2"/>
  <c r="L37" i="2"/>
  <c r="L38" i="2"/>
  <c r="L39" i="2"/>
  <c r="AF103" i="4"/>
  <c r="P103" i="4"/>
  <c r="X103" i="4"/>
  <c r="J103" i="4"/>
  <c r="AA103" i="4"/>
  <c r="AJ103" i="4"/>
  <c r="N103" i="4"/>
  <c r="AO103" i="4"/>
  <c r="AE103" i="4"/>
  <c r="I103" i="4"/>
  <c r="Z103" i="4"/>
  <c r="L103" i="4"/>
  <c r="M103" i="4"/>
  <c r="AQ103" i="4"/>
  <c r="V103" i="4"/>
  <c r="AM103" i="4"/>
  <c r="AD103" i="4"/>
  <c r="S103" i="4"/>
  <c r="AH103" i="4"/>
  <c r="C312" i="4"/>
  <c r="C313" i="4"/>
  <c r="AC103" i="4"/>
  <c r="AP103" i="4"/>
  <c r="R103" i="4"/>
  <c r="T103" i="4"/>
  <c r="AL103" i="4"/>
  <c r="AG103" i="4"/>
  <c r="K103" i="4"/>
  <c r="AB103" i="4"/>
  <c r="BD11" i="3"/>
  <c r="AR11" i="3"/>
  <c r="AF11" i="3"/>
  <c r="T11" i="3"/>
  <c r="H11" i="3"/>
  <c r="BB11" i="3"/>
  <c r="AP11" i="3"/>
  <c r="BL11" i="3"/>
  <c r="AZ11" i="3"/>
  <c r="AN11" i="3"/>
  <c r="AB11" i="3"/>
  <c r="P11" i="3"/>
  <c r="AX11" i="3"/>
  <c r="AI11" i="3"/>
  <c r="U11" i="3"/>
  <c r="F11" i="3"/>
  <c r="BM11" i="3"/>
  <c r="AW11" i="3"/>
  <c r="AH11" i="3"/>
  <c r="S11" i="3"/>
  <c r="E11" i="3"/>
  <c r="BK11" i="3"/>
  <c r="AV11" i="3"/>
  <c r="AG11" i="3"/>
  <c r="R11" i="3"/>
  <c r="D11" i="3"/>
  <c r="BJ11" i="3"/>
  <c r="AU11" i="3"/>
  <c r="AE11" i="3"/>
  <c r="Q11" i="3"/>
  <c r="BI11" i="3"/>
  <c r="AT11" i="3"/>
  <c r="AD11" i="3"/>
  <c r="O11" i="3"/>
  <c r="BH11" i="3"/>
  <c r="AS11" i="3"/>
  <c r="AC11" i="3"/>
  <c r="N11" i="3"/>
  <c r="BG11" i="3"/>
  <c r="AQ11" i="3"/>
  <c r="AA11" i="3"/>
  <c r="M11" i="3"/>
  <c r="BF11" i="3"/>
  <c r="AO11" i="3"/>
  <c r="Z11" i="3"/>
  <c r="L11" i="3"/>
  <c r="X11" i="3"/>
  <c r="W11" i="3"/>
  <c r="V11" i="3"/>
  <c r="BE11" i="3"/>
  <c r="K11" i="3"/>
  <c r="BC11" i="3"/>
  <c r="J11" i="3"/>
  <c r="BA11" i="3"/>
  <c r="I11" i="3"/>
  <c r="AY11" i="3"/>
  <c r="G11" i="3"/>
  <c r="AM11" i="3"/>
  <c r="AK11" i="3"/>
  <c r="AL11" i="3"/>
  <c r="AJ11" i="3"/>
  <c r="Y11" i="3"/>
  <c r="G80" i="4" a="1"/>
  <c r="G71" i="4" a="1"/>
  <c r="G89" i="4" a="1"/>
  <c r="W103" i="4"/>
  <c r="AN103" i="4"/>
  <c r="BG9" i="4"/>
  <c r="AU9" i="4"/>
  <c r="AI9" i="4"/>
  <c r="W9" i="4"/>
  <c r="K9" i="4"/>
  <c r="BF9" i="4"/>
  <c r="AT9" i="4"/>
  <c r="AH9" i="4"/>
  <c r="V9" i="4"/>
  <c r="J9" i="4"/>
  <c r="BE9" i="4"/>
  <c r="AS9" i="4"/>
  <c r="AG9" i="4"/>
  <c r="U9" i="4"/>
  <c r="I9" i="4"/>
  <c r="BM9" i="4"/>
  <c r="BA9" i="4"/>
  <c r="AO9" i="4"/>
  <c r="AC9" i="4"/>
  <c r="Q9" i="4"/>
  <c r="BI9" i="4"/>
  <c r="AP9" i="4"/>
  <c r="Y9" i="4"/>
  <c r="G9" i="4"/>
  <c r="AL9" i="4"/>
  <c r="BB9" i="4"/>
  <c r="R9" i="4"/>
  <c r="AW9" i="4"/>
  <c r="BK9" i="4"/>
  <c r="BH9" i="4"/>
  <c r="AN9" i="4"/>
  <c r="X9" i="4"/>
  <c r="BD9" i="4"/>
  <c r="AM9" i="4"/>
  <c r="T9" i="4"/>
  <c r="BC9" i="4"/>
  <c r="S9" i="4"/>
  <c r="AZ9" i="4"/>
  <c r="AJ9" i="4"/>
  <c r="P9" i="4"/>
  <c r="AD9" i="4"/>
  <c r="BL9" i="4"/>
  <c r="AR9" i="4"/>
  <c r="BN9" i="4"/>
  <c r="AV9" i="4"/>
  <c r="H9" i="4"/>
  <c r="BJ9" i="4"/>
  <c r="Z9" i="4"/>
  <c r="M9" i="4"/>
  <c r="AB9" i="4"/>
  <c r="AA9" i="4"/>
  <c r="AK9" i="4"/>
  <c r="BP9" i="4"/>
  <c r="AY9" i="4"/>
  <c r="AF9" i="4"/>
  <c r="O9" i="4"/>
  <c r="BO9" i="4"/>
  <c r="AX9" i="4"/>
  <c r="AE9" i="4"/>
  <c r="N9" i="4"/>
  <c r="L9" i="4"/>
  <c r="AQ9" i="4"/>
  <c r="AI103" i="4"/>
  <c r="BP10" i="4"/>
  <c r="BD10" i="4"/>
  <c r="AR10" i="4"/>
  <c r="AF10" i="4"/>
  <c r="T10" i="4"/>
  <c r="H10" i="4"/>
  <c r="BO10" i="4"/>
  <c r="BC10" i="4"/>
  <c r="AQ10" i="4"/>
  <c r="AE10" i="4"/>
  <c r="S10" i="4"/>
  <c r="BN10" i="4"/>
  <c r="BB10" i="4"/>
  <c r="AP10" i="4"/>
  <c r="AD10" i="4"/>
  <c r="R10" i="4"/>
  <c r="G10" i="4"/>
  <c r="BJ10" i="4"/>
  <c r="AX10" i="4"/>
  <c r="AL10" i="4"/>
  <c r="Z10" i="4"/>
  <c r="N10" i="4"/>
  <c r="AY10" i="4"/>
  <c r="AH10" i="4"/>
  <c r="O10" i="4"/>
  <c r="AB10" i="4"/>
  <c r="BK10" i="4"/>
  <c r="AT10" i="4"/>
  <c r="J10" i="4"/>
  <c r="BF10" i="4"/>
  <c r="U10" i="4"/>
  <c r="AW10" i="4"/>
  <c r="AG10" i="4"/>
  <c r="M10" i="4"/>
  <c r="BM10" i="4"/>
  <c r="AV10" i="4"/>
  <c r="AC10" i="4"/>
  <c r="L10" i="4"/>
  <c r="BL10" i="4"/>
  <c r="AU10" i="4"/>
  <c r="K10" i="4"/>
  <c r="AS10" i="4"/>
  <c r="I10" i="4"/>
  <c r="AM10" i="4"/>
  <c r="AI10" i="4"/>
  <c r="BE10" i="4"/>
  <c r="BA10" i="4"/>
  <c r="AZ10" i="4"/>
  <c r="Y10" i="4"/>
  <c r="V10" i="4"/>
  <c r="AA10" i="4"/>
  <c r="BI10" i="4"/>
  <c r="AJ10" i="4"/>
  <c r="BH10" i="4"/>
  <c r="AO10" i="4"/>
  <c r="X10" i="4"/>
  <c r="BG10" i="4"/>
  <c r="AN10" i="4"/>
  <c r="W10" i="4"/>
  <c r="AK10" i="4"/>
  <c r="Q10" i="4"/>
  <c r="P10" i="4"/>
  <c r="Q103" i="4"/>
  <c r="Y103" i="4"/>
  <c r="AK103" i="4"/>
  <c r="O103" i="4"/>
  <c r="U103" i="4"/>
  <c r="C288" i="4"/>
  <c r="C287" i="4"/>
  <c r="C286" i="4"/>
  <c r="C285" i="4"/>
  <c r="C289" i="4"/>
  <c r="C300" i="4" l="1" a="1"/>
  <c r="C300" i="4" s="1"/>
  <c r="C316" i="4" a="1"/>
  <c r="C317" i="4" s="1"/>
  <c r="M36" i="2" a="1"/>
  <c r="BI263" i="4"/>
  <c r="BI270" i="4"/>
  <c r="BI268" i="4"/>
  <c r="BI265" i="4"/>
  <c r="BI266" i="4"/>
  <c r="BI272" i="4"/>
  <c r="BI271" i="4"/>
  <c r="BI229" i="4"/>
  <c r="BI267" i="4"/>
  <c r="BI262" i="4"/>
  <c r="BI264" i="4"/>
  <c r="BI269" i="4"/>
  <c r="AU265" i="4"/>
  <c r="AU272" i="4"/>
  <c r="AU268" i="4"/>
  <c r="AU263" i="4"/>
  <c r="AU262" i="4"/>
  <c r="AU270" i="4"/>
  <c r="AU269" i="4"/>
  <c r="AU264" i="4"/>
  <c r="AU229" i="4"/>
  <c r="AU267" i="4"/>
  <c r="AU266" i="4"/>
  <c r="AU271" i="4"/>
  <c r="AT266" i="4"/>
  <c r="AT269" i="4"/>
  <c r="AT264" i="4"/>
  <c r="AT272" i="4"/>
  <c r="AT268" i="4"/>
  <c r="AT270" i="4"/>
  <c r="AT229" i="4"/>
  <c r="AT267" i="4"/>
  <c r="AT263" i="4"/>
  <c r="AT262" i="4"/>
  <c r="AT271" i="4"/>
  <c r="AT265" i="4"/>
  <c r="R270" i="4"/>
  <c r="R266" i="4"/>
  <c r="R263" i="4"/>
  <c r="R262" i="4"/>
  <c r="R229" i="4"/>
  <c r="R268" i="4"/>
  <c r="R264" i="4"/>
  <c r="R272" i="4"/>
  <c r="R269" i="4"/>
  <c r="R267" i="4"/>
  <c r="R265" i="4"/>
  <c r="R271" i="4"/>
  <c r="G85" i="4"/>
  <c r="G83" i="4"/>
  <c r="G81" i="4"/>
  <c r="G80" i="4"/>
  <c r="G84" i="4"/>
  <c r="G82" i="4"/>
  <c r="AL31" i="3" a="1"/>
  <c r="AL31" i="3" s="1"/>
  <c r="AL30" i="3" a="1"/>
  <c r="AL30" i="3" s="1"/>
  <c r="AL33" i="3" a="1"/>
  <c r="AL33" i="3" s="1"/>
  <c r="AL32" i="3" a="1"/>
  <c r="AL32" i="3" s="1"/>
  <c r="AL29" i="3" a="1"/>
  <c r="AL29" i="3" s="1"/>
  <c r="AL28" i="3" a="1"/>
  <c r="AL28" i="3" s="1"/>
  <c r="W33" i="3" a="1"/>
  <c r="W33" i="3" s="1"/>
  <c r="W29" i="3" a="1"/>
  <c r="W29" i="3" s="1"/>
  <c r="W32" i="3" a="1"/>
  <c r="W32" i="3" s="1"/>
  <c r="W31" i="3" a="1"/>
  <c r="W31" i="3" s="1"/>
  <c r="W30" i="3" a="1"/>
  <c r="W30" i="3" s="1"/>
  <c r="W28" i="3" a="1"/>
  <c r="W28" i="3" s="1"/>
  <c r="AS30" i="3" a="1"/>
  <c r="AS30" i="3" s="1"/>
  <c r="AS33" i="3" a="1"/>
  <c r="AS33" i="3" s="1"/>
  <c r="AS29" i="3" a="1"/>
  <c r="AS29" i="3" s="1"/>
  <c r="AS32" i="3" a="1"/>
  <c r="AS32" i="3" s="1"/>
  <c r="AS31" i="3" a="1"/>
  <c r="AS31" i="3" s="1"/>
  <c r="AS28" i="3" a="1"/>
  <c r="AS28" i="3" s="1"/>
  <c r="AG30" i="3" a="1"/>
  <c r="AG30" i="3" s="1"/>
  <c r="AG33" i="3" a="1"/>
  <c r="AG33" i="3" s="1"/>
  <c r="AG29" i="3" a="1"/>
  <c r="AG29" i="3" s="1"/>
  <c r="AG32" i="3" a="1"/>
  <c r="AG32" i="3" s="1"/>
  <c r="AG31" i="3" a="1"/>
  <c r="AG31" i="3" s="1"/>
  <c r="AG28" i="3" a="1"/>
  <c r="AG28" i="3" s="1"/>
  <c r="P30" i="3" a="1"/>
  <c r="P30" i="3" s="1"/>
  <c r="P33" i="3" a="1"/>
  <c r="P33" i="3" s="1"/>
  <c r="P29" i="3" a="1"/>
  <c r="P29" i="3" s="1"/>
  <c r="P32" i="3" a="1"/>
  <c r="P32" i="3" s="1"/>
  <c r="P31" i="3" a="1"/>
  <c r="P31" i="3" s="1"/>
  <c r="P28" i="3" a="1"/>
  <c r="P28" i="3" s="1"/>
  <c r="Q271" i="4"/>
  <c r="Q269" i="4"/>
  <c r="Q263" i="4"/>
  <c r="Q262" i="4"/>
  <c r="Q229" i="4"/>
  <c r="Q268" i="4"/>
  <c r="Q264" i="4"/>
  <c r="Q265" i="4"/>
  <c r="Q270" i="4"/>
  <c r="Q267" i="4"/>
  <c r="Q266" i="4"/>
  <c r="Q272" i="4"/>
  <c r="Y270" i="4"/>
  <c r="Y271" i="4"/>
  <c r="Y265" i="4"/>
  <c r="Y268" i="4"/>
  <c r="Y264" i="4"/>
  <c r="Y267" i="4"/>
  <c r="Y266" i="4"/>
  <c r="Y229" i="4"/>
  <c r="Y263" i="4"/>
  <c r="Y262" i="4"/>
  <c r="Y272" i="4"/>
  <c r="Y269" i="4"/>
  <c r="AC271" i="4"/>
  <c r="AC266" i="4"/>
  <c r="AC263" i="4"/>
  <c r="AC262" i="4"/>
  <c r="AC269" i="4"/>
  <c r="AC229" i="4"/>
  <c r="AC267" i="4"/>
  <c r="AC272" i="4"/>
  <c r="AC265" i="4"/>
  <c r="AC270" i="4"/>
  <c r="AC264" i="4"/>
  <c r="AC268" i="4"/>
  <c r="O268" i="4"/>
  <c r="O266" i="4"/>
  <c r="O269" i="4"/>
  <c r="O263" i="4"/>
  <c r="O262" i="4"/>
  <c r="O267" i="4"/>
  <c r="O271" i="4"/>
  <c r="O265" i="4"/>
  <c r="O270" i="4"/>
  <c r="O264" i="4"/>
  <c r="O272" i="4"/>
  <c r="O229" i="4"/>
  <c r="BB270" i="4"/>
  <c r="BB272" i="4"/>
  <c r="BB271" i="4"/>
  <c r="BB262" i="4"/>
  <c r="BB263" i="4"/>
  <c r="BB229" i="4"/>
  <c r="BB266" i="4"/>
  <c r="BB268" i="4"/>
  <c r="BB267" i="4"/>
  <c r="BB265" i="4"/>
  <c r="BB264" i="4"/>
  <c r="BB269" i="4"/>
  <c r="G32" i="3" a="1"/>
  <c r="G32" i="3" s="1"/>
  <c r="G31" i="3" a="1"/>
  <c r="G31" i="3" s="1"/>
  <c r="G30" i="3" a="1"/>
  <c r="G30" i="3" s="1"/>
  <c r="G33" i="3" a="1"/>
  <c r="G33" i="3" s="1"/>
  <c r="G29" i="3" a="1"/>
  <c r="G29" i="3" s="1"/>
  <c r="G28" i="3" a="1"/>
  <c r="G28" i="3" s="1"/>
  <c r="Z31" i="3" a="1"/>
  <c r="Z31" i="3" s="1"/>
  <c r="Z30" i="3" a="1"/>
  <c r="Z30" i="3" s="1"/>
  <c r="Z33" i="3" a="1"/>
  <c r="Z33" i="3" s="1"/>
  <c r="Z32" i="3" a="1"/>
  <c r="Z32" i="3" s="1"/>
  <c r="Z29" i="3" a="1"/>
  <c r="Z29" i="3" s="1"/>
  <c r="Z28" i="3" a="1"/>
  <c r="Z28" i="3" s="1"/>
  <c r="AD32" i="3" a="1"/>
  <c r="AD32" i="3" s="1"/>
  <c r="AD31" i="3" a="1"/>
  <c r="AD31" i="3" s="1"/>
  <c r="AD30" i="3" a="1"/>
  <c r="AD30" i="3" s="1"/>
  <c r="AD29" i="3" a="1"/>
  <c r="AD29" i="3" s="1"/>
  <c r="AD33" i="3" a="1"/>
  <c r="AD33" i="3" s="1"/>
  <c r="AD28" i="3" a="1"/>
  <c r="AD28" i="3" s="1"/>
  <c r="E33" i="3" a="1"/>
  <c r="E33" i="3" s="1"/>
  <c r="E29" i="3" a="1"/>
  <c r="E29" i="3" s="1"/>
  <c r="E32" i="3" a="1"/>
  <c r="E32" i="3" s="1"/>
  <c r="E31" i="3" a="1"/>
  <c r="E31" i="3" s="1"/>
  <c r="E30" i="3" a="1"/>
  <c r="E30" i="3" s="1"/>
  <c r="E28" i="3" a="1"/>
  <c r="E28" i="3" s="1"/>
  <c r="AZ30" i="3" a="1"/>
  <c r="AZ30" i="3" s="1"/>
  <c r="AZ33" i="3" a="1"/>
  <c r="AZ33" i="3" s="1"/>
  <c r="AZ29" i="3" a="1"/>
  <c r="AZ29" i="3" s="1"/>
  <c r="AZ32" i="3" a="1"/>
  <c r="AZ32" i="3" s="1"/>
  <c r="AZ31" i="3" a="1"/>
  <c r="AZ31" i="3" s="1"/>
  <c r="AZ28" i="3" a="1"/>
  <c r="AZ28" i="3" s="1"/>
  <c r="AA268" i="4"/>
  <c r="AA271" i="4"/>
  <c r="AA265" i="4"/>
  <c r="AA270" i="4"/>
  <c r="AA266" i="4"/>
  <c r="AA263" i="4"/>
  <c r="AA262" i="4"/>
  <c r="AA272" i="4"/>
  <c r="AA267" i="4"/>
  <c r="AA229" i="4"/>
  <c r="AA269" i="4"/>
  <c r="AA264" i="4"/>
  <c r="BK268" i="4"/>
  <c r="BK269" i="4"/>
  <c r="BK265" i="4"/>
  <c r="BK272" i="4"/>
  <c r="BK267" i="4"/>
  <c r="BK262" i="4"/>
  <c r="BK270" i="4"/>
  <c r="BK271" i="4"/>
  <c r="BK229" i="4"/>
  <c r="BK264" i="4"/>
  <c r="BK263" i="4"/>
  <c r="BK266" i="4"/>
  <c r="AK32" i="3" a="1"/>
  <c r="AK32" i="3" s="1"/>
  <c r="AK31" i="3" a="1"/>
  <c r="AK31" i="3" s="1"/>
  <c r="AK30" i="3" a="1"/>
  <c r="AK30" i="3" s="1"/>
  <c r="AK33" i="3" a="1"/>
  <c r="AK33" i="3" s="1"/>
  <c r="AK29" i="3" a="1"/>
  <c r="AK29" i="3" s="1"/>
  <c r="AK28" i="3" a="1"/>
  <c r="AK28" i="3" s="1"/>
  <c r="BH32" i="3" a="1"/>
  <c r="BH32" i="3" s="1"/>
  <c r="BH31" i="3" a="1"/>
  <c r="BH31" i="3" s="1"/>
  <c r="BH30" i="3" a="1"/>
  <c r="BH30" i="3" s="1"/>
  <c r="BH33" i="3" a="1"/>
  <c r="BH33" i="3" s="1"/>
  <c r="BH29" i="3" a="1"/>
  <c r="BH29" i="3" s="1"/>
  <c r="BH28" i="3" a="1"/>
  <c r="BH28" i="3" s="1"/>
  <c r="AB30" i="3" a="1"/>
  <c r="AB30" i="3" s="1"/>
  <c r="AB33" i="3" a="1"/>
  <c r="AB33" i="3" s="1"/>
  <c r="AB29" i="3" a="1"/>
  <c r="AB29" i="3" s="1"/>
  <c r="AB32" i="3" a="1"/>
  <c r="AB32" i="3" s="1"/>
  <c r="AB31" i="3" a="1"/>
  <c r="AB31" i="3" s="1"/>
  <c r="AB28" i="3" a="1"/>
  <c r="AB28" i="3" s="1"/>
  <c r="P272" i="4"/>
  <c r="P267" i="4"/>
  <c r="P270" i="4"/>
  <c r="P266" i="4"/>
  <c r="P269" i="4"/>
  <c r="P263" i="4"/>
  <c r="P262" i="4"/>
  <c r="P229" i="4"/>
  <c r="P271" i="4"/>
  <c r="P265" i="4"/>
  <c r="P268" i="4"/>
  <c r="P264" i="4"/>
  <c r="L264" i="4"/>
  <c r="L271" i="4"/>
  <c r="L267" i="4"/>
  <c r="L265" i="4"/>
  <c r="L270" i="4"/>
  <c r="L268" i="4"/>
  <c r="L272" i="4"/>
  <c r="L269" i="4"/>
  <c r="L229" i="4"/>
  <c r="L266" i="4"/>
  <c r="L262" i="4"/>
  <c r="L263" i="4"/>
  <c r="AP270" i="4"/>
  <c r="AP271" i="4"/>
  <c r="AP266" i="4"/>
  <c r="AP263" i="4"/>
  <c r="AP262" i="4"/>
  <c r="AP229" i="4"/>
  <c r="AP269" i="4"/>
  <c r="AP272" i="4"/>
  <c r="AP265" i="4"/>
  <c r="AP264" i="4"/>
  <c r="AP268" i="4"/>
  <c r="AP267" i="4"/>
  <c r="AM30" i="3" a="1"/>
  <c r="AM30" i="3" s="1"/>
  <c r="AM33" i="3" a="1"/>
  <c r="AM33" i="3" s="1"/>
  <c r="AM29" i="3" a="1"/>
  <c r="AM29" i="3" s="1"/>
  <c r="AM32" i="3" a="1"/>
  <c r="AM32" i="3" s="1"/>
  <c r="AM31" i="3" a="1"/>
  <c r="AM31" i="3" s="1"/>
  <c r="AM28" i="3" a="1"/>
  <c r="AM28" i="3" s="1"/>
  <c r="O30" i="3" a="1"/>
  <c r="O30" i="3" s="1"/>
  <c r="O33" i="3" a="1"/>
  <c r="O33" i="3" s="1"/>
  <c r="O29" i="3" a="1"/>
  <c r="O29" i="3" s="1"/>
  <c r="O32" i="3" a="1"/>
  <c r="O32" i="3" s="1"/>
  <c r="O31" i="3" a="1"/>
  <c r="O31" i="3" s="1"/>
  <c r="O28" i="3" a="1"/>
  <c r="O28" i="3" s="1"/>
  <c r="AN30" i="3" a="1"/>
  <c r="AN30" i="3" s="1"/>
  <c r="AN33" i="3" a="1"/>
  <c r="AN33" i="3" s="1"/>
  <c r="AN29" i="3" a="1"/>
  <c r="AN29" i="3" s="1"/>
  <c r="AN32" i="3" a="1"/>
  <c r="AN32" i="3" s="1"/>
  <c r="AN31" i="3" a="1"/>
  <c r="AN31" i="3" s="1"/>
  <c r="AN28" i="3" a="1"/>
  <c r="AN28" i="3" s="1"/>
  <c r="AK270" i="4"/>
  <c r="AK268" i="4"/>
  <c r="AK267" i="4"/>
  <c r="AK265" i="4"/>
  <c r="AK271" i="4"/>
  <c r="AK269" i="4"/>
  <c r="AK272" i="4"/>
  <c r="AK264" i="4"/>
  <c r="AK266" i="4"/>
  <c r="AK263" i="4"/>
  <c r="AK262" i="4"/>
  <c r="AK229" i="4"/>
  <c r="AZ272" i="4"/>
  <c r="AZ267" i="4"/>
  <c r="AZ268" i="4"/>
  <c r="AZ271" i="4"/>
  <c r="AZ262" i="4"/>
  <c r="AZ266" i="4"/>
  <c r="AZ263" i="4"/>
  <c r="AZ229" i="4"/>
  <c r="AZ269" i="4"/>
  <c r="AZ264" i="4"/>
  <c r="AZ265" i="4"/>
  <c r="AZ270" i="4"/>
  <c r="AV264" i="4"/>
  <c r="AV271" i="4"/>
  <c r="AV269" i="4"/>
  <c r="AV268" i="4"/>
  <c r="AV272" i="4"/>
  <c r="AV265" i="4"/>
  <c r="AV270" i="4"/>
  <c r="AV266" i="4"/>
  <c r="AV229" i="4"/>
  <c r="AV267" i="4"/>
  <c r="AV263" i="4"/>
  <c r="AV262" i="4"/>
  <c r="AH266" i="4"/>
  <c r="AH269" i="4"/>
  <c r="AH272" i="4"/>
  <c r="AH268" i="4"/>
  <c r="AH265" i="4"/>
  <c r="AH270" i="4"/>
  <c r="AH263" i="4"/>
  <c r="AH262" i="4"/>
  <c r="AH271" i="4"/>
  <c r="AH267" i="4"/>
  <c r="AH264" i="4"/>
  <c r="AH229" i="4"/>
  <c r="BN270" i="4"/>
  <c r="BN268" i="4"/>
  <c r="BN265" i="4"/>
  <c r="BN262" i="4"/>
  <c r="BN272" i="4"/>
  <c r="BN267" i="4"/>
  <c r="BN229" i="4"/>
  <c r="BN271" i="4"/>
  <c r="BN263" i="4"/>
  <c r="BN269" i="4"/>
  <c r="BN264" i="4"/>
  <c r="BN266" i="4"/>
  <c r="AY30" i="3" a="1"/>
  <c r="AY30" i="3" s="1"/>
  <c r="AY33" i="3" a="1"/>
  <c r="AY33" i="3" s="1"/>
  <c r="AY29" i="3" a="1"/>
  <c r="AY29" i="3" s="1"/>
  <c r="AY32" i="3" a="1"/>
  <c r="AY32" i="3" s="1"/>
  <c r="AY31" i="3" a="1"/>
  <c r="AY31" i="3" s="1"/>
  <c r="AY28" i="3" a="1"/>
  <c r="AY28" i="3" s="1"/>
  <c r="AO33" i="3" a="1"/>
  <c r="AO33" i="3" s="1"/>
  <c r="AO29" i="3" a="1"/>
  <c r="AO29" i="3" s="1"/>
  <c r="AO32" i="3" a="1"/>
  <c r="AO32" i="3" s="1"/>
  <c r="AO31" i="3" a="1"/>
  <c r="AO31" i="3" s="1"/>
  <c r="AO30" i="3" a="1"/>
  <c r="AO30" i="3" s="1"/>
  <c r="AO28" i="3" a="1"/>
  <c r="AO28" i="3" s="1"/>
  <c r="AT30" i="3" a="1"/>
  <c r="AT30" i="3" s="1"/>
  <c r="AT33" i="3" a="1"/>
  <c r="AT33" i="3" s="1"/>
  <c r="AT29" i="3" a="1"/>
  <c r="AT29" i="3" s="1"/>
  <c r="AT32" i="3" a="1"/>
  <c r="AT32" i="3" s="1"/>
  <c r="AT31" i="3" a="1"/>
  <c r="AT31" i="3" s="1"/>
  <c r="AT28" i="3" a="1"/>
  <c r="AT28" i="3" s="1"/>
  <c r="S32" i="3" a="1"/>
  <c r="S32" i="3" s="1"/>
  <c r="S31" i="3" a="1"/>
  <c r="S31" i="3" s="1"/>
  <c r="S30" i="3" a="1"/>
  <c r="S30" i="3" s="1"/>
  <c r="S29" i="3" a="1"/>
  <c r="S29" i="3" s="1"/>
  <c r="S33" i="3" a="1"/>
  <c r="S33" i="3" s="1"/>
  <c r="S28" i="3" a="1"/>
  <c r="S28" i="3" s="1"/>
  <c r="BL30" i="3" a="1"/>
  <c r="BL30" i="3" s="1"/>
  <c r="BL33" i="3" a="1"/>
  <c r="BL33" i="3" s="1"/>
  <c r="BL29" i="3" a="1"/>
  <c r="BL29" i="3" s="1"/>
  <c r="BL32" i="3" a="1"/>
  <c r="BL32" i="3" s="1"/>
  <c r="BL31" i="3" a="1"/>
  <c r="BL31" i="3" s="1"/>
  <c r="BL28" i="3" a="1"/>
  <c r="BL28" i="3" s="1"/>
  <c r="BL272" i="4"/>
  <c r="BL267" i="4"/>
  <c r="BL268" i="4"/>
  <c r="BL265" i="4"/>
  <c r="BL262" i="4"/>
  <c r="BL271" i="4"/>
  <c r="BL229" i="4"/>
  <c r="BL270" i="4"/>
  <c r="BL264" i="4"/>
  <c r="BL269" i="4"/>
  <c r="BL266" i="4"/>
  <c r="BL263" i="4"/>
  <c r="AD270" i="4"/>
  <c r="AD263" i="4"/>
  <c r="AD262" i="4"/>
  <c r="AD269" i="4"/>
  <c r="AD229" i="4"/>
  <c r="AD264" i="4"/>
  <c r="AD267" i="4"/>
  <c r="AD265" i="4"/>
  <c r="AD266" i="4"/>
  <c r="AD272" i="4"/>
  <c r="AD271" i="4"/>
  <c r="AD268" i="4"/>
  <c r="X32" i="3" a="1"/>
  <c r="X32" i="3" s="1"/>
  <c r="X31" i="3" a="1"/>
  <c r="X31" i="3" s="1"/>
  <c r="X30" i="3" a="1"/>
  <c r="X30" i="3" s="1"/>
  <c r="X33" i="3" a="1"/>
  <c r="X33" i="3" s="1"/>
  <c r="X29" i="3" a="1"/>
  <c r="X29" i="3" s="1"/>
  <c r="X28" i="3" a="1"/>
  <c r="X28" i="3" s="1"/>
  <c r="AV32" i="3" a="1"/>
  <c r="AV32" i="3" s="1"/>
  <c r="AV31" i="3" a="1"/>
  <c r="AV31" i="3" s="1"/>
  <c r="AV30" i="3" a="1"/>
  <c r="AV30" i="3" s="1"/>
  <c r="AV29" i="3" a="1"/>
  <c r="AV29" i="3" s="1"/>
  <c r="AV33" i="3" a="1"/>
  <c r="AV33" i="3" s="1"/>
  <c r="AV28" i="3" a="1"/>
  <c r="AV28" i="3" s="1"/>
  <c r="V266" i="4"/>
  <c r="V264" i="4"/>
  <c r="V271" i="4"/>
  <c r="V267" i="4"/>
  <c r="V265" i="4"/>
  <c r="V269" i="4"/>
  <c r="V268" i="4"/>
  <c r="V263" i="4"/>
  <c r="V262" i="4"/>
  <c r="V229" i="4"/>
  <c r="V270" i="4"/>
  <c r="V272" i="4"/>
  <c r="AB272" i="4"/>
  <c r="AB267" i="4"/>
  <c r="AB270" i="4"/>
  <c r="AB266" i="4"/>
  <c r="AB263" i="4"/>
  <c r="AB262" i="4"/>
  <c r="AB269" i="4"/>
  <c r="AB229" i="4"/>
  <c r="AB271" i="4"/>
  <c r="AB265" i="4"/>
  <c r="AB264" i="4"/>
  <c r="AB268" i="4"/>
  <c r="L32" i="3" a="1"/>
  <c r="L32" i="3" s="1"/>
  <c r="L31" i="3" a="1"/>
  <c r="L31" i="3" s="1"/>
  <c r="L30" i="3" a="1"/>
  <c r="L30" i="3" s="1"/>
  <c r="L33" i="3" a="1"/>
  <c r="L33" i="3" s="1"/>
  <c r="L29" i="3" a="1"/>
  <c r="L29" i="3" s="1"/>
  <c r="L28" i="3" a="1"/>
  <c r="L28" i="3" s="1"/>
  <c r="BK30" i="3" a="1"/>
  <c r="BK30" i="3" s="1"/>
  <c r="BK33" i="3" a="1"/>
  <c r="BK33" i="3" s="1"/>
  <c r="BK29" i="3" a="1"/>
  <c r="BK29" i="3" s="1"/>
  <c r="BK32" i="3" a="1"/>
  <c r="BK32" i="3" s="1"/>
  <c r="BK31" i="3" a="1"/>
  <c r="BK31" i="3" s="1"/>
  <c r="BK28" i="3" a="1"/>
  <c r="BK28" i="3" s="1"/>
  <c r="W265" i="4"/>
  <c r="W272" i="4"/>
  <c r="W268" i="4"/>
  <c r="W271" i="4"/>
  <c r="W267" i="4"/>
  <c r="W269" i="4"/>
  <c r="W263" i="4"/>
  <c r="W262" i="4"/>
  <c r="W264" i="4"/>
  <c r="W266" i="4"/>
  <c r="W229" i="4"/>
  <c r="W270" i="4"/>
  <c r="BA271" i="4"/>
  <c r="BA266" i="4"/>
  <c r="BA265" i="4"/>
  <c r="BA267" i="4"/>
  <c r="BA262" i="4"/>
  <c r="BA263" i="4"/>
  <c r="BA229" i="4"/>
  <c r="BA270" i="4"/>
  <c r="BA268" i="4"/>
  <c r="BA264" i="4"/>
  <c r="BA272" i="4"/>
  <c r="BA269" i="4"/>
  <c r="BM271" i="4"/>
  <c r="BM266" i="4"/>
  <c r="BM262" i="4"/>
  <c r="BM272" i="4"/>
  <c r="BM267" i="4"/>
  <c r="BM229" i="4"/>
  <c r="BM263" i="4"/>
  <c r="BM264" i="4"/>
  <c r="BM265" i="4"/>
  <c r="BM270" i="4"/>
  <c r="BM269" i="4"/>
  <c r="BM268" i="4"/>
  <c r="AY268" i="4"/>
  <c r="AY272" i="4"/>
  <c r="AY265" i="4"/>
  <c r="AY267" i="4"/>
  <c r="AY271" i="4"/>
  <c r="AY262" i="4"/>
  <c r="AY269" i="4"/>
  <c r="AY264" i="4"/>
  <c r="AY266" i="4"/>
  <c r="AY263" i="4"/>
  <c r="AY270" i="4"/>
  <c r="AY229" i="4"/>
  <c r="S269" i="4"/>
  <c r="S229" i="4"/>
  <c r="S268" i="4"/>
  <c r="S264" i="4"/>
  <c r="S272" i="4"/>
  <c r="S270" i="4"/>
  <c r="S267" i="4"/>
  <c r="S266" i="4"/>
  <c r="S265" i="4"/>
  <c r="S263" i="4"/>
  <c r="S262" i="4"/>
  <c r="S271" i="4"/>
  <c r="I30" i="3" a="1"/>
  <c r="I30" i="3" s="1"/>
  <c r="I33" i="3" a="1"/>
  <c r="I33" i="3" s="1"/>
  <c r="I29" i="3" a="1"/>
  <c r="I29" i="3" s="1"/>
  <c r="I32" i="3" a="1"/>
  <c r="I32" i="3" s="1"/>
  <c r="I31" i="3" a="1"/>
  <c r="I31" i="3" s="1"/>
  <c r="I28" i="3" a="1"/>
  <c r="I28" i="3" s="1"/>
  <c r="BF30" i="3" a="1"/>
  <c r="BF30" i="3" s="1"/>
  <c r="BF33" i="3" a="1"/>
  <c r="BF33" i="3" s="1"/>
  <c r="BF29" i="3" a="1"/>
  <c r="BF29" i="3" s="1"/>
  <c r="BF32" i="3" a="1"/>
  <c r="BF32" i="3" s="1"/>
  <c r="BF31" i="3" a="1"/>
  <c r="BF31" i="3" s="1"/>
  <c r="BF28" i="3" a="1"/>
  <c r="BF28" i="3" s="1"/>
  <c r="BI32" i="3" a="1"/>
  <c r="BI32" i="3" s="1"/>
  <c r="BI31" i="3" a="1"/>
  <c r="BI31" i="3" s="1"/>
  <c r="BI30" i="3" a="1"/>
  <c r="BI30" i="3" s="1"/>
  <c r="BI33" i="3" a="1"/>
  <c r="BI33" i="3" s="1"/>
  <c r="BI29" i="3" a="1"/>
  <c r="BI29" i="3" s="1"/>
  <c r="BI28" i="3" a="1"/>
  <c r="BI28" i="3" s="1"/>
  <c r="AH30" i="3" a="1"/>
  <c r="AH30" i="3" s="1"/>
  <c r="AH33" i="3" a="1"/>
  <c r="AH33" i="3" s="1"/>
  <c r="AH29" i="3" a="1"/>
  <c r="AH29" i="3" s="1"/>
  <c r="AH32" i="3" a="1"/>
  <c r="AH32" i="3" s="1"/>
  <c r="AH31" i="3" a="1"/>
  <c r="AH31" i="3" s="1"/>
  <c r="AH28" i="3" a="1"/>
  <c r="AH28" i="3" s="1"/>
  <c r="AP32" i="3" a="1"/>
  <c r="AP32" i="3" s="1"/>
  <c r="AP31" i="3" a="1"/>
  <c r="AP31" i="3" s="1"/>
  <c r="AP30" i="3" a="1"/>
  <c r="AP30" i="3" s="1"/>
  <c r="AP29" i="3" a="1"/>
  <c r="AP29" i="3" s="1"/>
  <c r="AP33" i="3" a="1"/>
  <c r="AP33" i="3" s="1"/>
  <c r="AP28" i="3" a="1"/>
  <c r="AP28" i="3" s="1"/>
  <c r="AN272" i="4"/>
  <c r="AN267" i="4"/>
  <c r="AN265" i="4"/>
  <c r="AN270" i="4"/>
  <c r="AN266" i="4"/>
  <c r="AN263" i="4"/>
  <c r="AN262" i="4"/>
  <c r="AN229" i="4"/>
  <c r="AN271" i="4"/>
  <c r="AN269" i="4"/>
  <c r="AN264" i="4"/>
  <c r="AN268" i="4"/>
  <c r="BE267" i="4"/>
  <c r="BE263" i="4"/>
  <c r="BE229" i="4"/>
  <c r="BE270" i="4"/>
  <c r="BE264" i="4"/>
  <c r="BE269" i="4"/>
  <c r="BE272" i="4"/>
  <c r="BE262" i="4"/>
  <c r="BE266" i="4"/>
  <c r="BE265" i="4"/>
  <c r="BE271" i="4"/>
  <c r="BE268" i="4"/>
  <c r="M270" i="4"/>
  <c r="M271" i="4"/>
  <c r="M269" i="4"/>
  <c r="M266" i="4"/>
  <c r="M272" i="4"/>
  <c r="M264" i="4"/>
  <c r="M265" i="4"/>
  <c r="M268" i="4"/>
  <c r="M267" i="4"/>
  <c r="M229" i="4"/>
  <c r="M263" i="4"/>
  <c r="M262" i="4"/>
  <c r="N269" i="4"/>
  <c r="N265" i="4"/>
  <c r="N270" i="4"/>
  <c r="N266" i="4"/>
  <c r="N271" i="4"/>
  <c r="N268" i="4"/>
  <c r="N264" i="4"/>
  <c r="N267" i="4"/>
  <c r="N272" i="4"/>
  <c r="N263" i="4"/>
  <c r="N262" i="4"/>
  <c r="N229" i="4"/>
  <c r="AE269" i="4"/>
  <c r="AE270" i="4"/>
  <c r="AE266" i="4"/>
  <c r="AE229" i="4"/>
  <c r="AE264" i="4"/>
  <c r="AE268" i="4"/>
  <c r="AE271" i="4"/>
  <c r="AE263" i="4"/>
  <c r="AE262" i="4"/>
  <c r="AE272" i="4"/>
  <c r="AE265" i="4"/>
  <c r="AE267" i="4"/>
  <c r="BA33" i="3" a="1"/>
  <c r="BA33" i="3" s="1"/>
  <c r="BA29" i="3" a="1"/>
  <c r="BA29" i="3" s="1"/>
  <c r="BA32" i="3" a="1"/>
  <c r="BA32" i="3" s="1"/>
  <c r="BA31" i="3" a="1"/>
  <c r="BA31" i="3" s="1"/>
  <c r="BA30" i="3" a="1"/>
  <c r="BA30" i="3" s="1"/>
  <c r="BA28" i="3" a="1"/>
  <c r="BA28" i="3" s="1"/>
  <c r="M32" i="3" a="1"/>
  <c r="M32" i="3" s="1"/>
  <c r="M31" i="3" a="1"/>
  <c r="M31" i="3" s="1"/>
  <c r="M30" i="3" a="1"/>
  <c r="M30" i="3" s="1"/>
  <c r="M33" i="3" a="1"/>
  <c r="M33" i="3" s="1"/>
  <c r="M29" i="3" a="1"/>
  <c r="M29" i="3" s="1"/>
  <c r="M28" i="3" a="1"/>
  <c r="M28" i="3" s="1"/>
  <c r="Q33" i="3" a="1"/>
  <c r="Q33" i="3" s="1"/>
  <c r="Q29" i="3" a="1"/>
  <c r="Q29" i="3" s="1"/>
  <c r="Q32" i="3" a="1"/>
  <c r="Q32" i="3" s="1"/>
  <c r="Q31" i="3" a="1"/>
  <c r="Q31" i="3" s="1"/>
  <c r="Q30" i="3" a="1"/>
  <c r="Q30" i="3" s="1"/>
  <c r="Q28" i="3" a="1"/>
  <c r="Q28" i="3" s="1"/>
  <c r="AW32" i="3" a="1"/>
  <c r="AW32" i="3" s="1"/>
  <c r="AW31" i="3" a="1"/>
  <c r="AW31" i="3" s="1"/>
  <c r="AW30" i="3" a="1"/>
  <c r="AW30" i="3" s="1"/>
  <c r="AW29" i="3" a="1"/>
  <c r="AW29" i="3" s="1"/>
  <c r="AW33" i="3" a="1"/>
  <c r="AW33" i="3" s="1"/>
  <c r="AW28" i="3" a="1"/>
  <c r="AW28" i="3" s="1"/>
  <c r="BB32" i="3" a="1"/>
  <c r="BB32" i="3" s="1"/>
  <c r="BB31" i="3" a="1"/>
  <c r="BB31" i="3" s="1"/>
  <c r="BB30" i="3" a="1"/>
  <c r="BB30" i="3" s="1"/>
  <c r="BB33" i="3" a="1"/>
  <c r="BB33" i="3" s="1"/>
  <c r="BB29" i="3" a="1"/>
  <c r="BB29" i="3" s="1"/>
  <c r="BB28" i="3" a="1"/>
  <c r="BB28" i="3" s="1"/>
  <c r="BG265" i="4"/>
  <c r="BG272" i="4"/>
  <c r="BG270" i="4"/>
  <c r="BG266" i="4"/>
  <c r="BG264" i="4"/>
  <c r="BG269" i="4"/>
  <c r="BG271" i="4"/>
  <c r="BG267" i="4"/>
  <c r="BG262" i="4"/>
  <c r="BG263" i="4"/>
  <c r="BG229" i="4"/>
  <c r="BG268" i="4"/>
  <c r="AI265" i="4"/>
  <c r="AI272" i="4"/>
  <c r="AI264" i="4"/>
  <c r="AI268" i="4"/>
  <c r="AI271" i="4"/>
  <c r="AI267" i="4"/>
  <c r="AI266" i="4"/>
  <c r="AI263" i="4"/>
  <c r="AI262" i="4"/>
  <c r="AI270" i="4"/>
  <c r="AI269" i="4"/>
  <c r="AI229" i="4"/>
  <c r="AG267" i="4"/>
  <c r="AG229" i="4"/>
  <c r="AG264" i="4"/>
  <c r="AG272" i="4"/>
  <c r="AG268" i="4"/>
  <c r="AG266" i="4"/>
  <c r="AG263" i="4"/>
  <c r="AG262" i="4"/>
  <c r="AG265" i="4"/>
  <c r="AG271" i="4"/>
  <c r="AG270" i="4"/>
  <c r="AG269" i="4"/>
  <c r="Z269" i="4"/>
  <c r="Z267" i="4"/>
  <c r="Z270" i="4"/>
  <c r="Z266" i="4"/>
  <c r="Z268" i="4"/>
  <c r="Z264" i="4"/>
  <c r="Z229" i="4"/>
  <c r="Z263" i="4"/>
  <c r="Z262" i="4"/>
  <c r="Z272" i="4"/>
  <c r="Z271" i="4"/>
  <c r="Z265" i="4"/>
  <c r="AQ269" i="4"/>
  <c r="AQ270" i="4"/>
  <c r="AQ229" i="4"/>
  <c r="AQ264" i="4"/>
  <c r="AQ265" i="4"/>
  <c r="AQ271" i="4"/>
  <c r="AQ268" i="4"/>
  <c r="AQ267" i="4"/>
  <c r="AQ263" i="4"/>
  <c r="AQ262" i="4"/>
  <c r="AQ266" i="4"/>
  <c r="AQ272" i="4"/>
  <c r="J30" i="3" a="1"/>
  <c r="J30" i="3" s="1"/>
  <c r="J33" i="3" a="1"/>
  <c r="J33" i="3" s="1"/>
  <c r="J29" i="3" a="1"/>
  <c r="J29" i="3" s="1"/>
  <c r="J32" i="3" a="1"/>
  <c r="J32" i="3" s="1"/>
  <c r="J31" i="3" a="1"/>
  <c r="J31" i="3" s="1"/>
  <c r="J28" i="3" a="1"/>
  <c r="J28" i="3" s="1"/>
  <c r="AA30" i="3" a="1"/>
  <c r="AA30" i="3" s="1"/>
  <c r="AA33" i="3" a="1"/>
  <c r="AA33" i="3" s="1"/>
  <c r="AA29" i="3" a="1"/>
  <c r="AA29" i="3" s="1"/>
  <c r="AA32" i="3" a="1"/>
  <c r="AA32" i="3" s="1"/>
  <c r="AA31" i="3" a="1"/>
  <c r="AA31" i="3" s="1"/>
  <c r="AA28" i="3" a="1"/>
  <c r="AA28" i="3" s="1"/>
  <c r="AE32" i="3" a="1"/>
  <c r="AE32" i="3" s="1"/>
  <c r="AE31" i="3" a="1"/>
  <c r="AE31" i="3" s="1"/>
  <c r="AE30" i="3" a="1"/>
  <c r="AE30" i="3" s="1"/>
  <c r="AE29" i="3" a="1"/>
  <c r="AE29" i="3" s="1"/>
  <c r="AE33" i="3" a="1"/>
  <c r="AE33" i="3" s="1"/>
  <c r="AE28" i="3" a="1"/>
  <c r="AE28" i="3" s="1"/>
  <c r="BM33" i="3" a="1"/>
  <c r="BM33" i="3" s="1"/>
  <c r="BM29" i="3" a="1"/>
  <c r="BM29" i="3" s="1"/>
  <c r="BM32" i="3" a="1"/>
  <c r="BM32" i="3" s="1"/>
  <c r="BM31" i="3" a="1"/>
  <c r="BM31" i="3" s="1"/>
  <c r="BM30" i="3" a="1"/>
  <c r="BM30" i="3" s="1"/>
  <c r="BM28" i="3" a="1"/>
  <c r="BM28" i="3" s="1"/>
  <c r="H31" i="3" a="1"/>
  <c r="H31" i="3" s="1"/>
  <c r="H30" i="3" a="1"/>
  <c r="H30" i="3" s="1"/>
  <c r="H33" i="3" a="1"/>
  <c r="H33" i="3" s="1"/>
  <c r="H29" i="3" a="1"/>
  <c r="H29" i="3" s="1"/>
  <c r="H32" i="3" a="1"/>
  <c r="H32" i="3" s="1"/>
  <c r="H28" i="3" a="1"/>
  <c r="H28" i="3" s="1"/>
  <c r="X264" i="4"/>
  <c r="X271" i="4"/>
  <c r="X272" i="4"/>
  <c r="X267" i="4"/>
  <c r="X265" i="4"/>
  <c r="X270" i="4"/>
  <c r="X268" i="4"/>
  <c r="X266" i="4"/>
  <c r="X229" i="4"/>
  <c r="X263" i="4"/>
  <c r="X262" i="4"/>
  <c r="X269" i="4"/>
  <c r="AM268" i="4"/>
  <c r="AM271" i="4"/>
  <c r="AM270" i="4"/>
  <c r="AM266" i="4"/>
  <c r="AM263" i="4"/>
  <c r="AM262" i="4"/>
  <c r="AM264" i="4"/>
  <c r="AM272" i="4"/>
  <c r="AM265" i="4"/>
  <c r="AM269" i="4"/>
  <c r="AM229" i="4"/>
  <c r="AM267" i="4"/>
  <c r="AW263" i="4"/>
  <c r="AW270" i="4"/>
  <c r="AW264" i="4"/>
  <c r="AW268" i="4"/>
  <c r="AW272" i="4"/>
  <c r="AW265" i="4"/>
  <c r="AW267" i="4"/>
  <c r="AW269" i="4"/>
  <c r="AW229" i="4"/>
  <c r="AW262" i="4"/>
  <c r="AW266" i="4"/>
  <c r="AW271" i="4"/>
  <c r="AL269" i="4"/>
  <c r="AL272" i="4"/>
  <c r="AL267" i="4"/>
  <c r="AL265" i="4"/>
  <c r="AL271" i="4"/>
  <c r="AL270" i="4"/>
  <c r="AL264" i="4"/>
  <c r="AL268" i="4"/>
  <c r="AL229" i="4"/>
  <c r="AL263" i="4"/>
  <c r="AL262" i="4"/>
  <c r="AL266" i="4"/>
  <c r="BC269" i="4"/>
  <c r="BC267" i="4"/>
  <c r="BC263" i="4"/>
  <c r="BC229" i="4"/>
  <c r="BC266" i="4"/>
  <c r="BC270" i="4"/>
  <c r="BC268" i="4"/>
  <c r="BC262" i="4"/>
  <c r="BC265" i="4"/>
  <c r="BC272" i="4"/>
  <c r="BC271" i="4"/>
  <c r="BC264" i="4"/>
  <c r="BC32" i="3" a="1"/>
  <c r="BC32" i="3" s="1"/>
  <c r="BC31" i="3" a="1"/>
  <c r="BC31" i="3" s="1"/>
  <c r="BC30" i="3" a="1"/>
  <c r="BC30" i="3" s="1"/>
  <c r="BC33" i="3" a="1"/>
  <c r="BC33" i="3" s="1"/>
  <c r="BC29" i="3" a="1"/>
  <c r="BC29" i="3" s="1"/>
  <c r="BC28" i="3" a="1"/>
  <c r="BC28" i="3" s="1"/>
  <c r="AQ32" i="3" a="1"/>
  <c r="AQ32" i="3" s="1"/>
  <c r="AQ31" i="3" a="1"/>
  <c r="AQ31" i="3" s="1"/>
  <c r="AQ30" i="3" a="1"/>
  <c r="AQ30" i="3" s="1"/>
  <c r="AQ29" i="3" a="1"/>
  <c r="AQ29" i="3" s="1"/>
  <c r="AQ33" i="3" a="1"/>
  <c r="AQ33" i="3" s="1"/>
  <c r="AQ28" i="3" a="1"/>
  <c r="AQ28" i="3" s="1"/>
  <c r="AU33" i="3" a="1"/>
  <c r="AU33" i="3" s="1"/>
  <c r="AU29" i="3" a="1"/>
  <c r="AU29" i="3" s="1"/>
  <c r="AU32" i="3" a="1"/>
  <c r="AU32" i="3" s="1"/>
  <c r="AU31" i="3" a="1"/>
  <c r="AU31" i="3" s="1"/>
  <c r="AU30" i="3" a="1"/>
  <c r="AU30" i="3" s="1"/>
  <c r="AU28" i="3" a="1"/>
  <c r="AU28" i="3" s="1"/>
  <c r="F32" i="3" a="1"/>
  <c r="F32" i="3" s="1"/>
  <c r="F31" i="3" a="1"/>
  <c r="F31" i="3" s="1"/>
  <c r="F30" i="3" a="1"/>
  <c r="F30" i="3" s="1"/>
  <c r="F33" i="3" a="1"/>
  <c r="F33" i="3" s="1"/>
  <c r="F29" i="3" a="1"/>
  <c r="F29" i="3" s="1"/>
  <c r="F28" i="3" a="1"/>
  <c r="F28" i="3" s="1"/>
  <c r="T31" i="3" a="1"/>
  <c r="T31" i="3" s="1"/>
  <c r="T30" i="3" a="1"/>
  <c r="T30" i="3" s="1"/>
  <c r="T33" i="3" a="1"/>
  <c r="T33" i="3" s="1"/>
  <c r="T32" i="3" a="1"/>
  <c r="T32" i="3" s="1"/>
  <c r="T29" i="3" a="1"/>
  <c r="T29" i="3" s="1"/>
  <c r="T28" i="3" a="1"/>
  <c r="T28" i="3" s="1"/>
  <c r="AO271" i="4"/>
  <c r="AO267" i="4"/>
  <c r="AO270" i="4"/>
  <c r="AO266" i="4"/>
  <c r="AO263" i="4"/>
  <c r="AO262" i="4"/>
  <c r="AO229" i="4"/>
  <c r="AO268" i="4"/>
  <c r="AO272" i="4"/>
  <c r="AO265" i="4"/>
  <c r="AO269" i="4"/>
  <c r="AO264" i="4"/>
  <c r="I267" i="4"/>
  <c r="I272" i="4"/>
  <c r="I268" i="4"/>
  <c r="I264" i="4"/>
  <c r="I229" i="4"/>
  <c r="I271" i="4"/>
  <c r="I265" i="4"/>
  <c r="I269" i="4"/>
  <c r="I263" i="4"/>
  <c r="I262" i="4"/>
  <c r="I270" i="4"/>
  <c r="I266" i="4"/>
  <c r="U267" i="4"/>
  <c r="U229" i="4"/>
  <c r="U272" i="4"/>
  <c r="U268" i="4"/>
  <c r="U271" i="4"/>
  <c r="U265" i="4"/>
  <c r="U266" i="4"/>
  <c r="U269" i="4"/>
  <c r="U264" i="4"/>
  <c r="U263" i="4"/>
  <c r="U262" i="4"/>
  <c r="U270" i="4"/>
  <c r="AX272" i="4"/>
  <c r="AX269" i="4"/>
  <c r="AX265" i="4"/>
  <c r="AX267" i="4"/>
  <c r="AX271" i="4"/>
  <c r="AX229" i="4"/>
  <c r="AX264" i="4"/>
  <c r="AX268" i="4"/>
  <c r="AX262" i="4"/>
  <c r="AX266" i="4"/>
  <c r="AX263" i="4"/>
  <c r="AX270" i="4"/>
  <c r="BO269" i="4"/>
  <c r="BO272" i="4"/>
  <c r="BO267" i="4"/>
  <c r="BO229" i="4"/>
  <c r="BO271" i="4"/>
  <c r="BO263" i="4"/>
  <c r="BO266" i="4"/>
  <c r="BO265" i="4"/>
  <c r="BO270" i="4"/>
  <c r="BO264" i="4"/>
  <c r="BO268" i="4"/>
  <c r="BO262" i="4"/>
  <c r="K33" i="3" a="1"/>
  <c r="K33" i="3" s="1"/>
  <c r="K29" i="3" a="1"/>
  <c r="K29" i="3" s="1"/>
  <c r="K32" i="3" a="1"/>
  <c r="K32" i="3" s="1"/>
  <c r="K31" i="3" a="1"/>
  <c r="K31" i="3" s="1"/>
  <c r="K30" i="3" a="1"/>
  <c r="K30" i="3" s="1"/>
  <c r="K28" i="3" a="1"/>
  <c r="K28" i="3" s="1"/>
  <c r="BG33" i="3" a="1"/>
  <c r="BG33" i="3" s="1"/>
  <c r="BG29" i="3" a="1"/>
  <c r="BG29" i="3" s="1"/>
  <c r="BG32" i="3" a="1"/>
  <c r="BG32" i="3" s="1"/>
  <c r="BG31" i="3" a="1"/>
  <c r="BG31" i="3" s="1"/>
  <c r="BG30" i="3" a="1"/>
  <c r="BG30" i="3" s="1"/>
  <c r="BG28" i="3" a="1"/>
  <c r="BG28" i="3" s="1"/>
  <c r="BJ31" i="3" a="1"/>
  <c r="BJ31" i="3" s="1"/>
  <c r="BJ30" i="3" a="1"/>
  <c r="BJ30" i="3" s="1"/>
  <c r="BJ33" i="3" a="1"/>
  <c r="BJ33" i="3" s="1"/>
  <c r="BJ29" i="3" a="1"/>
  <c r="BJ29" i="3" s="1"/>
  <c r="BJ32" i="3" a="1"/>
  <c r="BJ32" i="3" s="1"/>
  <c r="BJ28" i="3" a="1"/>
  <c r="BJ28" i="3" s="1"/>
  <c r="U30" i="3" a="1"/>
  <c r="U30" i="3" s="1"/>
  <c r="U33" i="3" a="1"/>
  <c r="U33" i="3" s="1"/>
  <c r="U29" i="3" a="1"/>
  <c r="U29" i="3" s="1"/>
  <c r="U32" i="3" a="1"/>
  <c r="U32" i="3" s="1"/>
  <c r="U31" i="3" a="1"/>
  <c r="U31" i="3" s="1"/>
  <c r="U28" i="3" a="1"/>
  <c r="U28" i="3" s="1"/>
  <c r="AF31" i="3" a="1"/>
  <c r="AF31" i="3" s="1"/>
  <c r="AF30" i="3" a="1"/>
  <c r="AF30" i="3" s="1"/>
  <c r="AF33" i="3" a="1"/>
  <c r="AF33" i="3" s="1"/>
  <c r="AF29" i="3" a="1"/>
  <c r="AF29" i="3" s="1"/>
  <c r="AF32" i="3" a="1"/>
  <c r="AF32" i="3" s="1"/>
  <c r="AF28" i="3" a="1"/>
  <c r="AF28" i="3" s="1"/>
  <c r="BH264" i="4"/>
  <c r="BH271" i="4"/>
  <c r="BH269" i="4"/>
  <c r="BH268" i="4"/>
  <c r="BH263" i="4"/>
  <c r="BH266" i="4"/>
  <c r="BH265" i="4"/>
  <c r="BH272" i="4"/>
  <c r="BH270" i="4"/>
  <c r="BH229" i="4"/>
  <c r="BH267" i="4"/>
  <c r="BH262" i="4"/>
  <c r="AS267" i="4"/>
  <c r="AS270" i="4"/>
  <c r="AS229" i="4"/>
  <c r="AS269" i="4"/>
  <c r="AS264" i="4"/>
  <c r="AS271" i="4"/>
  <c r="AS268" i="4"/>
  <c r="AS266" i="4"/>
  <c r="AS263" i="4"/>
  <c r="AS262" i="4"/>
  <c r="AS272" i="4"/>
  <c r="AS265" i="4"/>
  <c r="BF266" i="4"/>
  <c r="BF264" i="4"/>
  <c r="BF269" i="4"/>
  <c r="BF267" i="4"/>
  <c r="BF262" i="4"/>
  <c r="BF263" i="4"/>
  <c r="BF265" i="4"/>
  <c r="BF272" i="4"/>
  <c r="BF271" i="4"/>
  <c r="BF229" i="4"/>
  <c r="BF268" i="4"/>
  <c r="BF270" i="4"/>
  <c r="BJ272" i="4"/>
  <c r="BJ269" i="4"/>
  <c r="BJ264" i="4"/>
  <c r="BJ268" i="4"/>
  <c r="BJ265" i="4"/>
  <c r="BJ266" i="4"/>
  <c r="BJ271" i="4"/>
  <c r="BJ229" i="4"/>
  <c r="BJ270" i="4"/>
  <c r="BJ262" i="4"/>
  <c r="BJ263" i="4"/>
  <c r="BJ267" i="4"/>
  <c r="H268" i="4"/>
  <c r="H263" i="4"/>
  <c r="H262" i="4"/>
  <c r="H267" i="4"/>
  <c r="H271" i="4"/>
  <c r="H265" i="4"/>
  <c r="H266" i="4"/>
  <c r="H272" i="4"/>
  <c r="H229" i="4"/>
  <c r="H270" i="4"/>
  <c r="H269" i="4"/>
  <c r="H31" i="4" a="1"/>
  <c r="H264" i="4"/>
  <c r="H53" i="4" a="1"/>
  <c r="H45" i="4" a="1"/>
  <c r="G89" i="4"/>
  <c r="G94" i="4"/>
  <c r="G91" i="4"/>
  <c r="G90" i="4"/>
  <c r="G93" i="4"/>
  <c r="G92" i="4"/>
  <c r="Y32" i="3" a="1"/>
  <c r="Y32" i="3" s="1"/>
  <c r="Y31" i="3" a="1"/>
  <c r="Y31" i="3" s="1"/>
  <c r="Y30" i="3" a="1"/>
  <c r="Y30" i="3" s="1"/>
  <c r="Y29" i="3" a="1"/>
  <c r="Y29" i="3" s="1"/>
  <c r="Y33" i="3" a="1"/>
  <c r="Y33" i="3" s="1"/>
  <c r="Y28" i="3" a="1"/>
  <c r="Y28" i="3" s="1"/>
  <c r="BE30" i="3" a="1"/>
  <c r="BE30" i="3" s="1"/>
  <c r="BE33" i="3" a="1"/>
  <c r="BE33" i="3" s="1"/>
  <c r="BE29" i="3" a="1"/>
  <c r="BE29" i="3" s="1"/>
  <c r="BE32" i="3" a="1"/>
  <c r="BE32" i="3" s="1"/>
  <c r="BE31" i="3" a="1"/>
  <c r="BE31" i="3" s="1"/>
  <c r="BE28" i="3" a="1"/>
  <c r="BE28" i="3" s="1"/>
  <c r="N31" i="3" a="1"/>
  <c r="N31" i="3" s="1"/>
  <c r="N30" i="3" a="1"/>
  <c r="N30" i="3" s="1"/>
  <c r="N33" i="3" a="1"/>
  <c r="N33" i="3" s="1"/>
  <c r="N29" i="3" a="1"/>
  <c r="N29" i="3" s="1"/>
  <c r="N32" i="3" a="1"/>
  <c r="N32" i="3" s="1"/>
  <c r="N28" i="3" a="1"/>
  <c r="N28" i="3" s="1"/>
  <c r="AI33" i="3" a="1"/>
  <c r="AI33" i="3" s="1"/>
  <c r="AI29" i="3" a="1"/>
  <c r="AI29" i="3" s="1"/>
  <c r="AI32" i="3" a="1"/>
  <c r="AI32" i="3" s="1"/>
  <c r="AI31" i="3" a="1"/>
  <c r="AI31" i="3" s="1"/>
  <c r="AI30" i="3" a="1"/>
  <c r="AI30" i="3" s="1"/>
  <c r="AI28" i="3" a="1"/>
  <c r="AI28" i="3" s="1"/>
  <c r="AR31" i="3" a="1"/>
  <c r="AR31" i="3" s="1"/>
  <c r="AR30" i="3" a="1"/>
  <c r="AR30" i="3" s="1"/>
  <c r="AR33" i="3" a="1"/>
  <c r="AR33" i="3" s="1"/>
  <c r="AR29" i="3" a="1"/>
  <c r="AR29" i="3" s="1"/>
  <c r="AR32" i="3" a="1"/>
  <c r="AR32" i="3" s="1"/>
  <c r="AR28" i="3" a="1"/>
  <c r="AR28" i="3" s="1"/>
  <c r="AJ264" i="4"/>
  <c r="AJ271" i="4"/>
  <c r="AJ272" i="4"/>
  <c r="AJ267" i="4"/>
  <c r="AJ265" i="4"/>
  <c r="AJ270" i="4"/>
  <c r="AJ269" i="4"/>
  <c r="AJ266" i="4"/>
  <c r="AJ263" i="4"/>
  <c r="AJ268" i="4"/>
  <c r="AJ262" i="4"/>
  <c r="AJ229" i="4"/>
  <c r="K265" i="4"/>
  <c r="K272" i="4"/>
  <c r="K270" i="4"/>
  <c r="K263" i="4"/>
  <c r="K262" i="4"/>
  <c r="K229" i="4"/>
  <c r="K271" i="4"/>
  <c r="K269" i="4"/>
  <c r="K268" i="4"/>
  <c r="K264" i="4"/>
  <c r="K266" i="4"/>
  <c r="K267" i="4"/>
  <c r="J266" i="4"/>
  <c r="J271" i="4"/>
  <c r="J267" i="4"/>
  <c r="J265" i="4"/>
  <c r="J270" i="4"/>
  <c r="J263" i="4"/>
  <c r="J262" i="4"/>
  <c r="J272" i="4"/>
  <c r="J229" i="4"/>
  <c r="J269" i="4"/>
  <c r="J268" i="4"/>
  <c r="J264" i="4"/>
  <c r="G74" i="4"/>
  <c r="G73" i="4"/>
  <c r="G72" i="4"/>
  <c r="G71" i="4"/>
  <c r="G76" i="4"/>
  <c r="G75" i="4"/>
  <c r="AJ32" i="3" a="1"/>
  <c r="AJ32" i="3" s="1"/>
  <c r="AJ31" i="3" a="1"/>
  <c r="AJ31" i="3" s="1"/>
  <c r="AJ30" i="3" a="1"/>
  <c r="AJ30" i="3" s="1"/>
  <c r="AJ33" i="3" a="1"/>
  <c r="AJ33" i="3" s="1"/>
  <c r="AJ29" i="3" a="1"/>
  <c r="AJ29" i="3" s="1"/>
  <c r="AJ28" i="3" a="1"/>
  <c r="AJ28" i="3" s="1"/>
  <c r="V30" i="3" a="1"/>
  <c r="V30" i="3" s="1"/>
  <c r="V33" i="3" a="1"/>
  <c r="V33" i="3" s="1"/>
  <c r="V29" i="3" a="1"/>
  <c r="V29" i="3" s="1"/>
  <c r="V32" i="3" a="1"/>
  <c r="V32" i="3" s="1"/>
  <c r="V31" i="3" a="1"/>
  <c r="V31" i="3" s="1"/>
  <c r="V28" i="3" a="1"/>
  <c r="V28" i="3" s="1"/>
  <c r="AC33" i="3" a="1"/>
  <c r="AC33" i="3" s="1"/>
  <c r="AC29" i="3" a="1"/>
  <c r="AC29" i="3" s="1"/>
  <c r="AC32" i="3" a="1"/>
  <c r="AC32" i="3" s="1"/>
  <c r="AC31" i="3" a="1"/>
  <c r="AC31" i="3" s="1"/>
  <c r="AC30" i="3" a="1"/>
  <c r="AC30" i="3" s="1"/>
  <c r="AC28" i="3" a="1"/>
  <c r="AC28" i="3" s="1"/>
  <c r="R32" i="3" a="1"/>
  <c r="R32" i="3" s="1"/>
  <c r="R31" i="3" a="1"/>
  <c r="R31" i="3" s="1"/>
  <c r="R30" i="3" a="1"/>
  <c r="R30" i="3" s="1"/>
  <c r="R29" i="3" a="1"/>
  <c r="R29" i="3" s="1"/>
  <c r="R33" i="3" a="1"/>
  <c r="R33" i="3" s="1"/>
  <c r="R28" i="3" a="1"/>
  <c r="R28" i="3" s="1"/>
  <c r="AX31" i="3" a="1"/>
  <c r="AX31" i="3" s="1"/>
  <c r="AX30" i="3" a="1"/>
  <c r="AX30" i="3" s="1"/>
  <c r="AX33" i="3" a="1"/>
  <c r="AX33" i="3" s="1"/>
  <c r="AX29" i="3" a="1"/>
  <c r="AX29" i="3" s="1"/>
  <c r="AX32" i="3" a="1"/>
  <c r="AX32" i="3" s="1"/>
  <c r="AX28" i="3" a="1"/>
  <c r="AX28" i="3" s="1"/>
  <c r="BD31" i="3" a="1"/>
  <c r="BD31" i="3" s="1"/>
  <c r="BD30" i="3" a="1"/>
  <c r="BD30" i="3" s="1"/>
  <c r="BD33" i="3" a="1"/>
  <c r="BD33" i="3" s="1"/>
  <c r="BD29" i="3" a="1"/>
  <c r="BD29" i="3" s="1"/>
  <c r="BD32" i="3" a="1"/>
  <c r="BD32" i="3" s="1"/>
  <c r="BD28" i="3" a="1"/>
  <c r="BD28" i="3" s="1"/>
  <c r="C302" i="4" l="1"/>
  <c r="C301" i="4"/>
  <c r="C303" i="4"/>
  <c r="C304" i="4"/>
  <c r="C316" i="4"/>
  <c r="C320" i="4" s="1" a="1"/>
  <c r="M40" i="2"/>
  <c r="M39" i="2"/>
  <c r="M38" i="2"/>
  <c r="M41" i="2"/>
  <c r="M37" i="2"/>
  <c r="M36" i="2"/>
  <c r="G77" i="4"/>
  <c r="BK31" i="4"/>
  <c r="AY31" i="4"/>
  <c r="AM31" i="4"/>
  <c r="AA31" i="4"/>
  <c r="O31" i="4"/>
  <c r="BJ31" i="4"/>
  <c r="AX31" i="4"/>
  <c r="AL31" i="4"/>
  <c r="Z31" i="4"/>
  <c r="N31" i="4"/>
  <c r="BI31" i="4"/>
  <c r="AW31" i="4"/>
  <c r="AK31" i="4"/>
  <c r="Y31" i="4"/>
  <c r="M31" i="4"/>
  <c r="BH31" i="4"/>
  <c r="AV31" i="4"/>
  <c r="AJ31" i="4"/>
  <c r="X31" i="4"/>
  <c r="L31" i="4"/>
  <c r="BG31" i="4"/>
  <c r="AU31" i="4"/>
  <c r="AI31" i="4"/>
  <c r="W31" i="4"/>
  <c r="K31" i="4"/>
  <c r="BF31" i="4"/>
  <c r="AT31" i="4"/>
  <c r="AH31" i="4"/>
  <c r="V31" i="4"/>
  <c r="J31" i="4"/>
  <c r="BE31" i="4"/>
  <c r="AS31" i="4"/>
  <c r="AG31" i="4"/>
  <c r="U31" i="4"/>
  <c r="I31" i="4"/>
  <c r="AZ31" i="4"/>
  <c r="S31" i="4"/>
  <c r="BB31" i="4"/>
  <c r="AR31" i="4"/>
  <c r="R31" i="4"/>
  <c r="AQ31" i="4"/>
  <c r="Q31" i="4"/>
  <c r="BN31" i="4"/>
  <c r="AN31" i="4"/>
  <c r="H31" i="4"/>
  <c r="BA31" i="4"/>
  <c r="AP31" i="4"/>
  <c r="P31" i="4"/>
  <c r="BD31" i="4"/>
  <c r="AC31" i="4"/>
  <c r="T31" i="4"/>
  <c r="BO31" i="4"/>
  <c r="AO31" i="4"/>
  <c r="BC31" i="4"/>
  <c r="BM31" i="4"/>
  <c r="AF31" i="4"/>
  <c r="BL31" i="4"/>
  <c r="AE31" i="4"/>
  <c r="AD31" i="4"/>
  <c r="AB31" i="4"/>
  <c r="G86" i="4"/>
  <c r="G95" i="4"/>
  <c r="BN50" i="4"/>
  <c r="BB50" i="4"/>
  <c r="AP50" i="4"/>
  <c r="AD50" i="4"/>
  <c r="R50" i="4"/>
  <c r="BO49" i="4"/>
  <c r="BC49" i="4"/>
  <c r="AQ49" i="4"/>
  <c r="AE49" i="4"/>
  <c r="S49" i="4"/>
  <c r="BP48" i="4"/>
  <c r="BD48" i="4"/>
  <c r="AR48" i="4"/>
  <c r="AF48" i="4"/>
  <c r="T48" i="4"/>
  <c r="H48" i="4"/>
  <c r="BE47" i="4"/>
  <c r="AS47" i="4"/>
  <c r="AG47" i="4"/>
  <c r="U47" i="4"/>
  <c r="I47" i="4"/>
  <c r="BF46" i="4"/>
  <c r="AT46" i="4"/>
  <c r="AH46" i="4"/>
  <c r="V46" i="4"/>
  <c r="J46" i="4"/>
  <c r="BG45" i="4"/>
  <c r="AU45" i="4"/>
  <c r="AI45" i="4"/>
  <c r="W45" i="4"/>
  <c r="K45" i="4"/>
  <c r="BM50" i="4"/>
  <c r="BA50" i="4"/>
  <c r="AO50" i="4"/>
  <c r="AC50" i="4"/>
  <c r="Q50" i="4"/>
  <c r="BN49" i="4"/>
  <c r="BB49" i="4"/>
  <c r="AP49" i="4"/>
  <c r="AD49" i="4"/>
  <c r="R49" i="4"/>
  <c r="BO48" i="4"/>
  <c r="BC48" i="4"/>
  <c r="AQ48" i="4"/>
  <c r="AE48" i="4"/>
  <c r="S48" i="4"/>
  <c r="BP47" i="4"/>
  <c r="BD47" i="4"/>
  <c r="AR47" i="4"/>
  <c r="AF47" i="4"/>
  <c r="T47" i="4"/>
  <c r="H47" i="4"/>
  <c r="BE46" i="4"/>
  <c r="AS46" i="4"/>
  <c r="AG46" i="4"/>
  <c r="U46" i="4"/>
  <c r="I46" i="4"/>
  <c r="BF45" i="4"/>
  <c r="AT45" i="4"/>
  <c r="AH45" i="4"/>
  <c r="V45" i="4"/>
  <c r="J45" i="4"/>
  <c r="BL50" i="4"/>
  <c r="AZ50" i="4"/>
  <c r="AN50" i="4"/>
  <c r="AB50" i="4"/>
  <c r="P50" i="4"/>
  <c r="BM49" i="4"/>
  <c r="BA49" i="4"/>
  <c r="AO49" i="4"/>
  <c r="AC49" i="4"/>
  <c r="Q49" i="4"/>
  <c r="BN48" i="4"/>
  <c r="BB48" i="4"/>
  <c r="AP48" i="4"/>
  <c r="AD48" i="4"/>
  <c r="R48" i="4"/>
  <c r="BO47" i="4"/>
  <c r="BC47" i="4"/>
  <c r="AQ47" i="4"/>
  <c r="AE47" i="4"/>
  <c r="S47" i="4"/>
  <c r="BP46" i="4"/>
  <c r="BD46" i="4"/>
  <c r="AR46" i="4"/>
  <c r="AF46" i="4"/>
  <c r="T46" i="4"/>
  <c r="H46" i="4"/>
  <c r="BE45" i="4"/>
  <c r="AS45" i="4"/>
  <c r="AG45" i="4"/>
  <c r="U45" i="4"/>
  <c r="I45" i="4"/>
  <c r="BK50" i="4"/>
  <c r="AY50" i="4"/>
  <c r="AM50" i="4"/>
  <c r="AA50" i="4"/>
  <c r="O50" i="4"/>
  <c r="BL49" i="4"/>
  <c r="AZ49" i="4"/>
  <c r="AN49" i="4"/>
  <c r="AB49" i="4"/>
  <c r="P49" i="4"/>
  <c r="BM48" i="4"/>
  <c r="BA48" i="4"/>
  <c r="AO48" i="4"/>
  <c r="AC48" i="4"/>
  <c r="Q48" i="4"/>
  <c r="BN47" i="4"/>
  <c r="BB47" i="4"/>
  <c r="AP47" i="4"/>
  <c r="AD47" i="4"/>
  <c r="R47" i="4"/>
  <c r="BO46" i="4"/>
  <c r="BC46" i="4"/>
  <c r="AQ46" i="4"/>
  <c r="AE46" i="4"/>
  <c r="S46" i="4"/>
  <c r="BP45" i="4"/>
  <c r="BD45" i="4"/>
  <c r="AR45" i="4"/>
  <c r="AF45" i="4"/>
  <c r="T45" i="4"/>
  <c r="BJ50" i="4"/>
  <c r="AX50" i="4"/>
  <c r="AL50" i="4"/>
  <c r="Z50" i="4"/>
  <c r="N50" i="4"/>
  <c r="BK49" i="4"/>
  <c r="AY49" i="4"/>
  <c r="AM49" i="4"/>
  <c r="AA49" i="4"/>
  <c r="O49" i="4"/>
  <c r="BL48" i="4"/>
  <c r="AZ48" i="4"/>
  <c r="AN48" i="4"/>
  <c r="AB48" i="4"/>
  <c r="P48" i="4"/>
  <c r="BM47" i="4"/>
  <c r="BA47" i="4"/>
  <c r="AO47" i="4"/>
  <c r="AC47" i="4"/>
  <c r="Q47" i="4"/>
  <c r="BN46" i="4"/>
  <c r="BB46" i="4"/>
  <c r="AP46" i="4"/>
  <c r="AD46" i="4"/>
  <c r="R46" i="4"/>
  <c r="BO45" i="4"/>
  <c r="BC45" i="4"/>
  <c r="AQ45" i="4"/>
  <c r="AE45" i="4"/>
  <c r="S45" i="4"/>
  <c r="H45" i="4"/>
  <c r="BI50" i="4"/>
  <c r="AW50" i="4"/>
  <c r="AK50" i="4"/>
  <c r="Y50" i="4"/>
  <c r="M50" i="4"/>
  <c r="BJ49" i="4"/>
  <c r="AX49" i="4"/>
  <c r="AL49" i="4"/>
  <c r="Z49" i="4"/>
  <c r="N49" i="4"/>
  <c r="BK48" i="4"/>
  <c r="AY48" i="4"/>
  <c r="AM48" i="4"/>
  <c r="AA48" i="4"/>
  <c r="O48" i="4"/>
  <c r="BL47" i="4"/>
  <c r="AZ47" i="4"/>
  <c r="AN47" i="4"/>
  <c r="AB47" i="4"/>
  <c r="P47" i="4"/>
  <c r="BM46" i="4"/>
  <c r="BA46" i="4"/>
  <c r="AO46" i="4"/>
  <c r="AC46" i="4"/>
  <c r="Q46" i="4"/>
  <c r="BN45" i="4"/>
  <c r="BB45" i="4"/>
  <c r="AP45" i="4"/>
  <c r="AD45" i="4"/>
  <c r="R45" i="4"/>
  <c r="BH50" i="4"/>
  <c r="AV50" i="4"/>
  <c r="AJ50" i="4"/>
  <c r="X50" i="4"/>
  <c r="L50" i="4"/>
  <c r="BI49" i="4"/>
  <c r="AW49" i="4"/>
  <c r="AK49" i="4"/>
  <c r="Y49" i="4"/>
  <c r="M49" i="4"/>
  <c r="BJ48" i="4"/>
  <c r="AX48" i="4"/>
  <c r="AL48" i="4"/>
  <c r="Z48" i="4"/>
  <c r="N48" i="4"/>
  <c r="BK47" i="4"/>
  <c r="AY47" i="4"/>
  <c r="AM47" i="4"/>
  <c r="AA47" i="4"/>
  <c r="O47" i="4"/>
  <c r="BL46" i="4"/>
  <c r="AZ46" i="4"/>
  <c r="AN46" i="4"/>
  <c r="AB46" i="4"/>
  <c r="P46" i="4"/>
  <c r="BM45" i="4"/>
  <c r="BA45" i="4"/>
  <c r="AO45" i="4"/>
  <c r="AC45" i="4"/>
  <c r="Q45" i="4"/>
  <c r="BG50" i="4"/>
  <c r="AU50" i="4"/>
  <c r="AI50" i="4"/>
  <c r="W50" i="4"/>
  <c r="K50" i="4"/>
  <c r="BH49" i="4"/>
  <c r="AV49" i="4"/>
  <c r="AJ49" i="4"/>
  <c r="X49" i="4"/>
  <c r="L49" i="4"/>
  <c r="BI48" i="4"/>
  <c r="AW48" i="4"/>
  <c r="AK48" i="4"/>
  <c r="Y48" i="4"/>
  <c r="M48" i="4"/>
  <c r="BJ47" i="4"/>
  <c r="AX47" i="4"/>
  <c r="AL47" i="4"/>
  <c r="Z47" i="4"/>
  <c r="N47" i="4"/>
  <c r="BK46" i="4"/>
  <c r="AY46" i="4"/>
  <c r="AM46" i="4"/>
  <c r="AA46" i="4"/>
  <c r="O46" i="4"/>
  <c r="BL45" i="4"/>
  <c r="AZ45" i="4"/>
  <c r="AN45" i="4"/>
  <c r="AB45" i="4"/>
  <c r="P45" i="4"/>
  <c r="BC50" i="4"/>
  <c r="S50" i="4"/>
  <c r="AR49" i="4"/>
  <c r="H49" i="4"/>
  <c r="AG48" i="4"/>
  <c r="BF47" i="4"/>
  <c r="V47" i="4"/>
  <c r="AU46" i="4"/>
  <c r="K46" i="4"/>
  <c r="AJ45" i="4"/>
  <c r="BD49" i="4"/>
  <c r="BG46" i="4"/>
  <c r="K49" i="4"/>
  <c r="AM45" i="4"/>
  <c r="BE50" i="4"/>
  <c r="AW46" i="4"/>
  <c r="I49" i="4"/>
  <c r="AT50" i="4"/>
  <c r="J50" i="4"/>
  <c r="AI49" i="4"/>
  <c r="BH48" i="4"/>
  <c r="X48" i="4"/>
  <c r="AW47" i="4"/>
  <c r="M47" i="4"/>
  <c r="AL46" i="4"/>
  <c r="BK45" i="4"/>
  <c r="AA45" i="4"/>
  <c r="AH49" i="4"/>
  <c r="BJ45" i="4"/>
  <c r="AH50" i="4"/>
  <c r="BG49" i="4"/>
  <c r="W49" i="4"/>
  <c r="AV48" i="4"/>
  <c r="L48" i="4"/>
  <c r="AK47" i="4"/>
  <c r="BJ46" i="4"/>
  <c r="Z46" i="4"/>
  <c r="AY45" i="4"/>
  <c r="O45" i="4"/>
  <c r="T49" i="4"/>
  <c r="W46" i="4"/>
  <c r="AJ48" i="4"/>
  <c r="BH47" i="4"/>
  <c r="W47" i="4"/>
  <c r="AS50" i="4"/>
  <c r="I50" i="4"/>
  <c r="BG48" i="4"/>
  <c r="W48" i="4"/>
  <c r="AV47" i="4"/>
  <c r="L47" i="4"/>
  <c r="AK46" i="4"/>
  <c r="Z45" i="4"/>
  <c r="BO50" i="4"/>
  <c r="AH47" i="4"/>
  <c r="BF50" i="4"/>
  <c r="BI47" i="4"/>
  <c r="AI48" i="4"/>
  <c r="BD50" i="4"/>
  <c r="BG47" i="4"/>
  <c r="AR50" i="4"/>
  <c r="H50" i="4"/>
  <c r="AG49" i="4"/>
  <c r="BF48" i="4"/>
  <c r="V48" i="4"/>
  <c r="AU47" i="4"/>
  <c r="K47" i="4"/>
  <c r="AJ46" i="4"/>
  <c r="BI45" i="4"/>
  <c r="Y45" i="4"/>
  <c r="I48" i="4"/>
  <c r="V50" i="4"/>
  <c r="Y47" i="4"/>
  <c r="AT49" i="4"/>
  <c r="M46" i="4"/>
  <c r="AS49" i="4"/>
  <c r="AV46" i="4"/>
  <c r="AQ50" i="4"/>
  <c r="BP49" i="4"/>
  <c r="AF49" i="4"/>
  <c r="BE48" i="4"/>
  <c r="U48" i="4"/>
  <c r="AT47" i="4"/>
  <c r="J47" i="4"/>
  <c r="AI46" i="4"/>
  <c r="BH45" i="4"/>
  <c r="X45" i="4"/>
  <c r="AE50" i="4"/>
  <c r="AV45" i="4"/>
  <c r="AX46" i="4"/>
  <c r="J49" i="4"/>
  <c r="AL45" i="4"/>
  <c r="T50" i="4"/>
  <c r="L46" i="4"/>
  <c r="AG50" i="4"/>
  <c r="BF49" i="4"/>
  <c r="V49" i="4"/>
  <c r="AU48" i="4"/>
  <c r="K48" i="4"/>
  <c r="AJ47" i="4"/>
  <c r="BI46" i="4"/>
  <c r="Y46" i="4"/>
  <c r="AX45" i="4"/>
  <c r="N45" i="4"/>
  <c r="BP50" i="4"/>
  <c r="AF50" i="4"/>
  <c r="BE49" i="4"/>
  <c r="U49" i="4"/>
  <c r="AT48" i="4"/>
  <c r="J48" i="4"/>
  <c r="AI47" i="4"/>
  <c r="BH46" i="4"/>
  <c r="X46" i="4"/>
  <c r="AW45" i="4"/>
  <c r="M45" i="4"/>
  <c r="AS48" i="4"/>
  <c r="L45" i="4"/>
  <c r="AU49" i="4"/>
  <c r="N46" i="4"/>
  <c r="U50" i="4"/>
  <c r="X47" i="4"/>
  <c r="AH48" i="4"/>
  <c r="AK45" i="4"/>
  <c r="BE58" i="4"/>
  <c r="AS58" i="4"/>
  <c r="AG58" i="4"/>
  <c r="BO58" i="4"/>
  <c r="BB58" i="4"/>
  <c r="AO58" i="4"/>
  <c r="AB58" i="4"/>
  <c r="P58" i="4"/>
  <c r="BM57" i="4"/>
  <c r="BA57" i="4"/>
  <c r="AO57" i="4"/>
  <c r="AC57" i="4"/>
  <c r="Q57" i="4"/>
  <c r="BN56" i="4"/>
  <c r="BB56" i="4"/>
  <c r="AP56" i="4"/>
  <c r="AD56" i="4"/>
  <c r="R56" i="4"/>
  <c r="BO55" i="4"/>
  <c r="BC55" i="4"/>
  <c r="AQ55" i="4"/>
  <c r="AE55" i="4"/>
  <c r="S55" i="4"/>
  <c r="BP54" i="4"/>
  <c r="BD54" i="4"/>
  <c r="AR54" i="4"/>
  <c r="AF54" i="4"/>
  <c r="T54" i="4"/>
  <c r="H54" i="4"/>
  <c r="BE53" i="4"/>
  <c r="AS53" i="4"/>
  <c r="AG53" i="4"/>
  <c r="U53" i="4"/>
  <c r="I53" i="4"/>
  <c r="BN58" i="4"/>
  <c r="BA58" i="4"/>
  <c r="AN58" i="4"/>
  <c r="AA58" i="4"/>
  <c r="O58" i="4"/>
  <c r="BL57" i="4"/>
  <c r="AZ57" i="4"/>
  <c r="AN57" i="4"/>
  <c r="AB57" i="4"/>
  <c r="P57" i="4"/>
  <c r="BM56" i="4"/>
  <c r="BA56" i="4"/>
  <c r="AO56" i="4"/>
  <c r="AC56" i="4"/>
  <c r="Q56" i="4"/>
  <c r="BN55" i="4"/>
  <c r="BB55" i="4"/>
  <c r="AP55" i="4"/>
  <c r="AD55" i="4"/>
  <c r="R55" i="4"/>
  <c r="BO54" i="4"/>
  <c r="BC54" i="4"/>
  <c r="AQ54" i="4"/>
  <c r="AE54" i="4"/>
  <c r="S54" i="4"/>
  <c r="BP53" i="4"/>
  <c r="BD53" i="4"/>
  <c r="AR53" i="4"/>
  <c r="AF53" i="4"/>
  <c r="T53" i="4"/>
  <c r="BM58" i="4"/>
  <c r="AZ58" i="4"/>
  <c r="AM58" i="4"/>
  <c r="Z58" i="4"/>
  <c r="N58" i="4"/>
  <c r="BK57" i="4"/>
  <c r="AY57" i="4"/>
  <c r="AM57" i="4"/>
  <c r="AA57" i="4"/>
  <c r="O57" i="4"/>
  <c r="BL56" i="4"/>
  <c r="AZ56" i="4"/>
  <c r="AN56" i="4"/>
  <c r="AB56" i="4"/>
  <c r="P56" i="4"/>
  <c r="BM55" i="4"/>
  <c r="BA55" i="4"/>
  <c r="AO55" i="4"/>
  <c r="AC55" i="4"/>
  <c r="Q55" i="4"/>
  <c r="BN54" i="4"/>
  <c r="BB54" i="4"/>
  <c r="AP54" i="4"/>
  <c r="AD54" i="4"/>
  <c r="R54" i="4"/>
  <c r="BO53" i="4"/>
  <c r="BC53" i="4"/>
  <c r="AQ53" i="4"/>
  <c r="AE53" i="4"/>
  <c r="S53" i="4"/>
  <c r="H53" i="4"/>
  <c r="BL58" i="4"/>
  <c r="AY58" i="4"/>
  <c r="AL58" i="4"/>
  <c r="Y58" i="4"/>
  <c r="M58" i="4"/>
  <c r="BJ57" i="4"/>
  <c r="AX57" i="4"/>
  <c r="AL57" i="4"/>
  <c r="Z57" i="4"/>
  <c r="N57" i="4"/>
  <c r="BK56" i="4"/>
  <c r="AY56" i="4"/>
  <c r="AM56" i="4"/>
  <c r="AA56" i="4"/>
  <c r="O56" i="4"/>
  <c r="BL55" i="4"/>
  <c r="AZ55" i="4"/>
  <c r="AN55" i="4"/>
  <c r="AB55" i="4"/>
  <c r="P55" i="4"/>
  <c r="BM54" i="4"/>
  <c r="BA54" i="4"/>
  <c r="AO54" i="4"/>
  <c r="AC54" i="4"/>
  <c r="Q54" i="4"/>
  <c r="BN53" i="4"/>
  <c r="BB53" i="4"/>
  <c r="AP53" i="4"/>
  <c r="AD53" i="4"/>
  <c r="R53" i="4"/>
  <c r="BK58" i="4"/>
  <c r="AX58" i="4"/>
  <c r="AK58" i="4"/>
  <c r="X58" i="4"/>
  <c r="L58" i="4"/>
  <c r="BI57" i="4"/>
  <c r="AW57" i="4"/>
  <c r="AK57" i="4"/>
  <c r="Y57" i="4"/>
  <c r="M57" i="4"/>
  <c r="BJ56" i="4"/>
  <c r="AX56" i="4"/>
  <c r="AL56" i="4"/>
  <c r="Z56" i="4"/>
  <c r="N56" i="4"/>
  <c r="BK55" i="4"/>
  <c r="AY55" i="4"/>
  <c r="AM55" i="4"/>
  <c r="AA55" i="4"/>
  <c r="O55" i="4"/>
  <c r="BL54" i="4"/>
  <c r="AZ54" i="4"/>
  <c r="AN54" i="4"/>
  <c r="AB54" i="4"/>
  <c r="P54" i="4"/>
  <c r="BM53" i="4"/>
  <c r="BA53" i="4"/>
  <c r="AO53" i="4"/>
  <c r="AC53" i="4"/>
  <c r="Q53" i="4"/>
  <c r="BJ58" i="4"/>
  <c r="AW58" i="4"/>
  <c r="AJ58" i="4"/>
  <c r="W58" i="4"/>
  <c r="K58" i="4"/>
  <c r="BH57" i="4"/>
  <c r="AV57" i="4"/>
  <c r="AJ57" i="4"/>
  <c r="X57" i="4"/>
  <c r="L57" i="4"/>
  <c r="BI56" i="4"/>
  <c r="AW56" i="4"/>
  <c r="AK56" i="4"/>
  <c r="Y56" i="4"/>
  <c r="M56" i="4"/>
  <c r="BJ55" i="4"/>
  <c r="AX55" i="4"/>
  <c r="AL55" i="4"/>
  <c r="Z55" i="4"/>
  <c r="N55" i="4"/>
  <c r="BK54" i="4"/>
  <c r="AY54" i="4"/>
  <c r="AM54" i="4"/>
  <c r="AA54" i="4"/>
  <c r="O54" i="4"/>
  <c r="BL53" i="4"/>
  <c r="AZ53" i="4"/>
  <c r="AN53" i="4"/>
  <c r="AB53" i="4"/>
  <c r="P53" i="4"/>
  <c r="BI58" i="4"/>
  <c r="AV58" i="4"/>
  <c r="AI58" i="4"/>
  <c r="V58" i="4"/>
  <c r="J58" i="4"/>
  <c r="BG57" i="4"/>
  <c r="AU57" i="4"/>
  <c r="AI57" i="4"/>
  <c r="W57" i="4"/>
  <c r="K57" i="4"/>
  <c r="BH56" i="4"/>
  <c r="AV56" i="4"/>
  <c r="AJ56" i="4"/>
  <c r="X56" i="4"/>
  <c r="L56" i="4"/>
  <c r="BI55" i="4"/>
  <c r="AW55" i="4"/>
  <c r="AK55" i="4"/>
  <c r="Y55" i="4"/>
  <c r="M55" i="4"/>
  <c r="BJ54" i="4"/>
  <c r="AX54" i="4"/>
  <c r="AL54" i="4"/>
  <c r="Z54" i="4"/>
  <c r="N54" i="4"/>
  <c r="BK53" i="4"/>
  <c r="AY53" i="4"/>
  <c r="AM53" i="4"/>
  <c r="AA53" i="4"/>
  <c r="O53" i="4"/>
  <c r="BH58" i="4"/>
  <c r="AU58" i="4"/>
  <c r="AH58" i="4"/>
  <c r="U58" i="4"/>
  <c r="I58" i="4"/>
  <c r="BF57" i="4"/>
  <c r="AT57" i="4"/>
  <c r="AH57" i="4"/>
  <c r="V57" i="4"/>
  <c r="J57" i="4"/>
  <c r="BG56" i="4"/>
  <c r="AU56" i="4"/>
  <c r="AI56" i="4"/>
  <c r="W56" i="4"/>
  <c r="K56" i="4"/>
  <c r="BH55" i="4"/>
  <c r="AV55" i="4"/>
  <c r="AJ55" i="4"/>
  <c r="X55" i="4"/>
  <c r="L55" i="4"/>
  <c r="BI54" i="4"/>
  <c r="AW54" i="4"/>
  <c r="AK54" i="4"/>
  <c r="Y54" i="4"/>
  <c r="M54" i="4"/>
  <c r="BJ53" i="4"/>
  <c r="AX53" i="4"/>
  <c r="AL53" i="4"/>
  <c r="Z53" i="4"/>
  <c r="N53" i="4"/>
  <c r="BG58" i="4"/>
  <c r="AT58" i="4"/>
  <c r="AP58" i="4"/>
  <c r="BN57" i="4"/>
  <c r="AD57" i="4"/>
  <c r="BC56" i="4"/>
  <c r="S56" i="4"/>
  <c r="AR55" i="4"/>
  <c r="H55" i="4"/>
  <c r="AG54" i="4"/>
  <c r="BF53" i="4"/>
  <c r="V53" i="4"/>
  <c r="AS57" i="4"/>
  <c r="W55" i="4"/>
  <c r="L54" i="4"/>
  <c r="AP57" i="4"/>
  <c r="AS54" i="4"/>
  <c r="AJ54" i="4"/>
  <c r="AF57" i="4"/>
  <c r="AE57" i="4"/>
  <c r="BG53" i="4"/>
  <c r="AF58" i="4"/>
  <c r="BE57" i="4"/>
  <c r="U57" i="4"/>
  <c r="AT56" i="4"/>
  <c r="J56" i="4"/>
  <c r="AI55" i="4"/>
  <c r="BH54" i="4"/>
  <c r="X54" i="4"/>
  <c r="AW53" i="4"/>
  <c r="M53" i="4"/>
  <c r="T58" i="4"/>
  <c r="BG55" i="4"/>
  <c r="AV54" i="4"/>
  <c r="AK53" i="4"/>
  <c r="T55" i="4"/>
  <c r="BF56" i="4"/>
  <c r="Y53" i="4"/>
  <c r="BE56" i="4"/>
  <c r="X53" i="4"/>
  <c r="AE58" i="4"/>
  <c r="BD57" i="4"/>
  <c r="T57" i="4"/>
  <c r="AS56" i="4"/>
  <c r="I56" i="4"/>
  <c r="AH55" i="4"/>
  <c r="BG54" i="4"/>
  <c r="W54" i="4"/>
  <c r="AV53" i="4"/>
  <c r="L53" i="4"/>
  <c r="BD55" i="4"/>
  <c r="BC58" i="4"/>
  <c r="V56" i="4"/>
  <c r="J55" i="4"/>
  <c r="BO57" i="4"/>
  <c r="BD56" i="4"/>
  <c r="AH54" i="4"/>
  <c r="AD58" i="4"/>
  <c r="BC57" i="4"/>
  <c r="S57" i="4"/>
  <c r="AR56" i="4"/>
  <c r="H56" i="4"/>
  <c r="AG55" i="4"/>
  <c r="BF54" i="4"/>
  <c r="V54" i="4"/>
  <c r="AU53" i="4"/>
  <c r="K53" i="4"/>
  <c r="I57" i="4"/>
  <c r="BD58" i="4"/>
  <c r="AE56" i="4"/>
  <c r="AH53" i="4"/>
  <c r="H58" i="4"/>
  <c r="AU55" i="4"/>
  <c r="U56" i="4"/>
  <c r="BH53" i="4"/>
  <c r="AQ58" i="4"/>
  <c r="I55" i="4"/>
  <c r="AC58" i="4"/>
  <c r="BB57" i="4"/>
  <c r="R57" i="4"/>
  <c r="AQ56" i="4"/>
  <c r="BP55" i="4"/>
  <c r="AF55" i="4"/>
  <c r="BE54" i="4"/>
  <c r="U54" i="4"/>
  <c r="AT53" i="4"/>
  <c r="J53" i="4"/>
  <c r="AH56" i="4"/>
  <c r="BO56" i="4"/>
  <c r="K55" i="4"/>
  <c r="BP57" i="4"/>
  <c r="AI54" i="4"/>
  <c r="T56" i="4"/>
  <c r="BP58" i="4"/>
  <c r="S58" i="4"/>
  <c r="AR57" i="4"/>
  <c r="H57" i="4"/>
  <c r="AG56" i="4"/>
  <c r="BF55" i="4"/>
  <c r="V55" i="4"/>
  <c r="AU54" i="4"/>
  <c r="K54" i="4"/>
  <c r="AJ53" i="4"/>
  <c r="BF58" i="4"/>
  <c r="R58" i="4"/>
  <c r="AQ57" i="4"/>
  <c r="BP56" i="4"/>
  <c r="AF56" i="4"/>
  <c r="BE55" i="4"/>
  <c r="U55" i="4"/>
  <c r="AT54" i="4"/>
  <c r="J54" i="4"/>
  <c r="AI53" i="4"/>
  <c r="Q58" i="4"/>
  <c r="I54" i="4"/>
  <c r="AG57" i="4"/>
  <c r="BI53" i="4"/>
  <c r="AR58" i="4"/>
  <c r="AT55" i="4"/>
  <c r="AS55" i="4"/>
  <c r="W53" i="4"/>
  <c r="C321" i="4" l="1"/>
  <c r="C324" i="4" s="1" a="1"/>
  <c r="C325" i="4" s="1"/>
  <c r="C320" i="4"/>
  <c r="H110" i="4" a="1"/>
  <c r="BG110" i="4" s="1"/>
  <c r="H131" i="4" a="1"/>
  <c r="BM131" i="4" s="1"/>
  <c r="N36" i="2" a="1"/>
  <c r="H350" i="4" a="1"/>
  <c r="AQ350" i="4" s="1"/>
  <c r="H152" i="4" a="1"/>
  <c r="H173" i="4" a="1"/>
  <c r="H354" i="4" a="1"/>
  <c r="H240" i="4" a="1"/>
  <c r="H239" i="4" a="1"/>
  <c r="H340" i="4" a="1"/>
  <c r="H320" i="4" a="1"/>
  <c r="H321" i="4" a="1"/>
  <c r="S110" i="4" l="1"/>
  <c r="AK110" i="4"/>
  <c r="BC110" i="4"/>
  <c r="AJ110" i="4"/>
  <c r="AA110" i="4"/>
  <c r="BO110" i="4"/>
  <c r="M110" i="4"/>
  <c r="AS110" i="4"/>
  <c r="AW110" i="4"/>
  <c r="BE110" i="4"/>
  <c r="AY110" i="4"/>
  <c r="X110" i="4"/>
  <c r="AN110" i="4"/>
  <c r="AB110" i="4"/>
  <c r="AC110" i="4"/>
  <c r="AO110" i="4"/>
  <c r="BN110" i="4"/>
  <c r="BO131" i="4"/>
  <c r="J131" i="4"/>
  <c r="AV131" i="4"/>
  <c r="AA131" i="4"/>
  <c r="AH110" i="4"/>
  <c r="AF131" i="4"/>
  <c r="V131" i="4"/>
  <c r="BH131" i="4"/>
  <c r="AY131" i="4"/>
  <c r="AT110" i="4"/>
  <c r="AG131" i="4"/>
  <c r="AH131" i="4"/>
  <c r="Y131" i="4"/>
  <c r="BK131" i="4"/>
  <c r="BH110" i="4"/>
  <c r="BA110" i="4"/>
  <c r="T110" i="4"/>
  <c r="BF110" i="4"/>
  <c r="AP131" i="4"/>
  <c r="BF131" i="4"/>
  <c r="AK131" i="4"/>
  <c r="P131" i="4"/>
  <c r="BK110" i="4"/>
  <c r="Y110" i="4"/>
  <c r="BM110" i="4"/>
  <c r="AF110" i="4"/>
  <c r="K110" i="4"/>
  <c r="AQ131" i="4"/>
  <c r="K131" i="4"/>
  <c r="AW131" i="4"/>
  <c r="AB131" i="4"/>
  <c r="AL110" i="4"/>
  <c r="BI110" i="4"/>
  <c r="R110" i="4"/>
  <c r="AR110" i="4"/>
  <c r="W110" i="4"/>
  <c r="W131" i="4"/>
  <c r="AD131" i="4"/>
  <c r="AR131" i="4"/>
  <c r="BI131" i="4"/>
  <c r="AN131" i="4"/>
  <c r="AM110" i="4"/>
  <c r="Z110" i="4"/>
  <c r="AD110" i="4"/>
  <c r="BD110" i="4"/>
  <c r="BE131" i="4"/>
  <c r="I131" i="4"/>
  <c r="AI131" i="4"/>
  <c r="N131" i="4"/>
  <c r="AZ131" i="4"/>
  <c r="L110" i="4"/>
  <c r="BJ110" i="4"/>
  <c r="AP110" i="4"/>
  <c r="I110" i="4"/>
  <c r="Q131" i="4"/>
  <c r="U131" i="4"/>
  <c r="AS131" i="4"/>
  <c r="AU131" i="4"/>
  <c r="Z131" i="4"/>
  <c r="BL131" i="4"/>
  <c r="AV110" i="4"/>
  <c r="P110" i="4"/>
  <c r="BB110" i="4"/>
  <c r="U110" i="4"/>
  <c r="BB131" i="4"/>
  <c r="AC131" i="4"/>
  <c r="BN131" i="4"/>
  <c r="R131" i="4"/>
  <c r="BG131" i="4"/>
  <c r="AL131" i="4"/>
  <c r="T131" i="4"/>
  <c r="AX131" i="4"/>
  <c r="BD131" i="4"/>
  <c r="S131" i="4"/>
  <c r="X131" i="4"/>
  <c r="BJ131" i="4"/>
  <c r="AO131" i="4"/>
  <c r="N110" i="4"/>
  <c r="BL110" i="4"/>
  <c r="AE110" i="4"/>
  <c r="J110" i="4"/>
  <c r="L131" i="4"/>
  <c r="AE131" i="4"/>
  <c r="BC131" i="4"/>
  <c r="AJ131" i="4"/>
  <c r="O131" i="4"/>
  <c r="BA131" i="4"/>
  <c r="O110" i="4"/>
  <c r="Q110" i="4"/>
  <c r="AQ110" i="4"/>
  <c r="V110" i="4"/>
  <c r="AI110" i="4"/>
  <c r="AU110" i="4"/>
  <c r="H131" i="4"/>
  <c r="AT131" i="4"/>
  <c r="M131" i="4"/>
  <c r="AM131" i="4"/>
  <c r="AX110" i="4"/>
  <c r="AZ110" i="4"/>
  <c r="H110" i="4"/>
  <c r="AG110" i="4"/>
  <c r="J350" i="4"/>
  <c r="X350" i="4"/>
  <c r="Z350" i="4"/>
  <c r="BA350" i="4"/>
  <c r="BO350" i="4"/>
  <c r="AJ350" i="4"/>
  <c r="BE350" i="4"/>
  <c r="AL350" i="4"/>
  <c r="BM350" i="4"/>
  <c r="T350" i="4"/>
  <c r="F23" i="5" s="1"/>
  <c r="E23" i="5" s="1"/>
  <c r="AZ350" i="4"/>
  <c r="L350" i="4"/>
  <c r="AB350" i="4"/>
  <c r="AF350" i="4"/>
  <c r="AS350" i="4"/>
  <c r="BF350" i="4"/>
  <c r="BJ350" i="4"/>
  <c r="AD350" i="4"/>
  <c r="AR350" i="4"/>
  <c r="BH350" i="4"/>
  <c r="AO350" i="4"/>
  <c r="P350" i="4"/>
  <c r="AG350" i="4"/>
  <c r="O350" i="4"/>
  <c r="AP350" i="4"/>
  <c r="BD350" i="4"/>
  <c r="AX350" i="4"/>
  <c r="BL350" i="4"/>
  <c r="AT350" i="4"/>
  <c r="BG350" i="4"/>
  <c r="AA350" i="4"/>
  <c r="BB350" i="4"/>
  <c r="C324" i="4"/>
  <c r="N350" i="4"/>
  <c r="BC350" i="4"/>
  <c r="R350" i="4"/>
  <c r="I350" i="4"/>
  <c r="U350" i="4"/>
  <c r="M350" i="4"/>
  <c r="AM350" i="4"/>
  <c r="BN350" i="4"/>
  <c r="K350" i="4"/>
  <c r="Y350" i="4"/>
  <c r="H350" i="4"/>
  <c r="AH350" i="4"/>
  <c r="V350" i="4"/>
  <c r="AK350" i="4"/>
  <c r="BK350" i="4"/>
  <c r="S350" i="4"/>
  <c r="N38" i="2"/>
  <c r="N37" i="2"/>
  <c r="N36" i="2"/>
  <c r="N41" i="2"/>
  <c r="N39" i="2"/>
  <c r="N40" i="2"/>
  <c r="AI350" i="4"/>
  <c r="AV350" i="4"/>
  <c r="AW350" i="4"/>
  <c r="Q350" i="4"/>
  <c r="AE350" i="4"/>
  <c r="AU350" i="4"/>
  <c r="AY350" i="4"/>
  <c r="AN350" i="4"/>
  <c r="W350" i="4"/>
  <c r="BI350" i="4"/>
  <c r="AC350" i="4"/>
  <c r="BE240" i="4"/>
  <c r="AS240" i="4"/>
  <c r="AG240" i="4"/>
  <c r="U240" i="4"/>
  <c r="I240" i="4"/>
  <c r="BO240" i="4"/>
  <c r="BC240" i="4"/>
  <c r="AQ240" i="4"/>
  <c r="AE240" i="4"/>
  <c r="S240" i="4"/>
  <c r="H240" i="4"/>
  <c r="BN240" i="4"/>
  <c r="BB240" i="4"/>
  <c r="AP240" i="4"/>
  <c r="AD240" i="4"/>
  <c r="R240" i="4"/>
  <c r="BM240" i="4"/>
  <c r="BA240" i="4"/>
  <c r="AO240" i="4"/>
  <c r="AC240" i="4"/>
  <c r="Q240" i="4"/>
  <c r="BL240" i="4"/>
  <c r="AZ240" i="4"/>
  <c r="AN240" i="4"/>
  <c r="AB240" i="4"/>
  <c r="P240" i="4"/>
  <c r="AU240" i="4"/>
  <c r="Y240" i="4"/>
  <c r="BK240" i="4"/>
  <c r="AT240" i="4"/>
  <c r="X240" i="4"/>
  <c r="BJ240" i="4"/>
  <c r="AR240" i="4"/>
  <c r="W240" i="4"/>
  <c r="BI240" i="4"/>
  <c r="AM240" i="4"/>
  <c r="V240" i="4"/>
  <c r="BH240" i="4"/>
  <c r="AL240" i="4"/>
  <c r="T240" i="4"/>
  <c r="BG240" i="4"/>
  <c r="AK240" i="4"/>
  <c r="O240" i="4"/>
  <c r="BF240" i="4"/>
  <c r="AJ240" i="4"/>
  <c r="N240" i="4"/>
  <c r="BD240" i="4"/>
  <c r="AI240" i="4"/>
  <c r="M240" i="4"/>
  <c r="AY240" i="4"/>
  <c r="AX240" i="4"/>
  <c r="AW240" i="4"/>
  <c r="AV240" i="4"/>
  <c r="AH240" i="4"/>
  <c r="AF240" i="4"/>
  <c r="AA240" i="4"/>
  <c r="Z240" i="4"/>
  <c r="L240" i="4"/>
  <c r="J240" i="4"/>
  <c r="K240" i="4"/>
  <c r="BG152" i="4"/>
  <c r="AU152" i="4"/>
  <c r="AI152" i="4"/>
  <c r="W152" i="4"/>
  <c r="K152" i="4"/>
  <c r="BF152" i="4"/>
  <c r="AT152" i="4"/>
  <c r="AH152" i="4"/>
  <c r="V152" i="4"/>
  <c r="J152" i="4"/>
  <c r="BE152" i="4"/>
  <c r="AS152" i="4"/>
  <c r="AG152" i="4"/>
  <c r="U152" i="4"/>
  <c r="I152" i="4"/>
  <c r="BD152" i="4"/>
  <c r="AR152" i="4"/>
  <c r="AF152" i="4"/>
  <c r="T152" i="4"/>
  <c r="BO152" i="4"/>
  <c r="BC152" i="4"/>
  <c r="AQ152" i="4"/>
  <c r="AE152" i="4"/>
  <c r="S152" i="4"/>
  <c r="H152" i="4"/>
  <c r="BN152" i="4"/>
  <c r="BB152" i="4"/>
  <c r="AP152" i="4"/>
  <c r="AD152" i="4"/>
  <c r="R152" i="4"/>
  <c r="BM152" i="4"/>
  <c r="BA152" i="4"/>
  <c r="AO152" i="4"/>
  <c r="AC152" i="4"/>
  <c r="Q152" i="4"/>
  <c r="BL152" i="4"/>
  <c r="AZ152" i="4"/>
  <c r="AN152" i="4"/>
  <c r="AB152" i="4"/>
  <c r="P152" i="4"/>
  <c r="BI152" i="4"/>
  <c r="Y152" i="4"/>
  <c r="BH152" i="4"/>
  <c r="X152" i="4"/>
  <c r="AY152" i="4"/>
  <c r="O152" i="4"/>
  <c r="AX152" i="4"/>
  <c r="N152" i="4"/>
  <c r="AW152" i="4"/>
  <c r="M152" i="4"/>
  <c r="AV152" i="4"/>
  <c r="L152" i="4"/>
  <c r="AM152" i="4"/>
  <c r="AL152" i="4"/>
  <c r="AK152" i="4"/>
  <c r="BJ152" i="4"/>
  <c r="Z152" i="4"/>
  <c r="AA152" i="4"/>
  <c r="BK152" i="4"/>
  <c r="AJ152" i="4"/>
  <c r="BJ340" i="4"/>
  <c r="AX340" i="4"/>
  <c r="AL340" i="4"/>
  <c r="Z340" i="4"/>
  <c r="N340" i="4"/>
  <c r="BI340" i="4"/>
  <c r="AW340" i="4"/>
  <c r="AK340" i="4"/>
  <c r="Y340" i="4"/>
  <c r="M340" i="4"/>
  <c r="BH340" i="4"/>
  <c r="AV340" i="4"/>
  <c r="AJ340" i="4"/>
  <c r="X340" i="4"/>
  <c r="L340" i="4"/>
  <c r="BG340" i="4"/>
  <c r="AU340" i="4"/>
  <c r="AI340" i="4"/>
  <c r="W340" i="4"/>
  <c r="K340" i="4"/>
  <c r="BE340" i="4"/>
  <c r="AS340" i="4"/>
  <c r="AG340" i="4"/>
  <c r="U340" i="4"/>
  <c r="I340" i="4"/>
  <c r="BD340" i="4"/>
  <c r="AR340" i="4"/>
  <c r="AF340" i="4"/>
  <c r="T340" i="4"/>
  <c r="BO340" i="4"/>
  <c r="BC340" i="4"/>
  <c r="AQ340" i="4"/>
  <c r="AE340" i="4"/>
  <c r="S340" i="4"/>
  <c r="H340" i="4"/>
  <c r="AY340" i="4"/>
  <c r="R340" i="4"/>
  <c r="AT340" i="4"/>
  <c r="Q340" i="4"/>
  <c r="AP340" i="4"/>
  <c r="P340" i="4"/>
  <c r="AO340" i="4"/>
  <c r="O340" i="4"/>
  <c r="BN340" i="4"/>
  <c r="AN340" i="4"/>
  <c r="J340" i="4"/>
  <c r="BM340" i="4"/>
  <c r="AM340" i="4"/>
  <c r="BL340" i="4"/>
  <c r="AH340" i="4"/>
  <c r="BK340" i="4"/>
  <c r="AD340" i="4"/>
  <c r="BB340" i="4"/>
  <c r="AB340" i="4"/>
  <c r="BF340" i="4"/>
  <c r="BA340" i="4"/>
  <c r="AZ340" i="4"/>
  <c r="AC340" i="4"/>
  <c r="AA340" i="4"/>
  <c r="V340" i="4"/>
  <c r="BM173" i="4"/>
  <c r="BA173" i="4"/>
  <c r="AO173" i="4"/>
  <c r="AC173" i="4"/>
  <c r="Q173" i="4"/>
  <c r="BL173" i="4"/>
  <c r="AZ173" i="4"/>
  <c r="AN173" i="4"/>
  <c r="AB173" i="4"/>
  <c r="P173" i="4"/>
  <c r="BK173" i="4"/>
  <c r="AY173" i="4"/>
  <c r="AM173" i="4"/>
  <c r="AA173" i="4"/>
  <c r="O173" i="4"/>
  <c r="BJ173" i="4"/>
  <c r="AX173" i="4"/>
  <c r="AL173" i="4"/>
  <c r="Z173" i="4"/>
  <c r="N173" i="4"/>
  <c r="BI173" i="4"/>
  <c r="AW173" i="4"/>
  <c r="AK173" i="4"/>
  <c r="Y173" i="4"/>
  <c r="M173" i="4"/>
  <c r="BH173" i="4"/>
  <c r="AV173" i="4"/>
  <c r="AJ173" i="4"/>
  <c r="X173" i="4"/>
  <c r="L173" i="4"/>
  <c r="BG173" i="4"/>
  <c r="AU173" i="4"/>
  <c r="AI173" i="4"/>
  <c r="W173" i="4"/>
  <c r="K173" i="4"/>
  <c r="BF173" i="4"/>
  <c r="AT173" i="4"/>
  <c r="AH173" i="4"/>
  <c r="V173" i="4"/>
  <c r="J173" i="4"/>
  <c r="BC173" i="4"/>
  <c r="S173" i="4"/>
  <c r="BB173" i="4"/>
  <c r="R173" i="4"/>
  <c r="AS173" i="4"/>
  <c r="I173" i="4"/>
  <c r="AR173" i="4"/>
  <c r="AQ173" i="4"/>
  <c r="H173" i="4"/>
  <c r="AP173" i="4"/>
  <c r="AG173" i="4"/>
  <c r="AF173" i="4"/>
  <c r="BO173" i="4"/>
  <c r="AE173" i="4"/>
  <c r="BD173" i="4"/>
  <c r="T173" i="4"/>
  <c r="BE173" i="4"/>
  <c r="BN173" i="4"/>
  <c r="AD173" i="4"/>
  <c r="U173" i="4"/>
  <c r="BG320" i="4"/>
  <c r="AU320" i="4"/>
  <c r="AI320" i="4"/>
  <c r="W320" i="4"/>
  <c r="K320" i="4"/>
  <c r="BE320" i="4"/>
  <c r="AS320" i="4"/>
  <c r="AG320" i="4"/>
  <c r="U320" i="4"/>
  <c r="I320" i="4"/>
  <c r="BN320" i="4"/>
  <c r="BB320" i="4"/>
  <c r="AP320" i="4"/>
  <c r="AD320" i="4"/>
  <c r="R320" i="4"/>
  <c r="BM320" i="4"/>
  <c r="BA320" i="4"/>
  <c r="AO320" i="4"/>
  <c r="AC320" i="4"/>
  <c r="Q320" i="4"/>
  <c r="BJ320" i="4"/>
  <c r="AR320" i="4"/>
  <c r="Z320" i="4"/>
  <c r="BI320" i="4"/>
  <c r="AQ320" i="4"/>
  <c r="Y320" i="4"/>
  <c r="H320" i="4"/>
  <c r="BH320" i="4"/>
  <c r="AN320" i="4"/>
  <c r="X320" i="4"/>
  <c r="BF320" i="4"/>
  <c r="AM320" i="4"/>
  <c r="V320" i="4"/>
  <c r="BD320" i="4"/>
  <c r="AL320" i="4"/>
  <c r="T320" i="4"/>
  <c r="BC320" i="4"/>
  <c r="AK320" i="4"/>
  <c r="S320" i="4"/>
  <c r="AZ320" i="4"/>
  <c r="AJ320" i="4"/>
  <c r="P320" i="4"/>
  <c r="AY320" i="4"/>
  <c r="AH320" i="4"/>
  <c r="O320" i="4"/>
  <c r="AE320" i="4"/>
  <c r="AA320" i="4"/>
  <c r="N320" i="4"/>
  <c r="BO320" i="4"/>
  <c r="M320" i="4"/>
  <c r="BL320" i="4"/>
  <c r="L320" i="4"/>
  <c r="BK320" i="4"/>
  <c r="J320" i="4"/>
  <c r="AX320" i="4"/>
  <c r="AV320" i="4"/>
  <c r="AW320" i="4"/>
  <c r="AT320" i="4"/>
  <c r="AF320" i="4"/>
  <c r="AB320" i="4"/>
  <c r="BG239" i="4"/>
  <c r="AU239" i="4"/>
  <c r="AI239" i="4"/>
  <c r="W239" i="4"/>
  <c r="K239" i="4"/>
  <c r="BE239" i="4"/>
  <c r="AS239" i="4"/>
  <c r="AG239" i="4"/>
  <c r="U239" i="4"/>
  <c r="I239" i="4"/>
  <c r="BD239" i="4"/>
  <c r="AR239" i="4"/>
  <c r="AF239" i="4"/>
  <c r="T239" i="4"/>
  <c r="BO239" i="4"/>
  <c r="BC239" i="4"/>
  <c r="AQ239" i="4"/>
  <c r="AE239" i="4"/>
  <c r="S239" i="4"/>
  <c r="H239" i="4"/>
  <c r="BN239" i="4"/>
  <c r="BB239" i="4"/>
  <c r="AP239" i="4"/>
  <c r="AD239" i="4"/>
  <c r="R239" i="4"/>
  <c r="AW239" i="4"/>
  <c r="AA239" i="4"/>
  <c r="BM239" i="4"/>
  <c r="AV239" i="4"/>
  <c r="Z239" i="4"/>
  <c r="BL239" i="4"/>
  <c r="AT239" i="4"/>
  <c r="Y239" i="4"/>
  <c r="BK239" i="4"/>
  <c r="AO239" i="4"/>
  <c r="X239" i="4"/>
  <c r="BJ239" i="4"/>
  <c r="AN239" i="4"/>
  <c r="V239" i="4"/>
  <c r="BI239" i="4"/>
  <c r="AM239" i="4"/>
  <c r="Q239" i="4"/>
  <c r="BH239" i="4"/>
  <c r="AL239" i="4"/>
  <c r="P239" i="4"/>
  <c r="BF239" i="4"/>
  <c r="AK239" i="4"/>
  <c r="O239" i="4"/>
  <c r="J239" i="4"/>
  <c r="BA239" i="4"/>
  <c r="AZ239" i="4"/>
  <c r="AY239" i="4"/>
  <c r="AX239" i="4"/>
  <c r="AJ239" i="4"/>
  <c r="AH239" i="4"/>
  <c r="AC239" i="4"/>
  <c r="AB239" i="4"/>
  <c r="L239" i="4"/>
  <c r="N239" i="4"/>
  <c r="M239" i="4"/>
  <c r="BM354" i="4"/>
  <c r="BA354" i="4"/>
  <c r="AO354" i="4"/>
  <c r="AC354" i="4"/>
  <c r="Q354" i="4"/>
  <c r="BL354" i="4"/>
  <c r="AZ354" i="4"/>
  <c r="AN354" i="4"/>
  <c r="AB354" i="4"/>
  <c r="P354" i="4"/>
  <c r="BK354" i="4"/>
  <c r="AY354" i="4"/>
  <c r="AM354" i="4"/>
  <c r="AA354" i="4"/>
  <c r="O354" i="4"/>
  <c r="BJ354" i="4"/>
  <c r="AX354" i="4"/>
  <c r="AL354" i="4"/>
  <c r="Z354" i="4"/>
  <c r="N354" i="4"/>
  <c r="BH354" i="4"/>
  <c r="AV354" i="4"/>
  <c r="AJ354" i="4"/>
  <c r="X354" i="4"/>
  <c r="L354" i="4"/>
  <c r="BG354" i="4"/>
  <c r="AU354" i="4"/>
  <c r="AI354" i="4"/>
  <c r="W354" i="4"/>
  <c r="K354" i="4"/>
  <c r="BF354" i="4"/>
  <c r="AT354" i="4"/>
  <c r="AH354" i="4"/>
  <c r="V354" i="4"/>
  <c r="J354" i="4"/>
  <c r="AW354" i="4"/>
  <c r="T354" i="4"/>
  <c r="AS354" i="4"/>
  <c r="S354" i="4"/>
  <c r="AR354" i="4"/>
  <c r="R354" i="4"/>
  <c r="AQ354" i="4"/>
  <c r="M354" i="4"/>
  <c r="AP354" i="4"/>
  <c r="I354" i="4"/>
  <c r="BO354" i="4"/>
  <c r="AK354" i="4"/>
  <c r="BN354" i="4"/>
  <c r="AG354" i="4"/>
  <c r="H354" i="4"/>
  <c r="BI354" i="4"/>
  <c r="AF354" i="4"/>
  <c r="BD354" i="4"/>
  <c r="AD354" i="4"/>
  <c r="BE354" i="4"/>
  <c r="BC354" i="4"/>
  <c r="BB354" i="4"/>
  <c r="Y354" i="4"/>
  <c r="AE354" i="4"/>
  <c r="U354" i="4"/>
  <c r="BF321" i="4"/>
  <c r="AT321" i="4"/>
  <c r="AH321" i="4"/>
  <c r="V321" i="4"/>
  <c r="J321" i="4"/>
  <c r="BD321" i="4"/>
  <c r="AR321" i="4"/>
  <c r="AF321" i="4"/>
  <c r="T321" i="4"/>
  <c r="BM321" i="4"/>
  <c r="BA321" i="4"/>
  <c r="AO321" i="4"/>
  <c r="AC321" i="4"/>
  <c r="Q321" i="4"/>
  <c r="BL321" i="4"/>
  <c r="AZ321" i="4"/>
  <c r="AN321" i="4"/>
  <c r="AB321" i="4"/>
  <c r="P321" i="4"/>
  <c r="BC321" i="4"/>
  <c r="AK321" i="4"/>
  <c r="S321" i="4"/>
  <c r="BB321" i="4"/>
  <c r="AJ321" i="4"/>
  <c r="R321" i="4"/>
  <c r="AY321" i="4"/>
  <c r="AI321" i="4"/>
  <c r="O321" i="4"/>
  <c r="AX321" i="4"/>
  <c r="AG321" i="4"/>
  <c r="N321" i="4"/>
  <c r="BO321" i="4"/>
  <c r="AW321" i="4"/>
  <c r="AE321" i="4"/>
  <c r="M321" i="4"/>
  <c r="BN321" i="4"/>
  <c r="AV321" i="4"/>
  <c r="AD321" i="4"/>
  <c r="L321" i="4"/>
  <c r="BK321" i="4"/>
  <c r="AU321" i="4"/>
  <c r="AA321" i="4"/>
  <c r="K321" i="4"/>
  <c r="BJ321" i="4"/>
  <c r="AS321" i="4"/>
  <c r="Z321" i="4"/>
  <c r="I321" i="4"/>
  <c r="X321" i="4"/>
  <c r="U321" i="4"/>
  <c r="BI321" i="4"/>
  <c r="H321" i="4"/>
  <c r="BH321" i="4"/>
  <c r="BG321" i="4"/>
  <c r="BE321" i="4"/>
  <c r="AQ321" i="4"/>
  <c r="AM321" i="4"/>
  <c r="AP321" i="4"/>
  <c r="AL321" i="4"/>
  <c r="Y321" i="4"/>
  <c r="W321" i="4"/>
  <c r="H24" i="4" l="1" a="1"/>
  <c r="AZ24" i="4" s="1"/>
  <c r="O36" i="2" a="1"/>
  <c r="AL24" i="4" l="1"/>
  <c r="Q24" i="4"/>
  <c r="K24" i="4"/>
  <c r="BM24" i="4"/>
  <c r="AQ24" i="4"/>
  <c r="S24" i="4"/>
  <c r="AA24" i="4"/>
  <c r="AT24" i="4"/>
  <c r="BG24" i="4"/>
  <c r="W24" i="4"/>
  <c r="AK24" i="4"/>
  <c r="BK24" i="4"/>
  <c r="AD24" i="4"/>
  <c r="AG24" i="4"/>
  <c r="AH24" i="4"/>
  <c r="AJ24" i="4"/>
  <c r="O24" i="4"/>
  <c r="BA24" i="4"/>
  <c r="BD24" i="4"/>
  <c r="AP24" i="4"/>
  <c r="X24" i="4"/>
  <c r="BJ24" i="4"/>
  <c r="AO24" i="4"/>
  <c r="BH24" i="4"/>
  <c r="V24" i="4"/>
  <c r="AM24" i="4"/>
  <c r="BC24" i="4"/>
  <c r="AY24" i="4"/>
  <c r="U24" i="4"/>
  <c r="I24" i="4"/>
  <c r="BI24" i="4"/>
  <c r="AB24" i="4"/>
  <c r="BB24" i="4"/>
  <c r="L24" i="4"/>
  <c r="J24" i="4"/>
  <c r="H24" i="4"/>
  <c r="AV24" i="4"/>
  <c r="AS24" i="4"/>
  <c r="T24" i="4"/>
  <c r="R24" i="4"/>
  <c r="AI24" i="4"/>
  <c r="AU24" i="4"/>
  <c r="AE24" i="4"/>
  <c r="N24" i="4"/>
  <c r="AN24" i="4"/>
  <c r="BN24" i="4"/>
  <c r="BO24" i="4"/>
  <c r="BL24" i="4"/>
  <c r="AX24" i="4"/>
  <c r="AC24" i="4"/>
  <c r="AR24" i="4"/>
  <c r="M24" i="4"/>
  <c r="Y24" i="4"/>
  <c r="AW24" i="4"/>
  <c r="P24" i="4"/>
  <c r="AF24" i="4"/>
  <c r="BF24" i="4"/>
  <c r="BE24" i="4"/>
  <c r="Z24" i="4"/>
  <c r="O37" i="2"/>
  <c r="P36" i="2" s="1" a="1"/>
  <c r="O39" i="2"/>
  <c r="O36" i="2"/>
  <c r="O38" i="2"/>
  <c r="O41" i="2"/>
  <c r="O40" i="2"/>
  <c r="F24" i="5"/>
  <c r="E24" i="5" s="1"/>
  <c r="D24" i="4" l="1"/>
  <c r="P36" i="2"/>
  <c r="H63" i="4" s="1" a="1"/>
  <c r="P41" i="2"/>
  <c r="P39" i="2"/>
  <c r="P37" i="2"/>
  <c r="P40" i="2"/>
  <c r="P38" i="2"/>
  <c r="BB66" i="4" l="1"/>
  <c r="AF64" i="4"/>
  <c r="BO67" i="4"/>
  <c r="AF65" i="4"/>
  <c r="BE68" i="4"/>
  <c r="V66" i="4"/>
  <c r="AV63" i="4"/>
  <c r="BH66" i="4"/>
  <c r="Y64" i="4"/>
  <c r="BK67" i="4"/>
  <c r="AB65" i="4"/>
  <c r="BB68" i="4"/>
  <c r="S66" i="4"/>
  <c r="AR63" i="4"/>
  <c r="I67" i="4"/>
  <c r="AI64" i="4"/>
  <c r="BH67" i="4"/>
  <c r="Y65" i="4"/>
  <c r="AX68" i="4"/>
  <c r="O66" i="4"/>
  <c r="AO63" i="4"/>
  <c r="BO66" i="4"/>
  <c r="AE64" i="4"/>
  <c r="AP64" i="4"/>
  <c r="BP67" i="4"/>
  <c r="BB64" i="4"/>
  <c r="AQ64" i="4"/>
  <c r="AT68" i="4"/>
  <c r="AY66" i="4"/>
  <c r="V68" i="4"/>
  <c r="BM63" i="4"/>
  <c r="BN66" i="4"/>
  <c r="O68" i="4"/>
  <c r="AB66" i="4"/>
  <c r="Z66" i="4"/>
  <c r="BL68" i="4"/>
  <c r="AP66" i="4"/>
  <c r="T64" i="4"/>
  <c r="BB67" i="4"/>
  <c r="R65" i="4"/>
  <c r="AR68" i="4"/>
  <c r="I66" i="4"/>
  <c r="AI63" i="4"/>
  <c r="AU66" i="4"/>
  <c r="L64" i="4"/>
  <c r="AX67" i="4"/>
  <c r="O65" i="4"/>
  <c r="AO68" i="4"/>
  <c r="BN65" i="4"/>
  <c r="AE63" i="4"/>
  <c r="BE66" i="4"/>
  <c r="V64" i="4"/>
  <c r="AU67" i="4"/>
  <c r="L65" i="4"/>
  <c r="AK68" i="4"/>
  <c r="BK65" i="4"/>
  <c r="AB63" i="4"/>
  <c r="BA66" i="4"/>
  <c r="R64" i="4"/>
  <c r="AY63" i="4"/>
  <c r="O67" i="4"/>
  <c r="AV68" i="4"/>
  <c r="AU68" i="4"/>
  <c r="BC67" i="4"/>
  <c r="BH65" i="4"/>
  <c r="AV65" i="4"/>
  <c r="Y63" i="4"/>
  <c r="AB64" i="4"/>
  <c r="AZ63" i="4"/>
  <c r="Z63" i="4"/>
  <c r="T68" i="4"/>
  <c r="AR64" i="4"/>
  <c r="AL65" i="4"/>
  <c r="AZ68" i="4"/>
  <c r="AD66" i="4"/>
  <c r="H64" i="4"/>
  <c r="AN67" i="4"/>
  <c r="BN64" i="4"/>
  <c r="AE68" i="4"/>
  <c r="BE65" i="4"/>
  <c r="V63" i="4"/>
  <c r="AH66" i="4"/>
  <c r="BH63" i="4"/>
  <c r="AK67" i="4"/>
  <c r="BK64" i="4"/>
  <c r="AA68" i="4"/>
  <c r="BA65" i="4"/>
  <c r="R63" i="4"/>
  <c r="AR66" i="4"/>
  <c r="I64" i="4"/>
  <c r="AH67" i="4"/>
  <c r="BH64" i="4"/>
  <c r="X68" i="4"/>
  <c r="AX65" i="4"/>
  <c r="O63" i="4"/>
  <c r="AN66" i="4"/>
  <c r="BN63" i="4"/>
  <c r="AI68" i="4"/>
  <c r="X66" i="4"/>
  <c r="BE67" i="4"/>
  <c r="BD67" i="4"/>
  <c r="BK66" i="4"/>
  <c r="H65" i="4"/>
  <c r="AD67" i="4"/>
  <c r="T65" i="4"/>
  <c r="U65" i="4"/>
  <c r="AM66" i="4"/>
  <c r="AB67" i="4"/>
  <c r="AI65" i="4"/>
  <c r="L68" i="4"/>
  <c r="AN68" i="4"/>
  <c r="R66" i="4"/>
  <c r="BE63" i="4"/>
  <c r="AA67" i="4"/>
  <c r="BA64" i="4"/>
  <c r="R68" i="4"/>
  <c r="AR65" i="4"/>
  <c r="BD68" i="4"/>
  <c r="U66" i="4"/>
  <c r="AU63" i="4"/>
  <c r="X67" i="4"/>
  <c r="AX64" i="4"/>
  <c r="N68" i="4"/>
  <c r="AN65" i="4"/>
  <c r="BN68" i="4"/>
  <c r="AE66" i="4"/>
  <c r="BD63" i="4"/>
  <c r="U67" i="4"/>
  <c r="AU64" i="4"/>
  <c r="K68" i="4"/>
  <c r="AK65" i="4"/>
  <c r="BJ68" i="4"/>
  <c r="AA66" i="4"/>
  <c r="BA63" i="4"/>
  <c r="AR67" i="4"/>
  <c r="AG65" i="4"/>
  <c r="BM66" i="4"/>
  <c r="BL66" i="4"/>
  <c r="K66" i="4"/>
  <c r="P64" i="4"/>
  <c r="BL63" i="4"/>
  <c r="L66" i="4"/>
  <c r="AG68" i="4"/>
  <c r="AX66" i="4"/>
  <c r="AU65" i="4"/>
  <c r="BO64" i="4"/>
  <c r="AS65" i="4"/>
  <c r="AF66" i="4"/>
  <c r="AS64" i="4"/>
  <c r="X63" i="4"/>
  <c r="AB68" i="4"/>
  <c r="BO65" i="4"/>
  <c r="AS63" i="4"/>
  <c r="N67" i="4"/>
  <c r="AN64" i="4"/>
  <c r="BN67" i="4"/>
  <c r="AD65" i="4"/>
  <c r="AQ68" i="4"/>
  <c r="H66" i="4"/>
  <c r="AH63" i="4"/>
  <c r="K67" i="4"/>
  <c r="AK64" i="4"/>
  <c r="BJ67" i="4"/>
  <c r="AA65" i="4"/>
  <c r="BA68" i="4"/>
  <c r="Q66" i="4"/>
  <c r="AQ63" i="4"/>
  <c r="H67" i="4"/>
  <c r="AH64" i="4"/>
  <c r="BG67" i="4"/>
  <c r="X65" i="4"/>
  <c r="AW68" i="4"/>
  <c r="N66" i="4"/>
  <c r="AN63" i="4"/>
  <c r="BI65" i="4"/>
  <c r="AO64" i="4"/>
  <c r="M66" i="4"/>
  <c r="AK66" i="4"/>
  <c r="J65" i="4"/>
  <c r="V67" i="4"/>
  <c r="R67" i="4"/>
  <c r="P68" i="4"/>
  <c r="BC65" i="4"/>
  <c r="AG63" i="4"/>
  <c r="BJ66" i="4"/>
  <c r="AA64" i="4"/>
  <c r="AZ67" i="4"/>
  <c r="Q65" i="4"/>
  <c r="AD68" i="4"/>
  <c r="BD65" i="4"/>
  <c r="T63" i="4"/>
  <c r="BG66" i="4"/>
  <c r="X64" i="4"/>
  <c r="AW67" i="4"/>
  <c r="N65" i="4"/>
  <c r="AM68" i="4"/>
  <c r="BM65" i="4"/>
  <c r="AD63" i="4"/>
  <c r="BD66" i="4"/>
  <c r="U64" i="4"/>
  <c r="AT67" i="4"/>
  <c r="K65" i="4"/>
  <c r="AJ68" i="4"/>
  <c r="BJ65" i="4"/>
  <c r="AA63" i="4"/>
  <c r="Q64" i="4"/>
  <c r="AX63" i="4"/>
  <c r="V65" i="4"/>
  <c r="BI68" i="4"/>
  <c r="AS67" i="4"/>
  <c r="BI63" i="4"/>
  <c r="AV64" i="4"/>
  <c r="AQ67" i="4"/>
  <c r="BM67" i="4"/>
  <c r="AQ65" i="4"/>
  <c r="U63" i="4"/>
  <c r="AW66" i="4"/>
  <c r="N64" i="4"/>
  <c r="AM67" i="4"/>
  <c r="BM64" i="4"/>
  <c r="Q68" i="4"/>
  <c r="AP65" i="4"/>
  <c r="H63" i="4"/>
  <c r="AT66" i="4"/>
  <c r="K64" i="4"/>
  <c r="AJ67" i="4"/>
  <c r="BJ64" i="4"/>
  <c r="Z68" i="4"/>
  <c r="AZ65" i="4"/>
  <c r="Q63" i="4"/>
  <c r="AQ66" i="4"/>
  <c r="BP63" i="4"/>
  <c r="AG67" i="4"/>
  <c r="BG64" i="4"/>
  <c r="W68" i="4"/>
  <c r="AW65" i="4"/>
  <c r="N63" i="4"/>
  <c r="AE67" i="4"/>
  <c r="AZ66" i="4"/>
  <c r="AD64" i="4"/>
  <c r="AC64" i="4"/>
  <c r="AK63" i="4"/>
  <c r="AP67" i="4"/>
  <c r="AT65" i="4"/>
  <c r="BK68" i="4"/>
  <c r="BA67" i="4"/>
  <c r="AE65" i="4"/>
  <c r="I63" i="4"/>
  <c r="AJ66" i="4"/>
  <c r="BJ63" i="4"/>
  <c r="Z67" i="4"/>
  <c r="AZ64" i="4"/>
  <c r="BL67" i="4"/>
  <c r="AC65" i="4"/>
  <c r="BP68" i="4"/>
  <c r="AG66" i="4"/>
  <c r="BG63" i="4"/>
  <c r="W67" i="4"/>
  <c r="AW64" i="4"/>
  <c r="M68" i="4"/>
  <c r="AM65" i="4"/>
  <c r="BM68" i="4"/>
  <c r="AC66" i="4"/>
  <c r="BC63" i="4"/>
  <c r="T67" i="4"/>
  <c r="AT64" i="4"/>
  <c r="J68" i="4"/>
  <c r="AJ65" i="4"/>
  <c r="BH68" i="4"/>
  <c r="BE64" i="4"/>
  <c r="I65" i="4"/>
  <c r="AM63" i="4"/>
  <c r="AL63" i="4"/>
  <c r="BG65" i="4"/>
  <c r="AL66" i="4"/>
  <c r="S68" i="4"/>
  <c r="L67" i="4"/>
  <c r="BF63" i="4"/>
  <c r="BG68" i="4"/>
  <c r="AO67" i="4"/>
  <c r="S65" i="4"/>
  <c r="BF68" i="4"/>
  <c r="W66" i="4"/>
  <c r="AW63" i="4"/>
  <c r="M67" i="4"/>
  <c r="AM64" i="4"/>
  <c r="AY67" i="4"/>
  <c r="P65" i="4"/>
  <c r="BC68" i="4"/>
  <c r="T66" i="4"/>
  <c r="AT63" i="4"/>
  <c r="J67" i="4"/>
  <c r="AJ64" i="4"/>
  <c r="BI67" i="4"/>
  <c r="Z65" i="4"/>
  <c r="AY68" i="4"/>
  <c r="P66" i="4"/>
  <c r="AP63" i="4"/>
  <c r="BP66" i="4"/>
  <c r="AG64" i="4"/>
  <c r="BF67" i="4"/>
  <c r="W65" i="4"/>
  <c r="H68" i="4"/>
  <c r="BC64" i="4"/>
  <c r="M63" i="4"/>
  <c r="O64" i="4"/>
  <c r="J63" i="4"/>
  <c r="AO65" i="4"/>
  <c r="S67" i="4"/>
  <c r="AC67" i="4"/>
  <c r="BP64" i="4"/>
  <c r="AS68" i="4"/>
  <c r="J66" i="4"/>
  <c r="AJ63" i="4"/>
  <c r="BI66" i="4"/>
  <c r="Z64" i="4"/>
  <c r="AL67" i="4"/>
  <c r="BL64" i="4"/>
  <c r="AP68" i="4"/>
  <c r="BP65" i="4"/>
  <c r="AF63" i="4"/>
  <c r="BF66" i="4"/>
  <c r="W64" i="4"/>
  <c r="AV67" i="4"/>
  <c r="M65" i="4"/>
  <c r="AL68" i="4"/>
  <c r="BL65" i="4"/>
  <c r="AC63" i="4"/>
  <c r="BC66" i="4"/>
  <c r="S64" i="4"/>
  <c r="P67" i="4"/>
  <c r="AI66" i="4"/>
  <c r="BO68" i="4"/>
  <c r="AH65" i="4"/>
  <c r="Q67" i="4"/>
  <c r="BD64" i="4"/>
  <c r="AF68" i="4"/>
  <c r="BF65" i="4"/>
  <c r="W63" i="4"/>
  <c r="AV66" i="4"/>
  <c r="M64" i="4"/>
  <c r="Y67" i="4"/>
  <c r="AY64" i="4"/>
  <c r="AC68" i="4"/>
  <c r="BB65" i="4"/>
  <c r="S63" i="4"/>
  <c r="AS66" i="4"/>
  <c r="J64" i="4"/>
  <c r="AI67" i="4"/>
  <c r="BI64" i="4"/>
  <c r="Y68" i="4"/>
  <c r="AY65" i="4"/>
  <c r="P63" i="4"/>
  <c r="AO66" i="4"/>
  <c r="BO63" i="4"/>
  <c r="AF67" i="4"/>
  <c r="BF64" i="4"/>
  <c r="Y66" i="4"/>
  <c r="I68" i="4"/>
  <c r="U68" i="4"/>
  <c r="BK63" i="4"/>
  <c r="K63" i="4"/>
  <c r="AH68" i="4"/>
  <c r="AL64" i="4"/>
  <c r="BB63" i="4"/>
  <c r="L63" i="4"/>
  <c r="H71" i="4" l="1" a="1"/>
  <c r="U76" i="4" s="1"/>
  <c r="F7" i="5"/>
  <c r="E7" i="5" s="1"/>
  <c r="BO71" i="4" l="1"/>
  <c r="AU74" i="4"/>
  <c r="Q73" i="4"/>
  <c r="AI74" i="4"/>
  <c r="AB71" i="4"/>
  <c r="AT75" i="4"/>
  <c r="BO74" i="4"/>
  <c r="Q74" i="4"/>
  <c r="BC71" i="4"/>
  <c r="AG76" i="4"/>
  <c r="Q75" i="4"/>
  <c r="AX74" i="4"/>
  <c r="BK71" i="4"/>
  <c r="BB75" i="4"/>
  <c r="AE76" i="4"/>
  <c r="BK72" i="4"/>
  <c r="AZ73" i="4"/>
  <c r="BI72" i="4"/>
  <c r="AV76" i="4"/>
  <c r="Q72" i="4"/>
  <c r="K71" i="4"/>
  <c r="BE74" i="4"/>
  <c r="N73" i="4"/>
  <c r="AF73" i="4"/>
  <c r="AF74" i="4"/>
  <c r="BE76" i="4"/>
  <c r="AS72" i="4"/>
  <c r="AJ72" i="4"/>
  <c r="BN72" i="4"/>
  <c r="AP73" i="4"/>
  <c r="L71" i="4"/>
  <c r="AH75" i="4"/>
  <c r="H71" i="4"/>
  <c r="AF75" i="4"/>
  <c r="BK73" i="4"/>
  <c r="U72" i="4"/>
  <c r="AC76" i="4"/>
  <c r="AZ71" i="4"/>
  <c r="AQ75" i="4"/>
  <c r="AB74" i="4"/>
  <c r="AK74" i="4"/>
  <c r="AB73" i="4"/>
  <c r="AN72" i="4"/>
  <c r="BB76" i="4"/>
  <c r="BN75" i="4"/>
  <c r="AL73" i="4"/>
  <c r="AE71" i="4"/>
  <c r="BF73" i="4"/>
  <c r="AG73" i="4"/>
  <c r="AO74" i="4"/>
  <c r="J73" i="4"/>
  <c r="BN71" i="4"/>
  <c r="AC72" i="4"/>
  <c r="AT71" i="4"/>
  <c r="AZ76" i="4"/>
  <c r="N72" i="4"/>
  <c r="H76" i="4"/>
  <c r="AU76" i="4"/>
  <c r="AX71" i="4"/>
  <c r="AI72" i="4"/>
  <c r="AH71" i="4"/>
  <c r="BH75" i="4"/>
  <c r="K75" i="4"/>
  <c r="M71" i="4"/>
  <c r="I72" i="4"/>
  <c r="BG72" i="4"/>
  <c r="BB73" i="4"/>
  <c r="H73" i="4"/>
  <c r="W76" i="4"/>
  <c r="M75" i="4"/>
  <c r="AB72" i="4"/>
  <c r="AV72" i="4"/>
  <c r="AL71" i="4"/>
  <c r="V71" i="4"/>
  <c r="K72" i="4"/>
  <c r="AX75" i="4"/>
  <c r="BD73" i="4"/>
  <c r="AE72" i="4"/>
  <c r="AQ71" i="4"/>
  <c r="AP72" i="4"/>
  <c r="H75" i="4"/>
  <c r="AI73" i="4"/>
  <c r="BL75" i="4"/>
  <c r="W71" i="4"/>
  <c r="AA76" i="4"/>
  <c r="Q71" i="4"/>
  <c r="BL73" i="4"/>
  <c r="AD74" i="4"/>
  <c r="AM75" i="4"/>
  <c r="AT76" i="4"/>
  <c r="AW76" i="4"/>
  <c r="AY74" i="4"/>
  <c r="N74" i="4"/>
  <c r="AL75" i="4"/>
  <c r="BK74" i="4"/>
  <c r="BA75" i="4"/>
  <c r="BF74" i="4"/>
  <c r="BA72" i="4"/>
  <c r="AE73" i="4"/>
  <c r="AF71" i="4"/>
  <c r="BE73" i="4"/>
  <c r="AT74" i="4"/>
  <c r="BO76" i="4"/>
  <c r="X76" i="4"/>
  <c r="N71" i="4"/>
  <c r="BA74" i="4"/>
  <c r="K73" i="4"/>
  <c r="Z74" i="4"/>
  <c r="T71" i="4"/>
  <c r="BL76" i="4"/>
  <c r="V75" i="4"/>
  <c r="X75" i="4"/>
  <c r="T75" i="4"/>
  <c r="AO75" i="4"/>
  <c r="AI76" i="4"/>
  <c r="AK71" i="4"/>
  <c r="Y76" i="4"/>
  <c r="BA73" i="4"/>
  <c r="AQ74" i="4"/>
  <c r="R73" i="4"/>
  <c r="AG71" i="4"/>
  <c r="AR76" i="4"/>
  <c r="BJ74" i="4"/>
  <c r="BC74" i="4"/>
  <c r="AA75" i="4"/>
  <c r="W75" i="4"/>
  <c r="BP74" i="4"/>
  <c r="BD71" i="4"/>
  <c r="AW72" i="4"/>
  <c r="AP71" i="4"/>
  <c r="BH72" i="4"/>
  <c r="AW73" i="4"/>
  <c r="AC75" i="4"/>
  <c r="T73" i="4"/>
  <c r="AJ74" i="4"/>
  <c r="Z71" i="4"/>
  <c r="BM75" i="4"/>
  <c r="O73" i="4"/>
  <c r="AJ76" i="4"/>
  <c r="AO76" i="4"/>
  <c r="BG74" i="4"/>
  <c r="BC73" i="4"/>
  <c r="AA74" i="4"/>
  <c r="L75" i="4"/>
  <c r="BC72" i="4"/>
  <c r="L76" i="4"/>
  <c r="AC73" i="4"/>
  <c r="AJ73" i="4"/>
  <c r="X74" i="4"/>
  <c r="AP75" i="4"/>
  <c r="V72" i="4"/>
  <c r="AM76" i="4"/>
  <c r="AU75" i="4"/>
  <c r="BM73" i="4"/>
  <c r="M72" i="4"/>
  <c r="AE74" i="4"/>
  <c r="BE72" i="4"/>
  <c r="AG72" i="4"/>
  <c r="K74" i="4"/>
  <c r="I73" i="4"/>
  <c r="AH73" i="4"/>
  <c r="AD75" i="4"/>
  <c r="I71" i="4"/>
  <c r="S71" i="4"/>
  <c r="AR73" i="4"/>
  <c r="AM73" i="4"/>
  <c r="AH74" i="4"/>
  <c r="AJ75" i="4"/>
  <c r="R72" i="4"/>
  <c r="AQ73" i="4"/>
  <c r="AY71" i="4"/>
  <c r="BJ73" i="4"/>
  <c r="AV73" i="4"/>
  <c r="BB74" i="4"/>
  <c r="AU73" i="4"/>
  <c r="BC76" i="4"/>
  <c r="AY73" i="4"/>
  <c r="AX72" i="4"/>
  <c r="AT72" i="4"/>
  <c r="Z72" i="4"/>
  <c r="AN76" i="4"/>
  <c r="BP76" i="4"/>
  <c r="BC75" i="4"/>
  <c r="V73" i="4"/>
  <c r="BH73" i="4"/>
  <c r="BI76" i="4"/>
  <c r="J72" i="4"/>
  <c r="BL74" i="4"/>
  <c r="BF76" i="4"/>
  <c r="AV71" i="4"/>
  <c r="AB76" i="4"/>
  <c r="W74" i="4"/>
  <c r="BP72" i="4"/>
  <c r="R76" i="4"/>
  <c r="M76" i="4"/>
  <c r="W72" i="4"/>
  <c r="AU72" i="4"/>
  <c r="P74" i="4"/>
  <c r="AX73" i="4"/>
  <c r="AE75" i="4"/>
  <c r="T76" i="4"/>
  <c r="BJ72" i="4"/>
  <c r="AR72" i="4"/>
  <c r="U71" i="4"/>
  <c r="AW74" i="4"/>
  <c r="S73" i="4"/>
  <c r="S74" i="4"/>
  <c r="AD73" i="4"/>
  <c r="BF75" i="4"/>
  <c r="P71" i="4"/>
  <c r="BA71" i="4"/>
  <c r="BF71" i="4"/>
  <c r="AL72" i="4"/>
  <c r="N76" i="4"/>
  <c r="J76" i="4"/>
  <c r="H72" i="4"/>
  <c r="BM72" i="4"/>
  <c r="AN75" i="4"/>
  <c r="Q76" i="4"/>
  <c r="V74" i="4"/>
  <c r="X71" i="4"/>
  <c r="BI75" i="4"/>
  <c r="AX76" i="4"/>
  <c r="BJ75" i="4"/>
  <c r="Z73" i="4"/>
  <c r="I76" i="4"/>
  <c r="U75" i="4"/>
  <c r="AM71" i="4"/>
  <c r="AS76" i="4"/>
  <c r="BL71" i="4"/>
  <c r="S75" i="4"/>
  <c r="U73" i="4"/>
  <c r="BJ71" i="4"/>
  <c r="BH71" i="4"/>
  <c r="AZ74" i="4"/>
  <c r="AK75" i="4"/>
  <c r="Z76" i="4"/>
  <c r="AC71" i="4"/>
  <c r="BP75" i="4"/>
  <c r="AH72" i="4"/>
  <c r="J74" i="4"/>
  <c r="AF72" i="4"/>
  <c r="BO72" i="4"/>
  <c r="T74" i="4"/>
  <c r="BD72" i="4"/>
  <c r="AR75" i="4"/>
  <c r="BG76" i="4"/>
  <c r="R71" i="4"/>
  <c r="BP71" i="4"/>
  <c r="AR74" i="4"/>
  <c r="AG75" i="4"/>
  <c r="Y73" i="4"/>
  <c r="AK72" i="4"/>
  <c r="O72" i="4"/>
  <c r="BM71" i="4"/>
  <c r="BI73" i="4"/>
  <c r="J71" i="4"/>
  <c r="AV75" i="4"/>
  <c r="P72" i="4"/>
  <c r="AW71" i="4"/>
  <c r="Y72" i="4"/>
  <c r="AS71" i="4"/>
  <c r="BF72" i="4"/>
  <c r="BD76" i="4"/>
  <c r="BM76" i="4"/>
  <c r="O71" i="4"/>
  <c r="Z75" i="4"/>
  <c r="AN74" i="4"/>
  <c r="AD72" i="4"/>
  <c r="AW75" i="4"/>
  <c r="AS75" i="4"/>
  <c r="AP74" i="4"/>
  <c r="R75" i="4"/>
  <c r="M73" i="4"/>
  <c r="AR71" i="4"/>
  <c r="AQ76" i="4"/>
  <c r="W73" i="4"/>
  <c r="BO75" i="4"/>
  <c r="AS73" i="4"/>
  <c r="BI74" i="4"/>
  <c r="BE75" i="4"/>
  <c r="AT73" i="4"/>
  <c r="BD75" i="4"/>
  <c r="BK76" i="4"/>
  <c r="V76" i="4"/>
  <c r="AN71" i="4"/>
  <c r="BL72" i="4"/>
  <c r="AI71" i="4"/>
  <c r="AZ75" i="4"/>
  <c r="AP76" i="4"/>
  <c r="BH74" i="4"/>
  <c r="BO73" i="4"/>
  <c r="AY76" i="4"/>
  <c r="AO71" i="4"/>
  <c r="BA76" i="4"/>
  <c r="AS74" i="4"/>
  <c r="K76" i="4"/>
  <c r="BG73" i="4"/>
  <c r="AM74" i="4"/>
  <c r="AC74" i="4"/>
  <c r="AB75" i="4"/>
  <c r="AZ72" i="4"/>
  <c r="BM74" i="4"/>
  <c r="BN73" i="4"/>
  <c r="X72" i="4"/>
  <c r="AF76" i="4"/>
  <c r="BB72" i="4"/>
  <c r="BG75" i="4"/>
  <c r="AJ71" i="4"/>
  <c r="I75" i="4"/>
  <c r="H74" i="4"/>
  <c r="AH76" i="4"/>
  <c r="R74" i="4"/>
  <c r="AG74" i="4"/>
  <c r="BE71" i="4"/>
  <c r="BG71" i="4"/>
  <c r="I74" i="4"/>
  <c r="AA72" i="4"/>
  <c r="S72" i="4"/>
  <c r="AK76" i="4"/>
  <c r="BD74" i="4"/>
  <c r="P75" i="4"/>
  <c r="O74" i="4"/>
  <c r="AA73" i="4"/>
  <c r="AO73" i="4"/>
  <c r="O76" i="4"/>
  <c r="M74" i="4"/>
  <c r="S76" i="4"/>
  <c r="L74" i="4"/>
  <c r="AM72" i="4"/>
  <c r="U74" i="4"/>
  <c r="AL74" i="4"/>
  <c r="AU71" i="4"/>
  <c r="P73" i="4"/>
  <c r="BB71" i="4"/>
  <c r="BB77" i="4" s="1"/>
  <c r="O75" i="4"/>
  <c r="AA71" i="4"/>
  <c r="AI75" i="4"/>
  <c r="T72" i="4"/>
  <c r="P76" i="4"/>
  <c r="AL76" i="4"/>
  <c r="AQ72" i="4"/>
  <c r="X73" i="4"/>
  <c r="AV74" i="4"/>
  <c r="AN73" i="4"/>
  <c r="J75" i="4"/>
  <c r="BN76" i="4"/>
  <c r="BH76" i="4"/>
  <c r="L73" i="4"/>
  <c r="AD71" i="4"/>
  <c r="Y75" i="4"/>
  <c r="Y71" i="4"/>
  <c r="BI71" i="4"/>
  <c r="AY72" i="4"/>
  <c r="BN74" i="4"/>
  <c r="AO72" i="4"/>
  <c r="BP73" i="4"/>
  <c r="L72" i="4"/>
  <c r="AD76" i="4"/>
  <c r="BK75" i="4"/>
  <c r="N75" i="4"/>
  <c r="Y74" i="4"/>
  <c r="AK73" i="4"/>
  <c r="AY75" i="4"/>
  <c r="BJ76" i="4"/>
  <c r="AI77" i="4" l="1"/>
  <c r="F137" i="4" a="1"/>
  <c r="AE137" i="4" s="1"/>
  <c r="AM77" i="4"/>
  <c r="F135" i="4" a="1"/>
  <c r="AA135" i="4" s="1"/>
  <c r="AU77" i="4"/>
  <c r="AR77" i="4"/>
  <c r="BI77" i="4"/>
  <c r="J77" i="4"/>
  <c r="U77" i="4"/>
  <c r="W77" i="4"/>
  <c r="F136" i="4" a="1"/>
  <c r="AI136" i="4" s="1"/>
  <c r="BC77" i="4"/>
  <c r="S77" i="4"/>
  <c r="AN77" i="4"/>
  <c r="AS77" i="4"/>
  <c r="AC77" i="4"/>
  <c r="AV77" i="4"/>
  <c r="AP77" i="4"/>
  <c r="AJ77" i="4"/>
  <c r="N77" i="4"/>
  <c r="AW77" i="4"/>
  <c r="R77" i="4"/>
  <c r="BF77" i="4"/>
  <c r="BD77" i="4"/>
  <c r="AK77" i="4"/>
  <c r="F138" i="4" a="1"/>
  <c r="BA77" i="4"/>
  <c r="I77" i="4"/>
  <c r="AQ77" i="4"/>
  <c r="L77" i="4"/>
  <c r="AE77" i="4"/>
  <c r="AO77" i="4"/>
  <c r="BH77" i="4"/>
  <c r="P77" i="4"/>
  <c r="AT77" i="4"/>
  <c r="AX77" i="4"/>
  <c r="BJ77" i="4"/>
  <c r="X77" i="4"/>
  <c r="AB77" i="4"/>
  <c r="H80" i="4" a="1"/>
  <c r="AO83" i="4" s="1"/>
  <c r="K77" i="4"/>
  <c r="Y77" i="4"/>
  <c r="BG77" i="4"/>
  <c r="Z77" i="4"/>
  <c r="AF77" i="4"/>
  <c r="M77" i="4"/>
  <c r="BN77" i="4"/>
  <c r="F139" i="4" a="1"/>
  <c r="BE77" i="4"/>
  <c r="BM77" i="4"/>
  <c r="AY77" i="4"/>
  <c r="AD77" i="4"/>
  <c r="O77" i="4"/>
  <c r="BL77" i="4"/>
  <c r="Q77" i="4"/>
  <c r="V77" i="4"/>
  <c r="AZ77" i="4"/>
  <c r="BP77" i="4"/>
  <c r="F134" i="4" a="1"/>
  <c r="H77" i="4"/>
  <c r="AA77" i="4"/>
  <c r="AG77" i="4"/>
  <c r="T77" i="4"/>
  <c r="AL77" i="4"/>
  <c r="AH77" i="4"/>
  <c r="BK77" i="4"/>
  <c r="BO77" i="4"/>
  <c r="AN137" i="4" l="1"/>
  <c r="H137" i="4"/>
  <c r="W137" i="4"/>
  <c r="BI137" i="4"/>
  <c r="AP137" i="4"/>
  <c r="N137" i="4"/>
  <c r="AO137" i="4"/>
  <c r="BM137" i="4"/>
  <c r="AQ137" i="4"/>
  <c r="AY137" i="4"/>
  <c r="S137" i="4"/>
  <c r="AW137" i="4"/>
  <c r="BB137" i="4"/>
  <c r="AC137" i="4"/>
  <c r="F137" i="4"/>
  <c r="BH137" i="4"/>
  <c r="BE137" i="4"/>
  <c r="AG137" i="4"/>
  <c r="BD137" i="4"/>
  <c r="O137" i="4"/>
  <c r="T137" i="4"/>
  <c r="Z137" i="4"/>
  <c r="M137" i="4"/>
  <c r="AX137" i="4"/>
  <c r="K137" i="4"/>
  <c r="BA137" i="4"/>
  <c r="V137" i="4"/>
  <c r="AS137" i="4"/>
  <c r="AL137" i="4"/>
  <c r="X137" i="4"/>
  <c r="AD137" i="4"/>
  <c r="AR137" i="4"/>
  <c r="BF137" i="4"/>
  <c r="BL137" i="4"/>
  <c r="AZ137" i="4"/>
  <c r="AM137" i="4"/>
  <c r="AJ137" i="4"/>
  <c r="BO137" i="4"/>
  <c r="AA137" i="4"/>
  <c r="BN137" i="4"/>
  <c r="BK137" i="4"/>
  <c r="AH137" i="4"/>
  <c r="P137" i="4"/>
  <c r="AK137" i="4"/>
  <c r="BJ137" i="4"/>
  <c r="AF137" i="4"/>
  <c r="BG137" i="4"/>
  <c r="G137" i="4"/>
  <c r="AT137" i="4"/>
  <c r="AU137" i="4"/>
  <c r="BC137" i="4"/>
  <c r="Y137" i="4"/>
  <c r="BP137" i="4"/>
  <c r="R137" i="4"/>
  <c r="Q137" i="4"/>
  <c r="J137" i="4"/>
  <c r="AB137" i="4"/>
  <c r="AV137" i="4"/>
  <c r="I137" i="4"/>
  <c r="L137" i="4"/>
  <c r="AI137" i="4"/>
  <c r="U137" i="4"/>
  <c r="J135" i="4"/>
  <c r="BK135" i="4"/>
  <c r="AI135" i="4"/>
  <c r="R135" i="4"/>
  <c r="BA135" i="4"/>
  <c r="AT135" i="4"/>
  <c r="BF135" i="4"/>
  <c r="BB135" i="4"/>
  <c r="Z135" i="4"/>
  <c r="AP135" i="4"/>
  <c r="AE135" i="4"/>
  <c r="AO135" i="4"/>
  <c r="BG135" i="4"/>
  <c r="Y135" i="4"/>
  <c r="L135" i="4"/>
  <c r="AU135" i="4"/>
  <c r="AH135" i="4"/>
  <c r="M135" i="4"/>
  <c r="AB135" i="4"/>
  <c r="K135" i="4"/>
  <c r="F135" i="4"/>
  <c r="AX135" i="4"/>
  <c r="AC135" i="4"/>
  <c r="AN135" i="4"/>
  <c r="AR135" i="4"/>
  <c r="AF135" i="4"/>
  <c r="AW135" i="4"/>
  <c r="Q135" i="4"/>
  <c r="G135" i="4"/>
  <c r="AD135" i="4"/>
  <c r="T135" i="4"/>
  <c r="I135" i="4"/>
  <c r="BJ135" i="4"/>
  <c r="W135" i="4"/>
  <c r="AL135" i="4"/>
  <c r="BD135" i="4"/>
  <c r="BE135" i="4"/>
  <c r="V135" i="4"/>
  <c r="N135" i="4"/>
  <c r="BN135" i="4"/>
  <c r="BC135" i="4"/>
  <c r="X135" i="4"/>
  <c r="P135" i="4"/>
  <c r="BP135" i="4"/>
  <c r="AK135" i="4"/>
  <c r="AS135" i="4"/>
  <c r="BI135" i="4"/>
  <c r="AG135" i="4"/>
  <c r="O135" i="4"/>
  <c r="BL135" i="4"/>
  <c r="AQ135" i="4"/>
  <c r="AM135" i="4"/>
  <c r="AY135" i="4"/>
  <c r="AJ135" i="4"/>
  <c r="BM135" i="4"/>
  <c r="BO135" i="4"/>
  <c r="BH135" i="4"/>
  <c r="S135" i="4"/>
  <c r="H135" i="4"/>
  <c r="AZ135" i="4"/>
  <c r="AV135" i="4"/>
  <c r="U135" i="4"/>
  <c r="S136" i="4"/>
  <c r="BL136" i="4"/>
  <c r="AU136" i="4"/>
  <c r="BJ136" i="4"/>
  <c r="BM136" i="4"/>
  <c r="BI136" i="4"/>
  <c r="AE136" i="4"/>
  <c r="BH136" i="4"/>
  <c r="BK136" i="4"/>
  <c r="BE136" i="4"/>
  <c r="AB136" i="4"/>
  <c r="O136" i="4"/>
  <c r="AP136" i="4"/>
  <c r="AJ136" i="4"/>
  <c r="T136" i="4"/>
  <c r="AF136" i="4"/>
  <c r="BA136" i="4"/>
  <c r="AZ136" i="4"/>
  <c r="K136" i="4"/>
  <c r="BP136" i="4"/>
  <c r="BC136" i="4"/>
  <c r="AQ136" i="4"/>
  <c r="BB136" i="4"/>
  <c r="AA136" i="4"/>
  <c r="W136" i="4"/>
  <c r="AY136" i="4"/>
  <c r="Y136" i="4"/>
  <c r="AS136" i="4"/>
  <c r="AG136" i="4"/>
  <c r="N136" i="4"/>
  <c r="I136" i="4"/>
  <c r="BG136" i="4"/>
  <c r="J136" i="4"/>
  <c r="BN136" i="4"/>
  <c r="BD136" i="4"/>
  <c r="AX136" i="4"/>
  <c r="L136" i="4"/>
  <c r="Q136" i="4"/>
  <c r="AK136" i="4"/>
  <c r="AN136" i="4"/>
  <c r="P136" i="4"/>
  <c r="AR136" i="4"/>
  <c r="AW136" i="4"/>
  <c r="H136" i="4"/>
  <c r="AV136" i="4"/>
  <c r="AC136" i="4"/>
  <c r="F136" i="4"/>
  <c r="M136" i="4"/>
  <c r="V136" i="4"/>
  <c r="AD136" i="4"/>
  <c r="R136" i="4"/>
  <c r="G136" i="4"/>
  <c r="BF136" i="4"/>
  <c r="U136" i="4"/>
  <c r="AH136" i="4"/>
  <c r="AT136" i="4"/>
  <c r="AM136" i="4"/>
  <c r="Z136" i="4"/>
  <c r="X136" i="4"/>
  <c r="AO136" i="4"/>
  <c r="AL136" i="4"/>
  <c r="BO136" i="4"/>
  <c r="BB85" i="4"/>
  <c r="BH85" i="4"/>
  <c r="K84" i="4"/>
  <c r="BK83" i="4"/>
  <c r="L84" i="4"/>
  <c r="AE83" i="4"/>
  <c r="AD82" i="4"/>
  <c r="AK80" i="4"/>
  <c r="BL83" i="4"/>
  <c r="L80" i="4"/>
  <c r="AW81" i="4"/>
  <c r="AA85" i="4"/>
  <c r="BK82" i="4"/>
  <c r="M83" i="4"/>
  <c r="I82" i="4"/>
  <c r="O80" i="4"/>
  <c r="S80" i="4"/>
  <c r="AD83" i="4"/>
  <c r="X85" i="4"/>
  <c r="AO81" i="4"/>
  <c r="BB83" i="4"/>
  <c r="AJ85" i="4"/>
  <c r="BK84" i="4"/>
  <c r="BP82" i="4"/>
  <c r="P82" i="4"/>
  <c r="AP85" i="4"/>
  <c r="U82" i="4"/>
  <c r="AX84" i="4"/>
  <c r="BC84" i="4"/>
  <c r="M81" i="4"/>
  <c r="AZ84" i="4"/>
  <c r="R84" i="4"/>
  <c r="M85" i="4"/>
  <c r="H82" i="4"/>
  <c r="BG82" i="4"/>
  <c r="AF80" i="4"/>
  <c r="BD84" i="4"/>
  <c r="J84" i="4"/>
  <c r="AU80" i="4"/>
  <c r="BD81" i="4"/>
  <c r="AI85" i="4"/>
  <c r="AI84" i="4"/>
  <c r="Q81" i="4"/>
  <c r="BA85" i="4"/>
  <c r="BG84" i="4"/>
  <c r="O81" i="4"/>
  <c r="AY81" i="4"/>
  <c r="AS80" i="4"/>
  <c r="AZ80" i="4"/>
  <c r="AW83" i="4"/>
  <c r="K80" i="4"/>
  <c r="AU85" i="4"/>
  <c r="J85" i="4"/>
  <c r="BE82" i="4"/>
  <c r="AD81" i="4"/>
  <c r="BB82" i="4"/>
  <c r="AN80" i="4"/>
  <c r="H84" i="4"/>
  <c r="BN80" i="4"/>
  <c r="AM83" i="4"/>
  <c r="AX83" i="4"/>
  <c r="AA138" i="4"/>
  <c r="AY138" i="4"/>
  <c r="AM138" i="4"/>
  <c r="AF138" i="4"/>
  <c r="AG138" i="4"/>
  <c r="AL138" i="4"/>
  <c r="BB138" i="4"/>
  <c r="I138" i="4"/>
  <c r="G138" i="4"/>
  <c r="S138" i="4"/>
  <c r="BG138" i="4"/>
  <c r="O138" i="4"/>
  <c r="BM138" i="4"/>
  <c r="U138" i="4"/>
  <c r="AI138" i="4"/>
  <c r="BP138" i="4"/>
  <c r="Z138" i="4"/>
  <c r="BD138" i="4"/>
  <c r="AN138" i="4"/>
  <c r="M138" i="4"/>
  <c r="BI138" i="4"/>
  <c r="BN138" i="4"/>
  <c r="AE138" i="4"/>
  <c r="BO138" i="4"/>
  <c r="AO138" i="4"/>
  <c r="AS138" i="4"/>
  <c r="AT138" i="4"/>
  <c r="AB138" i="4"/>
  <c r="BA138" i="4"/>
  <c r="H138" i="4"/>
  <c r="T138" i="4"/>
  <c r="AC138" i="4"/>
  <c r="P138" i="4"/>
  <c r="BK138" i="4"/>
  <c r="Y138" i="4"/>
  <c r="AU138" i="4"/>
  <c r="AD138" i="4"/>
  <c r="J138" i="4"/>
  <c r="V138" i="4"/>
  <c r="AH138" i="4"/>
  <c r="AK138" i="4"/>
  <c r="AP138" i="4"/>
  <c r="L138" i="4"/>
  <c r="F138" i="4"/>
  <c r="BC138" i="4"/>
  <c r="N138" i="4"/>
  <c r="Q138" i="4"/>
  <c r="AJ138" i="4"/>
  <c r="AV138" i="4"/>
  <c r="BH138" i="4"/>
  <c r="AW138" i="4"/>
  <c r="BF138" i="4"/>
  <c r="AR138" i="4"/>
  <c r="BE138" i="4"/>
  <c r="BJ138" i="4"/>
  <c r="X138" i="4"/>
  <c r="AQ138" i="4"/>
  <c r="K138" i="4"/>
  <c r="BL138" i="4"/>
  <c r="AZ138" i="4"/>
  <c r="AX138" i="4"/>
  <c r="R138" i="4"/>
  <c r="W138" i="4"/>
  <c r="BO82" i="4"/>
  <c r="AC80" i="4"/>
  <c r="Y83" i="4"/>
  <c r="AJ82" i="4"/>
  <c r="AB82" i="4"/>
  <c r="BH80" i="4"/>
  <c r="BO80" i="4"/>
  <c r="BG81" i="4"/>
  <c r="BG80" i="4"/>
  <c r="T85" i="4"/>
  <c r="AV83" i="4"/>
  <c r="AT80" i="4"/>
  <c r="S82" i="4"/>
  <c r="Z83" i="4"/>
  <c r="AK83" i="4"/>
  <c r="AL81" i="4"/>
  <c r="J81" i="4"/>
  <c r="N84" i="4"/>
  <c r="L83" i="4"/>
  <c r="AH81" i="4"/>
  <c r="Z84" i="4"/>
  <c r="AJ83" i="4"/>
  <c r="AV80" i="4"/>
  <c r="BC80" i="4"/>
  <c r="BP81" i="4"/>
  <c r="BN85" i="4"/>
  <c r="AB83" i="4"/>
  <c r="AK82" i="4"/>
  <c r="BE85" i="4"/>
  <c r="AA82" i="4"/>
  <c r="Y80" i="4"/>
  <c r="AZ83" i="4"/>
  <c r="AZ85" i="4"/>
  <c r="AK81" i="4"/>
  <c r="O85" i="4"/>
  <c r="AM82" i="4"/>
  <c r="BJ82" i="4"/>
  <c r="AY82" i="4"/>
  <c r="AE85" i="4"/>
  <c r="AA83" i="4"/>
  <c r="I81" i="4"/>
  <c r="BI85" i="4"/>
  <c r="BL85" i="4"/>
  <c r="AQ82" i="4"/>
  <c r="BG85" i="4"/>
  <c r="L85" i="4"/>
  <c r="U81" i="4"/>
  <c r="W81" i="4"/>
  <c r="AK84" i="4"/>
  <c r="BE84" i="4"/>
  <c r="T82" i="4"/>
  <c r="BM81" i="4"/>
  <c r="AS83" i="4"/>
  <c r="BJ81" i="4"/>
  <c r="AN85" i="4"/>
  <c r="Z82" i="4"/>
  <c r="T80" i="4"/>
  <c r="BE81" i="4"/>
  <c r="BA84" i="4"/>
  <c r="Q82" i="4"/>
  <c r="AR84" i="4"/>
  <c r="BA82" i="4"/>
  <c r="AW84" i="4"/>
  <c r="BP84" i="4"/>
  <c r="AH80" i="4"/>
  <c r="K82" i="4"/>
  <c r="AL85" i="4"/>
  <c r="AT85" i="4"/>
  <c r="AS84" i="4"/>
  <c r="R82" i="4"/>
  <c r="U80" i="4"/>
  <c r="AV84" i="4"/>
  <c r="H85" i="4"/>
  <c r="AP82" i="4"/>
  <c r="X83" i="4"/>
  <c r="AB80" i="4"/>
  <c r="S85" i="4"/>
  <c r="V80" i="4"/>
  <c r="BB80" i="4"/>
  <c r="AL83" i="4"/>
  <c r="I83" i="4"/>
  <c r="BN81" i="4"/>
  <c r="AG83" i="4"/>
  <c r="AM84" i="4"/>
  <c r="BC82" i="4"/>
  <c r="W80" i="4"/>
  <c r="AY83" i="4"/>
  <c r="W139" i="4"/>
  <c r="AX139" i="4"/>
  <c r="AS139" i="4"/>
  <c r="BJ139" i="4"/>
  <c r="F139" i="4"/>
  <c r="AB139" i="4"/>
  <c r="AH139" i="4"/>
  <c r="BO139" i="4"/>
  <c r="AV139" i="4"/>
  <c r="AU139" i="4"/>
  <c r="X139" i="4"/>
  <c r="BK139" i="4"/>
  <c r="AP139" i="4"/>
  <c r="AW139" i="4"/>
  <c r="AM139" i="4"/>
  <c r="AO139" i="4"/>
  <c r="Q139" i="4"/>
  <c r="BI139" i="4"/>
  <c r="AR139" i="4"/>
  <c r="AZ139" i="4"/>
  <c r="BC139" i="4"/>
  <c r="BG139" i="4"/>
  <c r="BF139" i="4"/>
  <c r="AD139" i="4"/>
  <c r="BN139" i="4"/>
  <c r="U139" i="4"/>
  <c r="I139" i="4"/>
  <c r="K139" i="4"/>
  <c r="AE139" i="4"/>
  <c r="BE139" i="4"/>
  <c r="L139" i="4"/>
  <c r="AT139" i="4"/>
  <c r="BP139" i="4"/>
  <c r="Z139" i="4"/>
  <c r="BB139" i="4"/>
  <c r="AG139" i="4"/>
  <c r="T139" i="4"/>
  <c r="R139" i="4"/>
  <c r="AI139" i="4"/>
  <c r="AK139" i="4"/>
  <c r="BM139" i="4"/>
  <c r="P139" i="4"/>
  <c r="AA139" i="4"/>
  <c r="AC139" i="4"/>
  <c r="AQ139" i="4"/>
  <c r="N139" i="4"/>
  <c r="BH139" i="4"/>
  <c r="H139" i="4"/>
  <c r="AF139" i="4"/>
  <c r="M139" i="4"/>
  <c r="S139" i="4"/>
  <c r="G139" i="4"/>
  <c r="AJ139" i="4"/>
  <c r="BA139" i="4"/>
  <c r="V139" i="4"/>
  <c r="AN139" i="4"/>
  <c r="BL139" i="4"/>
  <c r="AY139" i="4"/>
  <c r="O139" i="4"/>
  <c r="J139" i="4"/>
  <c r="AL139" i="4"/>
  <c r="BD139" i="4"/>
  <c r="Y139" i="4"/>
  <c r="AA81" i="4"/>
  <c r="V81" i="4"/>
  <c r="BI83" i="4"/>
  <c r="AV85" i="4"/>
  <c r="AZ82" i="4"/>
  <c r="AT84" i="4"/>
  <c r="AU84" i="4"/>
  <c r="X80" i="4"/>
  <c r="AG80" i="4"/>
  <c r="BF80" i="4"/>
  <c r="W82" i="4"/>
  <c r="AB81" i="4"/>
  <c r="AU82" i="4"/>
  <c r="BG83" i="4"/>
  <c r="W85" i="4"/>
  <c r="AW85" i="4"/>
  <c r="AG81" i="4"/>
  <c r="BN83" i="4"/>
  <c r="AN81" i="4"/>
  <c r="AO85" i="4"/>
  <c r="AV81" i="4"/>
  <c r="N85" i="4"/>
  <c r="J80" i="4"/>
  <c r="BH81" i="4"/>
  <c r="Z85" i="4"/>
  <c r="R85" i="4"/>
  <c r="AG84" i="4"/>
  <c r="BO81" i="4"/>
  <c r="AE84" i="4"/>
  <c r="BJ80" i="4"/>
  <c r="AN84" i="4"/>
  <c r="BM84" i="4"/>
  <c r="R80" i="4"/>
  <c r="Q85" i="4"/>
  <c r="Y81" i="4"/>
  <c r="BL84" i="4"/>
  <c r="O82" i="4"/>
  <c r="AX82" i="4"/>
  <c r="W84" i="4"/>
  <c r="BN84" i="4"/>
  <c r="O83" i="4"/>
  <c r="BO85" i="4"/>
  <c r="BI80" i="4"/>
  <c r="AA84" i="4"/>
  <c r="L81" i="4"/>
  <c r="BP80" i="4"/>
  <c r="N81" i="4"/>
  <c r="BO84" i="4"/>
  <c r="H80" i="4"/>
  <c r="AM81" i="4"/>
  <c r="X84" i="4"/>
  <c r="BJ85" i="4"/>
  <c r="AF85" i="4"/>
  <c r="S83" i="4"/>
  <c r="BI84" i="4"/>
  <c r="AD85" i="4"/>
  <c r="BF81" i="4"/>
  <c r="AA80" i="4"/>
  <c r="AQ80" i="4"/>
  <c r="P83" i="4"/>
  <c r="AX85" i="4"/>
  <c r="I80" i="4"/>
  <c r="AF84" i="4"/>
  <c r="AF81" i="4"/>
  <c r="S84" i="4"/>
  <c r="AQ84" i="4"/>
  <c r="AH83" i="4"/>
  <c r="AC81" i="4"/>
  <c r="N83" i="4"/>
  <c r="BM82" i="4"/>
  <c r="AM80" i="4"/>
  <c r="AD84" i="4"/>
  <c r="I84" i="4"/>
  <c r="AQ81" i="4"/>
  <c r="BB84" i="4"/>
  <c r="U84" i="4"/>
  <c r="BC81" i="4"/>
  <c r="BP83" i="4"/>
  <c r="AX80" i="4"/>
  <c r="AB84" i="4"/>
  <c r="U83" i="4"/>
  <c r="W83" i="4"/>
  <c r="AB85" i="4"/>
  <c r="BC83" i="4"/>
  <c r="AN82" i="4"/>
  <c r="AS81" i="4"/>
  <c r="AU83" i="4"/>
  <c r="T84" i="4"/>
  <c r="H81" i="4"/>
  <c r="K85" i="4"/>
  <c r="R83" i="4"/>
  <c r="BD83" i="4"/>
  <c r="AK85" i="4"/>
  <c r="BD82" i="4"/>
  <c r="V83" i="4"/>
  <c r="BD80" i="4"/>
  <c r="BD85" i="4"/>
  <c r="AC83" i="4"/>
  <c r="AW82" i="4"/>
  <c r="BE83" i="4"/>
  <c r="AC82" i="4"/>
  <c r="H205" i="4" a="1"/>
  <c r="Q80" i="4"/>
  <c r="V82" i="4"/>
  <c r="BK85" i="4"/>
  <c r="BA81" i="4"/>
  <c r="K81" i="4"/>
  <c r="AE80" i="4"/>
  <c r="Z80" i="4"/>
  <c r="P84" i="4"/>
  <c r="BH83" i="4"/>
  <c r="P81" i="4"/>
  <c r="BJ84" i="4"/>
  <c r="H83" i="4"/>
  <c r="AP80" i="4"/>
  <c r="AT82" i="4"/>
  <c r="AT81" i="4"/>
  <c r="Q83" i="4"/>
  <c r="AY85" i="4"/>
  <c r="AY84" i="4"/>
  <c r="BB134" i="4"/>
  <c r="BH134" i="4"/>
  <c r="BA134" i="4"/>
  <c r="BD134" i="4"/>
  <c r="BM134" i="4"/>
  <c r="G134" i="4"/>
  <c r="M134" i="4"/>
  <c r="Z134" i="4"/>
  <c r="I134" i="4"/>
  <c r="AA134" i="4"/>
  <c r="BO134" i="4"/>
  <c r="K134" i="4"/>
  <c r="BI134" i="4"/>
  <c r="AM134" i="4"/>
  <c r="AL134" i="4"/>
  <c r="AJ134" i="4"/>
  <c r="AO134" i="4"/>
  <c r="AY134" i="4"/>
  <c r="AB134" i="4"/>
  <c r="X134" i="4"/>
  <c r="BG134" i="4"/>
  <c r="BL134" i="4"/>
  <c r="BJ134" i="4"/>
  <c r="BC134" i="4"/>
  <c r="Y134" i="4"/>
  <c r="AP134" i="4"/>
  <c r="Q134" i="4"/>
  <c r="AX134" i="4"/>
  <c r="L134" i="4"/>
  <c r="BF134" i="4"/>
  <c r="AI134" i="4"/>
  <c r="O134" i="4"/>
  <c r="BP134" i="4"/>
  <c r="AN134" i="4"/>
  <c r="AF134" i="4"/>
  <c r="AR134" i="4"/>
  <c r="AE134" i="4"/>
  <c r="W134" i="4"/>
  <c r="T134" i="4"/>
  <c r="BK134" i="4"/>
  <c r="BN134" i="4"/>
  <c r="AH134" i="4"/>
  <c r="AD134" i="4"/>
  <c r="R134" i="4"/>
  <c r="AG134" i="4"/>
  <c r="F134" i="4"/>
  <c r="AZ134" i="4"/>
  <c r="AS134" i="4"/>
  <c r="AW134" i="4"/>
  <c r="U134" i="4"/>
  <c r="BE134" i="4"/>
  <c r="S134" i="4"/>
  <c r="AV134" i="4"/>
  <c r="V134" i="4"/>
  <c r="P134" i="4"/>
  <c r="H134" i="4"/>
  <c r="N134" i="4"/>
  <c r="AU134" i="4"/>
  <c r="AQ134" i="4"/>
  <c r="AC134" i="4"/>
  <c r="AT134" i="4"/>
  <c r="AK134" i="4"/>
  <c r="J134" i="4"/>
  <c r="AC85" i="4"/>
  <c r="AD80" i="4"/>
  <c r="AY80" i="4"/>
  <c r="Q84" i="4"/>
  <c r="BA80" i="4"/>
  <c r="AE81" i="4"/>
  <c r="AL84" i="4"/>
  <c r="BM85" i="4"/>
  <c r="AH85" i="4"/>
  <c r="BM83" i="4"/>
  <c r="AL80" i="4"/>
  <c r="K83" i="4"/>
  <c r="AS85" i="4"/>
  <c r="P80" i="4"/>
  <c r="X81" i="4"/>
  <c r="N80" i="4"/>
  <c r="J82" i="4"/>
  <c r="AV82" i="4"/>
  <c r="AC84" i="4"/>
  <c r="AH82" i="4"/>
  <c r="BH82" i="4"/>
  <c r="Y84" i="4"/>
  <c r="AX81" i="4"/>
  <c r="AG85" i="4"/>
  <c r="M84" i="4"/>
  <c r="BM80" i="4"/>
  <c r="N82" i="4"/>
  <c r="BJ83" i="4"/>
  <c r="AI81" i="4"/>
  <c r="R81" i="4"/>
  <c r="BI82" i="4"/>
  <c r="AL82" i="4"/>
  <c r="BE80" i="4"/>
  <c r="AP84" i="4"/>
  <c r="BL82" i="4"/>
  <c r="AE82" i="4"/>
  <c r="AW80" i="4"/>
  <c r="O84" i="4"/>
  <c r="AJ80" i="4"/>
  <c r="BI81" i="4"/>
  <c r="AM85" i="4"/>
  <c r="AH84" i="4"/>
  <c r="T81" i="4"/>
  <c r="AQ83" i="4"/>
  <c r="AT83" i="4"/>
  <c r="S81" i="4"/>
  <c r="AJ81" i="4"/>
  <c r="AO84" i="4"/>
  <c r="AI82" i="4"/>
  <c r="AP81" i="4"/>
  <c r="BN82" i="4"/>
  <c r="X82" i="4"/>
  <c r="AO82" i="4"/>
  <c r="BA83" i="4"/>
  <c r="AR82" i="4"/>
  <c r="AI83" i="4"/>
  <c r="T83" i="4"/>
  <c r="AR83" i="4"/>
  <c r="BF82" i="4"/>
  <c r="M82" i="4"/>
  <c r="AS82" i="4"/>
  <c r="AI80" i="4"/>
  <c r="BF85" i="4"/>
  <c r="BL81" i="4"/>
  <c r="BB81" i="4"/>
  <c r="AR85" i="4"/>
  <c r="L82" i="4"/>
  <c r="Y82" i="4"/>
  <c r="BF84" i="4"/>
  <c r="BK80" i="4"/>
  <c r="I85" i="4"/>
  <c r="BO83" i="4"/>
  <c r="Z81" i="4"/>
  <c r="U85" i="4"/>
  <c r="AU81" i="4"/>
  <c r="AO80" i="4"/>
  <c r="BK81" i="4"/>
  <c r="BF83" i="4"/>
  <c r="BC85" i="4"/>
  <c r="AJ84" i="4"/>
  <c r="AP83" i="4"/>
  <c r="M80" i="4"/>
  <c r="AN83" i="4"/>
  <c r="AZ81" i="4"/>
  <c r="BH84" i="4"/>
  <c r="AR81" i="4"/>
  <c r="AF83" i="4"/>
  <c r="Y85" i="4"/>
  <c r="AF82" i="4"/>
  <c r="J83" i="4"/>
  <c r="AR80" i="4"/>
  <c r="V85" i="4"/>
  <c r="V84" i="4"/>
  <c r="AQ85" i="4"/>
  <c r="BL80" i="4"/>
  <c r="P85" i="4"/>
  <c r="AG82" i="4"/>
  <c r="BP85" i="4"/>
  <c r="AN86" i="4" l="1"/>
  <c r="AW86" i="4"/>
  <c r="BA86" i="4"/>
  <c r="AX86" i="4"/>
  <c r="Q86" i="4"/>
  <c r="AG86" i="4"/>
  <c r="AU86" i="4"/>
  <c r="BB86" i="4"/>
  <c r="AP86" i="4"/>
  <c r="T86" i="4"/>
  <c r="AT86" i="4"/>
  <c r="BE86" i="4"/>
  <c r="AE86" i="4"/>
  <c r="BD86" i="4"/>
  <c r="BC86" i="4"/>
  <c r="AD86" i="4"/>
  <c r="BO86" i="4"/>
  <c r="AB86" i="4"/>
  <c r="F8" i="5"/>
  <c r="E8" i="5" s="1"/>
  <c r="BM86" i="4"/>
  <c r="J86" i="4"/>
  <c r="S86" i="4"/>
  <c r="AK86" i="4"/>
  <c r="AV86" i="4"/>
  <c r="BK86" i="4"/>
  <c r="AO86" i="4"/>
  <c r="H86" i="4"/>
  <c r="Y86" i="4"/>
  <c r="W86" i="4"/>
  <c r="BN86" i="4"/>
  <c r="K86" i="4"/>
  <c r="M86" i="4"/>
  <c r="BL86" i="4"/>
  <c r="AL86" i="4"/>
  <c r="F160" i="4" a="1"/>
  <c r="Y160" i="4" s="1"/>
  <c r="BF86" i="4"/>
  <c r="AJ86" i="4"/>
  <c r="N86" i="4"/>
  <c r="BI86" i="4"/>
  <c r="L86" i="4"/>
  <c r="X86" i="4"/>
  <c r="BH86" i="4"/>
  <c r="AI86" i="4"/>
  <c r="U86" i="4"/>
  <c r="H142" i="4" a="1"/>
  <c r="BF145" i="4" s="1"/>
  <c r="F158" i="4" a="1"/>
  <c r="AM158" i="4" s="1"/>
  <c r="AM86" i="4"/>
  <c r="R86" i="4"/>
  <c r="F159" i="4" a="1"/>
  <c r="AI159" i="4" s="1"/>
  <c r="V86" i="4"/>
  <c r="O86" i="4"/>
  <c r="AQ86" i="4"/>
  <c r="AH86" i="4"/>
  <c r="AR86" i="4"/>
  <c r="P86" i="4"/>
  <c r="F157" i="4" a="1"/>
  <c r="AB157" i="4" s="1"/>
  <c r="AY86" i="4"/>
  <c r="BJ86" i="4"/>
  <c r="H89" i="4" a="1"/>
  <c r="AV90" i="4" s="1"/>
  <c r="F156" i="4" a="1"/>
  <c r="BH156" i="4" s="1"/>
  <c r="Z86" i="4"/>
  <c r="AZ86" i="4"/>
  <c r="BG86" i="4"/>
  <c r="AS86" i="4"/>
  <c r="AF86" i="4"/>
  <c r="BP86" i="4"/>
  <c r="AA86" i="4"/>
  <c r="F155" i="4" a="1"/>
  <c r="AF155" i="4" s="1"/>
  <c r="BC205" i="4"/>
  <c r="AO205" i="4"/>
  <c r="O205" i="4"/>
  <c r="K205" i="4"/>
  <c r="AV205" i="4"/>
  <c r="AD205" i="4"/>
  <c r="BG205" i="4"/>
  <c r="AA205" i="4"/>
  <c r="AQ205" i="4"/>
  <c r="AC205" i="4"/>
  <c r="BJ205" i="4"/>
  <c r="AT205" i="4"/>
  <c r="L205" i="4"/>
  <c r="BD205" i="4"/>
  <c r="BH205" i="4"/>
  <c r="W205" i="4"/>
  <c r="AE205" i="4"/>
  <c r="Q205" i="4"/>
  <c r="AX205" i="4"/>
  <c r="AS205" i="4"/>
  <c r="V205" i="4"/>
  <c r="P205" i="4"/>
  <c r="BM205" i="4"/>
  <c r="BO205" i="4"/>
  <c r="S205" i="4"/>
  <c r="BL205" i="4"/>
  <c r="AL205" i="4"/>
  <c r="I205" i="4"/>
  <c r="U205" i="4"/>
  <c r="AI205" i="4"/>
  <c r="AP205" i="4"/>
  <c r="AR205" i="4"/>
  <c r="H205" i="4"/>
  <c r="AZ205" i="4"/>
  <c r="Z205" i="4"/>
  <c r="AJ205" i="4"/>
  <c r="BF205" i="4"/>
  <c r="BK205" i="4"/>
  <c r="M205" i="4"/>
  <c r="AU205" i="4"/>
  <c r="BN205" i="4"/>
  <c r="AN205" i="4"/>
  <c r="N205" i="4"/>
  <c r="BE205" i="4"/>
  <c r="AK205" i="4"/>
  <c r="T205" i="4"/>
  <c r="BA205" i="4"/>
  <c r="BP205" i="4"/>
  <c r="BB205" i="4"/>
  <c r="AB205" i="4"/>
  <c r="BI205" i="4"/>
  <c r="AH205" i="4"/>
  <c r="AG205" i="4"/>
  <c r="AW205" i="4"/>
  <c r="AF205" i="4"/>
  <c r="R205" i="4"/>
  <c r="AY205" i="4"/>
  <c r="Y205" i="4"/>
  <c r="X205" i="4"/>
  <c r="AM205" i="4"/>
  <c r="J205" i="4"/>
  <c r="AC86" i="4"/>
  <c r="I86" i="4"/>
  <c r="H206" i="4" a="1"/>
  <c r="W206" i="4" s="1"/>
  <c r="BO158" i="4" l="1"/>
  <c r="AF158" i="4"/>
  <c r="BM159" i="4"/>
  <c r="BP159" i="4"/>
  <c r="I159" i="4"/>
  <c r="BA158" i="4"/>
  <c r="W158" i="4"/>
  <c r="R159" i="4"/>
  <c r="AN158" i="4"/>
  <c r="AR158" i="4"/>
  <c r="I158" i="4"/>
  <c r="AZ159" i="4"/>
  <c r="AE158" i="4"/>
  <c r="BN159" i="4"/>
  <c r="BM158" i="4"/>
  <c r="Q158" i="4"/>
  <c r="BF158" i="4"/>
  <c r="AJ158" i="4"/>
  <c r="AQ158" i="4"/>
  <c r="AL158" i="4"/>
  <c r="AS158" i="4"/>
  <c r="AK158" i="4"/>
  <c r="J159" i="4"/>
  <c r="Y159" i="4"/>
  <c r="AD160" i="4"/>
  <c r="AS160" i="4"/>
  <c r="AB159" i="4"/>
  <c r="AY160" i="4"/>
  <c r="AP160" i="4"/>
  <c r="AO160" i="4"/>
  <c r="AW160" i="4"/>
  <c r="AR160" i="4"/>
  <c r="BC160" i="4"/>
  <c r="T159" i="4"/>
  <c r="J160" i="4"/>
  <c r="AF160" i="4"/>
  <c r="M155" i="4"/>
  <c r="AB160" i="4"/>
  <c r="AP159" i="4"/>
  <c r="BM160" i="4"/>
  <c r="AT159" i="4"/>
  <c r="BO160" i="4"/>
  <c r="P158" i="4"/>
  <c r="O159" i="4"/>
  <c r="BC159" i="4"/>
  <c r="H160" i="4"/>
  <c r="BB160" i="4"/>
  <c r="W159" i="4"/>
  <c r="AX158" i="4"/>
  <c r="AR159" i="4"/>
  <c r="BL158" i="4"/>
  <c r="BO159" i="4"/>
  <c r="Z159" i="4"/>
  <c r="X160" i="4"/>
  <c r="AO157" i="4"/>
  <c r="AX160" i="4"/>
  <c r="AC157" i="4"/>
  <c r="F160" i="4"/>
  <c r="BK159" i="4"/>
  <c r="N160" i="4"/>
  <c r="AA160" i="4"/>
  <c r="V160" i="4"/>
  <c r="BJ158" i="4"/>
  <c r="J158" i="4"/>
  <c r="AY158" i="4"/>
  <c r="H158" i="4"/>
  <c r="AL159" i="4"/>
  <c r="AX159" i="4"/>
  <c r="AK159" i="4"/>
  <c r="N159" i="4"/>
  <c r="BJ160" i="4"/>
  <c r="BG160" i="4"/>
  <c r="L160" i="4"/>
  <c r="AC160" i="4"/>
  <c r="BA160" i="4"/>
  <c r="BO157" i="4"/>
  <c r="U159" i="4"/>
  <c r="AU160" i="4"/>
  <c r="AT160" i="4"/>
  <c r="BK158" i="4"/>
  <c r="AO159" i="4"/>
  <c r="Q160" i="4"/>
  <c r="AK160" i="4"/>
  <c r="AP158" i="4"/>
  <c r="AS159" i="4"/>
  <c r="BN160" i="4"/>
  <c r="AN159" i="4"/>
  <c r="K157" i="4"/>
  <c r="M159" i="4"/>
  <c r="BD158" i="4"/>
  <c r="AQ159" i="4"/>
  <c r="P160" i="4"/>
  <c r="M160" i="4"/>
  <c r="AO158" i="4"/>
  <c r="AH159" i="4"/>
  <c r="U160" i="4"/>
  <c r="BK160" i="4"/>
  <c r="AW158" i="4"/>
  <c r="L159" i="4"/>
  <c r="AL160" i="4"/>
  <c r="AG158" i="4"/>
  <c r="BC158" i="4"/>
  <c r="BE159" i="4"/>
  <c r="AG159" i="4"/>
  <c r="BB159" i="4"/>
  <c r="AJ160" i="4"/>
  <c r="BL160" i="4"/>
  <c r="I160" i="4"/>
  <c r="R160" i="4"/>
  <c r="AD157" i="4"/>
  <c r="AC159" i="4"/>
  <c r="BD160" i="4"/>
  <c r="BI160" i="4"/>
  <c r="N158" i="4"/>
  <c r="P159" i="4"/>
  <c r="G160" i="4"/>
  <c r="G158" i="4"/>
  <c r="AJ159" i="4"/>
  <c r="S160" i="4"/>
  <c r="AM160" i="4"/>
  <c r="AC158" i="4"/>
  <c r="V158" i="4"/>
  <c r="BH159" i="4"/>
  <c r="AE160" i="4"/>
  <c r="AT158" i="4"/>
  <c r="AV158" i="4"/>
  <c r="H159" i="4"/>
  <c r="AN160" i="4"/>
  <c r="Y158" i="4"/>
  <c r="BI158" i="4"/>
  <c r="K158" i="4"/>
  <c r="R158" i="4"/>
  <c r="AM159" i="4"/>
  <c r="BF159" i="4"/>
  <c r="AY159" i="4"/>
  <c r="BD159" i="4"/>
  <c r="AI160" i="4"/>
  <c r="Z160" i="4"/>
  <c r="AQ160" i="4"/>
  <c r="AH160" i="4"/>
  <c r="BF160" i="4"/>
  <c r="BE157" i="4"/>
  <c r="V159" i="4"/>
  <c r="K160" i="4"/>
  <c r="L158" i="4"/>
  <c r="BI159" i="4"/>
  <c r="AV160" i="4"/>
  <c r="M158" i="4"/>
  <c r="BL159" i="4"/>
  <c r="O160" i="4"/>
  <c r="BB158" i="4"/>
  <c r="Q159" i="4"/>
  <c r="W160" i="4"/>
  <c r="AG160" i="4"/>
  <c r="BP160" i="4"/>
  <c r="X158" i="4"/>
  <c r="AI158" i="4"/>
  <c r="AZ158" i="4"/>
  <c r="T158" i="4"/>
  <c r="BA159" i="4"/>
  <c r="AV159" i="4"/>
  <c r="AW159" i="4"/>
  <c r="G159" i="4"/>
  <c r="AZ160" i="4"/>
  <c r="T160" i="4"/>
  <c r="BE160" i="4"/>
  <c r="BH160" i="4"/>
  <c r="AE157" i="4"/>
  <c r="BO142" i="4"/>
  <c r="AP156" i="4"/>
  <c r="P144" i="4"/>
  <c r="AQ142" i="4"/>
  <c r="R146" i="4"/>
  <c r="BF143" i="4"/>
  <c r="BJ143" i="4"/>
  <c r="BK145" i="4"/>
  <c r="AY145" i="4"/>
  <c r="BL145" i="4"/>
  <c r="AV143" i="4"/>
  <c r="BN142" i="4"/>
  <c r="AV144" i="4"/>
  <c r="L144" i="4"/>
  <c r="BN143" i="4"/>
  <c r="AI145" i="4"/>
  <c r="AY143" i="4"/>
  <c r="U143" i="4"/>
  <c r="N142" i="4"/>
  <c r="BB145" i="4"/>
  <c r="K146" i="4"/>
  <c r="AM145" i="4"/>
  <c r="BE143" i="4"/>
  <c r="AX142" i="4"/>
  <c r="BN146" i="4"/>
  <c r="AI146" i="4"/>
  <c r="AY146" i="4"/>
  <c r="U144" i="4"/>
  <c r="N143" i="4"/>
  <c r="BM146" i="4"/>
  <c r="AI144" i="4"/>
  <c r="W142" i="4"/>
  <c r="W156" i="4"/>
  <c r="BO144" i="4"/>
  <c r="BO146" i="4"/>
  <c r="N146" i="4"/>
  <c r="BK146" i="4"/>
  <c r="BK147" i="4"/>
  <c r="Q146" i="4"/>
  <c r="BJ146" i="4"/>
  <c r="BO145" i="4"/>
  <c r="BH144" i="4"/>
  <c r="BM147" i="4"/>
  <c r="AT142" i="4"/>
  <c r="AL147" i="4"/>
  <c r="AE146" i="4"/>
  <c r="X145" i="4"/>
  <c r="R143" i="4"/>
  <c r="J143" i="4"/>
  <c r="BJ147" i="4"/>
  <c r="AE144" i="4"/>
  <c r="X143" i="4"/>
  <c r="K147" i="4"/>
  <c r="BC156" i="4"/>
  <c r="Q142" i="4"/>
  <c r="BE142" i="4"/>
  <c r="AR144" i="4"/>
  <c r="P143" i="4"/>
  <c r="K145" i="4"/>
  <c r="BC145" i="4"/>
  <c r="T146" i="4"/>
  <c r="AN143" i="4"/>
  <c r="BA147" i="4"/>
  <c r="S142" i="4"/>
  <c r="AO143" i="4"/>
  <c r="Q147" i="4"/>
  <c r="BC147" i="4"/>
  <c r="AV146" i="4"/>
  <c r="AD147" i="4"/>
  <c r="AH144" i="4"/>
  <c r="BL142" i="4"/>
  <c r="AF142" i="4"/>
  <c r="X147" i="4"/>
  <c r="AY142" i="4"/>
  <c r="J145" i="4"/>
  <c r="AZ144" i="4"/>
  <c r="BD142" i="4"/>
  <c r="AV147" i="4"/>
  <c r="BK143" i="4"/>
  <c r="AH145" i="4"/>
  <c r="BM145" i="4"/>
  <c r="BC146" i="4"/>
  <c r="AV145" i="4"/>
  <c r="AJ143" i="4"/>
  <c r="BC144" i="4"/>
  <c r="AD143" i="4"/>
  <c r="BA143" i="4"/>
  <c r="AS145" i="4"/>
  <c r="AZ146" i="4"/>
  <c r="BO143" i="4"/>
  <c r="AS146" i="4"/>
  <c r="H142" i="4"/>
  <c r="BG144" i="4"/>
  <c r="X146" i="4"/>
  <c r="J142" i="4"/>
  <c r="AQ144" i="4"/>
  <c r="AP145" i="4"/>
  <c r="O147" i="4"/>
  <c r="AP146" i="4"/>
  <c r="T144" i="4"/>
  <c r="BF146" i="4"/>
  <c r="BD144" i="4"/>
  <c r="AM143" i="4"/>
  <c r="M144" i="4"/>
  <c r="P145" i="4"/>
  <c r="M142" i="4"/>
  <c r="H144" i="4"/>
  <c r="U145" i="4"/>
  <c r="AC144" i="4"/>
  <c r="W143" i="4"/>
  <c r="M146" i="4"/>
  <c r="AR147" i="4"/>
  <c r="AC146" i="4"/>
  <c r="AY144" i="4"/>
  <c r="AK144" i="4"/>
  <c r="Y142" i="4"/>
  <c r="AQ156" i="4"/>
  <c r="Y145" i="4"/>
  <c r="BM156" i="4"/>
  <c r="AG143" i="4"/>
  <c r="AT144" i="4"/>
  <c r="W147" i="4"/>
  <c r="S145" i="4"/>
  <c r="BI142" i="4"/>
  <c r="AH146" i="4"/>
  <c r="X142" i="4"/>
  <c r="AA146" i="4"/>
  <c r="BC142" i="4"/>
  <c r="AG147" i="4"/>
  <c r="AZ142" i="4"/>
  <c r="O143" i="4"/>
  <c r="I143" i="4"/>
  <c r="BI147" i="4"/>
  <c r="AP144" i="4"/>
  <c r="AU145" i="4"/>
  <c r="BK144" i="4"/>
  <c r="AS143" i="4"/>
  <c r="AL142" i="4"/>
  <c r="AD146" i="4"/>
  <c r="W146" i="4"/>
  <c r="O146" i="4"/>
  <c r="I144" i="4"/>
  <c r="BJ142" i="4"/>
  <c r="AP147" i="4"/>
  <c r="AU146" i="4"/>
  <c r="BN145" i="4"/>
  <c r="I142" i="4"/>
  <c r="BI146" i="4"/>
  <c r="AW144" i="4"/>
  <c r="BG157" i="4"/>
  <c r="BL144" i="4"/>
  <c r="I156" i="4"/>
  <c r="R156" i="4"/>
  <c r="J144" i="4"/>
  <c r="BG145" i="4"/>
  <c r="AK142" i="4"/>
  <c r="BD145" i="4"/>
  <c r="AG142" i="4"/>
  <c r="AU147" i="4"/>
  <c r="AK143" i="4"/>
  <c r="R145" i="4"/>
  <c r="AT143" i="4"/>
  <c r="AU142" i="4"/>
  <c r="AE142" i="4"/>
  <c r="AB144" i="4"/>
  <c r="AG145" i="4"/>
  <c r="Z144" i="4"/>
  <c r="S143" i="4"/>
  <c r="L142" i="4"/>
  <c r="P146" i="4"/>
  <c r="I146" i="4"/>
  <c r="BJ144" i="4"/>
  <c r="BC143" i="4"/>
  <c r="AV142" i="4"/>
  <c r="AB147" i="4"/>
  <c r="AG146" i="4"/>
  <c r="Z145" i="4"/>
  <c r="S144" i="4"/>
  <c r="L143" i="4"/>
  <c r="AA147" i="4"/>
  <c r="AG144" i="4"/>
  <c r="Z143" i="4"/>
  <c r="M147" i="4"/>
  <c r="AW157" i="4"/>
  <c r="BG147" i="4"/>
  <c r="T156" i="4"/>
  <c r="L147" i="4"/>
  <c r="AX143" i="4"/>
  <c r="I145" i="4"/>
  <c r="BA144" i="4"/>
  <c r="N144" i="4"/>
  <c r="AX144" i="4"/>
  <c r="S147" i="4"/>
  <c r="AR143" i="4"/>
  <c r="BH143" i="4"/>
  <c r="AQ147" i="4"/>
  <c r="AO145" i="4"/>
  <c r="BE147" i="4"/>
  <c r="AX146" i="4"/>
  <c r="AQ145" i="4"/>
  <c r="AJ144" i="4"/>
  <c r="AC147" i="4"/>
  <c r="AH142" i="4"/>
  <c r="Z147" i="4"/>
  <c r="S146" i="4"/>
  <c r="L145" i="4"/>
  <c r="AP142" i="4"/>
  <c r="BF142" i="4"/>
  <c r="AX147" i="4"/>
  <c r="AQ146" i="4"/>
  <c r="AJ145" i="4"/>
  <c r="AO142" i="4"/>
  <c r="BE146" i="4"/>
  <c r="AX145" i="4"/>
  <c r="AL143" i="4"/>
  <c r="AH157" i="4"/>
  <c r="BA146" i="4"/>
  <c r="AN147" i="4"/>
  <c r="AJ142" i="4"/>
  <c r="AA145" i="4"/>
  <c r="AE145" i="4"/>
  <c r="AZ147" i="4"/>
  <c r="H146" i="4"/>
  <c r="AB145" i="4"/>
  <c r="AW143" i="4"/>
  <c r="T143" i="4"/>
  <c r="J146" i="4"/>
  <c r="J147" i="4"/>
  <c r="BB147" i="4"/>
  <c r="AY147" i="4"/>
  <c r="AP143" i="4"/>
  <c r="Q145" i="4"/>
  <c r="AK146" i="4"/>
  <c r="AR145" i="4"/>
  <c r="AH158" i="4"/>
  <c r="F159" i="4"/>
  <c r="S159" i="4"/>
  <c r="V156" i="4"/>
  <c r="S156" i="4"/>
  <c r="AJ146" i="4"/>
  <c r="Z142" i="4"/>
  <c r="AB146" i="4"/>
  <c r="V146" i="4"/>
  <c r="AF143" i="4"/>
  <c r="AO146" i="4"/>
  <c r="R147" i="4"/>
  <c r="AF146" i="4"/>
  <c r="BM143" i="4"/>
  <c r="M145" i="4"/>
  <c r="U142" i="4"/>
  <c r="BB146" i="4"/>
  <c r="V144" i="4"/>
  <c r="Q144" i="4"/>
  <c r="BO147" i="4"/>
  <c r="BH146" i="4"/>
  <c r="O142" i="4"/>
  <c r="BF144" i="4"/>
  <c r="BM142" i="4"/>
  <c r="AR142" i="4"/>
  <c r="AJ147" i="4"/>
  <c r="AA143" i="4"/>
  <c r="V145" i="4"/>
  <c r="AB142" i="4"/>
  <c r="H143" i="4"/>
  <c r="BH147" i="4"/>
  <c r="BB143" i="4"/>
  <c r="V143" i="4"/>
  <c r="I147" i="4"/>
  <c r="BJ145" i="4"/>
  <c r="AL157" i="4"/>
  <c r="AA144" i="4"/>
  <c r="T142" i="4"/>
  <c r="BI144" i="4"/>
  <c r="AL144" i="4"/>
  <c r="U146" i="4"/>
  <c r="BL147" i="4"/>
  <c r="BG146" i="4"/>
  <c r="BN144" i="4"/>
  <c r="L146" i="4"/>
  <c r="AL146" i="4"/>
  <c r="AW156" i="4"/>
  <c r="BN147" i="4"/>
  <c r="N147" i="4"/>
  <c r="P142" i="4"/>
  <c r="AH147" i="4"/>
  <c r="AN146" i="4"/>
  <c r="J156" i="4"/>
  <c r="R142" i="4"/>
  <c r="Q143" i="4"/>
  <c r="AK145" i="4"/>
  <c r="BG143" i="4"/>
  <c r="BI156" i="4"/>
  <c r="AA158" i="4"/>
  <c r="BG158" i="4"/>
  <c r="AD158" i="4"/>
  <c r="BN158" i="4"/>
  <c r="AB158" i="4"/>
  <c r="F158" i="4"/>
  <c r="AU158" i="4"/>
  <c r="BH158" i="4"/>
  <c r="BG159" i="4"/>
  <c r="BJ159" i="4"/>
  <c r="AD159" i="4"/>
  <c r="AE159" i="4"/>
  <c r="AA159" i="4"/>
  <c r="F156" i="4"/>
  <c r="AD144" i="4"/>
  <c r="AW147" i="4"/>
  <c r="AC145" i="4"/>
  <c r="AI143" i="4"/>
  <c r="AI147" i="4"/>
  <c r="Y147" i="4"/>
  <c r="AM146" i="4"/>
  <c r="V142" i="4"/>
  <c r="U147" i="4"/>
  <c r="AS144" i="4"/>
  <c r="Z146" i="4"/>
  <c r="AS147" i="4"/>
  <c r="AM147" i="4"/>
  <c r="AT146" i="4"/>
  <c r="AC142" i="4"/>
  <c r="AF144" i="4"/>
  <c r="Y143" i="4"/>
  <c r="AB143" i="4"/>
  <c r="V147" i="4"/>
  <c r="BK142" i="4"/>
  <c r="H145" i="4"/>
  <c r="BI143" i="4"/>
  <c r="AN144" i="4"/>
  <c r="AT147" i="4"/>
  <c r="O144" i="4"/>
  <c r="AF145" i="4"/>
  <c r="Y144" i="4"/>
  <c r="AM144" i="4"/>
  <c r="AT145" i="4"/>
  <c r="AH143" i="4"/>
  <c r="O157" i="4"/>
  <c r="G157" i="4"/>
  <c r="AO147" i="4"/>
  <c r="AZ143" i="4"/>
  <c r="AM142" i="4"/>
  <c r="AQ143" i="4"/>
  <c r="N145" i="4"/>
  <c r="BH142" i="4"/>
  <c r="AL145" i="4"/>
  <c r="AU144" i="4"/>
  <c r="BB142" i="4"/>
  <c r="X144" i="4"/>
  <c r="BE144" i="4"/>
  <c r="BE145" i="4"/>
  <c r="AE147" i="4"/>
  <c r="M143" i="4"/>
  <c r="AA142" i="4"/>
  <c r="BL143" i="4"/>
  <c r="T145" i="4"/>
  <c r="BF147" i="4"/>
  <c r="BH145" i="4"/>
  <c r="BD143" i="4"/>
  <c r="O145" i="4"/>
  <c r="H147" i="4"/>
  <c r="AR146" i="4"/>
  <c r="AC143" i="4"/>
  <c r="T147" i="4"/>
  <c r="BB144" i="4"/>
  <c r="W144" i="4"/>
  <c r="W145" i="4"/>
  <c r="O158" i="4"/>
  <c r="U158" i="4"/>
  <c r="BP158" i="4"/>
  <c r="BE158" i="4"/>
  <c r="S158" i="4"/>
  <c r="Z158" i="4"/>
  <c r="AK155" i="4"/>
  <c r="AU159" i="4"/>
  <c r="K159" i="4"/>
  <c r="AF159" i="4"/>
  <c r="X159" i="4"/>
  <c r="BF156" i="4"/>
  <c r="AK147" i="4"/>
  <c r="BI145" i="4"/>
  <c r="AN142" i="4"/>
  <c r="BL146" i="4"/>
  <c r="AW142" i="4"/>
  <c r="AE143" i="4"/>
  <c r="AN145" i="4"/>
  <c r="AS142" i="4"/>
  <c r="AI142" i="4"/>
  <c r="P147" i="4"/>
  <c r="BM144" i="4"/>
  <c r="BG142" i="4"/>
  <c r="BA142" i="4"/>
  <c r="K143" i="4"/>
  <c r="AD142" i="4"/>
  <c r="BD146" i="4"/>
  <c r="AW145" i="4"/>
  <c r="AO144" i="4"/>
  <c r="AU143" i="4"/>
  <c r="R144" i="4"/>
  <c r="AF147" i="4"/>
  <c r="Y146" i="4"/>
  <c r="BA145" i="4"/>
  <c r="K144" i="4"/>
  <c r="AD145" i="4"/>
  <c r="BD147" i="4"/>
  <c r="AW146" i="4"/>
  <c r="AZ145" i="4"/>
  <c r="K142" i="4"/>
  <c r="Q157" i="4"/>
  <c r="U157" i="4"/>
  <c r="BL94" i="4"/>
  <c r="O90" i="4"/>
  <c r="AR90" i="4"/>
  <c r="AA94" i="4"/>
  <c r="BI94" i="4"/>
  <c r="AD89" i="4"/>
  <c r="AW90" i="4"/>
  <c r="BF94" i="4"/>
  <c r="BB93" i="4"/>
  <c r="AX92" i="4"/>
  <c r="AX89" i="4"/>
  <c r="AL94" i="4"/>
  <c r="Q93" i="4"/>
  <c r="BH90" i="4"/>
  <c r="BC94" i="4"/>
  <c r="K92" i="4"/>
  <c r="AM91" i="4"/>
  <c r="BK94" i="4"/>
  <c r="L91" i="4"/>
  <c r="AS89" i="4"/>
  <c r="Z93" i="4"/>
  <c r="AQ92" i="4"/>
  <c r="AJ91" i="4"/>
  <c r="AO93" i="4"/>
  <c r="V89" i="4"/>
  <c r="BJ93" i="4"/>
  <c r="BO92" i="4"/>
  <c r="BH91" i="4"/>
  <c r="BA94" i="4"/>
  <c r="AT89" i="4"/>
  <c r="AO92" i="4"/>
  <c r="AE93" i="4"/>
  <c r="X92" i="4"/>
  <c r="N90" i="4"/>
  <c r="J90" i="4"/>
  <c r="O89" i="4"/>
  <c r="BC93" i="4"/>
  <c r="AV92" i="4"/>
  <c r="Z91" i="4"/>
  <c r="AH90" i="4"/>
  <c r="AA90" i="4"/>
  <c r="S94" i="4"/>
  <c r="L93" i="4"/>
  <c r="AT155" i="4"/>
  <c r="G156" i="4"/>
  <c r="BB156" i="4"/>
  <c r="O156" i="4"/>
  <c r="BN156" i="4"/>
  <c r="BK156" i="4"/>
  <c r="AY157" i="4"/>
  <c r="BF157" i="4"/>
  <c r="Z157" i="4"/>
  <c r="BH157" i="4"/>
  <c r="AK157" i="4"/>
  <c r="BM157" i="4"/>
  <c r="P89" i="4"/>
  <c r="AM92" i="4"/>
  <c r="AK89" i="4"/>
  <c r="BE89" i="4"/>
  <c r="AV93" i="4"/>
  <c r="BA91" i="4"/>
  <c r="AB93" i="4"/>
  <c r="AC93" i="4"/>
  <c r="U92" i="4"/>
  <c r="AO94" i="4"/>
  <c r="Z89" i="4"/>
  <c r="BD93" i="4"/>
  <c r="AW92" i="4"/>
  <c r="BB91" i="4"/>
  <c r="AI90" i="4"/>
  <c r="AL90" i="4"/>
  <c r="T94" i="4"/>
  <c r="M93" i="4"/>
  <c r="R92" i="4"/>
  <c r="BG90" i="4"/>
  <c r="AX91" i="4"/>
  <c r="AR94" i="4"/>
  <c r="AR103" i="4" s="1"/>
  <c r="AK93" i="4"/>
  <c r="AP92" i="4"/>
  <c r="W91" i="4"/>
  <c r="BJ92" i="4"/>
  <c r="I89" i="4"/>
  <c r="BI93" i="4"/>
  <c r="BN92" i="4"/>
  <c r="AU91" i="4"/>
  <c r="N94" i="4"/>
  <c r="AG89" i="4"/>
  <c r="Y94" i="4"/>
  <c r="AN156" i="4"/>
  <c r="AC156" i="4"/>
  <c r="AA156" i="4"/>
  <c r="X156" i="4"/>
  <c r="AB156" i="4"/>
  <c r="S157" i="4"/>
  <c r="H157" i="4"/>
  <c r="W157" i="4"/>
  <c r="BB157" i="4"/>
  <c r="AF157" i="4"/>
  <c r="AG92" i="4"/>
  <c r="BK89" i="4"/>
  <c r="AT91" i="4"/>
  <c r="BD89" i="4"/>
  <c r="AN91" i="4"/>
  <c r="H91" i="4"/>
  <c r="H100" i="4" s="1"/>
  <c r="AF91" i="4"/>
  <c r="BD91" i="4"/>
  <c r="AH94" i="4"/>
  <c r="R90" i="4"/>
  <c r="AR92" i="4"/>
  <c r="AK91" i="4"/>
  <c r="AP90" i="4"/>
  <c r="W89" i="4"/>
  <c r="BA92" i="4"/>
  <c r="H93" i="4"/>
  <c r="H102" i="4" s="1"/>
  <c r="BI91" i="4"/>
  <c r="AT93" i="4"/>
  <c r="AE92" i="4"/>
  <c r="AX94" i="4"/>
  <c r="AP93" i="4"/>
  <c r="AC92" i="4"/>
  <c r="AL92" i="4"/>
  <c r="AO89" i="4"/>
  <c r="AX93" i="4"/>
  <c r="AM90" i="4"/>
  <c r="U90" i="4"/>
  <c r="BJ90" i="4"/>
  <c r="R94" i="4"/>
  <c r="BG92" i="4"/>
  <c r="AY91" i="4"/>
  <c r="AS90" i="4"/>
  <c r="AZ93" i="4"/>
  <c r="AP94" i="4"/>
  <c r="W93" i="4"/>
  <c r="BK92" i="4"/>
  <c r="I91" i="4"/>
  <c r="BA93" i="4"/>
  <c r="BN94" i="4"/>
  <c r="AU93" i="4"/>
  <c r="O94" i="4"/>
  <c r="AG91" i="4"/>
  <c r="BL91" i="4"/>
  <c r="S89" i="4"/>
  <c r="K94" i="4"/>
  <c r="AB89" i="4"/>
  <c r="BE91" i="4"/>
  <c r="AO155" i="4"/>
  <c r="AI156" i="4"/>
  <c r="AS156" i="4"/>
  <c r="AO156" i="4"/>
  <c r="AY156" i="4"/>
  <c r="Z156" i="4"/>
  <c r="J157" i="4"/>
  <c r="BI157" i="4"/>
  <c r="V157" i="4"/>
  <c r="AZ157" i="4"/>
  <c r="AM157" i="4"/>
  <c r="AN92" i="4"/>
  <c r="BO94" i="4"/>
  <c r="AF89" i="4"/>
  <c r="M89" i="4"/>
  <c r="Z90" i="4"/>
  <c r="Q89" i="4"/>
  <c r="M91" i="4"/>
  <c r="AN90" i="4"/>
  <c r="BM93" i="4"/>
  <c r="AE90" i="4"/>
  <c r="BC90" i="4"/>
  <c r="S91" i="4"/>
  <c r="AO90" i="4"/>
  <c r="AQ94" i="4"/>
  <c r="BJ94" i="4"/>
  <c r="J92" i="4"/>
  <c r="AA91" i="4"/>
  <c r="AH92" i="4"/>
  <c r="AB90" i="4"/>
  <c r="K90" i="4"/>
  <c r="BM91" i="4"/>
  <c r="J94" i="4"/>
  <c r="BB89" i="4"/>
  <c r="AO91" i="4"/>
  <c r="AW94" i="4"/>
  <c r="BO89" i="4"/>
  <c r="BL92" i="4"/>
  <c r="AV89" i="4"/>
  <c r="L90" i="4"/>
  <c r="AQ91" i="4"/>
  <c r="BL89" i="4"/>
  <c r="R91" i="4"/>
  <c r="X91" i="4"/>
  <c r="W92" i="4"/>
  <c r="T91" i="4"/>
  <c r="T93" i="4"/>
  <c r="N93" i="4"/>
  <c r="AR93" i="4"/>
  <c r="BM92" i="4"/>
  <c r="J89" i="4"/>
  <c r="AL91" i="4"/>
  <c r="BC92" i="4"/>
  <c r="AV91" i="4"/>
  <c r="Q94" i="4"/>
  <c r="AH89" i="4"/>
  <c r="Q90" i="4"/>
  <c r="S93" i="4"/>
  <c r="L92" i="4"/>
  <c r="AL89" i="4"/>
  <c r="BF89" i="4"/>
  <c r="BM94" i="4"/>
  <c r="AQ93" i="4"/>
  <c r="AJ92" i="4"/>
  <c r="AX90" i="4"/>
  <c r="V90" i="4"/>
  <c r="AY89" i="4"/>
  <c r="BO93" i="4"/>
  <c r="BH92" i="4"/>
  <c r="BJ91" i="4"/>
  <c r="AT90" i="4"/>
  <c r="S155" i="4"/>
  <c r="BJ156" i="4"/>
  <c r="AZ156" i="4"/>
  <c r="BE156" i="4"/>
  <c r="H156" i="4"/>
  <c r="K156" i="4"/>
  <c r="Y157" i="4"/>
  <c r="X157" i="4"/>
  <c r="I157" i="4"/>
  <c r="BK157" i="4"/>
  <c r="L157" i="4"/>
  <c r="BN90" i="4"/>
  <c r="BG89" i="4"/>
  <c r="P92" i="4"/>
  <c r="BI89" i="4"/>
  <c r="BE94" i="4"/>
  <c r="BF90" i="4"/>
  <c r="BC89" i="4"/>
  <c r="V91" i="4"/>
  <c r="Z94" i="4"/>
  <c r="AH91" i="4"/>
  <c r="AA93" i="4"/>
  <c r="T89" i="4"/>
  <c r="L94" i="4"/>
  <c r="AM89" i="4"/>
  <c r="BF91" i="4"/>
  <c r="AM94" i="4"/>
  <c r="AR89" i="4"/>
  <c r="AJ94" i="4"/>
  <c r="AY90" i="4"/>
  <c r="V92" i="4"/>
  <c r="AZ89" i="4"/>
  <c r="H90" i="4"/>
  <c r="H99" i="4" s="1"/>
  <c r="BH94" i="4"/>
  <c r="BK91" i="4"/>
  <c r="AT92" i="4"/>
  <c r="BL90" i="4"/>
  <c r="AF90" i="4"/>
  <c r="Y89" i="4"/>
  <c r="O93" i="4"/>
  <c r="J93" i="4"/>
  <c r="U155" i="4"/>
  <c r="Q156" i="4"/>
  <c r="U156" i="4"/>
  <c r="AK156" i="4"/>
  <c r="N156" i="4"/>
  <c r="Y156" i="4"/>
  <c r="AV157" i="4"/>
  <c r="BP157" i="4"/>
  <c r="AA157" i="4"/>
  <c r="BD157" i="4"/>
  <c r="BN157" i="4"/>
  <c r="AE94" i="4"/>
  <c r="AJ93" i="4"/>
  <c r="Q91" i="4"/>
  <c r="BO91" i="4"/>
  <c r="AI92" i="4"/>
  <c r="AI94" i="4"/>
  <c r="AF93" i="4"/>
  <c r="BG94" i="4"/>
  <c r="R89" i="4"/>
  <c r="BF93" i="4"/>
  <c r="AN94" i="4"/>
  <c r="AR91" i="4"/>
  <c r="AK90" i="4"/>
  <c r="AP89" i="4"/>
  <c r="V94" i="4"/>
  <c r="BA89" i="4"/>
  <c r="H92" i="4"/>
  <c r="H101" i="4" s="1"/>
  <c r="BI90" i="4"/>
  <c r="BN89" i="4"/>
  <c r="AT94" i="4"/>
  <c r="BM90" i="4"/>
  <c r="AF92" i="4"/>
  <c r="Y91" i="4"/>
  <c r="AD90" i="4"/>
  <c r="F9" i="5" s="1"/>
  <c r="E9" i="5" s="1"/>
  <c r="K89" i="4"/>
  <c r="Q92" i="4"/>
  <c r="BD92" i="4"/>
  <c r="AW91" i="4"/>
  <c r="BB90" i="4"/>
  <c r="AI89" i="4"/>
  <c r="L155" i="4"/>
  <c r="AV156" i="4"/>
  <c r="AE156" i="4"/>
  <c r="AH156" i="4"/>
  <c r="BG156" i="4"/>
  <c r="BD156" i="4"/>
  <c r="P156" i="4"/>
  <c r="BJ157" i="4"/>
  <c r="AI157" i="4"/>
  <c r="BL157" i="4"/>
  <c r="T157" i="4"/>
  <c r="M157" i="4"/>
  <c r="AW89" i="4"/>
  <c r="AY92" i="4"/>
  <c r="BK93" i="4"/>
  <c r="AV94" i="4"/>
  <c r="BF92" i="4"/>
  <c r="AY93" i="4"/>
  <c r="Y90" i="4"/>
  <c r="T92" i="4"/>
  <c r="BK90" i="4"/>
  <c r="AQ89" i="4"/>
  <c r="AS92" i="4"/>
  <c r="I93" i="4"/>
  <c r="AG93" i="4"/>
  <c r="BE93" i="4"/>
  <c r="U94" i="4"/>
  <c r="I92" i="4"/>
  <c r="O92" i="4"/>
  <c r="AD93" i="4"/>
  <c r="AA89" i="4"/>
  <c r="M90" i="4"/>
  <c r="M92" i="4"/>
  <c r="J91" i="4"/>
  <c r="AK92" i="4"/>
  <c r="AP91" i="4"/>
  <c r="W90" i="4"/>
  <c r="BJ89" i="4"/>
  <c r="H94" i="4"/>
  <c r="BI92" i="4"/>
  <c r="BN91" i="4"/>
  <c r="AU90" i="4"/>
  <c r="N91" i="4"/>
  <c r="AF94" i="4"/>
  <c r="Y93" i="4"/>
  <c r="AD92" i="4"/>
  <c r="K91" i="4"/>
  <c r="Z92" i="4"/>
  <c r="BD94" i="4"/>
  <c r="AW93" i="4"/>
  <c r="BB92" i="4"/>
  <c r="AI91" i="4"/>
  <c r="AL93" i="4"/>
  <c r="U89" i="4"/>
  <c r="M94" i="4"/>
  <c r="R93" i="4"/>
  <c r="BG91" i="4"/>
  <c r="AC155" i="4"/>
  <c r="M156" i="4"/>
  <c r="AG156" i="4"/>
  <c r="L156" i="4"/>
  <c r="AM156" i="4"/>
  <c r="AJ156" i="4"/>
  <c r="AD156" i="4"/>
  <c r="F157" i="4"/>
  <c r="AR157" i="4"/>
  <c r="AT157" i="4"/>
  <c r="AJ157" i="4"/>
  <c r="AG157" i="4"/>
  <c r="AU89" i="4"/>
  <c r="P91" i="4"/>
  <c r="BD90" i="4"/>
  <c r="AH93" i="4"/>
  <c r="P90" i="4"/>
  <c r="AK94" i="4"/>
  <c r="AU94" i="4"/>
  <c r="AZ90" i="4"/>
  <c r="BN93" i="4"/>
  <c r="AU92" i="4"/>
  <c r="O91" i="4"/>
  <c r="AG90" i="4"/>
  <c r="AB91" i="4"/>
  <c r="AD94" i="4"/>
  <c r="K93" i="4"/>
  <c r="AA92" i="4"/>
  <c r="BE90" i="4"/>
  <c r="AC91" i="4"/>
  <c r="BB94" i="4"/>
  <c r="AI93" i="4"/>
  <c r="AM93" i="4"/>
  <c r="U91" i="4"/>
  <c r="AN89" i="4"/>
  <c r="H89" i="4"/>
  <c r="H98" i="4" s="1"/>
  <c r="BG93" i="4"/>
  <c r="AY94" i="4"/>
  <c r="AS91" i="4"/>
  <c r="AB94" i="4"/>
  <c r="AE89" i="4"/>
  <c r="W94" i="4"/>
  <c r="BA155" i="4"/>
  <c r="AL156" i="4"/>
  <c r="AU156" i="4"/>
  <c r="BP156" i="4"/>
  <c r="BA156" i="4"/>
  <c r="AT156" i="4"/>
  <c r="AF156" i="4"/>
  <c r="AX157" i="4"/>
  <c r="BC157" i="4"/>
  <c r="AQ157" i="4"/>
  <c r="R157" i="4"/>
  <c r="N157" i="4"/>
  <c r="AZ92" i="4"/>
  <c r="BH93" i="4"/>
  <c r="X94" i="4"/>
  <c r="T90" i="4"/>
  <c r="BL93" i="4"/>
  <c r="AC90" i="4"/>
  <c r="AS94" i="4"/>
  <c r="AZ91" i="4"/>
  <c r="X89" i="4"/>
  <c r="P94" i="4"/>
  <c r="AC89" i="4"/>
  <c r="AJ90" i="4"/>
  <c r="X93" i="4"/>
  <c r="AD91" i="4"/>
  <c r="AG94" i="4"/>
  <c r="I90" i="4"/>
  <c r="V93" i="4"/>
  <c r="S92" i="4"/>
  <c r="Y92" i="4"/>
  <c r="AC94" i="4"/>
  <c r="S90" i="4"/>
  <c r="L89" i="4"/>
  <c r="AB92" i="4"/>
  <c r="BE92" i="4"/>
  <c r="BA90" i="4"/>
  <c r="AQ90" i="4"/>
  <c r="AJ89" i="4"/>
  <c r="AN93" i="4"/>
  <c r="U93" i="4"/>
  <c r="N92" i="4"/>
  <c r="BO90" i="4"/>
  <c r="BH89" i="4"/>
  <c r="AZ94" i="4"/>
  <c r="AS93" i="4"/>
  <c r="P93" i="4"/>
  <c r="AE91" i="4"/>
  <c r="X90" i="4"/>
  <c r="BM89" i="4"/>
  <c r="I94" i="4"/>
  <c r="N89" i="4"/>
  <c r="BC91" i="4"/>
  <c r="H155" i="4"/>
  <c r="BL156" i="4"/>
  <c r="AR156" i="4"/>
  <c r="AX156" i="4"/>
  <c r="BO156" i="4"/>
  <c r="AU157" i="4"/>
  <c r="AS157" i="4"/>
  <c r="BA157" i="4"/>
  <c r="P157" i="4"/>
  <c r="AN157" i="4"/>
  <c r="AP157" i="4"/>
  <c r="AT206" i="4"/>
  <c r="H206" i="4"/>
  <c r="AJ206" i="4"/>
  <c r="BM206" i="4"/>
  <c r="Q206" i="4"/>
  <c r="AW155" i="4"/>
  <c r="AU155" i="4"/>
  <c r="AZ155" i="4"/>
  <c r="V155" i="4"/>
  <c r="F155" i="4"/>
  <c r="BP206" i="4"/>
  <c r="BK206" i="4"/>
  <c r="AG206" i="4"/>
  <c r="AV206" i="4"/>
  <c r="AU206" i="4"/>
  <c r="O206" i="4"/>
  <c r="BJ206" i="4"/>
  <c r="AQ206" i="4"/>
  <c r="AE206" i="4"/>
  <c r="N155" i="4"/>
  <c r="Z155" i="4"/>
  <c r="BC155" i="4"/>
  <c r="AV155" i="4"/>
  <c r="AP155" i="4"/>
  <c r="AL206" i="4"/>
  <c r="BF206" i="4"/>
  <c r="J206" i="4"/>
  <c r="AD206" i="4"/>
  <c r="AM206" i="4"/>
  <c r="M206" i="4"/>
  <c r="V206" i="4"/>
  <c r="BK155" i="4"/>
  <c r="AX155" i="4"/>
  <c r="AY155" i="4"/>
  <c r="BE155" i="4"/>
  <c r="AM155" i="4"/>
  <c r="AR155" i="4"/>
  <c r="K206" i="4"/>
  <c r="BN206" i="4"/>
  <c r="X206" i="4"/>
  <c r="BO206" i="4"/>
  <c r="K155" i="4"/>
  <c r="BI155" i="4"/>
  <c r="AE155" i="4"/>
  <c r="X155" i="4"/>
  <c r="R155" i="4"/>
  <c r="BF155" i="4"/>
  <c r="AK206" i="4"/>
  <c r="AA206" i="4"/>
  <c r="BD206" i="4"/>
  <c r="BC206" i="4"/>
  <c r="BB206" i="4"/>
  <c r="AN206" i="4"/>
  <c r="AB206" i="4"/>
  <c r="S206" i="4"/>
  <c r="AF206" i="4"/>
  <c r="BD155" i="4"/>
  <c r="BB155" i="4"/>
  <c r="AG155" i="4"/>
  <c r="BM155" i="4"/>
  <c r="T155" i="4"/>
  <c r="Y155" i="4"/>
  <c r="I206" i="4"/>
  <c r="U206" i="4"/>
  <c r="T206" i="4"/>
  <c r="AS206" i="4"/>
  <c r="AZ206" i="4"/>
  <c r="I155" i="4"/>
  <c r="BN155" i="4"/>
  <c r="BG155" i="4"/>
  <c r="Q155" i="4"/>
  <c r="AH155" i="4"/>
  <c r="AW206" i="4"/>
  <c r="Y206" i="4"/>
  <c r="N206" i="4"/>
  <c r="AR206" i="4"/>
  <c r="BL206" i="4"/>
  <c r="BL155" i="4"/>
  <c r="BP155" i="4"/>
  <c r="BJ155" i="4"/>
  <c r="BO155" i="4"/>
  <c r="BH155" i="4"/>
  <c r="AP206" i="4"/>
  <c r="AY206" i="4"/>
  <c r="BH206" i="4"/>
  <c r="R206" i="4"/>
  <c r="W155" i="4"/>
  <c r="G155" i="4"/>
  <c r="P155" i="4"/>
  <c r="J155" i="4"/>
  <c r="AN155" i="4"/>
  <c r="AO206" i="4"/>
  <c r="AX206" i="4"/>
  <c r="BI206" i="4"/>
  <c r="AI206" i="4"/>
  <c r="AA155" i="4"/>
  <c r="AB155" i="4"/>
  <c r="AQ155" i="4"/>
  <c r="AJ155" i="4"/>
  <c r="AD155" i="4"/>
  <c r="BA206" i="4"/>
  <c r="L206" i="4"/>
  <c r="AH206" i="4"/>
  <c r="BG206" i="4"/>
  <c r="AI155" i="4"/>
  <c r="O155" i="4"/>
  <c r="AS155" i="4"/>
  <c r="AL155" i="4"/>
  <c r="AC206" i="4"/>
  <c r="BE206" i="4"/>
  <c r="H207" i="4" a="1"/>
  <c r="I207" i="4" s="1"/>
  <c r="P206" i="4"/>
  <c r="Z206" i="4"/>
  <c r="AS103" i="4"/>
  <c r="AT103" i="4" s="1"/>
  <c r="AU103" i="4" l="1"/>
  <c r="AV103" i="4" s="1"/>
  <c r="AW103" i="4" s="1"/>
  <c r="R148" i="4"/>
  <c r="AO148" i="4"/>
  <c r="AD148" i="4"/>
  <c r="I101" i="4"/>
  <c r="J101" i="4" s="1"/>
  <c r="K101" i="4" s="1"/>
  <c r="L101" i="4" s="1"/>
  <c r="M101" i="4" s="1"/>
  <c r="N101" i="4" s="1"/>
  <c r="O101" i="4" s="1"/>
  <c r="P101" i="4" s="1"/>
  <c r="Q101" i="4" s="1"/>
  <c r="R101" i="4" s="1"/>
  <c r="S101" i="4" s="1"/>
  <c r="T101" i="4" s="1"/>
  <c r="U101" i="4" s="1"/>
  <c r="V101" i="4" s="1"/>
  <c r="W101" i="4" s="1"/>
  <c r="X101" i="4" s="1"/>
  <c r="Y101" i="4" s="1"/>
  <c r="Z101" i="4" s="1"/>
  <c r="AA101" i="4" s="1"/>
  <c r="AB101" i="4" s="1"/>
  <c r="AC101" i="4" s="1"/>
  <c r="AD101" i="4" s="1"/>
  <c r="AE101" i="4" s="1"/>
  <c r="AF101" i="4" s="1"/>
  <c r="AG101" i="4" s="1"/>
  <c r="AH101" i="4" s="1"/>
  <c r="AI101" i="4" s="1"/>
  <c r="AJ101" i="4" s="1"/>
  <c r="AK101" i="4" s="1"/>
  <c r="AL101" i="4" s="1"/>
  <c r="AM101" i="4" s="1"/>
  <c r="AN101" i="4" s="1"/>
  <c r="AO101" i="4" s="1"/>
  <c r="AP101" i="4" s="1"/>
  <c r="AQ101" i="4" s="1"/>
  <c r="AR101" i="4" s="1"/>
  <c r="AS101" i="4" s="1"/>
  <c r="AT101" i="4" s="1"/>
  <c r="AU101" i="4" s="1"/>
  <c r="AV101" i="4" s="1"/>
  <c r="AW101" i="4" s="1"/>
  <c r="AX101" i="4" s="1"/>
  <c r="AY101" i="4" s="1"/>
  <c r="AZ101" i="4" s="1"/>
  <c r="BA101" i="4" s="1"/>
  <c r="BB101" i="4" s="1"/>
  <c r="BC101" i="4" s="1"/>
  <c r="BD101" i="4" s="1"/>
  <c r="BE101" i="4" s="1"/>
  <c r="BF101" i="4" s="1"/>
  <c r="BG101" i="4" s="1"/>
  <c r="BH101" i="4" s="1"/>
  <c r="BI101" i="4" s="1"/>
  <c r="BJ101" i="4" s="1"/>
  <c r="BK101" i="4" s="1"/>
  <c r="BL101" i="4" s="1"/>
  <c r="BM101" i="4" s="1"/>
  <c r="BN101" i="4" s="1"/>
  <c r="BO101" i="4" s="1"/>
  <c r="AX103" i="4"/>
  <c r="AY103" i="4" s="1"/>
  <c r="AZ103" i="4" s="1"/>
  <c r="BA103" i="4" s="1"/>
  <c r="BB103" i="4" s="1"/>
  <c r="BC103" i="4" s="1"/>
  <c r="BD103" i="4" s="1"/>
  <c r="BE103" i="4" s="1"/>
  <c r="BF103" i="4" s="1"/>
  <c r="BG103" i="4" s="1"/>
  <c r="BH103" i="4" s="1"/>
  <c r="BI103" i="4" s="1"/>
  <c r="BJ103" i="4" s="1"/>
  <c r="BK103" i="4" s="1"/>
  <c r="BL103" i="4" s="1"/>
  <c r="BM103" i="4" s="1"/>
  <c r="BN103" i="4" s="1"/>
  <c r="BO103" i="4" s="1"/>
  <c r="AA148" i="4"/>
  <c r="S148" i="4"/>
  <c r="AK148" i="4"/>
  <c r="AL148" i="4"/>
  <c r="AZ148" i="4"/>
  <c r="BF148" i="4"/>
  <c r="M148" i="4"/>
  <c r="I148" i="4"/>
  <c r="AQ148" i="4"/>
  <c r="AF148" i="4"/>
  <c r="BJ148" i="4"/>
  <c r="AY148" i="4"/>
  <c r="AJ148" i="4"/>
  <c r="Z95" i="4"/>
  <c r="U95" i="4"/>
  <c r="AH148" i="4"/>
  <c r="BD95" i="4"/>
  <c r="AJ95" i="4"/>
  <c r="N148" i="4"/>
  <c r="BI95" i="4"/>
  <c r="AB148" i="4"/>
  <c r="BL148" i="4"/>
  <c r="AX148" i="4"/>
  <c r="F117" i="4" a="1"/>
  <c r="BC117" i="4" s="1"/>
  <c r="K148" i="4"/>
  <c r="Y148" i="4"/>
  <c r="U148" i="4"/>
  <c r="BM148" i="4"/>
  <c r="W148" i="4"/>
  <c r="BM95" i="4"/>
  <c r="BA95" i="4"/>
  <c r="BO95" i="4"/>
  <c r="AI95" i="4"/>
  <c r="BH95" i="4"/>
  <c r="P148" i="4"/>
  <c r="I100" i="4"/>
  <c r="J100" i="4" s="1"/>
  <c r="K100" i="4" s="1"/>
  <c r="L100" i="4" s="1"/>
  <c r="M100" i="4" s="1"/>
  <c r="N100" i="4" s="1"/>
  <c r="O100" i="4" s="1"/>
  <c r="P100" i="4" s="1"/>
  <c r="Q100" i="4" s="1"/>
  <c r="R100" i="4" s="1"/>
  <c r="S100" i="4" s="1"/>
  <c r="T100" i="4" s="1"/>
  <c r="U100" i="4" s="1"/>
  <c r="V100" i="4" s="1"/>
  <c r="W100" i="4" s="1"/>
  <c r="X100" i="4" s="1"/>
  <c r="Y100" i="4" s="1"/>
  <c r="Z100" i="4" s="1"/>
  <c r="AA100" i="4" s="1"/>
  <c r="AB100" i="4" s="1"/>
  <c r="AC100" i="4" s="1"/>
  <c r="AD100" i="4" s="1"/>
  <c r="AE100" i="4" s="1"/>
  <c r="AF100" i="4" s="1"/>
  <c r="AG100" i="4" s="1"/>
  <c r="AH100" i="4" s="1"/>
  <c r="AI100" i="4" s="1"/>
  <c r="AJ100" i="4" s="1"/>
  <c r="AK100" i="4" s="1"/>
  <c r="AL100" i="4" s="1"/>
  <c r="AM100" i="4" s="1"/>
  <c r="AN100" i="4" s="1"/>
  <c r="AO100" i="4" s="1"/>
  <c r="AP100" i="4" s="1"/>
  <c r="AQ100" i="4" s="1"/>
  <c r="AR100" i="4" s="1"/>
  <c r="AS100" i="4" s="1"/>
  <c r="AT100" i="4" s="1"/>
  <c r="AU100" i="4" s="1"/>
  <c r="AV100" i="4" s="1"/>
  <c r="AW100" i="4" s="1"/>
  <c r="AX100" i="4" s="1"/>
  <c r="AY100" i="4" s="1"/>
  <c r="AZ100" i="4" s="1"/>
  <c r="BA100" i="4" s="1"/>
  <c r="BB100" i="4" s="1"/>
  <c r="BC100" i="4" s="1"/>
  <c r="BD100" i="4" s="1"/>
  <c r="BE100" i="4" s="1"/>
  <c r="BF100" i="4" s="1"/>
  <c r="BG100" i="4" s="1"/>
  <c r="BH100" i="4" s="1"/>
  <c r="BI100" i="4" s="1"/>
  <c r="BJ100" i="4" s="1"/>
  <c r="BK100" i="4" s="1"/>
  <c r="BL100" i="4" s="1"/>
  <c r="BM100" i="4" s="1"/>
  <c r="BN100" i="4" s="1"/>
  <c r="BO100" i="4" s="1"/>
  <c r="V95" i="4"/>
  <c r="AN95" i="4"/>
  <c r="BC95" i="4"/>
  <c r="AM95" i="4"/>
  <c r="BK95" i="4"/>
  <c r="Y95" i="4"/>
  <c r="AE148" i="4"/>
  <c r="BF95" i="4"/>
  <c r="F116" i="4" a="1"/>
  <c r="AK116" i="4" s="1"/>
  <c r="AW148" i="4"/>
  <c r="O148" i="4"/>
  <c r="T148" i="4"/>
  <c r="K95" i="4"/>
  <c r="AX95" i="4"/>
  <c r="Q95" i="4"/>
  <c r="I102" i="4"/>
  <c r="J102" i="4" s="1"/>
  <c r="K102" i="4" s="1"/>
  <c r="L102" i="4" s="1"/>
  <c r="M102" i="4" s="1"/>
  <c r="N102" i="4" s="1"/>
  <c r="O102" i="4" s="1"/>
  <c r="P102" i="4" s="1"/>
  <c r="Q102" i="4" s="1"/>
  <c r="R102" i="4" s="1"/>
  <c r="S102" i="4" s="1"/>
  <c r="T102" i="4" s="1"/>
  <c r="U102" i="4" s="1"/>
  <c r="V102" i="4" s="1"/>
  <c r="W102" i="4" s="1"/>
  <c r="X102" i="4" s="1"/>
  <c r="Y102" i="4" s="1"/>
  <c r="Z102" i="4" s="1"/>
  <c r="AA102" i="4" s="1"/>
  <c r="AB102" i="4" s="1"/>
  <c r="AC102" i="4" s="1"/>
  <c r="AD102" i="4" s="1"/>
  <c r="AE102" i="4" s="1"/>
  <c r="AF102" i="4" s="1"/>
  <c r="AG102" i="4" s="1"/>
  <c r="AH102" i="4" s="1"/>
  <c r="AI102" i="4" s="1"/>
  <c r="AJ102" i="4" s="1"/>
  <c r="AK102" i="4" s="1"/>
  <c r="AL102" i="4" s="1"/>
  <c r="AM102" i="4" s="1"/>
  <c r="AN102" i="4" s="1"/>
  <c r="AO102" i="4" s="1"/>
  <c r="AP102" i="4" s="1"/>
  <c r="AQ102" i="4" s="1"/>
  <c r="AR102" i="4" s="1"/>
  <c r="AS102" i="4" s="1"/>
  <c r="AT102" i="4" s="1"/>
  <c r="AU102" i="4" s="1"/>
  <c r="AV102" i="4" s="1"/>
  <c r="AW102" i="4" s="1"/>
  <c r="AX102" i="4" s="1"/>
  <c r="AY102" i="4" s="1"/>
  <c r="AZ102" i="4" s="1"/>
  <c r="BA102" i="4" s="1"/>
  <c r="BB102" i="4" s="1"/>
  <c r="BC102" i="4" s="1"/>
  <c r="BD102" i="4" s="1"/>
  <c r="BE102" i="4" s="1"/>
  <c r="BF102" i="4" s="1"/>
  <c r="BG102" i="4" s="1"/>
  <c r="BH102" i="4" s="1"/>
  <c r="BI102" i="4" s="1"/>
  <c r="BJ102" i="4" s="1"/>
  <c r="BK102" i="4" s="1"/>
  <c r="BL102" i="4" s="1"/>
  <c r="BM102" i="4" s="1"/>
  <c r="BN102" i="4" s="1"/>
  <c r="BO102" i="4" s="1"/>
  <c r="H95" i="4"/>
  <c r="AF95" i="4"/>
  <c r="AI148" i="4"/>
  <c r="AR95" i="4"/>
  <c r="BJ95" i="4"/>
  <c r="AY95" i="4"/>
  <c r="BG95" i="4"/>
  <c r="T95" i="4"/>
  <c r="AU148" i="4"/>
  <c r="AR148" i="4"/>
  <c r="V148" i="4"/>
  <c r="Q148" i="4"/>
  <c r="N95" i="4"/>
  <c r="BA148" i="4"/>
  <c r="AM148" i="4"/>
  <c r="AN148" i="4"/>
  <c r="AS148" i="4"/>
  <c r="X95" i="4"/>
  <c r="AU95" i="4"/>
  <c r="AQ95" i="4"/>
  <c r="BL95" i="4"/>
  <c r="F114" i="4" a="1"/>
  <c r="P114" i="4" s="1"/>
  <c r="F115" i="4" a="1"/>
  <c r="Q115" i="4" s="1"/>
  <c r="R95" i="4"/>
  <c r="AV95" i="4"/>
  <c r="O95" i="4"/>
  <c r="AL95" i="4"/>
  <c r="BE148" i="4"/>
  <c r="BG148" i="4"/>
  <c r="BH148" i="4"/>
  <c r="Z148" i="4"/>
  <c r="BB148" i="4"/>
  <c r="AG148" i="4"/>
  <c r="L148" i="4"/>
  <c r="F194" i="4" s="1" a="1"/>
  <c r="BD148" i="4"/>
  <c r="BI148" i="4"/>
  <c r="AT148" i="4"/>
  <c r="AC148" i="4"/>
  <c r="AP148" i="4"/>
  <c r="BC148" i="4"/>
  <c r="J148" i="4"/>
  <c r="BK148" i="4"/>
  <c r="BN148" i="4"/>
  <c r="AV148" i="4"/>
  <c r="BO148" i="4"/>
  <c r="AE95" i="4"/>
  <c r="F118" i="4" a="1"/>
  <c r="AA118" i="4" s="1"/>
  <c r="W95" i="4"/>
  <c r="BN95" i="4"/>
  <c r="H148" i="4"/>
  <c r="L95" i="4"/>
  <c r="AB95" i="4"/>
  <c r="AG95" i="4"/>
  <c r="BB95" i="4"/>
  <c r="AP95" i="4"/>
  <c r="J95" i="4"/>
  <c r="X148" i="4"/>
  <c r="AH95" i="4"/>
  <c r="F113" i="4" a="1"/>
  <c r="AE113" i="4" s="1"/>
  <c r="S95" i="4"/>
  <c r="I95" i="4"/>
  <c r="H204" i="4" s="1" a="1"/>
  <c r="M95" i="4"/>
  <c r="AA95" i="4"/>
  <c r="AK95" i="4"/>
  <c r="AZ95" i="4"/>
  <c r="AS95" i="4"/>
  <c r="AD95" i="4"/>
  <c r="I99" i="4"/>
  <c r="J99" i="4" s="1"/>
  <c r="K99" i="4" s="1"/>
  <c r="L99" i="4" s="1"/>
  <c r="M99" i="4" s="1"/>
  <c r="N99" i="4" s="1"/>
  <c r="O99" i="4" s="1"/>
  <c r="P99" i="4" s="1"/>
  <c r="Q99" i="4" s="1"/>
  <c r="R99" i="4" s="1"/>
  <c r="S99" i="4" s="1"/>
  <c r="T99" i="4" s="1"/>
  <c r="U99" i="4" s="1"/>
  <c r="V99" i="4" s="1"/>
  <c r="W99" i="4" s="1"/>
  <c r="X99" i="4" s="1"/>
  <c r="Y99" i="4" s="1"/>
  <c r="Z99" i="4" s="1"/>
  <c r="AA99" i="4" s="1"/>
  <c r="AB99" i="4" s="1"/>
  <c r="AC99" i="4" s="1"/>
  <c r="AD99" i="4" s="1"/>
  <c r="AE99" i="4" s="1"/>
  <c r="AF99" i="4" s="1"/>
  <c r="AG99" i="4" s="1"/>
  <c r="AH99" i="4" s="1"/>
  <c r="AI99" i="4" s="1"/>
  <c r="AJ99" i="4" s="1"/>
  <c r="AK99" i="4" s="1"/>
  <c r="AL99" i="4" s="1"/>
  <c r="AM99" i="4" s="1"/>
  <c r="AN99" i="4" s="1"/>
  <c r="AO99" i="4" s="1"/>
  <c r="AP99" i="4" s="1"/>
  <c r="AQ99" i="4" s="1"/>
  <c r="AR99" i="4" s="1"/>
  <c r="AS99" i="4" s="1"/>
  <c r="AT99" i="4" s="1"/>
  <c r="AU99" i="4" s="1"/>
  <c r="AV99" i="4" s="1"/>
  <c r="AW99" i="4" s="1"/>
  <c r="AX99" i="4" s="1"/>
  <c r="AY99" i="4" s="1"/>
  <c r="AZ99" i="4" s="1"/>
  <c r="BA99" i="4" s="1"/>
  <c r="BB99" i="4" s="1"/>
  <c r="BC99" i="4" s="1"/>
  <c r="BD99" i="4" s="1"/>
  <c r="BE99" i="4" s="1"/>
  <c r="BF99" i="4" s="1"/>
  <c r="BG99" i="4" s="1"/>
  <c r="BH99" i="4" s="1"/>
  <c r="BI99" i="4" s="1"/>
  <c r="BJ99" i="4" s="1"/>
  <c r="BK99" i="4" s="1"/>
  <c r="BL99" i="4" s="1"/>
  <c r="BM99" i="4" s="1"/>
  <c r="BN99" i="4" s="1"/>
  <c r="BO99" i="4" s="1"/>
  <c r="P95" i="4"/>
  <c r="H203" i="4" s="1" a="1"/>
  <c r="AC95" i="4"/>
  <c r="BE95" i="4"/>
  <c r="AW95" i="4"/>
  <c r="AT95" i="4"/>
  <c r="AO95" i="4"/>
  <c r="H163" i="4" a="1"/>
  <c r="R166" i="4" s="1"/>
  <c r="AB207" i="4"/>
  <c r="V207" i="4"/>
  <c r="AN207" i="4"/>
  <c r="AV207" i="4"/>
  <c r="AU207" i="4"/>
  <c r="BO207" i="4"/>
  <c r="AY207" i="4"/>
  <c r="BD207" i="4"/>
  <c r="S207" i="4"/>
  <c r="AR207" i="4"/>
  <c r="P207" i="4"/>
  <c r="AS207" i="4"/>
  <c r="BJ207" i="4"/>
  <c r="J207" i="4"/>
  <c r="AP207" i="4"/>
  <c r="BL207" i="4"/>
  <c r="BM207" i="4"/>
  <c r="X207" i="4"/>
  <c r="BF207" i="4"/>
  <c r="N207" i="4"/>
  <c r="BP207" i="4"/>
  <c r="AX207" i="4"/>
  <c r="Y207" i="4"/>
  <c r="AL207" i="4"/>
  <c r="Q207" i="4"/>
  <c r="AJ207" i="4"/>
  <c r="AA207" i="4"/>
  <c r="AM207" i="4"/>
  <c r="L207" i="4"/>
  <c r="K207" i="4"/>
  <c r="BG207" i="4"/>
  <c r="AI207" i="4"/>
  <c r="R207" i="4"/>
  <c r="AK207" i="4"/>
  <c r="AW207" i="4"/>
  <c r="H207" i="4"/>
  <c r="BB207" i="4"/>
  <c r="AO207" i="4"/>
  <c r="U207" i="4"/>
  <c r="Z207" i="4"/>
  <c r="AT207" i="4"/>
  <c r="BI207" i="4"/>
  <c r="BC207" i="4"/>
  <c r="W207" i="4"/>
  <c r="T207" i="4"/>
  <c r="AE207" i="4"/>
  <c r="AG207" i="4"/>
  <c r="AH207" i="4"/>
  <c r="M207" i="4"/>
  <c r="AQ207" i="4"/>
  <c r="BH207" i="4"/>
  <c r="BE207" i="4"/>
  <c r="BK207" i="4"/>
  <c r="AF207" i="4"/>
  <c r="AD207" i="4"/>
  <c r="AZ207" i="4"/>
  <c r="BN207" i="4"/>
  <c r="BA207" i="4"/>
  <c r="O207" i="4"/>
  <c r="AC207" i="4"/>
  <c r="F181" i="4" a="1"/>
  <c r="H104" i="4"/>
  <c r="I98" i="4"/>
  <c r="AW115" i="4" l="1"/>
  <c r="AC117" i="4"/>
  <c r="BM115" i="4"/>
  <c r="AX115" i="4"/>
  <c r="AB117" i="4"/>
  <c r="T117" i="4"/>
  <c r="AD117" i="4"/>
  <c r="BF117" i="4"/>
  <c r="Z117" i="4"/>
  <c r="BE117" i="4"/>
  <c r="AG117" i="4"/>
  <c r="BI117" i="4"/>
  <c r="AQ117" i="4"/>
  <c r="AA114" i="4"/>
  <c r="AK117" i="4"/>
  <c r="AA117" i="4"/>
  <c r="R114" i="4"/>
  <c r="X117" i="4"/>
  <c r="AN117" i="4"/>
  <c r="AU114" i="4"/>
  <c r="AK114" i="4"/>
  <c r="BA117" i="4"/>
  <c r="BM117" i="4"/>
  <c r="BD117" i="4"/>
  <c r="F117" i="4"/>
  <c r="BG117" i="4"/>
  <c r="S117" i="4"/>
  <c r="BN114" i="4"/>
  <c r="J117" i="4"/>
  <c r="G117" i="4"/>
  <c r="I117" i="4"/>
  <c r="R117" i="4"/>
  <c r="BJ117" i="4"/>
  <c r="U114" i="4"/>
  <c r="BP114" i="4"/>
  <c r="AW117" i="4"/>
  <c r="AP117" i="4"/>
  <c r="AT117" i="4"/>
  <c r="AU117" i="4"/>
  <c r="AV117" i="4"/>
  <c r="AV114" i="4"/>
  <c r="AF114" i="4"/>
  <c r="BJ116" i="4"/>
  <c r="AG116" i="4"/>
  <c r="BK117" i="4"/>
  <c r="AR117" i="4"/>
  <c r="AX117" i="4"/>
  <c r="O117" i="4"/>
  <c r="AM117" i="4"/>
  <c r="M114" i="4"/>
  <c r="L114" i="4"/>
  <c r="AJ116" i="4"/>
  <c r="AD116" i="4"/>
  <c r="AH117" i="4"/>
  <c r="AS117" i="4"/>
  <c r="AY116" i="4"/>
  <c r="BK116" i="4"/>
  <c r="U117" i="4"/>
  <c r="BH117" i="4"/>
  <c r="AU116" i="4"/>
  <c r="AA116" i="4"/>
  <c r="BO117" i="4"/>
  <c r="H116" i="4"/>
  <c r="AZ117" i="4"/>
  <c r="W117" i="4"/>
  <c r="BH116" i="4"/>
  <c r="M116" i="4"/>
  <c r="AZ115" i="4"/>
  <c r="V117" i="4"/>
  <c r="BN117" i="4"/>
  <c r="Y117" i="4"/>
  <c r="M117" i="4"/>
  <c r="AC114" i="4"/>
  <c r="G116" i="4"/>
  <c r="P116" i="4"/>
  <c r="N117" i="4"/>
  <c r="P117" i="4"/>
  <c r="BP117" i="4"/>
  <c r="K117" i="4"/>
  <c r="L117" i="4"/>
  <c r="AY117" i="4"/>
  <c r="AQ114" i="4"/>
  <c r="AQ116" i="4"/>
  <c r="BB116" i="4"/>
  <c r="BB117" i="4"/>
  <c r="AF117" i="4"/>
  <c r="AL117" i="4"/>
  <c r="Q117" i="4"/>
  <c r="AO117" i="4"/>
  <c r="H117" i="4"/>
  <c r="J114" i="4"/>
  <c r="AS116" i="4"/>
  <c r="AJ117" i="4"/>
  <c r="AI117" i="4"/>
  <c r="BL117" i="4"/>
  <c r="AE117" i="4"/>
  <c r="AY114" i="4"/>
  <c r="AM116" i="4"/>
  <c r="N115" i="4"/>
  <c r="AE116" i="4"/>
  <c r="S116" i="4"/>
  <c r="BC116" i="4"/>
  <c r="AC116" i="4"/>
  <c r="S115" i="4"/>
  <c r="O116" i="4"/>
  <c r="AZ116" i="4"/>
  <c r="U116" i="4"/>
  <c r="X116" i="4"/>
  <c r="BD116" i="4"/>
  <c r="AN116" i="4"/>
  <c r="T116" i="4"/>
  <c r="V116" i="4"/>
  <c r="K116" i="4"/>
  <c r="BG114" i="4"/>
  <c r="AT116" i="4"/>
  <c r="I116" i="4"/>
  <c r="AO116" i="4"/>
  <c r="AV116" i="4"/>
  <c r="Q116" i="4"/>
  <c r="Z116" i="4"/>
  <c r="AI116" i="4"/>
  <c r="AB116" i="4"/>
  <c r="BE116" i="4"/>
  <c r="BL116" i="4"/>
  <c r="BM116" i="4"/>
  <c r="BF115" i="4"/>
  <c r="R116" i="4"/>
  <c r="AL116" i="4"/>
  <c r="N116" i="4"/>
  <c r="AR116" i="4"/>
  <c r="BP116" i="4"/>
  <c r="AO115" i="4"/>
  <c r="L116" i="4"/>
  <c r="AH116" i="4"/>
  <c r="BO116" i="4"/>
  <c r="BF116" i="4"/>
  <c r="W116" i="4"/>
  <c r="AP116" i="4"/>
  <c r="BN116" i="4"/>
  <c r="I115" i="4"/>
  <c r="BI116" i="4"/>
  <c r="BA116" i="4"/>
  <c r="J116" i="4"/>
  <c r="Y116" i="4"/>
  <c r="AW116" i="4"/>
  <c r="BH115" i="4"/>
  <c r="BG115" i="4"/>
  <c r="BD114" i="4"/>
  <c r="AI114" i="4"/>
  <c r="AD114" i="4"/>
  <c r="AM115" i="4"/>
  <c r="T115" i="4"/>
  <c r="G115" i="4"/>
  <c r="AW114" i="4"/>
  <c r="X114" i="4"/>
  <c r="W115" i="4"/>
  <c r="BL114" i="4"/>
  <c r="BA114" i="4"/>
  <c r="AQ115" i="4"/>
  <c r="BF114" i="4"/>
  <c r="BM114" i="4"/>
  <c r="O115" i="4"/>
  <c r="R115" i="4"/>
  <c r="BJ114" i="4"/>
  <c r="Y114" i="4"/>
  <c r="F116" i="4"/>
  <c r="AF116" i="4"/>
  <c r="BG116" i="4"/>
  <c r="AX116" i="4"/>
  <c r="AR115" i="4"/>
  <c r="AU115" i="4"/>
  <c r="S114" i="4"/>
  <c r="W114" i="4"/>
  <c r="BK114" i="4"/>
  <c r="AW118" i="4"/>
  <c r="AB118" i="4"/>
  <c r="BJ118" i="4"/>
  <c r="AY115" i="4"/>
  <c r="AA115" i="4"/>
  <c r="AE115" i="4"/>
  <c r="AF115" i="4"/>
  <c r="AP115" i="4"/>
  <c r="AP118" i="4"/>
  <c r="Q118" i="4"/>
  <c r="G118" i="4"/>
  <c r="O118" i="4"/>
  <c r="BE115" i="4"/>
  <c r="BC115" i="4"/>
  <c r="BP118" i="4"/>
  <c r="BH118" i="4"/>
  <c r="BB115" i="4"/>
  <c r="AN115" i="4"/>
  <c r="AQ118" i="4"/>
  <c r="AC115" i="4"/>
  <c r="AT115" i="4"/>
  <c r="AS115" i="4"/>
  <c r="Z115" i="4"/>
  <c r="X115" i="4"/>
  <c r="F114" i="4"/>
  <c r="G114" i="4"/>
  <c r="BE114" i="4"/>
  <c r="BI114" i="4"/>
  <c r="BO118" i="4"/>
  <c r="Z118" i="4"/>
  <c r="AO118" i="4"/>
  <c r="P118" i="4"/>
  <c r="U118" i="4"/>
  <c r="AH118" i="4"/>
  <c r="P115" i="4"/>
  <c r="V115" i="4"/>
  <c r="M115" i="4"/>
  <c r="K115" i="4"/>
  <c r="BP115" i="4"/>
  <c r="F115" i="4"/>
  <c r="BB118" i="4"/>
  <c r="AZ118" i="4"/>
  <c r="F179" i="4" a="1"/>
  <c r="AP179" i="4" s="1"/>
  <c r="L115" i="4"/>
  <c r="N114" i="4"/>
  <c r="AG114" i="4"/>
  <c r="BO114" i="4"/>
  <c r="AP114" i="4"/>
  <c r="Y118" i="4"/>
  <c r="X118" i="4"/>
  <c r="AD118" i="4"/>
  <c r="AV115" i="4"/>
  <c r="BA115" i="4"/>
  <c r="BO115" i="4"/>
  <c r="AG115" i="4"/>
  <c r="J115" i="4"/>
  <c r="S118" i="4"/>
  <c r="L118" i="4"/>
  <c r="BD115" i="4"/>
  <c r="H115" i="4"/>
  <c r="BK115" i="4"/>
  <c r="AI115" i="4"/>
  <c r="AJ115" i="4"/>
  <c r="AD115" i="4"/>
  <c r="U115" i="4"/>
  <c r="BN115" i="4"/>
  <c r="BI115" i="4"/>
  <c r="AL115" i="4"/>
  <c r="BJ115" i="4"/>
  <c r="BB114" i="4"/>
  <c r="AJ114" i="4"/>
  <c r="BH114" i="4"/>
  <c r="AR114" i="4"/>
  <c r="AY118" i="4"/>
  <c r="I118" i="4"/>
  <c r="AF118" i="4"/>
  <c r="Y115" i="4"/>
  <c r="AH115" i="4"/>
  <c r="AK115" i="4"/>
  <c r="AB115" i="4"/>
  <c r="BL115" i="4"/>
  <c r="AK118" i="4"/>
  <c r="J118" i="4"/>
  <c r="X203" i="4"/>
  <c r="V203" i="4"/>
  <c r="AM203" i="4"/>
  <c r="R203" i="4"/>
  <c r="BL203" i="4"/>
  <c r="J203" i="4"/>
  <c r="W203" i="4"/>
  <c r="U203" i="4"/>
  <c r="AV203" i="4"/>
  <c r="AB203" i="4"/>
  <c r="BH203" i="4"/>
  <c r="AF203" i="4"/>
  <c r="AW203" i="4"/>
  <c r="BF203" i="4"/>
  <c r="BG203" i="4"/>
  <c r="BM203" i="4"/>
  <c r="AZ203" i="4"/>
  <c r="AX203" i="4"/>
  <c r="AO203" i="4"/>
  <c r="AJ203" i="4"/>
  <c r="BA203" i="4"/>
  <c r="AH203" i="4"/>
  <c r="BO203" i="4"/>
  <c r="AE203" i="4"/>
  <c r="AQ203" i="4"/>
  <c r="BC203" i="4"/>
  <c r="M203" i="4"/>
  <c r="BB203" i="4"/>
  <c r="AC203" i="4"/>
  <c r="BC194" i="4"/>
  <c r="K194" i="4"/>
  <c r="T194" i="4"/>
  <c r="AE194" i="4"/>
  <c r="AU194" i="4"/>
  <c r="S194" i="4"/>
  <c r="BP204" i="4"/>
  <c r="AP204" i="4"/>
  <c r="BI204" i="4"/>
  <c r="AA204" i="4"/>
  <c r="AG204" i="4"/>
  <c r="V204" i="4"/>
  <c r="M204" i="4"/>
  <c r="AO204" i="4"/>
  <c r="AT204" i="4"/>
  <c r="AQ204" i="4"/>
  <c r="AL204" i="4"/>
  <c r="W204" i="4"/>
  <c r="U204" i="4"/>
  <c r="N204" i="4"/>
  <c r="AN204" i="4"/>
  <c r="AR204" i="4"/>
  <c r="BP113" i="4"/>
  <c r="BM118" i="4"/>
  <c r="AU118" i="4"/>
  <c r="AL118" i="4"/>
  <c r="AV118" i="4"/>
  <c r="AC113" i="4"/>
  <c r="AD113" i="4"/>
  <c r="AI113" i="4"/>
  <c r="Z114" i="4"/>
  <c r="Q114" i="4"/>
  <c r="AO114" i="4"/>
  <c r="H114" i="4"/>
  <c r="AH114" i="4"/>
  <c r="T118" i="4"/>
  <c r="AE118" i="4"/>
  <c r="N118" i="4"/>
  <c r="BL118" i="4"/>
  <c r="AC118" i="4"/>
  <c r="AS203" i="4"/>
  <c r="AJ113" i="4"/>
  <c r="I113" i="4"/>
  <c r="V113" i="4"/>
  <c r="AT113" i="4"/>
  <c r="AU113" i="4"/>
  <c r="V114" i="4"/>
  <c r="AZ114" i="4"/>
  <c r="AE114" i="4"/>
  <c r="BC114" i="4"/>
  <c r="K114" i="4"/>
  <c r="AB114" i="4"/>
  <c r="BA118" i="4"/>
  <c r="BC118" i="4"/>
  <c r="AN118" i="4"/>
  <c r="AR118" i="4"/>
  <c r="AS118" i="4"/>
  <c r="AN113" i="4"/>
  <c r="X113" i="4"/>
  <c r="BF113" i="4"/>
  <c r="G113" i="4"/>
  <c r="AT118" i="4"/>
  <c r="K118" i="4"/>
  <c r="AI118" i="4"/>
  <c r="BN118" i="4"/>
  <c r="V118" i="4"/>
  <c r="BE113" i="4"/>
  <c r="AH113" i="4"/>
  <c r="AZ113" i="4"/>
  <c r="W118" i="4"/>
  <c r="BK118" i="4"/>
  <c r="BE118" i="4"/>
  <c r="AX118" i="4"/>
  <c r="AG118" i="4"/>
  <c r="F178" i="4" a="1"/>
  <c r="AU178" i="4" s="1"/>
  <c r="Y113" i="4"/>
  <c r="BG113" i="4"/>
  <c r="AO113" i="4"/>
  <c r="BA113" i="4"/>
  <c r="BM113" i="4"/>
  <c r="AG113" i="4"/>
  <c r="AX114" i="4"/>
  <c r="AL114" i="4"/>
  <c r="O114" i="4"/>
  <c r="AM114" i="4"/>
  <c r="T114" i="4"/>
  <c r="M118" i="4"/>
  <c r="BD118" i="4"/>
  <c r="BG118" i="4"/>
  <c r="F118" i="4"/>
  <c r="R118" i="4"/>
  <c r="L113" i="4"/>
  <c r="F113" i="4"/>
  <c r="BD113" i="4"/>
  <c r="BE204" i="4"/>
  <c r="BB113" i="4"/>
  <c r="BC113" i="4"/>
  <c r="J113" i="4"/>
  <c r="BN113" i="4"/>
  <c r="AN114" i="4"/>
  <c r="I114" i="4"/>
  <c r="AS114" i="4"/>
  <c r="AT114" i="4"/>
  <c r="AM118" i="4"/>
  <c r="BF118" i="4"/>
  <c r="BI118" i="4"/>
  <c r="H118" i="4"/>
  <c r="AJ118" i="4"/>
  <c r="S203" i="4"/>
  <c r="R113" i="4"/>
  <c r="AV113" i="4"/>
  <c r="AX113" i="4"/>
  <c r="BI113" i="4"/>
  <c r="AY113" i="4"/>
  <c r="BK113" i="4"/>
  <c r="F180" i="4" a="1"/>
  <c r="BJ180" i="4" s="1"/>
  <c r="N113" i="4"/>
  <c r="BL113" i="4"/>
  <c r="Z113" i="4"/>
  <c r="AP113" i="4"/>
  <c r="AK113" i="4"/>
  <c r="P113" i="4"/>
  <c r="Q113" i="4"/>
  <c r="AM113" i="4"/>
  <c r="K113" i="4"/>
  <c r="T113" i="4"/>
  <c r="BO113" i="4"/>
  <c r="AR113" i="4"/>
  <c r="AB113" i="4"/>
  <c r="S113" i="4"/>
  <c r="AQ113" i="4"/>
  <c r="O113" i="4"/>
  <c r="U113" i="4"/>
  <c r="AS113" i="4"/>
  <c r="BH113" i="4"/>
  <c r="BJ113" i="4"/>
  <c r="AF113" i="4"/>
  <c r="W113" i="4"/>
  <c r="AA113" i="4"/>
  <c r="AL113" i="4"/>
  <c r="H113" i="4"/>
  <c r="M113" i="4"/>
  <c r="AW113" i="4"/>
  <c r="F177" i="4" a="1"/>
  <c r="Z177" i="4" s="1"/>
  <c r="AV168" i="4"/>
  <c r="BB166" i="4"/>
  <c r="P165" i="4"/>
  <c r="Z163" i="4"/>
  <c r="AP168" i="4"/>
  <c r="BL166" i="4"/>
  <c r="L166" i="4"/>
  <c r="AY165" i="4"/>
  <c r="Z166" i="4"/>
  <c r="BO164" i="4"/>
  <c r="I166" i="4"/>
  <c r="BL168" i="4"/>
  <c r="U163" i="4"/>
  <c r="Z164" i="4"/>
  <c r="H163" i="4"/>
  <c r="L167" i="4"/>
  <c r="P167" i="4"/>
  <c r="AG164" i="4"/>
  <c r="BJ164" i="4"/>
  <c r="AQ163" i="4"/>
  <c r="X168" i="4"/>
  <c r="AN167" i="4"/>
  <c r="AS165" i="4"/>
  <c r="Z165" i="4"/>
  <c r="BO163" i="4"/>
  <c r="I163" i="4"/>
  <c r="BL167" i="4"/>
  <c r="AT165" i="4"/>
  <c r="AX165" i="4"/>
  <c r="AE164" i="4"/>
  <c r="U164" i="4"/>
  <c r="AB168" i="4"/>
  <c r="AV163" i="4"/>
  <c r="N166" i="4"/>
  <c r="BC164" i="4"/>
  <c r="AN166" i="4"/>
  <c r="AZ164" i="4"/>
  <c r="K167" i="4"/>
  <c r="AH167" i="4"/>
  <c r="AN165" i="4"/>
  <c r="AJ163" i="4"/>
  <c r="AX163" i="4"/>
  <c r="AH168" i="4"/>
  <c r="AL164" i="4"/>
  <c r="AF164" i="4"/>
  <c r="AX168" i="4"/>
  <c r="AE167" i="4"/>
  <c r="V167" i="4"/>
  <c r="AC165" i="4"/>
  <c r="AJ165" i="4"/>
  <c r="AX166" i="4"/>
  <c r="AE165" i="4"/>
  <c r="BE167" i="4"/>
  <c r="AO163" i="4"/>
  <c r="X167" i="4"/>
  <c r="Z167" i="4"/>
  <c r="BO165" i="4"/>
  <c r="J163" i="4"/>
  <c r="BM163" i="4"/>
  <c r="AJ168" i="4"/>
  <c r="AX167" i="4"/>
  <c r="AE166" i="4"/>
  <c r="V164" i="4"/>
  <c r="AC164" i="4"/>
  <c r="BG163" i="4"/>
  <c r="N168" i="4"/>
  <c r="BC166" i="4"/>
  <c r="AH165" i="4"/>
  <c r="BA164" i="4"/>
  <c r="K165" i="4"/>
  <c r="AL168" i="4"/>
  <c r="S167" i="4"/>
  <c r="AG167" i="4"/>
  <c r="BL165" i="4"/>
  <c r="BH166" i="4"/>
  <c r="BA167" i="4"/>
  <c r="BG166" i="4"/>
  <c r="O163" i="4"/>
  <c r="BC167" i="4"/>
  <c r="K163" i="4"/>
  <c r="AU168" i="4"/>
  <c r="W164" i="4"/>
  <c r="O164" i="4"/>
  <c r="BC168" i="4"/>
  <c r="AI165" i="4"/>
  <c r="BA166" i="4"/>
  <c r="L165" i="4"/>
  <c r="AM164" i="4"/>
  <c r="T163" i="4"/>
  <c r="AU166" i="4"/>
  <c r="Q167" i="4"/>
  <c r="X166" i="4"/>
  <c r="AR163" i="4"/>
  <c r="U167" i="4"/>
  <c r="BK164" i="4"/>
  <c r="BF166" i="4"/>
  <c r="M168" i="4"/>
  <c r="U168" i="4"/>
  <c r="AM167" i="4"/>
  <c r="T166" i="4"/>
  <c r="Y165" i="4"/>
  <c r="R164" i="4"/>
  <c r="L168" i="4"/>
  <c r="AM165" i="4"/>
  <c r="T164" i="4"/>
  <c r="AK163" i="4"/>
  <c r="AC168" i="4"/>
  <c r="I164" i="4"/>
  <c r="O166" i="4"/>
  <c r="BD164" i="4"/>
  <c r="BI163" i="4"/>
  <c r="BA168" i="4"/>
  <c r="U165" i="4"/>
  <c r="AM166" i="4"/>
  <c r="T165" i="4"/>
  <c r="Y164" i="4"/>
  <c r="R163" i="4"/>
  <c r="AG166" i="4"/>
  <c r="BK166" i="4"/>
  <c r="AR165" i="4"/>
  <c r="AW164" i="4"/>
  <c r="AP163" i="4"/>
  <c r="AS167" i="4"/>
  <c r="AA167" i="4"/>
  <c r="H166" i="4"/>
  <c r="BJ163" i="4"/>
  <c r="AD167" i="4"/>
  <c r="BE166" i="4"/>
  <c r="AI168" i="4"/>
  <c r="AY163" i="4"/>
  <c r="I165" i="4"/>
  <c r="AU165" i="4"/>
  <c r="AI163" i="4"/>
  <c r="BL163" i="4"/>
  <c r="AR168" i="4"/>
  <c r="AW167" i="4"/>
  <c r="AP166" i="4"/>
  <c r="AH163" i="4"/>
  <c r="BK167" i="4"/>
  <c r="AR166" i="4"/>
  <c r="BI165" i="4"/>
  <c r="AM168" i="4"/>
  <c r="T167" i="4"/>
  <c r="Y166" i="4"/>
  <c r="R165" i="4"/>
  <c r="AH166" i="4"/>
  <c r="BK168" i="4"/>
  <c r="AR167" i="4"/>
  <c r="AW166" i="4"/>
  <c r="AP165" i="4"/>
  <c r="AT167" i="4"/>
  <c r="AB163" i="4"/>
  <c r="H168" i="4"/>
  <c r="M167" i="4"/>
  <c r="BN165" i="4"/>
  <c r="BF168" i="4"/>
  <c r="AZ163" i="4"/>
  <c r="AF168" i="4"/>
  <c r="BB167" i="4"/>
  <c r="O165" i="4"/>
  <c r="V165" i="4"/>
  <c r="X164" i="4"/>
  <c r="Y163" i="4"/>
  <c r="BJ166" i="4"/>
  <c r="AV164" i="4"/>
  <c r="AB166" i="4"/>
  <c r="AS168" i="4"/>
  <c r="N164" i="4"/>
  <c r="BN168" i="4"/>
  <c r="AU164" i="4"/>
  <c r="AB164" i="4"/>
  <c r="BE163" i="4"/>
  <c r="Y168" i="4"/>
  <c r="R167" i="4"/>
  <c r="AI166" i="4"/>
  <c r="BL164" i="4"/>
  <c r="BF163" i="4"/>
  <c r="AW168" i="4"/>
  <c r="AP167" i="4"/>
  <c r="AU167" i="4"/>
  <c r="AB165" i="4"/>
  <c r="U166" i="4"/>
  <c r="N163" i="4"/>
  <c r="BN167" i="4"/>
  <c r="BG168" i="4"/>
  <c r="AZ165" i="4"/>
  <c r="J168" i="4"/>
  <c r="AL163" i="4"/>
  <c r="AD168" i="4"/>
  <c r="L164" i="4"/>
  <c r="P166" i="4"/>
  <c r="AJ166" i="4"/>
  <c r="BI167" i="4"/>
  <c r="BI168" i="4"/>
  <c r="BM165" i="4"/>
  <c r="BB164" i="4"/>
  <c r="J164" i="4"/>
  <c r="Q168" i="4"/>
  <c r="AQ165" i="4"/>
  <c r="AG165" i="4"/>
  <c r="AZ168" i="4"/>
  <c r="BH164" i="4"/>
  <c r="AL166" i="4"/>
  <c r="S165" i="4"/>
  <c r="BH165" i="4"/>
  <c r="AZ166" i="4"/>
  <c r="AT168" i="4"/>
  <c r="AX164" i="4"/>
  <c r="AE163" i="4"/>
  <c r="AV167" i="4"/>
  <c r="AB167" i="4"/>
  <c r="I168" i="4"/>
  <c r="N165" i="4"/>
  <c r="BC163" i="4"/>
  <c r="BH168" i="4"/>
  <c r="AZ167" i="4"/>
  <c r="V166" i="4"/>
  <c r="AL165" i="4"/>
  <c r="S164" i="4"/>
  <c r="AS163" i="4"/>
  <c r="P168" i="4"/>
  <c r="L163" i="4"/>
  <c r="BJ165" i="4"/>
  <c r="AQ164" i="4"/>
  <c r="BE164" i="4"/>
  <c r="AN168" i="4"/>
  <c r="BB168" i="4"/>
  <c r="O168" i="4"/>
  <c r="BA165" i="4"/>
  <c r="AC163" i="4"/>
  <c r="AT166" i="4"/>
  <c r="Q165" i="4"/>
  <c r="W166" i="4"/>
  <c r="BJ168" i="4"/>
  <c r="AQ167" i="4"/>
  <c r="AS166" i="4"/>
  <c r="Q163" i="4"/>
  <c r="AV166" i="4"/>
  <c r="N167" i="4"/>
  <c r="BC165" i="4"/>
  <c r="AG168" i="4"/>
  <c r="BA163" i="4"/>
  <c r="BH167" i="4"/>
  <c r="AL167" i="4"/>
  <c r="S166" i="4"/>
  <c r="AT163" i="4"/>
  <c r="Q164" i="4"/>
  <c r="W163" i="4"/>
  <c r="BJ167" i="4"/>
  <c r="AQ166" i="4"/>
  <c r="BF164" i="4"/>
  <c r="AO164" i="4"/>
  <c r="AI164" i="4"/>
  <c r="Z168" i="4"/>
  <c r="BO166" i="4"/>
  <c r="J166" i="4"/>
  <c r="BM164" i="4"/>
  <c r="BG165" i="4"/>
  <c r="R168" i="4"/>
  <c r="AC166" i="4"/>
  <c r="BD166" i="4"/>
  <c r="J165" i="4"/>
  <c r="AA163" i="4"/>
  <c r="BG167" i="4"/>
  <c r="AO167" i="4"/>
  <c r="AJ167" i="4"/>
  <c r="AA165" i="4"/>
  <c r="H164" i="4"/>
  <c r="BF167" i="4"/>
  <c r="AO165" i="4"/>
  <c r="K168" i="4"/>
  <c r="AM163" i="4"/>
  <c r="S168" i="4"/>
  <c r="AU163" i="4"/>
  <c r="Q166" i="4"/>
  <c r="X163" i="4"/>
  <c r="BK163" i="4"/>
  <c r="AQ168" i="4"/>
  <c r="BG164" i="4"/>
  <c r="AO166" i="4"/>
  <c r="AJ164" i="4"/>
  <c r="AA164" i="4"/>
  <c r="BO168" i="4"/>
  <c r="K166" i="4"/>
  <c r="BM166" i="4"/>
  <c r="AV165" i="4"/>
  <c r="AY164" i="4"/>
  <c r="AF163" i="4"/>
  <c r="W167" i="4"/>
  <c r="AC167" i="4"/>
  <c r="BN166" i="4"/>
  <c r="V163" i="4"/>
  <c r="AK168" i="4"/>
  <c r="AH164" i="4"/>
  <c r="BD163" i="4"/>
  <c r="AE168" i="4"/>
  <c r="W165" i="4"/>
  <c r="AW165" i="4"/>
  <c r="BO167" i="4"/>
  <c r="M165" i="4"/>
  <c r="BN163" i="4"/>
  <c r="BE168" i="4"/>
  <c r="AY167" i="4"/>
  <c r="AF166" i="4"/>
  <c r="M163" i="4"/>
  <c r="BM167" i="4"/>
  <c r="AG163" i="4"/>
  <c r="BK165" i="4"/>
  <c r="AR164" i="4"/>
  <c r="AW163" i="4"/>
  <c r="AO168" i="4"/>
  <c r="AS164" i="4"/>
  <c r="AA166" i="4"/>
  <c r="H165" i="4"/>
  <c r="M164" i="4"/>
  <c r="BM168" i="4"/>
  <c r="BE165" i="4"/>
  <c r="AY166" i="4"/>
  <c r="AF165" i="4"/>
  <c r="AK164" i="4"/>
  <c r="AD163" i="4"/>
  <c r="I167" i="4"/>
  <c r="O167" i="4"/>
  <c r="BD165" i="4"/>
  <c r="BI164" i="4"/>
  <c r="BB163" i="4"/>
  <c r="X165" i="4"/>
  <c r="W168" i="4"/>
  <c r="S163" i="4"/>
  <c r="BH163" i="4"/>
  <c r="AN164" i="4"/>
  <c r="AP164" i="4"/>
  <c r="AI167" i="4"/>
  <c r="AK167" i="4"/>
  <c r="AD166" i="4"/>
  <c r="K164" i="4"/>
  <c r="P164" i="4"/>
  <c r="BD168" i="4"/>
  <c r="AK165" i="4"/>
  <c r="AD164" i="4"/>
  <c r="AT164" i="4"/>
  <c r="AA168" i="4"/>
  <c r="H167" i="4"/>
  <c r="M166" i="4"/>
  <c r="BN164" i="4"/>
  <c r="BF165" i="4"/>
  <c r="AY168" i="4"/>
  <c r="AF167" i="4"/>
  <c r="AK166" i="4"/>
  <c r="AD165" i="4"/>
  <c r="J167" i="4"/>
  <c r="P163" i="4"/>
  <c r="BD167" i="4"/>
  <c r="BI166" i="4"/>
  <c r="BB165" i="4"/>
  <c r="V168" i="4"/>
  <c r="AN163" i="4"/>
  <c r="T168" i="4"/>
  <c r="Y167" i="4"/>
  <c r="BA204" i="4"/>
  <c r="BC204" i="4"/>
  <c r="AD194" i="4"/>
  <c r="AA194" i="4"/>
  <c r="BH194" i="4"/>
  <c r="BK204" i="4"/>
  <c r="BB194" i="4"/>
  <c r="O194" i="4"/>
  <c r="R194" i="4"/>
  <c r="AV204" i="4"/>
  <c r="BH204" i="4"/>
  <c r="AB204" i="4"/>
  <c r="Z194" i="4"/>
  <c r="AF194" i="4"/>
  <c r="AA203" i="4"/>
  <c r="BO204" i="4"/>
  <c r="BA194" i="4"/>
  <c r="BI194" i="4"/>
  <c r="Y194" i="4"/>
  <c r="BJ204" i="4"/>
  <c r="AZ204" i="4"/>
  <c r="P204" i="4"/>
  <c r="AI204" i="4"/>
  <c r="P194" i="4"/>
  <c r="BJ194" i="4"/>
  <c r="AJ194" i="4"/>
  <c r="BL204" i="4"/>
  <c r="R204" i="4"/>
  <c r="AT203" i="4"/>
  <c r="AL203" i="4"/>
  <c r="BF204" i="4"/>
  <c r="S204" i="4"/>
  <c r="K203" i="4"/>
  <c r="AW204" i="4"/>
  <c r="AM204" i="4"/>
  <c r="F194" i="4"/>
  <c r="X194" i="4"/>
  <c r="BP194" i="4"/>
  <c r="AQ194" i="4"/>
  <c r="G194" i="4"/>
  <c r="BJ203" i="4"/>
  <c r="BG194" i="4"/>
  <c r="BG204" i="4"/>
  <c r="AH194" i="4"/>
  <c r="AI203" i="4"/>
  <c r="AL194" i="4"/>
  <c r="AU203" i="4"/>
  <c r="BB204" i="4"/>
  <c r="L194" i="4"/>
  <c r="H194" i="4"/>
  <c r="AE204" i="4"/>
  <c r="AG203" i="4"/>
  <c r="AK194" i="4"/>
  <c r="BM194" i="4"/>
  <c r="AP194" i="4"/>
  <c r="L204" i="4"/>
  <c r="AU204" i="4"/>
  <c r="I204" i="4"/>
  <c r="BK203" i="4"/>
  <c r="BN204" i="4"/>
  <c r="AG194" i="4"/>
  <c r="AJ204" i="4"/>
  <c r="BL194" i="4"/>
  <c r="BM204" i="4"/>
  <c r="AF204" i="4"/>
  <c r="AC194" i="4"/>
  <c r="AK204" i="4"/>
  <c r="AB194" i="4"/>
  <c r="AN194" i="4"/>
  <c r="AR194" i="4"/>
  <c r="H203" i="4"/>
  <c r="BI203" i="4"/>
  <c r="AX204" i="4"/>
  <c r="O204" i="4"/>
  <c r="X204" i="4"/>
  <c r="L203" i="4"/>
  <c r="AY194" i="4"/>
  <c r="M194" i="4"/>
  <c r="J204" i="4"/>
  <c r="O203" i="4"/>
  <c r="AS194" i="4"/>
  <c r="J194" i="4"/>
  <c r="U194" i="4"/>
  <c r="AD203" i="4"/>
  <c r="AC204" i="4"/>
  <c r="AD204" i="4"/>
  <c r="Q204" i="4"/>
  <c r="BO194" i="4"/>
  <c r="AP203" i="4"/>
  <c r="T203" i="4"/>
  <c r="AR203" i="4"/>
  <c r="BE203" i="4"/>
  <c r="Z204" i="4"/>
  <c r="BN194" i="4"/>
  <c r="AS204" i="4"/>
  <c r="AZ194" i="4"/>
  <c r="K204" i="4"/>
  <c r="AM194" i="4"/>
  <c r="AV194" i="4"/>
  <c r="I194" i="4"/>
  <c r="BP203" i="4"/>
  <c r="Y203" i="4"/>
  <c r="AK203" i="4"/>
  <c r="P203" i="4"/>
  <c r="BD203" i="4"/>
  <c r="AY204" i="4"/>
  <c r="Q194" i="4"/>
  <c r="AX194" i="4"/>
  <c r="BF194" i="4"/>
  <c r="BD194" i="4"/>
  <c r="AI194" i="4"/>
  <c r="Y204" i="4"/>
  <c r="N194" i="4"/>
  <c r="BE194" i="4"/>
  <c r="AO194" i="4"/>
  <c r="BD204" i="4"/>
  <c r="N203" i="4"/>
  <c r="Z203" i="4"/>
  <c r="T204" i="4"/>
  <c r="AY203" i="4"/>
  <c r="AW194" i="4"/>
  <c r="Q203" i="4"/>
  <c r="V194" i="4"/>
  <c r="AN203" i="4"/>
  <c r="H204" i="4"/>
  <c r="AH204" i="4"/>
  <c r="I203" i="4"/>
  <c r="BN203" i="4"/>
  <c r="AT194" i="4"/>
  <c r="W194" i="4"/>
  <c r="BK194" i="4"/>
  <c r="BG181" i="4"/>
  <c r="P181" i="4"/>
  <c r="AL181" i="4"/>
  <c r="BJ181" i="4"/>
  <c r="BB181" i="4"/>
  <c r="F181" i="4"/>
  <c r="AF181" i="4"/>
  <c r="BM181" i="4"/>
  <c r="X181" i="4"/>
  <c r="BD181" i="4"/>
  <c r="S181" i="4"/>
  <c r="AB181" i="4"/>
  <c r="V181" i="4"/>
  <c r="AO181" i="4"/>
  <c r="K181" i="4"/>
  <c r="U181" i="4"/>
  <c r="AR181" i="4"/>
  <c r="L181" i="4"/>
  <c r="BC181" i="4"/>
  <c r="AA181" i="4"/>
  <c r="AU181" i="4"/>
  <c r="AZ181" i="4"/>
  <c r="AD181" i="4"/>
  <c r="BE181" i="4"/>
  <c r="N181" i="4"/>
  <c r="BK181" i="4"/>
  <c r="BP181" i="4"/>
  <c r="AT181" i="4"/>
  <c r="AM181" i="4"/>
  <c r="BL181" i="4"/>
  <c r="O181" i="4"/>
  <c r="AY181" i="4"/>
  <c r="Z181" i="4"/>
  <c r="AV181" i="4"/>
  <c r="BI181" i="4"/>
  <c r="G181" i="4"/>
  <c r="Q181" i="4"/>
  <c r="AQ181" i="4"/>
  <c r="AC181" i="4"/>
  <c r="AP181" i="4"/>
  <c r="R181" i="4"/>
  <c r="I181" i="4"/>
  <c r="AE181" i="4"/>
  <c r="BH181" i="4"/>
  <c r="AS181" i="4"/>
  <c r="BF181" i="4"/>
  <c r="T181" i="4"/>
  <c r="AI181" i="4"/>
  <c r="AG181" i="4"/>
  <c r="BO181" i="4"/>
  <c r="AK181" i="4"/>
  <c r="AW181" i="4"/>
  <c r="AH181" i="4"/>
  <c r="Y181" i="4"/>
  <c r="BA181" i="4"/>
  <c r="BN181" i="4"/>
  <c r="M181" i="4"/>
  <c r="AJ181" i="4"/>
  <c r="H181" i="4"/>
  <c r="J181" i="4"/>
  <c r="W181" i="4"/>
  <c r="AN181" i="4"/>
  <c r="AX181" i="4"/>
  <c r="I104" i="4"/>
  <c r="J98" i="4"/>
  <c r="BB169" i="4" l="1"/>
  <c r="BM169" i="4"/>
  <c r="H169" i="4"/>
  <c r="BJ169" i="4"/>
  <c r="AY179" i="4"/>
  <c r="AW169" i="4"/>
  <c r="AJ169" i="4"/>
  <c r="P180" i="4"/>
  <c r="BP180" i="4"/>
  <c r="BH180" i="4"/>
  <c r="AT179" i="4"/>
  <c r="AL169" i="4"/>
  <c r="BE169" i="4"/>
  <c r="F179" i="4"/>
  <c r="BK179" i="4"/>
  <c r="AE179" i="4"/>
  <c r="Q179" i="4"/>
  <c r="BP179" i="4"/>
  <c r="AQ179" i="4"/>
  <c r="Y177" i="4"/>
  <c r="Z169" i="4"/>
  <c r="AV177" i="4"/>
  <c r="G177" i="4"/>
  <c r="N179" i="4"/>
  <c r="T169" i="4"/>
  <c r="AZ177" i="4"/>
  <c r="L180" i="4"/>
  <c r="BE179" i="4"/>
  <c r="S169" i="4"/>
  <c r="BI169" i="4"/>
  <c r="BA180" i="4"/>
  <c r="BD180" i="4"/>
  <c r="AS177" i="4"/>
  <c r="W180" i="4"/>
  <c r="J179" i="4"/>
  <c r="AS179" i="4"/>
  <c r="W177" i="4"/>
  <c r="BN169" i="4"/>
  <c r="BA177" i="4"/>
  <c r="AS169" i="4"/>
  <c r="AM177" i="4"/>
  <c r="BO180" i="4"/>
  <c r="W179" i="4"/>
  <c r="AT177" i="4"/>
  <c r="BI177" i="4"/>
  <c r="AG179" i="4"/>
  <c r="AF177" i="4"/>
  <c r="BH177" i="4"/>
  <c r="AP177" i="4"/>
  <c r="AI179" i="4"/>
  <c r="BD179" i="4"/>
  <c r="AK179" i="4"/>
  <c r="L179" i="4"/>
  <c r="AD179" i="4"/>
  <c r="BH179" i="4"/>
  <c r="N178" i="4"/>
  <c r="BA169" i="4"/>
  <c r="BF169" i="4"/>
  <c r="AU179" i="4"/>
  <c r="BB180" i="4"/>
  <c r="BC179" i="4"/>
  <c r="AW179" i="4"/>
  <c r="AS180" i="4"/>
  <c r="AX180" i="4"/>
  <c r="AO179" i="4"/>
  <c r="BG179" i="4"/>
  <c r="M179" i="4"/>
  <c r="P179" i="4"/>
  <c r="BJ179" i="4"/>
  <c r="AO177" i="4"/>
  <c r="O177" i="4"/>
  <c r="T177" i="4"/>
  <c r="AU177" i="4"/>
  <c r="AA179" i="4"/>
  <c r="AX179" i="4"/>
  <c r="AN179" i="4"/>
  <c r="AR179" i="4"/>
  <c r="BB179" i="4"/>
  <c r="AV179" i="4"/>
  <c r="BL179" i="4"/>
  <c r="AH179" i="4"/>
  <c r="AJ177" i="4"/>
  <c r="I177" i="4"/>
  <c r="Y179" i="4"/>
  <c r="BK177" i="4"/>
  <c r="X177" i="4"/>
  <c r="S177" i="4"/>
  <c r="AI177" i="4"/>
  <c r="AF179" i="4"/>
  <c r="BN180" i="4"/>
  <c r="U179" i="4"/>
  <c r="AF178" i="4"/>
  <c r="O179" i="4"/>
  <c r="AD177" i="4"/>
  <c r="AL180" i="4"/>
  <c r="BF179" i="4"/>
  <c r="BK180" i="4"/>
  <c r="AN177" i="4"/>
  <c r="BE177" i="4"/>
  <c r="AB179" i="4"/>
  <c r="K179" i="4"/>
  <c r="Z179" i="4"/>
  <c r="I179" i="4"/>
  <c r="AV180" i="4"/>
  <c r="AM169" i="4"/>
  <c r="AN169" i="4"/>
  <c r="AF169" i="4"/>
  <c r="AQ169" i="4"/>
  <c r="J169" i="4"/>
  <c r="Y169" i="4"/>
  <c r="R180" i="4"/>
  <c r="F180" i="4"/>
  <c r="K178" i="4"/>
  <c r="BJ178" i="4"/>
  <c r="AT169" i="4"/>
  <c r="L169" i="4"/>
  <c r="AH169" i="4"/>
  <c r="AU169" i="4"/>
  <c r="AX169" i="4"/>
  <c r="AE169" i="4"/>
  <c r="BL169" i="4"/>
  <c r="AM178" i="4"/>
  <c r="AW180" i="4"/>
  <c r="BP178" i="4"/>
  <c r="BF177" i="4"/>
  <c r="H177" i="4"/>
  <c r="AL177" i="4"/>
  <c r="AB180" i="4"/>
  <c r="AD180" i="4"/>
  <c r="AC180" i="4"/>
  <c r="H180" i="4"/>
  <c r="I180" i="4"/>
  <c r="AK178" i="4"/>
  <c r="M178" i="4"/>
  <c r="AG178" i="4"/>
  <c r="AW177" i="4"/>
  <c r="AR177" i="4"/>
  <c r="P177" i="4"/>
  <c r="L177" i="4"/>
  <c r="BC177" i="4"/>
  <c r="AA177" i="4"/>
  <c r="BE180" i="4"/>
  <c r="Z180" i="4"/>
  <c r="R179" i="4"/>
  <c r="AC179" i="4"/>
  <c r="AJ179" i="4"/>
  <c r="BN179" i="4"/>
  <c r="T179" i="4"/>
  <c r="AZ179" i="4"/>
  <c r="BG180" i="4"/>
  <c r="AY178" i="4"/>
  <c r="BB177" i="4"/>
  <c r="BO177" i="4"/>
  <c r="BL177" i="4"/>
  <c r="BI180" i="4"/>
  <c r="AA180" i="4"/>
  <c r="BN177" i="4"/>
  <c r="AE180" i="4"/>
  <c r="BE178" i="4"/>
  <c r="AL178" i="4"/>
  <c r="AH178" i="4"/>
  <c r="AF180" i="4"/>
  <c r="BF180" i="4"/>
  <c r="AI180" i="4"/>
  <c r="V180" i="4"/>
  <c r="AZ180" i="4"/>
  <c r="AK169" i="4"/>
  <c r="AA169" i="4"/>
  <c r="W169" i="4"/>
  <c r="V169" i="4"/>
  <c r="AC169" i="4"/>
  <c r="AB178" i="4"/>
  <c r="J177" i="4"/>
  <c r="O180" i="4"/>
  <c r="BG177" i="4"/>
  <c r="BD177" i="4"/>
  <c r="Q177" i="4"/>
  <c r="BM177" i="4"/>
  <c r="T180" i="4"/>
  <c r="Y180" i="4"/>
  <c r="N177" i="4"/>
  <c r="AO180" i="4"/>
  <c r="BM180" i="4"/>
  <c r="BO179" i="4"/>
  <c r="X179" i="4"/>
  <c r="S179" i="4"/>
  <c r="BI179" i="4"/>
  <c r="BD178" i="4"/>
  <c r="H179" i="4"/>
  <c r="BH178" i="4"/>
  <c r="AK177" i="4"/>
  <c r="AH180" i="4"/>
  <c r="Q180" i="4"/>
  <c r="AR180" i="4"/>
  <c r="AK180" i="4"/>
  <c r="AS178" i="4"/>
  <c r="AJ178" i="4"/>
  <c r="AB177" i="4"/>
  <c r="R177" i="4"/>
  <c r="AE177" i="4"/>
  <c r="AQ177" i="4"/>
  <c r="M180" i="4"/>
  <c r="U180" i="4"/>
  <c r="G180" i="4"/>
  <c r="AG180" i="4"/>
  <c r="U177" i="4"/>
  <c r="BA179" i="4"/>
  <c r="G179" i="4"/>
  <c r="AL179" i="4"/>
  <c r="V179" i="4"/>
  <c r="BM179" i="4"/>
  <c r="AM179" i="4"/>
  <c r="V178" i="4"/>
  <c r="Y178" i="4"/>
  <c r="AR178" i="4"/>
  <c r="AW178" i="4"/>
  <c r="BL178" i="4"/>
  <c r="AD178" i="4"/>
  <c r="T178" i="4"/>
  <c r="BF178" i="4"/>
  <c r="P169" i="4"/>
  <c r="N169" i="4"/>
  <c r="W178" i="4"/>
  <c r="AX178" i="4"/>
  <c r="AZ178" i="4"/>
  <c r="L178" i="4"/>
  <c r="X178" i="4"/>
  <c r="BN178" i="4"/>
  <c r="AI169" i="4"/>
  <c r="H121" i="4" a="1"/>
  <c r="AC122" i="4" s="1"/>
  <c r="AZ169" i="4"/>
  <c r="AG169" i="4"/>
  <c r="AQ178" i="4"/>
  <c r="AN178" i="4"/>
  <c r="K169" i="4"/>
  <c r="X169" i="4"/>
  <c r="I169" i="4"/>
  <c r="F195" i="4" s="1" a="1"/>
  <c r="BK169" i="4"/>
  <c r="AB169" i="4"/>
  <c r="R169" i="4"/>
  <c r="M169" i="4"/>
  <c r="BO169" i="4"/>
  <c r="AP178" i="4"/>
  <c r="H178" i="4"/>
  <c r="I178" i="4"/>
  <c r="BD169" i="4"/>
  <c r="BG169" i="4"/>
  <c r="K177" i="4"/>
  <c r="V177" i="4"/>
  <c r="AX177" i="4"/>
  <c r="AY180" i="4"/>
  <c r="AT180" i="4"/>
  <c r="N180" i="4"/>
  <c r="X180" i="4"/>
  <c r="AH177" i="4"/>
  <c r="U178" i="4"/>
  <c r="J178" i="4"/>
  <c r="Q178" i="4"/>
  <c r="AE178" i="4"/>
  <c r="P178" i="4"/>
  <c r="BK178" i="4"/>
  <c r="BO178" i="4"/>
  <c r="BA178" i="4"/>
  <c r="O169" i="4"/>
  <c r="U169" i="4"/>
  <c r="S178" i="4"/>
  <c r="BC178" i="4"/>
  <c r="BI178" i="4"/>
  <c r="O178" i="4"/>
  <c r="AI178" i="4"/>
  <c r="G178" i="4"/>
  <c r="R178" i="4"/>
  <c r="BC169" i="4"/>
  <c r="AV169" i="4"/>
  <c r="F178" i="4"/>
  <c r="AC178" i="4"/>
  <c r="AV178" i="4"/>
  <c r="AA178" i="4"/>
  <c r="AT178" i="4"/>
  <c r="BM178" i="4"/>
  <c r="AD169" i="4"/>
  <c r="Q169" i="4"/>
  <c r="AR169" i="4"/>
  <c r="AO169" i="4"/>
  <c r="BH169" i="4"/>
  <c r="Z178" i="4"/>
  <c r="BG178" i="4"/>
  <c r="BB178" i="4"/>
  <c r="AO178" i="4"/>
  <c r="AP169" i="4"/>
  <c r="AY169" i="4"/>
  <c r="BP177" i="4"/>
  <c r="AU180" i="4"/>
  <c r="S180" i="4"/>
  <c r="F177" i="4"/>
  <c r="BC180" i="4"/>
  <c r="K180" i="4"/>
  <c r="J180" i="4"/>
  <c r="AG177" i="4"/>
  <c r="AY177" i="4"/>
  <c r="M177" i="4"/>
  <c r="BJ177" i="4"/>
  <c r="AC177" i="4"/>
  <c r="AM180" i="4"/>
  <c r="AQ180" i="4"/>
  <c r="BL180" i="4"/>
  <c r="AP180" i="4"/>
  <c r="AN180" i="4"/>
  <c r="AJ180" i="4"/>
  <c r="F278" i="4" a="1"/>
  <c r="H210" i="4" a="1"/>
  <c r="BC214" i="4" s="1"/>
  <c r="K98" i="4"/>
  <c r="J104" i="4"/>
  <c r="AW195" i="4" l="1"/>
  <c r="AF195" i="4"/>
  <c r="H195" i="4"/>
  <c r="AP195" i="4"/>
  <c r="M195" i="4"/>
  <c r="BB195" i="4"/>
  <c r="AE195" i="4"/>
  <c r="BK195" i="4"/>
  <c r="BM195" i="4"/>
  <c r="K195" i="4"/>
  <c r="AZ195" i="4"/>
  <c r="AS121" i="4"/>
  <c r="AV121" i="4"/>
  <c r="N124" i="4"/>
  <c r="U121" i="4"/>
  <c r="AA123" i="4"/>
  <c r="AD125" i="4"/>
  <c r="AY122" i="4"/>
  <c r="J123" i="4"/>
  <c r="AI125" i="4"/>
  <c r="BJ122" i="4"/>
  <c r="AX123" i="4"/>
  <c r="BA122" i="4"/>
  <c r="AN126" i="4"/>
  <c r="AR126" i="4"/>
  <c r="AB122" i="4"/>
  <c r="AQ126" i="4"/>
  <c r="Y123" i="4"/>
  <c r="AT125" i="4"/>
  <c r="J126" i="4"/>
  <c r="BG126" i="4"/>
  <c r="AZ123" i="4"/>
  <c r="X121" i="4"/>
  <c r="L121" i="4"/>
  <c r="BJ123" i="4"/>
  <c r="AQ122" i="4"/>
  <c r="V121" i="4"/>
  <c r="AX121" i="4"/>
  <c r="AP126" i="4"/>
  <c r="O122" i="4"/>
  <c r="M123" i="4"/>
  <c r="BN121" i="4"/>
  <c r="AJ125" i="4"/>
  <c r="N122" i="4"/>
  <c r="AK123" i="4"/>
  <c r="AD122" i="4"/>
  <c r="AS123" i="4"/>
  <c r="AL122" i="4"/>
  <c r="S121" i="4"/>
  <c r="AW125" i="4"/>
  <c r="BG123" i="4"/>
  <c r="AZ122" i="4"/>
  <c r="AS122" i="4"/>
  <c r="BD126" i="4"/>
  <c r="M124" i="4"/>
  <c r="BN122" i="4"/>
  <c r="BK126" i="4"/>
  <c r="AI123" i="4"/>
  <c r="BA124" i="4"/>
  <c r="BE125" i="4"/>
  <c r="AL125" i="4"/>
  <c r="X123" i="4"/>
  <c r="AQ123" i="4"/>
  <c r="BK121" i="4"/>
  <c r="BM126" i="4"/>
  <c r="R121" i="4"/>
  <c r="AF121" i="4"/>
  <c r="BJ121" i="4"/>
  <c r="Z122" i="4"/>
  <c r="BO125" i="4"/>
  <c r="P122" i="4"/>
  <c r="AO121" i="4"/>
  <c r="AW124" i="4"/>
  <c r="AB123" i="4"/>
  <c r="K124" i="4"/>
  <c r="BM124" i="4"/>
  <c r="BH121" i="4"/>
  <c r="I125" i="4"/>
  <c r="O125" i="4"/>
  <c r="BD123" i="4"/>
  <c r="X124" i="4"/>
  <c r="BK122" i="4"/>
  <c r="AR121" i="4"/>
  <c r="X122" i="4"/>
  <c r="Z124" i="4"/>
  <c r="BO122" i="4"/>
  <c r="BJ126" i="4"/>
  <c r="AJ123" i="4"/>
  <c r="AX124" i="4"/>
  <c r="AE123" i="4"/>
  <c r="AV126" i="4"/>
  <c r="AY123" i="4"/>
  <c r="AF122" i="4"/>
  <c r="AC123" i="4"/>
  <c r="K121" i="4"/>
  <c r="BM123" i="4"/>
  <c r="AH124" i="4"/>
  <c r="X125" i="4"/>
  <c r="Z125" i="4"/>
  <c r="BO123" i="4"/>
  <c r="I126" i="4"/>
  <c r="N121" i="4"/>
  <c r="BN125" i="4"/>
  <c r="P126" i="4"/>
  <c r="AD124" i="4"/>
  <c r="BJ124" i="4"/>
  <c r="P125" i="4"/>
  <c r="Y122" i="4"/>
  <c r="BF122" i="4"/>
  <c r="BB126" i="4"/>
  <c r="BF124" i="4"/>
  <c r="AO124" i="4"/>
  <c r="AD121" i="4"/>
  <c r="V126" i="4"/>
  <c r="T126" i="4"/>
  <c r="AA125" i="4"/>
  <c r="AX126" i="4"/>
  <c r="AN124" i="4"/>
  <c r="O121" i="4"/>
  <c r="J122" i="4"/>
  <c r="O126" i="4"/>
  <c r="BN126" i="4"/>
  <c r="AC126" i="4"/>
  <c r="AY121" i="4"/>
  <c r="AE126" i="4"/>
  <c r="S122" i="4"/>
  <c r="AE124" i="4"/>
  <c r="BI124" i="4"/>
  <c r="BB123" i="4"/>
  <c r="AX125" i="4"/>
  <c r="AJ121" i="4"/>
  <c r="BL123" i="4"/>
  <c r="X126" i="4"/>
  <c r="BF126" i="4"/>
  <c r="AZ121" i="4"/>
  <c r="AF126" i="4"/>
  <c r="BH124" i="4"/>
  <c r="O123" i="4"/>
  <c r="BD121" i="4"/>
  <c r="BA125" i="4"/>
  <c r="L126" i="4"/>
  <c r="AM123" i="4"/>
  <c r="T122" i="4"/>
  <c r="W123" i="4"/>
  <c r="AN122" i="4"/>
  <c r="J121" i="4"/>
  <c r="AF124" i="4"/>
  <c r="BI123" i="4"/>
  <c r="BB122" i="4"/>
  <c r="BE126" i="4"/>
  <c r="I122" i="4"/>
  <c r="O124" i="4"/>
  <c r="BD122" i="4"/>
  <c r="W121" i="4"/>
  <c r="BJ125" i="4"/>
  <c r="AQ124" i="4"/>
  <c r="L124" i="4"/>
  <c r="Z123" i="4"/>
  <c r="AI126" i="4"/>
  <c r="AP123" i="4"/>
  <c r="AK122" i="4"/>
  <c r="M122" i="4"/>
  <c r="AN121" i="4"/>
  <c r="AS125" i="4"/>
  <c r="H124" i="4"/>
  <c r="AU123" i="4"/>
  <c r="AE125" i="4"/>
  <c r="BG124" i="4"/>
  <c r="BC125" i="4"/>
  <c r="BD124" i="4"/>
  <c r="AK121" i="4"/>
  <c r="AT126" i="4"/>
  <c r="AU126" i="4"/>
  <c r="AT123" i="4"/>
  <c r="AL123" i="4"/>
  <c r="I123" i="4"/>
  <c r="Z121" i="4"/>
  <c r="R126" i="4"/>
  <c r="AZ125" i="4"/>
  <c r="U122" i="4"/>
  <c r="AB126" i="4"/>
  <c r="P123" i="4"/>
  <c r="L122" i="4"/>
  <c r="P124" i="4"/>
  <c r="BF123" i="4"/>
  <c r="U126" i="4"/>
  <c r="AM125" i="4"/>
  <c r="T124" i="4"/>
  <c r="AP124" i="4"/>
  <c r="AH121" i="4"/>
  <c r="BK125" i="4"/>
  <c r="AR124" i="4"/>
  <c r="AJ124" i="4"/>
  <c r="BL124" i="4"/>
  <c r="AY126" i="4"/>
  <c r="AG125" i="4"/>
  <c r="Y126" i="4"/>
  <c r="R125" i="4"/>
  <c r="I124" i="4"/>
  <c r="V123" i="4"/>
  <c r="AM126" i="4"/>
  <c r="T125" i="4"/>
  <c r="AJ122" i="4"/>
  <c r="AA122" i="4"/>
  <c r="BO126" i="4"/>
  <c r="AI122" i="4"/>
  <c r="BC122" i="4"/>
  <c r="BI125" i="4"/>
  <c r="BF121" i="4"/>
  <c r="R123" i="4"/>
  <c r="K123" i="4"/>
  <c r="V124" i="4"/>
  <c r="AF125" i="4"/>
  <c r="U124" i="4"/>
  <c r="Q122" i="4"/>
  <c r="BE122" i="4"/>
  <c r="BL121" i="4"/>
  <c r="AU122" i="4"/>
  <c r="U125" i="4"/>
  <c r="AX122" i="4"/>
  <c r="K125" i="4"/>
  <c r="BG121" i="4"/>
  <c r="N126" i="4"/>
  <c r="BC124" i="4"/>
  <c r="BB125" i="4"/>
  <c r="AU124" i="4"/>
  <c r="Q125" i="4"/>
  <c r="U123" i="4"/>
  <c r="J124" i="4"/>
  <c r="BM122" i="4"/>
  <c r="BM121" i="4"/>
  <c r="AV122" i="4"/>
  <c r="AB124" i="4"/>
  <c r="W122" i="4"/>
  <c r="H122" i="4"/>
  <c r="BH123" i="4"/>
  <c r="AZ124" i="4"/>
  <c r="AW126" i="4"/>
  <c r="AH126" i="4"/>
  <c r="BA123" i="4"/>
  <c r="BG122" i="4"/>
  <c r="AV124" i="4"/>
  <c r="N125" i="4"/>
  <c r="BC123" i="4"/>
  <c r="AY125" i="4"/>
  <c r="AV125" i="4"/>
  <c r="AB125" i="4"/>
  <c r="AA124" i="4"/>
  <c r="J125" i="4"/>
  <c r="P121" i="4"/>
  <c r="BD125" i="4"/>
  <c r="Z126" i="4"/>
  <c r="AK125" i="4"/>
  <c r="L125" i="4"/>
  <c r="AV123" i="4"/>
  <c r="S125" i="4"/>
  <c r="AA121" i="4"/>
  <c r="AQ121" i="4"/>
  <c r="AE122" i="4"/>
  <c r="H123" i="4"/>
  <c r="N123" i="4"/>
  <c r="AQ125" i="4"/>
  <c r="AH125" i="4"/>
  <c r="BE124" i="4"/>
  <c r="AE121" i="4"/>
  <c r="AI124" i="4"/>
  <c r="BL122" i="4"/>
  <c r="BE123" i="4"/>
  <c r="AY124" i="4"/>
  <c r="AF123" i="4"/>
  <c r="BH125" i="4"/>
  <c r="L123" i="4"/>
  <c r="AM122" i="4"/>
  <c r="T121" i="4"/>
  <c r="BO121" i="4"/>
  <c r="AW122" i="4"/>
  <c r="AP121" i="4"/>
  <c r="AK124" i="4"/>
  <c r="W125" i="4"/>
  <c r="AC125" i="4"/>
  <c r="BC121" i="4"/>
  <c r="AG123" i="4"/>
  <c r="AZ126" i="4"/>
  <c r="AC124" i="4"/>
  <c r="AH122" i="4"/>
  <c r="AS124" i="4"/>
  <c r="Q121" i="4"/>
  <c r="AP125" i="4"/>
  <c r="Y121" i="4"/>
  <c r="Q126" i="4"/>
  <c r="W124" i="4"/>
  <c r="K126" i="4"/>
  <c r="AM121" i="4"/>
  <c r="S126" i="4"/>
  <c r="BL126" i="4"/>
  <c r="AG126" i="4"/>
  <c r="BA121" i="4"/>
  <c r="S124" i="4"/>
  <c r="W126" i="4"/>
  <c r="AN123" i="4"/>
  <c r="Y124" i="4"/>
  <c r="AG124" i="4"/>
  <c r="BK124" i="4"/>
  <c r="AR123" i="4"/>
  <c r="BC126" i="4"/>
  <c r="M125" i="4"/>
  <c r="BN123" i="4"/>
  <c r="AM124" i="4"/>
  <c r="BI122" i="4"/>
  <c r="BB121" i="4"/>
  <c r="AG122" i="4"/>
  <c r="AT124" i="4"/>
  <c r="Q123" i="4"/>
  <c r="AJ126" i="4"/>
  <c r="BI121" i="4"/>
  <c r="BF125" i="4"/>
  <c r="AO123" i="4"/>
  <c r="AL124" i="4"/>
  <c r="AW123" i="4"/>
  <c r="AP122" i="4"/>
  <c r="K122" i="4"/>
  <c r="AG121" i="4"/>
  <c r="BK123" i="4"/>
  <c r="AR122" i="4"/>
  <c r="R122" i="4"/>
  <c r="AU121" i="4"/>
  <c r="Q124" i="4"/>
  <c r="AT121" i="4"/>
  <c r="I121" i="4"/>
  <c r="BL125" i="4"/>
  <c r="BH126" i="4"/>
  <c r="BO124" i="4"/>
  <c r="T123" i="4"/>
  <c r="BB124" i="4"/>
  <c r="AK126" i="4"/>
  <c r="AO122" i="4"/>
  <c r="AL126" i="4"/>
  <c r="H121" i="4"/>
  <c r="AR125" i="4"/>
  <c r="AH123" i="4"/>
  <c r="AI121" i="4"/>
  <c r="AC121" i="4"/>
  <c r="AN125" i="4"/>
  <c r="AB121" i="4"/>
  <c r="H126" i="4"/>
  <c r="AS126" i="4"/>
  <c r="AL121" i="4"/>
  <c r="AD126" i="4"/>
  <c r="AD123" i="4"/>
  <c r="Y125" i="4"/>
  <c r="R124" i="4"/>
  <c r="AU125" i="4"/>
  <c r="BG125" i="4"/>
  <c r="AO125" i="4"/>
  <c r="BH122" i="4"/>
  <c r="BA126" i="4"/>
  <c r="M121" i="4"/>
  <c r="BM125" i="4"/>
  <c r="BE121" i="4"/>
  <c r="M126" i="4"/>
  <c r="BN124" i="4"/>
  <c r="V125" i="4"/>
  <c r="AT122" i="4"/>
  <c r="AA126" i="4"/>
  <c r="H125" i="4"/>
  <c r="S123" i="4"/>
  <c r="AW121" i="4"/>
  <c r="AO126" i="4"/>
  <c r="BI126" i="4"/>
  <c r="V122" i="4"/>
  <c r="Q213" i="4"/>
  <c r="BL210" i="4"/>
  <c r="S212" i="4"/>
  <c r="W214" i="4"/>
  <c r="AE214" i="4"/>
  <c r="BH211" i="4"/>
  <c r="BE213" i="4"/>
  <c r="AP210" i="4"/>
  <c r="AT210" i="4"/>
  <c r="AT213" i="4"/>
  <c r="L210" i="4"/>
  <c r="AG211" i="4"/>
  <c r="AG214" i="4"/>
  <c r="AV214" i="4"/>
  <c r="AG212" i="4"/>
  <c r="AU212" i="4"/>
  <c r="AW211" i="4"/>
  <c r="N212" i="4"/>
  <c r="Y210" i="4"/>
  <c r="AJ214" i="4"/>
  <c r="Q210" i="4"/>
  <c r="N211" i="4"/>
  <c r="AC213" i="4"/>
  <c r="L213" i="4"/>
  <c r="BK210" i="4"/>
  <c r="AU195" i="4"/>
  <c r="BL213" i="4"/>
  <c r="AK212" i="4"/>
  <c r="BM212" i="4"/>
  <c r="AZ210" i="4"/>
  <c r="BO211" i="4"/>
  <c r="BI213" i="4"/>
  <c r="S214" i="4"/>
  <c r="AS211" i="4"/>
  <c r="J213" i="4"/>
  <c r="AD210" i="4"/>
  <c r="J210" i="4"/>
  <c r="X213" i="4"/>
  <c r="M214" i="4"/>
  <c r="BO210" i="4"/>
  <c r="AD212" i="4"/>
  <c r="AD214" i="4"/>
  <c r="AK211" i="4"/>
  <c r="Y212" i="4"/>
  <c r="I211" i="4"/>
  <c r="K214" i="4"/>
  <c r="AB211" i="4"/>
  <c r="AH214" i="4"/>
  <c r="N214" i="4"/>
  <c r="P214" i="4"/>
  <c r="AW213" i="4"/>
  <c r="BL195" i="4"/>
  <c r="Z195" i="4"/>
  <c r="AX195" i="4"/>
  <c r="AN195" i="4"/>
  <c r="BK214" i="4"/>
  <c r="AP214" i="4"/>
  <c r="T212" i="4"/>
  <c r="AN210" i="4"/>
  <c r="BO213" i="4"/>
  <c r="AE211" i="4"/>
  <c r="BD212" i="4"/>
  <c r="R210" i="4"/>
  <c r="BE214" i="4"/>
  <c r="AS212" i="4"/>
  <c r="K212" i="4"/>
  <c r="BC210" i="4"/>
  <c r="AI211" i="4"/>
  <c r="I214" i="4"/>
  <c r="BG210" i="4"/>
  <c r="AQ213" i="4"/>
  <c r="W210" i="4"/>
  <c r="AA211" i="4"/>
  <c r="S210" i="4"/>
  <c r="BD214" i="4"/>
  <c r="BD213" i="4"/>
  <c r="BP195" i="4"/>
  <c r="AY195" i="4"/>
  <c r="G195" i="4"/>
  <c r="F195" i="4"/>
  <c r="BO195" i="4"/>
  <c r="BC281" i="4"/>
  <c r="AK279" i="4"/>
  <c r="O282" i="4"/>
  <c r="BJ282" i="4"/>
  <c r="AR280" i="4"/>
  <c r="Z278" i="4"/>
  <c r="BN280" i="4"/>
  <c r="AV278" i="4"/>
  <c r="BM280" i="4"/>
  <c r="AU278" i="4"/>
  <c r="M280" i="4"/>
  <c r="AB281" i="4"/>
  <c r="BP282" i="4"/>
  <c r="P279" i="4"/>
  <c r="AV280" i="4"/>
  <c r="U282" i="4"/>
  <c r="AO278" i="4"/>
  <c r="BM279" i="4"/>
  <c r="P281" i="4"/>
  <c r="AH281" i="4"/>
  <c r="BE282" i="4"/>
  <c r="BP278" i="4"/>
  <c r="W280" i="4"/>
  <c r="BD281" i="4"/>
  <c r="L280" i="4"/>
  <c r="AI281" i="4"/>
  <c r="G281" i="4"/>
  <c r="AI282" i="4"/>
  <c r="AU281" i="4"/>
  <c r="AP282" i="4"/>
  <c r="BJ279" i="4"/>
  <c r="M281" i="4"/>
  <c r="AY278" i="4"/>
  <c r="N279" i="4"/>
  <c r="BG278" i="4"/>
  <c r="AT279" i="4"/>
  <c r="AQ281" i="4"/>
  <c r="Y279" i="4"/>
  <c r="BN281" i="4"/>
  <c r="AX282" i="4"/>
  <c r="AF280" i="4"/>
  <c r="N278" i="4"/>
  <c r="BB280" i="4"/>
  <c r="AJ278" i="4"/>
  <c r="BA280" i="4"/>
  <c r="AI278" i="4"/>
  <c r="BC279" i="4"/>
  <c r="I281" i="4"/>
  <c r="AS282" i="4"/>
  <c r="BI278" i="4"/>
  <c r="Z280" i="4"/>
  <c r="BL281" i="4"/>
  <c r="V278" i="4"/>
  <c r="AV279" i="4"/>
  <c r="BH280" i="4"/>
  <c r="AN280" i="4"/>
  <c r="J282" i="4"/>
  <c r="AC278" i="4"/>
  <c r="AO279" i="4"/>
  <c r="BJ280" i="4"/>
  <c r="F278" i="4"/>
  <c r="V279" i="4"/>
  <c r="AJ282" i="4"/>
  <c r="BA282" i="4"/>
  <c r="K280" i="4"/>
  <c r="BL280" i="4"/>
  <c r="BB279" i="4"/>
  <c r="BB278" i="4"/>
  <c r="L278" i="4"/>
  <c r="AL278" i="4"/>
  <c r="R282" i="4"/>
  <c r="AE281" i="4"/>
  <c r="M279" i="4"/>
  <c r="BB281" i="4"/>
  <c r="AL282" i="4"/>
  <c r="T280" i="4"/>
  <c r="BH282" i="4"/>
  <c r="AP280" i="4"/>
  <c r="BG282" i="4"/>
  <c r="AO280" i="4"/>
  <c r="W278" i="4"/>
  <c r="AM279" i="4"/>
  <c r="AX280" i="4"/>
  <c r="Y282" i="4"/>
  <c r="AQ278" i="4"/>
  <c r="BO279" i="4"/>
  <c r="AS281" i="4"/>
  <c r="G278" i="4"/>
  <c r="AC279" i="4"/>
  <c r="AL280" i="4"/>
  <c r="BH279" i="4"/>
  <c r="U281" i="4"/>
  <c r="BB282" i="4"/>
  <c r="BM278" i="4"/>
  <c r="O280" i="4"/>
  <c r="AD282" i="4"/>
  <c r="BC280" i="4"/>
  <c r="AD281" i="4"/>
  <c r="Q280" i="4"/>
  <c r="BN278" i="4"/>
  <c r="AE279" i="4"/>
  <c r="AH278" i="4"/>
  <c r="AO282" i="4"/>
  <c r="AA279" i="4"/>
  <c r="Q278" i="4"/>
  <c r="O281" i="4"/>
  <c r="AJ281" i="4"/>
  <c r="S281" i="4"/>
  <c r="BL278" i="4"/>
  <c r="AP281" i="4"/>
  <c r="Z282" i="4"/>
  <c r="H280" i="4"/>
  <c r="AV282" i="4"/>
  <c r="AD280" i="4"/>
  <c r="AU282" i="4"/>
  <c r="AC280" i="4"/>
  <c r="K278" i="4"/>
  <c r="S279" i="4"/>
  <c r="AB280" i="4"/>
  <c r="F282" i="4"/>
  <c r="Y278" i="4"/>
  <c r="AY279" i="4"/>
  <c r="W281" i="4"/>
  <c r="BI282" i="4"/>
  <c r="L279" i="4"/>
  <c r="P280" i="4"/>
  <c r="R279" i="4"/>
  <c r="AK280" i="4"/>
  <c r="BH281" i="4"/>
  <c r="S278" i="4"/>
  <c r="AL279" i="4"/>
  <c r="BL279" i="4"/>
  <c r="AS278" i="4"/>
  <c r="BG279" i="4"/>
  <c r="BD278" i="4"/>
  <c r="S282" i="4"/>
  <c r="BC278" i="4"/>
  <c r="BP280" i="4"/>
  <c r="H279" i="4"/>
  <c r="AZ279" i="4"/>
  <c r="J279" i="4"/>
  <c r="BO281" i="4"/>
  <c r="BH278" i="4"/>
  <c r="BE278" i="4"/>
  <c r="AF282" i="4"/>
  <c r="AZ278" i="4"/>
  <c r="N282" i="4"/>
  <c r="R280" i="4"/>
  <c r="I278" i="4"/>
  <c r="AX278" i="4"/>
  <c r="AA278" i="4"/>
  <c r="BF281" i="4"/>
  <c r="AK281" i="4"/>
  <c r="AA282" i="4"/>
  <c r="AI280" i="4"/>
  <c r="X280" i="4"/>
  <c r="BM282" i="4"/>
  <c r="BF280" i="4"/>
  <c r="AN278" i="4"/>
  <c r="R281" i="4"/>
  <c r="BM281" i="4"/>
  <c r="AU279" i="4"/>
  <c r="X282" i="4"/>
  <c r="F280" i="4"/>
  <c r="W282" i="4"/>
  <c r="BP279" i="4"/>
  <c r="AE282" i="4"/>
  <c r="AT278" i="4"/>
  <c r="BA279" i="4"/>
  <c r="Y281" i="4"/>
  <c r="BO282" i="4"/>
  <c r="O279" i="4"/>
  <c r="AU280" i="4"/>
  <c r="T282" i="4"/>
  <c r="AM278" i="4"/>
  <c r="AP279" i="4"/>
  <c r="BF282" i="4"/>
  <c r="G279" i="4"/>
  <c r="AE280" i="4"/>
  <c r="BE281" i="4"/>
  <c r="O278" i="4"/>
  <c r="BK279" i="4"/>
  <c r="BI280" i="4"/>
  <c r="AG280" i="4"/>
  <c r="AR278" i="4"/>
  <c r="AD279" i="4"/>
  <c r="AG278" i="4"/>
  <c r="N280" i="4"/>
  <c r="Z281" i="4"/>
  <c r="R278" i="4"/>
  <c r="AW279" i="4"/>
  <c r="N281" i="4"/>
  <c r="AQ282" i="4"/>
  <c r="X279" i="4"/>
  <c r="BL282" i="4"/>
  <c r="AT280" i="4"/>
  <c r="AB278" i="4"/>
  <c r="F281" i="4"/>
  <c r="BA281" i="4"/>
  <c r="AI279" i="4"/>
  <c r="L282" i="4"/>
  <c r="BE279" i="4"/>
  <c r="K282" i="4"/>
  <c r="BD279" i="4"/>
  <c r="I282" i="4"/>
  <c r="AD278" i="4"/>
  <c r="AJ279" i="4"/>
  <c r="H281" i="4"/>
  <c r="AR282" i="4"/>
  <c r="BF278" i="4"/>
  <c r="Y280" i="4"/>
  <c r="BI281" i="4"/>
  <c r="U278" i="4"/>
  <c r="Z279" i="4"/>
  <c r="M282" i="4"/>
  <c r="AE278" i="4"/>
  <c r="AQ279" i="4"/>
  <c r="J281" i="4"/>
  <c r="AY280" i="4"/>
  <c r="AW281" i="4"/>
  <c r="BG280" i="4"/>
  <c r="AK278" i="4"/>
  <c r="AW278" i="4"/>
  <c r="BK280" i="4"/>
  <c r="AM282" i="4"/>
  <c r="BN282" i="4"/>
  <c r="BD280" i="4"/>
  <c r="BO280" i="4"/>
  <c r="AF278" i="4"/>
  <c r="AZ282" i="4"/>
  <c r="AH280" i="4"/>
  <c r="P278" i="4"/>
  <c r="BE280" i="4"/>
  <c r="AO281" i="4"/>
  <c r="W279" i="4"/>
  <c r="BK281" i="4"/>
  <c r="AS279" i="4"/>
  <c r="BJ281" i="4"/>
  <c r="AR279" i="4"/>
  <c r="AZ281" i="4"/>
  <c r="M278" i="4"/>
  <c r="Q279" i="4"/>
  <c r="AW280" i="4"/>
  <c r="V282" i="4"/>
  <c r="AP278" i="4"/>
  <c r="BN279" i="4"/>
  <c r="AR281" i="4"/>
  <c r="BD282" i="4"/>
  <c r="F279" i="4"/>
  <c r="AF281" i="4"/>
  <c r="BC282" i="4"/>
  <c r="BO278" i="4"/>
  <c r="S280" i="4"/>
  <c r="AB279" i="4"/>
  <c r="AB282" i="4"/>
  <c r="U279" i="4"/>
  <c r="K281" i="4"/>
  <c r="G280" i="4"/>
  <c r="T281" i="4"/>
  <c r="BG281" i="4"/>
  <c r="J278" i="4"/>
  <c r="AN282" i="4"/>
  <c r="V280" i="4"/>
  <c r="BK282" i="4"/>
  <c r="AS280" i="4"/>
  <c r="AC281" i="4"/>
  <c r="K279" i="4"/>
  <c r="AY281" i="4"/>
  <c r="AG279" i="4"/>
  <c r="AX281" i="4"/>
  <c r="AF279" i="4"/>
  <c r="AG281" i="4"/>
  <c r="AT282" i="4"/>
  <c r="BK278" i="4"/>
  <c r="AA280" i="4"/>
  <c r="BP281" i="4"/>
  <c r="X278" i="4"/>
  <c r="AX279" i="4"/>
  <c r="V281" i="4"/>
  <c r="AH282" i="4"/>
  <c r="BA278" i="4"/>
  <c r="AM280" i="4"/>
  <c r="H282" i="4"/>
  <c r="T278" i="4"/>
  <c r="AN279" i="4"/>
  <c r="AG282" i="4"/>
  <c r="AN281" i="4"/>
  <c r="AY282" i="4"/>
  <c r="T279" i="4"/>
  <c r="H278" i="4"/>
  <c r="BF279" i="4"/>
  <c r="AA281" i="4"/>
  <c r="AQ280" i="4"/>
  <c r="I280" i="4"/>
  <c r="AH279" i="4"/>
  <c r="L281" i="4"/>
  <c r="J280" i="4"/>
  <c r="Q281" i="4"/>
  <c r="BJ278" i="4"/>
  <c r="AM281" i="4"/>
  <c r="AL281" i="4"/>
  <c r="AC282" i="4"/>
  <c r="AT281" i="4"/>
  <c r="Q282" i="4"/>
  <c r="AW282" i="4"/>
  <c r="P282" i="4"/>
  <c r="BI279" i="4"/>
  <c r="U280" i="4"/>
  <c r="I279" i="4"/>
  <c r="AZ280" i="4"/>
  <c r="G282" i="4"/>
  <c r="X281" i="4"/>
  <c r="AJ280" i="4"/>
  <c r="AV281" i="4"/>
  <c r="AK282" i="4"/>
  <c r="AZ213" i="4"/>
  <c r="BJ213" i="4"/>
  <c r="AI212" i="4"/>
  <c r="AA212" i="4"/>
  <c r="AX210" i="4"/>
  <c r="AM214" i="4"/>
  <c r="BG213" i="4"/>
  <c r="AB213" i="4"/>
  <c r="AQ211" i="4"/>
  <c r="AC212" i="4"/>
  <c r="P210" i="4"/>
  <c r="AO214" i="4"/>
  <c r="BH212" i="4"/>
  <c r="AE213" i="4"/>
  <c r="BA210" i="4"/>
  <c r="BF214" i="4"/>
  <c r="BN213" i="4"/>
  <c r="BB211" i="4"/>
  <c r="BI211" i="4"/>
  <c r="AU210" i="4"/>
  <c r="T210" i="4"/>
  <c r="AC214" i="4"/>
  <c r="Z214" i="4"/>
  <c r="BE212" i="4"/>
  <c r="BJ211" i="4"/>
  <c r="H212" i="4"/>
  <c r="BJ195" i="4"/>
  <c r="AK195" i="4"/>
  <c r="BC195" i="4"/>
  <c r="BE195" i="4"/>
  <c r="AR195" i="4"/>
  <c r="BA212" i="4"/>
  <c r="BJ210" i="4"/>
  <c r="BF211" i="4"/>
  <c r="BA214" i="4"/>
  <c r="AJ210" i="4"/>
  <c r="W212" i="4"/>
  <c r="AY213" i="4"/>
  <c r="AL211" i="4"/>
  <c r="BB213" i="4"/>
  <c r="AX213" i="4"/>
  <c r="M212" i="4"/>
  <c r="O212" i="4"/>
  <c r="AL210" i="4"/>
  <c r="AA214" i="4"/>
  <c r="AK213" i="4"/>
  <c r="P213" i="4"/>
  <c r="AC211" i="4"/>
  <c r="Q212" i="4"/>
  <c r="BI214" i="4"/>
  <c r="Q214" i="4"/>
  <c r="U212" i="4"/>
  <c r="S213" i="4"/>
  <c r="AO210" i="4"/>
  <c r="I212" i="4"/>
  <c r="AS213" i="4"/>
  <c r="K211" i="4"/>
  <c r="BM210" i="4"/>
  <c r="S211" i="4"/>
  <c r="AE210" i="4"/>
  <c r="R214" i="4"/>
  <c r="AT211" i="4"/>
  <c r="W213" i="4"/>
  <c r="AO195" i="4"/>
  <c r="R195" i="4"/>
  <c r="P195" i="4"/>
  <c r="L195" i="4"/>
  <c r="AI195" i="4"/>
  <c r="AR213" i="4"/>
  <c r="AM212" i="4"/>
  <c r="U214" i="4"/>
  <c r="AO212" i="4"/>
  <c r="BC213" i="4"/>
  <c r="X214" i="4"/>
  <c r="W211" i="4"/>
  <c r="L211" i="4"/>
  <c r="AH211" i="4"/>
  <c r="AI213" i="4"/>
  <c r="Z211" i="4"/>
  <c r="AW212" i="4"/>
  <c r="AL213" i="4"/>
  <c r="BD211" i="4"/>
  <c r="BK211" i="4"/>
  <c r="Z210" i="4"/>
  <c r="O214" i="4"/>
  <c r="T213" i="4"/>
  <c r="BL212" i="4"/>
  <c r="O211" i="4"/>
  <c r="BL214" i="4"/>
  <c r="V214" i="4"/>
  <c r="BM213" i="4"/>
  <c r="BG211" i="4"/>
  <c r="BO212" i="4"/>
  <c r="AC210" i="4"/>
  <c r="U211" i="4"/>
  <c r="AJ212" i="4"/>
  <c r="AP212" i="4"/>
  <c r="AD211" i="4"/>
  <c r="AF211" i="4"/>
  <c r="U213" i="4"/>
  <c r="O210" i="4"/>
  <c r="T195" i="4"/>
  <c r="AJ195" i="4"/>
  <c r="U195" i="4"/>
  <c r="AM195" i="4"/>
  <c r="N195" i="4"/>
  <c r="BM214" i="4"/>
  <c r="AY214" i="4"/>
  <c r="AN213" i="4"/>
  <c r="AB210" i="4"/>
  <c r="V213" i="4"/>
  <c r="Q211" i="4"/>
  <c r="BB212" i="4"/>
  <c r="AQ210" i="4"/>
  <c r="BE210" i="4"/>
  <c r="AO213" i="4"/>
  <c r="P211" i="4"/>
  <c r="AB214" i="4"/>
  <c r="BL211" i="4"/>
  <c r="W195" i="4"/>
  <c r="H213" i="4"/>
  <c r="AG213" i="4"/>
  <c r="T211" i="4"/>
  <c r="AH212" i="4"/>
  <c r="AW214" i="4"/>
  <c r="BA211" i="4"/>
  <c r="Z213" i="4"/>
  <c r="AO211" i="4"/>
  <c r="AY211" i="4"/>
  <c r="N210" i="4"/>
  <c r="BK213" i="4"/>
  <c r="BF212" i="4"/>
  <c r="AN212" i="4"/>
  <c r="AY210" i="4"/>
  <c r="AZ214" i="4"/>
  <c r="BH213" i="4"/>
  <c r="BA213" i="4"/>
  <c r="AR211" i="4"/>
  <c r="BO214" i="4"/>
  <c r="AH213" i="4"/>
  <c r="AK214" i="4"/>
  <c r="R213" i="4"/>
  <c r="BM211" i="4"/>
  <c r="M210" i="4"/>
  <c r="AG210" i="4"/>
  <c r="AL195" i="4"/>
  <c r="BG195" i="4"/>
  <c r="BA195" i="4"/>
  <c r="AG195" i="4"/>
  <c r="Q195" i="4"/>
  <c r="H210" i="4"/>
  <c r="M213" i="4"/>
  <c r="AT212" i="4"/>
  <c r="AF212" i="4"/>
  <c r="H211" i="4"/>
  <c r="AN211" i="4"/>
  <c r="AF214" i="4"/>
  <c r="J211" i="4"/>
  <c r="N213" i="4"/>
  <c r="Y211" i="4"/>
  <c r="AM211" i="4"/>
  <c r="BG214" i="4"/>
  <c r="AM213" i="4"/>
  <c r="R212" i="4"/>
  <c r="AB212" i="4"/>
  <c r="AM210" i="4"/>
  <c r="AN214" i="4"/>
  <c r="AP213" i="4"/>
  <c r="AZ211" i="4"/>
  <c r="I210" i="4"/>
  <c r="AQ212" i="4"/>
  <c r="U210" i="4"/>
  <c r="AX212" i="4"/>
  <c r="K210" i="4"/>
  <c r="AI210" i="4"/>
  <c r="BD195" i="4"/>
  <c r="AV195" i="4"/>
  <c r="S195" i="4"/>
  <c r="AQ195" i="4"/>
  <c r="X195" i="4"/>
  <c r="AA195" i="4"/>
  <c r="AH195" i="4"/>
  <c r="AD195" i="4"/>
  <c r="R211" i="4"/>
  <c r="L212" i="4"/>
  <c r="BD210" i="4"/>
  <c r="AF213" i="4"/>
  <c r="AR212" i="4"/>
  <c r="BC211" i="4"/>
  <c r="BN210" i="4"/>
  <c r="J212" i="4"/>
  <c r="Y214" i="4"/>
  <c r="X211" i="4"/>
  <c r="BN211" i="4"/>
  <c r="BF210" i="4"/>
  <c r="AR210" i="4"/>
  <c r="X210" i="4"/>
  <c r="AV213" i="4"/>
  <c r="BB214" i="4"/>
  <c r="AL212" i="4"/>
  <c r="AW210" i="4"/>
  <c r="AX214" i="4"/>
  <c r="BF213" i="4"/>
  <c r="O213" i="4"/>
  <c r="AP211" i="4"/>
  <c r="BI212" i="4"/>
  <c r="BK212" i="4"/>
  <c r="Y213" i="4"/>
  <c r="BG212" i="4"/>
  <c r="AR214" i="4"/>
  <c r="AD213" i="4"/>
  <c r="AB195" i="4"/>
  <c r="J195" i="4"/>
  <c r="BI195" i="4"/>
  <c r="Y195" i="4"/>
  <c r="BF195" i="4"/>
  <c r="I195" i="4"/>
  <c r="K213" i="4"/>
  <c r="AU214" i="4"/>
  <c r="X212" i="4"/>
  <c r="AJ211" i="4"/>
  <c r="BH210" i="4"/>
  <c r="J214" i="4"/>
  <c r="AH210" i="4"/>
  <c r="BJ212" i="4"/>
  <c r="M211" i="4"/>
  <c r="BJ214" i="4"/>
  <c r="T214" i="4"/>
  <c r="AA213" i="4"/>
  <c r="BE211" i="4"/>
  <c r="P212" i="4"/>
  <c r="AA210" i="4"/>
  <c r="AV211" i="4"/>
  <c r="BC212" i="4"/>
  <c r="AY212" i="4"/>
  <c r="AX211" i="4"/>
  <c r="BN212" i="4"/>
  <c r="AZ212" i="4"/>
  <c r="V195" i="4"/>
  <c r="AE212" i="4"/>
  <c r="AS214" i="4"/>
  <c r="AQ214" i="4"/>
  <c r="V212" i="4"/>
  <c r="AS210" i="4"/>
  <c r="BB210" i="4"/>
  <c r="V211" i="4"/>
  <c r="H214" i="4"/>
  <c r="AV210" i="4"/>
  <c r="AU211" i="4"/>
  <c r="V210" i="4"/>
  <c r="AF210" i="4"/>
  <c r="AI214" i="4"/>
  <c r="I213" i="4"/>
  <c r="AV212" i="4"/>
  <c r="Z212" i="4"/>
  <c r="AK210" i="4"/>
  <c r="AL214" i="4"/>
  <c r="AJ213" i="4"/>
  <c r="BH214" i="4"/>
  <c r="AU213" i="4"/>
  <c r="BN214" i="4"/>
  <c r="L214" i="4"/>
  <c r="BI210" i="4"/>
  <c r="AT214" i="4"/>
  <c r="AT195" i="4"/>
  <c r="O195" i="4"/>
  <c r="BN195" i="4"/>
  <c r="AS195" i="4"/>
  <c r="AC195" i="4"/>
  <c r="BH195" i="4"/>
  <c r="BF127" i="4"/>
  <c r="K104" i="4"/>
  <c r="L98" i="4"/>
  <c r="S127" i="4" l="1"/>
  <c r="BH127" i="4"/>
  <c r="AY127" i="4"/>
  <c r="AC127" i="4"/>
  <c r="BN127" i="4"/>
  <c r="AN127" i="4"/>
  <c r="AH127" i="4"/>
  <c r="N127" i="4"/>
  <c r="AT127" i="4"/>
  <c r="BG127" i="4"/>
  <c r="BM127" i="4"/>
  <c r="L127" i="4"/>
  <c r="AB127" i="4"/>
  <c r="AV127" i="4"/>
  <c r="AU127" i="4"/>
  <c r="J127" i="4"/>
  <c r="AO127" i="4"/>
  <c r="AQ127" i="4"/>
  <c r="AE127" i="4"/>
  <c r="AX127" i="4"/>
  <c r="R127" i="4"/>
  <c r="U127" i="4"/>
  <c r="M127" i="4"/>
  <c r="BI127" i="4"/>
  <c r="AP127" i="4"/>
  <c r="Z127" i="4"/>
  <c r="BB127" i="4"/>
  <c r="AD127" i="4"/>
  <c r="X127" i="4"/>
  <c r="AG215" i="4"/>
  <c r="BE127" i="4"/>
  <c r="AL127" i="4"/>
  <c r="V127" i="4"/>
  <c r="I127" i="4"/>
  <c r="AA127" i="4"/>
  <c r="BL127" i="4"/>
  <c r="BC127" i="4"/>
  <c r="AF127" i="4"/>
  <c r="Y127" i="4"/>
  <c r="AI127" i="4"/>
  <c r="AW127" i="4"/>
  <c r="AV215" i="4"/>
  <c r="AK127" i="4"/>
  <c r="AG127" i="4"/>
  <c r="W127" i="4"/>
  <c r="Q127" i="4"/>
  <c r="BO127" i="4"/>
  <c r="BD127" i="4"/>
  <c r="AZ127" i="4"/>
  <c r="O127" i="4"/>
  <c r="T127" i="4"/>
  <c r="K127" i="4"/>
  <c r="BL215" i="4"/>
  <c r="J215" i="4"/>
  <c r="AJ127" i="4"/>
  <c r="AR127" i="4"/>
  <c r="P127" i="4"/>
  <c r="AS127" i="4"/>
  <c r="BJ127" i="4"/>
  <c r="BA127" i="4"/>
  <c r="S215" i="4"/>
  <c r="V215" i="4"/>
  <c r="AX215" i="4"/>
  <c r="AM215" i="4"/>
  <c r="BD215" i="4"/>
  <c r="BM215" i="4"/>
  <c r="AM127" i="4"/>
  <c r="H127" i="4"/>
  <c r="BK127" i="4"/>
  <c r="AK215" i="4"/>
  <c r="N215" i="4"/>
  <c r="AB215" i="4"/>
  <c r="P215" i="4"/>
  <c r="BI215" i="4"/>
  <c r="BB215" i="4"/>
  <c r="BG215" i="4"/>
  <c r="Y215" i="4"/>
  <c r="AR215" i="4"/>
  <c r="W215" i="4"/>
  <c r="BA215" i="4"/>
  <c r="AI215" i="4"/>
  <c r="T215" i="4"/>
  <c r="O215" i="4"/>
  <c r="AN215" i="4"/>
  <c r="M215" i="4"/>
  <c r="BF215" i="4"/>
  <c r="AY215" i="4"/>
  <c r="Z215" i="4"/>
  <c r="AC215" i="4"/>
  <c r="BE215" i="4"/>
  <c r="U215" i="4"/>
  <c r="AL215" i="4"/>
  <c r="AU215" i="4"/>
  <c r="AW215" i="4"/>
  <c r="AQ215" i="4"/>
  <c r="AE215" i="4"/>
  <c r="AJ215" i="4"/>
  <c r="BO215" i="4"/>
  <c r="AH215" i="4"/>
  <c r="AD215" i="4"/>
  <c r="L215" i="4"/>
  <c r="BK215" i="4"/>
  <c r="BN215" i="4"/>
  <c r="AT215" i="4"/>
  <c r="K215" i="4"/>
  <c r="AO215" i="4"/>
  <c r="I215" i="4"/>
  <c r="AS215" i="4"/>
  <c r="AA215" i="4"/>
  <c r="AP215" i="4"/>
  <c r="X215" i="4"/>
  <c r="AZ215" i="4"/>
  <c r="AF215" i="4"/>
  <c r="H215" i="4"/>
  <c r="BC215" i="4"/>
  <c r="R215" i="4"/>
  <c r="Q215" i="4"/>
  <c r="BJ215" i="4"/>
  <c r="BH215" i="4"/>
  <c r="H219" i="4" a="1"/>
  <c r="AN223" i="4" s="1"/>
  <c r="F193" i="4" a="1"/>
  <c r="G285" i="4" a="1"/>
  <c r="L104" i="4"/>
  <c r="M98" i="4"/>
  <c r="AS193" i="4" l="1"/>
  <c r="F11" i="5"/>
  <c r="E11" i="5" s="1"/>
  <c r="Z193" i="4"/>
  <c r="AX193" i="4"/>
  <c r="AK193" i="4"/>
  <c r="U193" i="4"/>
  <c r="BM193" i="4"/>
  <c r="AG193" i="4"/>
  <c r="AT193" i="4"/>
  <c r="AN193" i="4"/>
  <c r="AR193" i="4"/>
  <c r="X220" i="4"/>
  <c r="T223" i="4"/>
  <c r="AB221" i="4"/>
  <c r="AY222" i="4"/>
  <c r="AZ220" i="4"/>
  <c r="AW221" i="4"/>
  <c r="R222" i="4"/>
  <c r="I219" i="4"/>
  <c r="AI219" i="4"/>
  <c r="T222" i="4"/>
  <c r="BG222" i="4"/>
  <c r="AH219" i="4"/>
  <c r="AI221" i="4"/>
  <c r="BE219" i="4"/>
  <c r="I223" i="4"/>
  <c r="R220" i="4"/>
  <c r="Z223" i="4"/>
  <c r="AT222" i="4"/>
  <c r="Y222" i="4"/>
  <c r="BM221" i="4"/>
  <c r="BJ222" i="4"/>
  <c r="AS221" i="4"/>
  <c r="AV223" i="4"/>
  <c r="AM220" i="4"/>
  <c r="W220" i="4"/>
  <c r="BD219" i="4"/>
  <c r="K222" i="4"/>
  <c r="AV220" i="4"/>
  <c r="BK223" i="4"/>
  <c r="W219" i="4"/>
  <c r="BE220" i="4"/>
  <c r="BC223" i="4"/>
  <c r="AD220" i="4"/>
  <c r="BF193" i="4"/>
  <c r="BJ193" i="4"/>
  <c r="K193" i="4"/>
  <c r="L193" i="4"/>
  <c r="AB193" i="4"/>
  <c r="BO223" i="4"/>
  <c r="N223" i="4"/>
  <c r="AL219" i="4"/>
  <c r="AE219" i="4"/>
  <c r="BG221" i="4"/>
  <c r="BF219" i="4"/>
  <c r="J223" i="4"/>
  <c r="Z220" i="4"/>
  <c r="H222" i="4"/>
  <c r="F12" i="5" s="1"/>
  <c r="E12" i="5" s="1"/>
  <c r="W223" i="4"/>
  <c r="BK221" i="4"/>
  <c r="O219" i="4"/>
  <c r="BB220" i="4"/>
  <c r="O220" i="4"/>
  <c r="AI220" i="4"/>
  <c r="U222" i="4"/>
  <c r="AM223" i="4"/>
  <c r="BK222" i="4"/>
  <c r="H223" i="4"/>
  <c r="AN221" i="4"/>
  <c r="AL220" i="4"/>
  <c r="AA222" i="4"/>
  <c r="AK219" i="4"/>
  <c r="AQ223" i="4"/>
  <c r="N220" i="4"/>
  <c r="AR221" i="4"/>
  <c r="BH220" i="4"/>
  <c r="S220" i="4"/>
  <c r="AG221" i="4"/>
  <c r="P220" i="4"/>
  <c r="AH220" i="4"/>
  <c r="V220" i="4"/>
  <c r="AB219" i="4"/>
  <c r="BA219" i="4"/>
  <c r="AW220" i="4"/>
  <c r="H219" i="4"/>
  <c r="AB222" i="4"/>
  <c r="O193" i="4"/>
  <c r="AY193" i="4"/>
  <c r="AL193" i="4"/>
  <c r="AQ193" i="4"/>
  <c r="S193" i="4"/>
  <c r="AP221" i="4"/>
  <c r="O223" i="4"/>
  <c r="BO221" i="4"/>
  <c r="I222" i="4"/>
  <c r="L221" i="4"/>
  <c r="T221" i="4"/>
  <c r="L220" i="4"/>
  <c r="AG219" i="4"/>
  <c r="AJ219" i="4"/>
  <c r="K219" i="4"/>
  <c r="BN221" i="4"/>
  <c r="BK220" i="4"/>
  <c r="AO222" i="4"/>
  <c r="BM222" i="4"/>
  <c r="BB221" i="4"/>
  <c r="BF222" i="4"/>
  <c r="AH222" i="4"/>
  <c r="Q220" i="4"/>
  <c r="BD223" i="4"/>
  <c r="AL223" i="4"/>
  <c r="BN222" i="4"/>
  <c r="Q223" i="4"/>
  <c r="AW222" i="4"/>
  <c r="AR222" i="4"/>
  <c r="AJ221" i="4"/>
  <c r="AF219" i="4"/>
  <c r="M222" i="4"/>
  <c r="AQ221" i="4"/>
  <c r="K223" i="4"/>
  <c r="Q221" i="4"/>
  <c r="AF221" i="4"/>
  <c r="N222" i="4"/>
  <c r="BL222" i="4"/>
  <c r="BK219" i="4"/>
  <c r="AY219" i="4"/>
  <c r="I220" i="4"/>
  <c r="BL221" i="4"/>
  <c r="BA223" i="4"/>
  <c r="S219" i="4"/>
  <c r="AC193" i="4"/>
  <c r="BG193" i="4"/>
  <c r="AA193" i="4"/>
  <c r="J193" i="4"/>
  <c r="N193" i="4"/>
  <c r="AE220" i="4"/>
  <c r="BE223" i="4"/>
  <c r="BM219" i="4"/>
  <c r="P221" i="4"/>
  <c r="AF222" i="4"/>
  <c r="AH223" i="4"/>
  <c r="BF223" i="4"/>
  <c r="AG223" i="4"/>
  <c r="AX220" i="4"/>
  <c r="AO220" i="4"/>
  <c r="AS222" i="4"/>
  <c r="AW219" i="4"/>
  <c r="AG220" i="4"/>
  <c r="AU223" i="4"/>
  <c r="AI222" i="4"/>
  <c r="Y219" i="4"/>
  <c r="AP222" i="4"/>
  <c r="K220" i="4"/>
  <c r="BF221" i="4"/>
  <c r="AE221" i="4"/>
  <c r="Y221" i="4"/>
  <c r="Z219" i="4"/>
  <c r="AS219" i="4"/>
  <c r="T219" i="4"/>
  <c r="AT219" i="4"/>
  <c r="P219" i="4"/>
  <c r="AY223" i="4"/>
  <c r="BA193" i="4"/>
  <c r="BI193" i="4"/>
  <c r="AZ193" i="4"/>
  <c r="BO193" i="4"/>
  <c r="Q193" i="4"/>
  <c r="AV222" i="4"/>
  <c r="AJ220" i="4"/>
  <c r="AX223" i="4"/>
  <c r="AF223" i="4"/>
  <c r="P222" i="4"/>
  <c r="AD219" i="4"/>
  <c r="BC219" i="4"/>
  <c r="BB223" i="4"/>
  <c r="BI222" i="4"/>
  <c r="AH221" i="4"/>
  <c r="S222" i="4"/>
  <c r="BH221" i="4"/>
  <c r="R219" i="4"/>
  <c r="BG220" i="4"/>
  <c r="U223" i="4"/>
  <c r="X221" i="4"/>
  <c r="V223" i="4"/>
  <c r="O221" i="4"/>
  <c r="AB223" i="4"/>
  <c r="AY221" i="4"/>
  <c r="AJ223" i="4"/>
  <c r="AU222" i="4"/>
  <c r="AZ222" i="4"/>
  <c r="AN222" i="4"/>
  <c r="BO219" i="4"/>
  <c r="N221" i="4"/>
  <c r="AT223" i="4"/>
  <c r="BE193" i="4"/>
  <c r="BC193" i="4"/>
  <c r="P193" i="4"/>
  <c r="I193" i="4"/>
  <c r="BK193" i="4"/>
  <c r="Q288" i="4"/>
  <c r="AN288" i="4"/>
  <c r="T286" i="4"/>
  <c r="BK288" i="4"/>
  <c r="AQ286" i="4"/>
  <c r="X289" i="4"/>
  <c r="BN286" i="4"/>
  <c r="AU289" i="4"/>
  <c r="AA287" i="4"/>
  <c r="BE289" i="4"/>
  <c r="AK287" i="4"/>
  <c r="Q285" i="4"/>
  <c r="BH287" i="4"/>
  <c r="AN285" i="4"/>
  <c r="BN285" i="4"/>
  <c r="BJ285" i="4"/>
  <c r="BI285" i="4"/>
  <c r="BH285" i="4"/>
  <c r="BG285" i="4"/>
  <c r="BB285" i="4"/>
  <c r="K286" i="4"/>
  <c r="AM285" i="4"/>
  <c r="S288" i="4"/>
  <c r="J286" i="4"/>
  <c r="J331" i="4" s="1"/>
  <c r="AK286" i="4"/>
  <c r="AT287" i="4"/>
  <c r="S285" i="4"/>
  <c r="AX287" i="4"/>
  <c r="BO287" i="4"/>
  <c r="AB288" i="4"/>
  <c r="H286" i="4"/>
  <c r="AY288" i="4"/>
  <c r="AE286" i="4"/>
  <c r="L289" i="4"/>
  <c r="BB286" i="4"/>
  <c r="AI289" i="4"/>
  <c r="O287" i="4"/>
  <c r="AS289" i="4"/>
  <c r="Y287" i="4"/>
  <c r="BP289" i="4"/>
  <c r="AV287" i="4"/>
  <c r="AB285" i="4"/>
  <c r="AP285" i="4"/>
  <c r="AL285" i="4"/>
  <c r="AK285" i="4"/>
  <c r="AJ285" i="4"/>
  <c r="AI285" i="4"/>
  <c r="AD285" i="4"/>
  <c r="AW285" i="4"/>
  <c r="AN289" i="4"/>
  <c r="S287" i="4"/>
  <c r="O285" i="4"/>
  <c r="BP288" i="4"/>
  <c r="AZ287" i="4"/>
  <c r="AR287" i="4"/>
  <c r="T287" i="4"/>
  <c r="AC288" i="4"/>
  <c r="P287" i="4"/>
  <c r="J288" i="4"/>
  <c r="P286" i="4"/>
  <c r="BC287" i="4"/>
  <c r="P288" i="4"/>
  <c r="BF285" i="4"/>
  <c r="AM288" i="4"/>
  <c r="S286" i="4"/>
  <c r="S331" i="4" s="1"/>
  <c r="BJ288" i="4"/>
  <c r="AP286" i="4"/>
  <c r="W289" i="4"/>
  <c r="BM286" i="4"/>
  <c r="AG289" i="4"/>
  <c r="M287" i="4"/>
  <c r="BD289" i="4"/>
  <c r="AJ287" i="4"/>
  <c r="P285" i="4"/>
  <c r="R285" i="4"/>
  <c r="N285" i="4"/>
  <c r="M285" i="4"/>
  <c r="L285" i="4"/>
  <c r="K285" i="4"/>
  <c r="G285" i="4"/>
  <c r="Y285" i="4"/>
  <c r="AG288" i="4"/>
  <c r="M286" i="4"/>
  <c r="G289" i="4"/>
  <c r="BK285" i="4"/>
  <c r="M288" i="4"/>
  <c r="AI287" i="4"/>
  <c r="AP289" i="4"/>
  <c r="V286" i="4"/>
  <c r="BK289" i="4"/>
  <c r="AQ287" i="4"/>
  <c r="BN287" i="4"/>
  <c r="AT285" i="4"/>
  <c r="AA288" i="4"/>
  <c r="G286" i="4"/>
  <c r="AX288" i="4"/>
  <c r="AD286" i="4"/>
  <c r="K289" i="4"/>
  <c r="BA286" i="4"/>
  <c r="U289" i="4"/>
  <c r="BK286" i="4"/>
  <c r="AR289" i="4"/>
  <c r="X287" i="4"/>
  <c r="BL289" i="4"/>
  <c r="BC289" i="4"/>
  <c r="BB289" i="4"/>
  <c r="BA289" i="4"/>
  <c r="AZ289" i="4"/>
  <c r="AT289" i="4"/>
  <c r="BO289" i="4"/>
  <c r="AQ289" i="4"/>
  <c r="V287" i="4"/>
  <c r="X285" i="4"/>
  <c r="G288" i="4"/>
  <c r="BN288" i="4"/>
  <c r="BM285" i="4"/>
  <c r="Z287" i="4"/>
  <c r="AV285" i="4"/>
  <c r="BC286" i="4"/>
  <c r="AI286" i="4"/>
  <c r="AY289" i="4"/>
  <c r="AE287" i="4"/>
  <c r="BB287" i="4"/>
  <c r="AH285" i="4"/>
  <c r="O288" i="4"/>
  <c r="BE285" i="4"/>
  <c r="AL288" i="4"/>
  <c r="R286" i="4"/>
  <c r="BI288" i="4"/>
  <c r="AO286" i="4"/>
  <c r="I289" i="4"/>
  <c r="AY286" i="4"/>
  <c r="AY331" i="4" s="1"/>
  <c r="AF289" i="4"/>
  <c r="L287" i="4"/>
  <c r="AE289" i="4"/>
  <c r="AC289" i="4"/>
  <c r="AB289" i="4"/>
  <c r="V289" i="4"/>
  <c r="S289" i="4"/>
  <c r="R289" i="4"/>
  <c r="AO289" i="4"/>
  <c r="AQ288" i="4"/>
  <c r="AG286" i="4"/>
  <c r="Q289" i="4"/>
  <c r="BH286" i="4"/>
  <c r="AY285" i="4"/>
  <c r="BM288" i="4"/>
  <c r="AW289" i="4"/>
  <c r="I285" i="4"/>
  <c r="W288" i="4"/>
  <c r="Z286" i="4"/>
  <c r="AG287" i="4"/>
  <c r="W285" i="4"/>
  <c r="M289" i="4"/>
  <c r="X286" i="4"/>
  <c r="AM289" i="4"/>
  <c r="BJ289" i="4"/>
  <c r="AP287" i="4"/>
  <c r="V285" i="4"/>
  <c r="BM287" i="4"/>
  <c r="AS285" i="4"/>
  <c r="Z288" i="4"/>
  <c r="BP285" i="4"/>
  <c r="AW288" i="4"/>
  <c r="AC286" i="4"/>
  <c r="AC331" i="4" s="1"/>
  <c r="BG288" i="4"/>
  <c r="AM286" i="4"/>
  <c r="T289" i="4"/>
  <c r="BJ286" i="4"/>
  <c r="BO288" i="4"/>
  <c r="BH288" i="4"/>
  <c r="BE288" i="4"/>
  <c r="BD288" i="4"/>
  <c r="BC288" i="4"/>
  <c r="BB288" i="4"/>
  <c r="J289" i="4"/>
  <c r="AL287" i="4"/>
  <c r="AA285" i="4"/>
  <c r="L288" i="4"/>
  <c r="I286" i="4"/>
  <c r="AV288" i="4"/>
  <c r="Z289" i="4"/>
  <c r="BP286" i="4"/>
  <c r="AC287" i="4"/>
  <c r="BC285" i="4"/>
  <c r="AT288" i="4"/>
  <c r="AH287" i="4"/>
  <c r="BE286" i="4"/>
  <c r="AA289" i="4"/>
  <c r="AX289" i="4"/>
  <c r="AD287" i="4"/>
  <c r="J285" i="4"/>
  <c r="BA287" i="4"/>
  <c r="AG285" i="4"/>
  <c r="N288" i="4"/>
  <c r="BD285" i="4"/>
  <c r="AK288" i="4"/>
  <c r="Q286" i="4"/>
  <c r="Q331" i="4" s="1"/>
  <c r="AU288" i="4"/>
  <c r="AA286" i="4"/>
  <c r="H289" i="4"/>
  <c r="AX286" i="4"/>
  <c r="AJ288" i="4"/>
  <c r="AF288" i="4"/>
  <c r="AE288" i="4"/>
  <c r="AD288" i="4"/>
  <c r="X288" i="4"/>
  <c r="U288" i="4"/>
  <c r="AR288" i="4"/>
  <c r="AJ286" i="4"/>
  <c r="AH289" i="4"/>
  <c r="K287" i="4"/>
  <c r="BF286" i="4"/>
  <c r="BF331" i="4" s="1"/>
  <c r="AX285" i="4"/>
  <c r="AU287" i="4"/>
  <c r="AW287" i="4"/>
  <c r="AD289" i="4"/>
  <c r="O289" i="4"/>
  <c r="AL289" i="4"/>
  <c r="R287" i="4"/>
  <c r="BI289" i="4"/>
  <c r="AO287" i="4"/>
  <c r="U285" i="4"/>
  <c r="BL287" i="4"/>
  <c r="AR285" i="4"/>
  <c r="Y288" i="4"/>
  <c r="BO285" i="4"/>
  <c r="AI288" i="4"/>
  <c r="O286" i="4"/>
  <c r="BF288" i="4"/>
  <c r="AL286" i="4"/>
  <c r="H288" i="4"/>
  <c r="BP287" i="4"/>
  <c r="BJ287" i="4"/>
  <c r="BG287" i="4"/>
  <c r="BF287" i="4"/>
  <c r="BE287" i="4"/>
  <c r="R288" i="4"/>
  <c r="AU285" i="4"/>
  <c r="AU332" i="4" s="1"/>
  <c r="T288" i="4"/>
  <c r="L286" i="4"/>
  <c r="BN289" i="4"/>
  <c r="AS288" i="4"/>
  <c r="AF285" i="4"/>
  <c r="AF287" i="4"/>
  <c r="AJ289" i="4"/>
  <c r="AH286" i="4"/>
  <c r="AM287" i="4"/>
  <c r="AZ285" i="4"/>
  <c r="U286" i="4"/>
  <c r="BF289" i="4"/>
  <c r="BA288" i="4"/>
  <c r="N289" i="4"/>
  <c r="BD286" i="4"/>
  <c r="AK289" i="4"/>
  <c r="Q287" i="4"/>
  <c r="BH289" i="4"/>
  <c r="AN287" i="4"/>
  <c r="T285" i="4"/>
  <c r="BK287" i="4"/>
  <c r="AQ285" i="4"/>
  <c r="K288" i="4"/>
  <c r="BA285" i="4"/>
  <c r="AH288" i="4"/>
  <c r="N286" i="4"/>
  <c r="N287" i="4"/>
  <c r="J287" i="4"/>
  <c r="I287" i="4"/>
  <c r="H287" i="4"/>
  <c r="G287" i="4"/>
  <c r="BL286" i="4"/>
  <c r="U287" i="4"/>
  <c r="AP288" i="4"/>
  <c r="Y286" i="4"/>
  <c r="Y331" i="4" s="1"/>
  <c r="P289" i="4"/>
  <c r="BM289" i="4"/>
  <c r="BD287" i="4"/>
  <c r="AZ288" i="4"/>
  <c r="BG289" i="4"/>
  <c r="AC285" i="4"/>
  <c r="AC332" i="4" s="1"/>
  <c r="W286" i="4"/>
  <c r="BI286" i="4"/>
  <c r="AO288" i="4"/>
  <c r="BL288" i="4"/>
  <c r="AR286" i="4"/>
  <c r="Y289" i="4"/>
  <c r="BO286" i="4"/>
  <c r="BO331" i="4" s="1"/>
  <c r="AV289" i="4"/>
  <c r="AB287" i="4"/>
  <c r="H285" i="4"/>
  <c r="AY287" i="4"/>
  <c r="AE285" i="4"/>
  <c r="BI287" i="4"/>
  <c r="AO285" i="4"/>
  <c r="V288" i="4"/>
  <c r="BL285" i="4"/>
  <c r="BL332" i="4" s="1"/>
  <c r="AZ286" i="4"/>
  <c r="AZ331" i="4" s="1"/>
  <c r="AV286" i="4"/>
  <c r="AU286" i="4"/>
  <c r="AT286" i="4"/>
  <c r="AS286" i="4"/>
  <c r="AN286" i="4"/>
  <c r="AN331" i="4" s="1"/>
  <c r="BG286" i="4"/>
  <c r="BG331" i="4" s="1"/>
  <c r="W287" i="4"/>
  <c r="Z285" i="4"/>
  <c r="I288" i="4"/>
  <c r="AW286" i="4"/>
  <c r="AS287" i="4"/>
  <c r="AF286" i="4"/>
  <c r="AB286" i="4"/>
  <c r="W222" i="4"/>
  <c r="Z221" i="4"/>
  <c r="AA219" i="4"/>
  <c r="AZ219" i="4"/>
  <c r="H220" i="4"/>
  <c r="AZ221" i="4"/>
  <c r="AE223" i="4"/>
  <c r="BI219" i="4"/>
  <c r="BE222" i="4"/>
  <c r="BD221" i="4"/>
  <c r="BG223" i="4"/>
  <c r="AU219" i="4"/>
  <c r="Q222" i="4"/>
  <c r="AL221" i="4"/>
  <c r="AI223" i="4"/>
  <c r="S223" i="4"/>
  <c r="J221" i="4"/>
  <c r="AN220" i="4"/>
  <c r="AC221" i="4"/>
  <c r="BG219" i="4"/>
  <c r="AF220" i="4"/>
  <c r="BL219" i="4"/>
  <c r="AN219" i="4"/>
  <c r="AR219" i="4"/>
  <c r="Y223" i="4"/>
  <c r="AS223" i="4"/>
  <c r="AV193" i="4"/>
  <c r="BL193" i="4"/>
  <c r="AU193" i="4"/>
  <c r="AM193" i="4"/>
  <c r="M193" i="4"/>
  <c r="BI223" i="4"/>
  <c r="BN219" i="4"/>
  <c r="Z222" i="4"/>
  <c r="H221" i="4"/>
  <c r="BJ223" i="4"/>
  <c r="AD223" i="4"/>
  <c r="L222" i="4"/>
  <c r="AM219" i="4"/>
  <c r="J219" i="4"/>
  <c r="K221" i="4"/>
  <c r="BN223" i="4"/>
  <c r="AG222" i="4"/>
  <c r="BH219" i="4"/>
  <c r="AU220" i="4"/>
  <c r="BB219" i="4"/>
  <c r="I221" i="4"/>
  <c r="AX222" i="4"/>
  <c r="AA221" i="4"/>
  <c r="BA220" i="4"/>
  <c r="AY220" i="4"/>
  <c r="BJ221" i="4"/>
  <c r="AX221" i="4"/>
  <c r="AQ219" i="4"/>
  <c r="AK220" i="4"/>
  <c r="AR223" i="4"/>
  <c r="R193" i="4"/>
  <c r="AF193" i="4"/>
  <c r="AW193" i="4"/>
  <c r="BN193" i="4"/>
  <c r="V219" i="4"/>
  <c r="BM223" i="4"/>
  <c r="AK221" i="4"/>
  <c r="AR220" i="4"/>
  <c r="BJ219" i="4"/>
  <c r="AT221" i="4"/>
  <c r="BJ220" i="4"/>
  <c r="AC223" i="4"/>
  <c r="L219" i="4"/>
  <c r="R221" i="4"/>
  <c r="AA220" i="4"/>
  <c r="BD222" i="4"/>
  <c r="BH222" i="4"/>
  <c r="J222" i="4"/>
  <c r="AC219" i="4"/>
  <c r="BC221" i="4"/>
  <c r="P223" i="4"/>
  <c r="P224" i="4" s="1"/>
  <c r="AD221" i="4"/>
  <c r="AX219" i="4"/>
  <c r="BM220" i="4"/>
  <c r="AT220" i="4"/>
  <c r="AS220" i="4"/>
  <c r="N219" i="4"/>
  <c r="AW223" i="4"/>
  <c r="AP219" i="4"/>
  <c r="AJ222" i="4"/>
  <c r="AO223" i="4"/>
  <c r="G193" i="4"/>
  <c r="F193" i="4"/>
  <c r="X193" i="4"/>
  <c r="BP193" i="4"/>
  <c r="AH193" i="4"/>
  <c r="V193" i="4"/>
  <c r="AO193" i="4"/>
  <c r="BH193" i="4"/>
  <c r="AD193" i="4"/>
  <c r="X219" i="4"/>
  <c r="X222" i="4"/>
  <c r="BA222" i="4"/>
  <c r="AZ223" i="4"/>
  <c r="AQ220" i="4"/>
  <c r="AC220" i="4"/>
  <c r="S221" i="4"/>
  <c r="M219" i="4"/>
  <c r="V221" i="4"/>
  <c r="AK222" i="4"/>
  <c r="AC222" i="4"/>
  <c r="M223" i="4"/>
  <c r="AA223" i="4"/>
  <c r="W221" i="4"/>
  <c r="BC220" i="4"/>
  <c r="T220" i="4"/>
  <c r="BC222" i="4"/>
  <c r="BC224" i="4" s="1"/>
  <c r="BL223" i="4"/>
  <c r="AE222" i="4"/>
  <c r="U219" i="4"/>
  <c r="O222" i="4"/>
  <c r="AB220" i="4"/>
  <c r="BO220" i="4"/>
  <c r="BI221" i="4"/>
  <c r="U221" i="4"/>
  <c r="U220" i="4"/>
  <c r="AP220" i="4"/>
  <c r="M221" i="4"/>
  <c r="BI220" i="4"/>
  <c r="AO219" i="4"/>
  <c r="AV219" i="4"/>
  <c r="Q219" i="4"/>
  <c r="AE193" i="4"/>
  <c r="H193" i="4"/>
  <c r="BD193" i="4"/>
  <c r="W193" i="4"/>
  <c r="AI193" i="4"/>
  <c r="AM222" i="4"/>
  <c r="AV221" i="4"/>
  <c r="V222" i="4"/>
  <c r="M220" i="4"/>
  <c r="BO222" i="4"/>
  <c r="Y220" i="4"/>
  <c r="AQ222" i="4"/>
  <c r="R223" i="4"/>
  <c r="AP223" i="4"/>
  <c r="AK223" i="4"/>
  <c r="BB222" i="4"/>
  <c r="BL220" i="4"/>
  <c r="AD222" i="4"/>
  <c r="BD220" i="4"/>
  <c r="BA221" i="4"/>
  <c r="AL222" i="4"/>
  <c r="BN220" i="4"/>
  <c r="BH223" i="4"/>
  <c r="AO221" i="4"/>
  <c r="BE221" i="4"/>
  <c r="J220" i="4"/>
  <c r="X223" i="4"/>
  <c r="L223" i="4"/>
  <c r="AM221" i="4"/>
  <c r="AU221" i="4"/>
  <c r="BF220" i="4"/>
  <c r="BB193" i="4"/>
  <c r="AJ193" i="4"/>
  <c r="T193" i="4"/>
  <c r="AP193" i="4"/>
  <c r="Y193" i="4"/>
  <c r="M104" i="4"/>
  <c r="N98" i="4"/>
  <c r="Z332" i="4" l="1"/>
  <c r="AG331" i="4"/>
  <c r="AO332" i="4"/>
  <c r="BI331" i="4"/>
  <c r="L332" i="4"/>
  <c r="AE332" i="4"/>
  <c r="BM224" i="4"/>
  <c r="AR224" i="4"/>
  <c r="AF224" i="4"/>
  <c r="AJ224" i="4"/>
  <c r="Z224" i="4"/>
  <c r="AW224" i="4"/>
  <c r="BK224" i="4"/>
  <c r="AI224" i="4"/>
  <c r="AW331" i="4"/>
  <c r="AZ224" i="4"/>
  <c r="T224" i="4"/>
  <c r="AB331" i="4"/>
  <c r="BO332" i="4"/>
  <c r="BE224" i="4"/>
  <c r="R224" i="4"/>
  <c r="O224" i="4"/>
  <c r="AJ331" i="4"/>
  <c r="Q224" i="4"/>
  <c r="AY224" i="4"/>
  <c r="V224" i="4"/>
  <c r="AS224" i="4"/>
  <c r="BB224" i="4"/>
  <c r="AF332" i="4"/>
  <c r="AL224" i="4"/>
  <c r="BJ224" i="4"/>
  <c r="BP331" i="4"/>
  <c r="AO224" i="4"/>
  <c r="AD224" i="4"/>
  <c r="AG332" i="4"/>
  <c r="L331" i="4"/>
  <c r="BJ331" i="4"/>
  <c r="AR331" i="4"/>
  <c r="AZ332" i="4"/>
  <c r="AF331" i="4"/>
  <c r="AA331" i="4"/>
  <c r="U224" i="4"/>
  <c r="Y224" i="4"/>
  <c r="BN224" i="4"/>
  <c r="AT224" i="4"/>
  <c r="AH332" i="4"/>
  <c r="AX224" i="4"/>
  <c r="K224" i="4"/>
  <c r="AL331" i="4"/>
  <c r="H332" i="4"/>
  <c r="BD224" i="4"/>
  <c r="AV224" i="4"/>
  <c r="O331" i="4"/>
  <c r="L224" i="4"/>
  <c r="AU331" i="4"/>
  <c r="N224" i="4"/>
  <c r="AQ332" i="4"/>
  <c r="AR332" i="4"/>
  <c r="AB224" i="4"/>
  <c r="J224" i="4"/>
  <c r="S224" i="4"/>
  <c r="BF224" i="4"/>
  <c r="AM224" i="4"/>
  <c r="I224" i="4"/>
  <c r="AQ224" i="4"/>
  <c r="BD332" i="4"/>
  <c r="H224" i="4"/>
  <c r="BA331" i="4"/>
  <c r="BD331" i="4"/>
  <c r="AP224" i="4"/>
  <c r="BH224" i="4"/>
  <c r="N332" i="4"/>
  <c r="O332" i="4"/>
  <c r="BJ332" i="4"/>
  <c r="AE224" i="4"/>
  <c r="AG224" i="4"/>
  <c r="BA224" i="4"/>
  <c r="AA224" i="4"/>
  <c r="AH224" i="4"/>
  <c r="BF332" i="4"/>
  <c r="AC224" i="4"/>
  <c r="W224" i="4"/>
  <c r="AK224" i="4"/>
  <c r="BL224" i="4"/>
  <c r="X224" i="4"/>
  <c r="BO224" i="4"/>
  <c r="AU224" i="4"/>
  <c r="BL331" i="4"/>
  <c r="T332" i="4"/>
  <c r="AH331" i="4"/>
  <c r="M224" i="4"/>
  <c r="BG224" i="4"/>
  <c r="BI224" i="4"/>
  <c r="V332" i="4"/>
  <c r="R332" i="4"/>
  <c r="S332" i="4"/>
  <c r="BN332" i="4"/>
  <c r="T331" i="4"/>
  <c r="AY332" i="4"/>
  <c r="P332" i="4"/>
  <c r="AN332" i="4"/>
  <c r="AS331" i="4"/>
  <c r="N331" i="4"/>
  <c r="BH331" i="4"/>
  <c r="AD331" i="4"/>
  <c r="BK332" i="4"/>
  <c r="AW332" i="4"/>
  <c r="AK331" i="4"/>
  <c r="AT331" i="4"/>
  <c r="F21" i="5"/>
  <c r="E21" i="5" s="1"/>
  <c r="J332" i="4"/>
  <c r="I331" i="4"/>
  <c r="AI331" i="4"/>
  <c r="P331" i="4"/>
  <c r="AD332" i="4"/>
  <c r="Q332" i="4"/>
  <c r="BA332" i="4"/>
  <c r="AM331" i="4"/>
  <c r="X331" i="4"/>
  <c r="BC331" i="4"/>
  <c r="G331" i="4"/>
  <c r="M331" i="4"/>
  <c r="AI332" i="4"/>
  <c r="BB331" i="4"/>
  <c r="AV331" i="4"/>
  <c r="U331" i="4"/>
  <c r="AX332" i="4"/>
  <c r="AX331" i="4"/>
  <c r="AA332" i="4"/>
  <c r="AO331" i="4"/>
  <c r="AV332" i="4"/>
  <c r="AJ332" i="4"/>
  <c r="AM332" i="4"/>
  <c r="AN224" i="4"/>
  <c r="W332" i="4"/>
  <c r="AT332" i="4"/>
  <c r="Y332" i="4"/>
  <c r="BM331" i="4"/>
  <c r="AK332" i="4"/>
  <c r="AE331" i="4"/>
  <c r="K331" i="4"/>
  <c r="BE331" i="4"/>
  <c r="R331" i="4"/>
  <c r="BM332" i="4"/>
  <c r="G332" i="4"/>
  <c r="AL332" i="4"/>
  <c r="BB332" i="4"/>
  <c r="U332" i="4"/>
  <c r="BP332" i="4"/>
  <c r="Z331" i="4"/>
  <c r="K332" i="4"/>
  <c r="AP331" i="4"/>
  <c r="AP332" i="4"/>
  <c r="H331" i="4"/>
  <c r="BG332" i="4"/>
  <c r="BN331" i="4"/>
  <c r="BE332" i="4"/>
  <c r="AB332" i="4"/>
  <c r="BH332" i="4"/>
  <c r="F293" i="4" a="1"/>
  <c r="W331" i="4"/>
  <c r="BC332" i="4"/>
  <c r="AS332" i="4"/>
  <c r="I332" i="4"/>
  <c r="X332" i="4"/>
  <c r="BK331" i="4"/>
  <c r="V331" i="4"/>
  <c r="M332" i="4"/>
  <c r="BI332" i="4"/>
  <c r="AQ331" i="4"/>
  <c r="N104" i="4"/>
  <c r="O98" i="4"/>
  <c r="W296" i="4" l="1"/>
  <c r="BM293" i="4"/>
  <c r="AT296" i="4"/>
  <c r="Z294" i="4"/>
  <c r="G297" i="4"/>
  <c r="AW294" i="4"/>
  <c r="AD297" i="4"/>
  <c r="J295" i="4"/>
  <c r="BA297" i="4"/>
  <c r="AG295" i="4"/>
  <c r="M293" i="4"/>
  <c r="BC295" i="4"/>
  <c r="AI293" i="4"/>
  <c r="P296" i="4"/>
  <c r="BF293" i="4"/>
  <c r="AQ294" i="4"/>
  <c r="J294" i="4"/>
  <c r="AQ293" i="4"/>
  <c r="I293" i="4"/>
  <c r="AU297" i="4"/>
  <c r="M297" i="4"/>
  <c r="N296" i="4"/>
  <c r="P295" i="4"/>
  <c r="BB294" i="4"/>
  <c r="AP294" i="4"/>
  <c r="S294" i="4"/>
  <c r="AH296" i="4"/>
  <c r="BH294" i="4"/>
  <c r="U295" i="4"/>
  <c r="AQ295" i="4"/>
  <c r="BN295" i="4"/>
  <c r="Q294" i="4"/>
  <c r="L293" i="4"/>
  <c r="P297" i="4"/>
  <c r="AX295" i="4"/>
  <c r="AE293" i="4"/>
  <c r="R294" i="4"/>
  <c r="Q293" i="4"/>
  <c r="AR296" i="4"/>
  <c r="AU294" i="4"/>
  <c r="AD295" i="4"/>
  <c r="Y296" i="4"/>
  <c r="O295" i="4"/>
  <c r="AI296" i="4"/>
  <c r="O294" i="4"/>
  <c r="BF296" i="4"/>
  <c r="AP297" i="4"/>
  <c r="AS295" i="4"/>
  <c r="H294" i="4"/>
  <c r="N295" i="4"/>
  <c r="AP293" i="4"/>
  <c r="BM295" i="4"/>
  <c r="K296" i="4"/>
  <c r="BA293" i="4"/>
  <c r="N294" i="4"/>
  <c r="BE296" i="4"/>
  <c r="AK294" i="4"/>
  <c r="R297" i="4"/>
  <c r="AO297" i="4"/>
  <c r="BK297" i="4"/>
  <c r="W293" i="4"/>
  <c r="AT293" i="4"/>
  <c r="AR293" i="4"/>
  <c r="AV297" i="4"/>
  <c r="AW296" i="4"/>
  <c r="BC293" i="4"/>
  <c r="S293" i="4"/>
  <c r="AN293" i="4"/>
  <c r="AA297" i="4"/>
  <c r="BB296" i="4"/>
  <c r="AZ294" i="4"/>
  <c r="AL294" i="4"/>
  <c r="BO295" i="4"/>
  <c r="G294" i="4"/>
  <c r="BI295" i="4"/>
  <c r="AO293" i="4"/>
  <c r="V296" i="4"/>
  <c r="BL293" i="4"/>
  <c r="AS296" i="4"/>
  <c r="Y294" i="4"/>
  <c r="F297" i="4"/>
  <c r="AV294" i="4"/>
  <c r="AC297" i="4"/>
  <c r="I295" i="4"/>
  <c r="AY297" i="4"/>
  <c r="AE295" i="4"/>
  <c r="K293" i="4"/>
  <c r="BB295" i="4"/>
  <c r="AH293" i="4"/>
  <c r="AV293" i="4"/>
  <c r="R293" i="4"/>
  <c r="AW297" i="4"/>
  <c r="V297" i="4"/>
  <c r="AX296" i="4"/>
  <c r="R296" i="4"/>
  <c r="Q295" i="4"/>
  <c r="BI297" i="4"/>
  <c r="AJ297" i="4"/>
  <c r="L297" i="4"/>
  <c r="Q297" i="4"/>
  <c r="AP295" i="4"/>
  <c r="AZ297" i="4"/>
  <c r="AY296" i="4"/>
  <c r="AZ295" i="4"/>
  <c r="BA294" i="4"/>
  <c r="M296" i="4"/>
  <c r="J297" i="4"/>
  <c r="BH295" i="4"/>
  <c r="X294" i="4"/>
  <c r="AX297" i="4"/>
  <c r="X297" i="4"/>
  <c r="V294" i="4"/>
  <c r="BN296" i="4"/>
  <c r="AO294" i="4"/>
  <c r="AW295" i="4"/>
  <c r="AC293" i="4"/>
  <c r="J296" i="4"/>
  <c r="AZ293" i="4"/>
  <c r="AG296" i="4"/>
  <c r="M294" i="4"/>
  <c r="BD296" i="4"/>
  <c r="AJ294" i="4"/>
  <c r="BG294" i="4"/>
  <c r="AM297" i="4"/>
  <c r="S295" i="4"/>
  <c r="BJ297" i="4"/>
  <c r="V293" i="4"/>
  <c r="T293" i="4"/>
  <c r="W297" i="4"/>
  <c r="X296" i="4"/>
  <c r="AL296" i="4"/>
  <c r="BK293" i="4"/>
  <c r="G295" i="4"/>
  <c r="BF297" i="4"/>
  <c r="Z295" i="4"/>
  <c r="Y293" i="4"/>
  <c r="AM296" i="4"/>
  <c r="BE297" i="4"/>
  <c r="AK295" i="4"/>
  <c r="U296" i="4"/>
  <c r="BO296" i="4"/>
  <c r="J293" i="4"/>
  <c r="BA295" i="4"/>
  <c r="AP296" i="4"/>
  <c r="AS297" i="4"/>
  <c r="Y295" i="4"/>
  <c r="F293" i="4"/>
  <c r="AV295" i="4"/>
  <c r="AB293" i="4"/>
  <c r="I296" i="4"/>
  <c r="AY293" i="4"/>
  <c r="AF296" i="4"/>
  <c r="L294" i="4"/>
  <c r="BC296" i="4"/>
  <c r="AI294" i="4"/>
  <c r="O297" i="4"/>
  <c r="BE294" i="4"/>
  <c r="AL297" i="4"/>
  <c r="R295" i="4"/>
  <c r="BH297" i="4"/>
  <c r="Y297" i="4"/>
  <c r="BH296" i="4"/>
  <c r="Z296" i="4"/>
  <c r="BD295" i="4"/>
  <c r="AA295" i="4"/>
  <c r="BC294" i="4"/>
  <c r="BD293" i="4"/>
  <c r="BB293" i="4"/>
  <c r="X293" i="4"/>
  <c r="BJ296" i="4"/>
  <c r="AC294" i="4"/>
  <c r="AI297" i="4"/>
  <c r="BL296" i="4"/>
  <c r="AF295" i="4"/>
  <c r="H295" i="4"/>
  <c r="BB297" i="4"/>
  <c r="AN296" i="4"/>
  <c r="F294" i="4"/>
  <c r="AN297" i="4"/>
  <c r="BM297" i="4"/>
  <c r="AG297" i="4"/>
  <c r="M295" i="4"/>
  <c r="BD297" i="4"/>
  <c r="AJ295" i="4"/>
  <c r="P293" i="4"/>
  <c r="BG295" i="4"/>
  <c r="AM293" i="4"/>
  <c r="T296" i="4"/>
  <c r="BJ293" i="4"/>
  <c r="AQ296" i="4"/>
  <c r="W294" i="4"/>
  <c r="BM296" i="4"/>
  <c r="AS294" i="4"/>
  <c r="Z297" i="4"/>
  <c r="F295" i="4"/>
  <c r="AH297" i="4"/>
  <c r="BI296" i="4"/>
  <c r="AA296" i="4"/>
  <c r="BJ295" i="4"/>
  <c r="AB295" i="4"/>
  <c r="BF294" i="4"/>
  <c r="AD293" i="4"/>
  <c r="BG297" i="4"/>
  <c r="AY295" i="4"/>
  <c r="AR294" i="4"/>
  <c r="BM294" i="4"/>
  <c r="AF293" i="4"/>
  <c r="T295" i="4"/>
  <c r="AA294" i="4"/>
  <c r="K295" i="4"/>
  <c r="BG293" i="4"/>
  <c r="AJ293" i="4"/>
  <c r="AB297" i="4"/>
  <c r="BI294" i="4"/>
  <c r="AB296" i="4"/>
  <c r="H293" i="4"/>
  <c r="P294" i="4"/>
  <c r="U297" i="4"/>
  <c r="BK294" i="4"/>
  <c r="AR297" i="4"/>
  <c r="X295" i="4"/>
  <c r="BO297" i="4"/>
  <c r="AU295" i="4"/>
  <c r="AA293" i="4"/>
  <c r="H296" i="4"/>
  <c r="AX293" i="4"/>
  <c r="AE296" i="4"/>
  <c r="K294" i="4"/>
  <c r="BA296" i="4"/>
  <c r="AG294" i="4"/>
  <c r="N297" i="4"/>
  <c r="BD294" i="4"/>
  <c r="BK296" i="4"/>
  <c r="AD296" i="4"/>
  <c r="BK295" i="4"/>
  <c r="AC295" i="4"/>
  <c r="BL294" i="4"/>
  <c r="AD294" i="4"/>
  <c r="BH293" i="4"/>
  <c r="AV296" i="4"/>
  <c r="AJ296" i="4"/>
  <c r="L296" i="4"/>
  <c r="AR295" i="4"/>
  <c r="BN293" i="4"/>
  <c r="AO295" i="4"/>
  <c r="AX294" i="4"/>
  <c r="N293" i="4"/>
  <c r="Q296" i="4"/>
  <c r="AN295" i="4"/>
  <c r="BL297" i="4"/>
  <c r="V295" i="4"/>
  <c r="I297" i="4"/>
  <c r="AY294" i="4"/>
  <c r="AF297" i="4"/>
  <c r="L295" i="4"/>
  <c r="BC297" i="4"/>
  <c r="AI295" i="4"/>
  <c r="O293" i="4"/>
  <c r="BF295" i="4"/>
  <c r="AL293" i="4"/>
  <c r="S296" i="4"/>
  <c r="BI293" i="4"/>
  <c r="AO296" i="4"/>
  <c r="U294" i="4"/>
  <c r="AK296" i="4"/>
  <c r="BL295" i="4"/>
  <c r="AE294" i="4"/>
  <c r="AT294" i="4"/>
  <c r="H297" i="4"/>
  <c r="BE295" i="4"/>
  <c r="T294" i="4"/>
  <c r="G293" i="4"/>
  <c r="AU293" i="4"/>
  <c r="BG296" i="4"/>
  <c r="AM294" i="4"/>
  <c r="T297" i="4"/>
  <c r="BJ294" i="4"/>
  <c r="AQ297" i="4"/>
  <c r="W295" i="4"/>
  <c r="BN297" i="4"/>
  <c r="AT295" i="4"/>
  <c r="Z293" i="4"/>
  <c r="G296" i="4"/>
  <c r="AW293" i="4"/>
  <c r="AC296" i="4"/>
  <c r="I294" i="4"/>
  <c r="AZ296" i="4"/>
  <c r="AF294" i="4"/>
  <c r="F296" i="4"/>
  <c r="AL295" i="4"/>
  <c r="BN294" i="4"/>
  <c r="AH294" i="4"/>
  <c r="BO293" i="4"/>
  <c r="AG293" i="4"/>
  <c r="AK297" i="4"/>
  <c r="BE293" i="4"/>
  <c r="AS293" i="4"/>
  <c r="U293" i="4"/>
  <c r="AM295" i="4"/>
  <c r="AE297" i="4"/>
  <c r="AK293" i="4"/>
  <c r="BO294" i="4"/>
  <c r="K297" i="4"/>
  <c r="AB294" i="4"/>
  <c r="S297" i="4"/>
  <c r="O296" i="4"/>
  <c r="AU296" i="4"/>
  <c r="AH295" i="4"/>
  <c r="AN294" i="4"/>
  <c r="AT297" i="4"/>
  <c r="H335" i="4" a="1"/>
  <c r="O104" i="4"/>
  <c r="P98" i="4"/>
  <c r="R336" i="4" l="1"/>
  <c r="BA335" i="4"/>
  <c r="AB335" i="4"/>
  <c r="BH336" i="4"/>
  <c r="AI336" i="4"/>
  <c r="Y335" i="4"/>
  <c r="AF336" i="4"/>
  <c r="AL335" i="4"/>
  <c r="AR336" i="4"/>
  <c r="Z335" i="4"/>
  <c r="Y336" i="4"/>
  <c r="AT336" i="4"/>
  <c r="AM335" i="4"/>
  <c r="BN335" i="4"/>
  <c r="AO335" i="4"/>
  <c r="P335" i="4"/>
  <c r="AV336" i="4"/>
  <c r="W336" i="4"/>
  <c r="BF336" i="4"/>
  <c r="H336" i="4"/>
  <c r="N335" i="4"/>
  <c r="T336" i="4"/>
  <c r="AQ336" i="4"/>
  <c r="BG335" i="4"/>
  <c r="AF335" i="4"/>
  <c r="AG336" i="4"/>
  <c r="AS336" i="4"/>
  <c r="BB336" i="4"/>
  <c r="AK336" i="4"/>
  <c r="BB335" i="4"/>
  <c r="AC335" i="4"/>
  <c r="BK336" i="4"/>
  <c r="AJ336" i="4"/>
  <c r="K336" i="4"/>
  <c r="AH336" i="4"/>
  <c r="AR335" i="4"/>
  <c r="AW336" i="4"/>
  <c r="BD335" i="4"/>
  <c r="H335" i="4"/>
  <c r="AY336" i="4"/>
  <c r="T335" i="4"/>
  <c r="AL336" i="4"/>
  <c r="AG335" i="4"/>
  <c r="AC336" i="4"/>
  <c r="AS335" i="4"/>
  <c r="BJ335" i="4"/>
  <c r="AP335" i="4"/>
  <c r="Q335" i="4"/>
  <c r="X336" i="4"/>
  <c r="J336" i="4"/>
  <c r="AD335" i="4"/>
  <c r="BL336" i="4"/>
  <c r="AM336" i="4"/>
  <c r="L336" i="4"/>
  <c r="AU335" i="4"/>
  <c r="AT335" i="4"/>
  <c r="BC336" i="4"/>
  <c r="BI335" i="4"/>
  <c r="S336" i="4"/>
  <c r="U336" i="4"/>
  <c r="BM336" i="4"/>
  <c r="AN336" i="4"/>
  <c r="O336" i="4"/>
  <c r="W335" i="4"/>
  <c r="BO335" i="4"/>
  <c r="M335" i="4"/>
  <c r="I335" i="4"/>
  <c r="AB336" i="4"/>
  <c r="AJ335" i="4"/>
  <c r="AQ335" i="4"/>
  <c r="L335" i="4"/>
  <c r="BM335" i="4"/>
  <c r="O335" i="4"/>
  <c r="AW335" i="4"/>
  <c r="J335" i="4"/>
  <c r="R335" i="4"/>
  <c r="AZ336" i="4"/>
  <c r="AA336" i="4"/>
  <c r="BH335" i="4"/>
  <c r="AI335" i="4"/>
  <c r="V335" i="4"/>
  <c r="AE336" i="4"/>
  <c r="AK335" i="4"/>
  <c r="BE335" i="4"/>
  <c r="N336" i="4"/>
  <c r="AV335" i="4"/>
  <c r="BE336" i="4"/>
  <c r="BC335" i="4"/>
  <c r="BA336" i="4"/>
  <c r="BK335" i="4"/>
  <c r="K335" i="4"/>
  <c r="AX335" i="4"/>
  <c r="BO336" i="4"/>
  <c r="BN336" i="4"/>
  <c r="AO336" i="4"/>
  <c r="P336" i="4"/>
  <c r="AY335" i="4"/>
  <c r="X335" i="4"/>
  <c r="BI336" i="4"/>
  <c r="I336" i="4"/>
  <c r="S335" i="4"/>
  <c r="V336" i="4"/>
  <c r="BL335" i="4"/>
  <c r="BF335" i="4"/>
  <c r="AX336" i="4"/>
  <c r="AD336" i="4"/>
  <c r="AN335" i="4"/>
  <c r="AU336" i="4"/>
  <c r="BD336" i="4"/>
  <c r="BJ336" i="4"/>
  <c r="AP336" i="4"/>
  <c r="Q336" i="4"/>
  <c r="AZ335" i="4"/>
  <c r="AA335" i="4"/>
  <c r="BG336" i="4"/>
  <c r="M336" i="4"/>
  <c r="U335" i="4"/>
  <c r="Z336" i="4"/>
  <c r="AH335" i="4"/>
  <c r="AE335" i="4"/>
  <c r="G300" i="4" a="1"/>
  <c r="P104" i="4"/>
  <c r="Q98" i="4"/>
  <c r="H337" i="4" l="1" a="1"/>
  <c r="BI302" i="4"/>
  <c r="AM300" i="4"/>
  <c r="J303" i="4"/>
  <c r="AW300" i="4"/>
  <c r="AE303" i="4"/>
  <c r="AD303" i="4"/>
  <c r="AW303" i="4"/>
  <c r="AP300" i="4"/>
  <c r="U302" i="4"/>
  <c r="T304" i="4"/>
  <c r="G301" i="4"/>
  <c r="AY302" i="4"/>
  <c r="AZ304" i="4"/>
  <c r="AG301" i="4"/>
  <c r="W303" i="4"/>
  <c r="U300" i="4"/>
  <c r="AS301" i="4"/>
  <c r="BD303" i="4"/>
  <c r="AU300" i="4"/>
  <c r="AA302" i="4"/>
  <c r="G304" i="4"/>
  <c r="AT304" i="4"/>
  <c r="AB304" i="4"/>
  <c r="AX303" i="4"/>
  <c r="AP302" i="4"/>
  <c r="AE301" i="4"/>
  <c r="AE308" i="4" s="1"/>
  <c r="AG300" i="4"/>
  <c r="N303" i="4"/>
  <c r="AK303" i="4"/>
  <c r="Y301" i="4"/>
  <c r="AR302" i="4"/>
  <c r="AB302" i="4"/>
  <c r="M300" i="4"/>
  <c r="BK302" i="4"/>
  <c r="M301" i="4"/>
  <c r="M308" i="4" s="1"/>
  <c r="Z303" i="4"/>
  <c r="AC301" i="4"/>
  <c r="AL302" i="4"/>
  <c r="AQ301" i="4"/>
  <c r="AW302" i="4"/>
  <c r="AA300" i="4"/>
  <c r="BG302" i="4"/>
  <c r="AK300" i="4"/>
  <c r="S303" i="4"/>
  <c r="R303" i="4"/>
  <c r="AC303" i="4"/>
  <c r="AB300" i="4"/>
  <c r="AB309" i="4" s="1"/>
  <c r="BN301" i="4"/>
  <c r="BK303" i="4"/>
  <c r="BB300" i="4"/>
  <c r="AH302" i="4"/>
  <c r="AJ304" i="4"/>
  <c r="S301" i="4"/>
  <c r="BM302" i="4"/>
  <c r="AX304" i="4"/>
  <c r="AL303" i="4"/>
  <c r="AP301" i="4"/>
  <c r="AZ303" i="4"/>
  <c r="AO302" i="4"/>
  <c r="Y302" i="4"/>
  <c r="AI302" i="4"/>
  <c r="BD302" i="4"/>
  <c r="BB302" i="4"/>
  <c r="AK301" i="4"/>
  <c r="X300" i="4"/>
  <c r="BI303" i="4"/>
  <c r="N304" i="4"/>
  <c r="Y304" i="4"/>
  <c r="AN301" i="4"/>
  <c r="H302" i="4"/>
  <c r="BB303" i="4"/>
  <c r="BG303" i="4"/>
  <c r="BL304" i="4"/>
  <c r="AP303" i="4"/>
  <c r="I300" i="4"/>
  <c r="AI300" i="4"/>
  <c r="AT300" i="4"/>
  <c r="BG304" i="4"/>
  <c r="AK302" i="4"/>
  <c r="O300" i="4"/>
  <c r="AU302" i="4"/>
  <c r="Y300" i="4"/>
  <c r="G303" i="4"/>
  <c r="BO302" i="4"/>
  <c r="M303" i="4"/>
  <c r="L300" i="4"/>
  <c r="AZ301" i="4"/>
  <c r="AS303" i="4"/>
  <c r="AN300" i="4"/>
  <c r="R302" i="4"/>
  <c r="P304" i="4"/>
  <c r="BN300" i="4"/>
  <c r="AV302" i="4"/>
  <c r="AF304" i="4"/>
  <c r="Q301" i="4"/>
  <c r="T303" i="4"/>
  <c r="S300" i="4"/>
  <c r="BG300" i="4"/>
  <c r="BG309" i="4" s="1"/>
  <c r="X302" i="4"/>
  <c r="BH302" i="4"/>
  <c r="AI303" i="4"/>
  <c r="BE304" i="4"/>
  <c r="BC302" i="4"/>
  <c r="AA303" i="4"/>
  <c r="BL301" i="4"/>
  <c r="AZ300" i="4"/>
  <c r="BL300" i="4"/>
  <c r="BL309" i="4" s="1"/>
  <c r="Q300" i="4"/>
  <c r="J302" i="4"/>
  <c r="BC303" i="4"/>
  <c r="O302" i="4"/>
  <c r="BI300" i="4"/>
  <c r="AU301" i="4"/>
  <c r="AR300" i="4"/>
  <c r="AU304" i="4"/>
  <c r="BF304" i="4"/>
  <c r="AF302" i="4"/>
  <c r="BE301" i="4"/>
  <c r="BA302" i="4"/>
  <c r="AE304" i="4"/>
  <c r="L304" i="4"/>
  <c r="L303" i="4"/>
  <c r="H303" i="4"/>
  <c r="BI304" i="4"/>
  <c r="AI304" i="4"/>
  <c r="M302" i="4"/>
  <c r="AS304" i="4"/>
  <c r="W302" i="4"/>
  <c r="BN304" i="4"/>
  <c r="BM304" i="4"/>
  <c r="AQ302" i="4"/>
  <c r="AM302" i="4"/>
  <c r="AM304" i="4"/>
  <c r="V301" i="4"/>
  <c r="I303" i="4"/>
  <c r="J300" i="4"/>
  <c r="AW301" i="4"/>
  <c r="AO303" i="4"/>
  <c r="AJ300" i="4"/>
  <c r="P302" i="4"/>
  <c r="BE303" i="4"/>
  <c r="AV300" i="4"/>
  <c r="AS302" i="4"/>
  <c r="AF303" i="4"/>
  <c r="BJ304" i="4"/>
  <c r="BE300" i="4"/>
  <c r="BE309" i="4" s="1"/>
  <c r="AB301" i="4"/>
  <c r="O301" i="4"/>
  <c r="AG303" i="4"/>
  <c r="AE300" i="4"/>
  <c r="I304" i="4"/>
  <c r="AO300" i="4"/>
  <c r="AX302" i="4"/>
  <c r="BF301" i="4"/>
  <c r="AY303" i="4"/>
  <c r="AR301" i="4"/>
  <c r="BE302" i="4"/>
  <c r="N301" i="4"/>
  <c r="N308" i="4" s="1"/>
  <c r="AN304" i="4"/>
  <c r="K300" i="4"/>
  <c r="Q302" i="4"/>
  <c r="AW304" i="4"/>
  <c r="I302" i="4"/>
  <c r="AH303" i="4"/>
  <c r="W300" i="4"/>
  <c r="W309" i="4" s="1"/>
  <c r="P300" i="4"/>
  <c r="P309" i="4" s="1"/>
  <c r="V303" i="4"/>
  <c r="BJ300" i="4"/>
  <c r="W304" i="4"/>
  <c r="BJ301" i="4"/>
  <c r="AG304" i="4"/>
  <c r="K302" i="4"/>
  <c r="BB304" i="4"/>
  <c r="BA304" i="4"/>
  <c r="AE302" i="4"/>
  <c r="V302" i="4"/>
  <c r="V304" i="4"/>
  <c r="H301" i="4"/>
  <c r="H308" i="4" s="1"/>
  <c r="H315" i="4" s="1"/>
  <c r="I312" i="4" s="1"/>
  <c r="AZ302" i="4"/>
  <c r="BC304" i="4"/>
  <c r="AH301" i="4"/>
  <c r="Y303" i="4"/>
  <c r="V300" i="4"/>
  <c r="BI301" i="4"/>
  <c r="BI308" i="4" s="1"/>
  <c r="AM303" i="4"/>
  <c r="AH300" i="4"/>
  <c r="AC302" i="4"/>
  <c r="AN302" i="4"/>
  <c r="H304" i="4"/>
  <c r="N300" i="4"/>
  <c r="AS300" i="4"/>
  <c r="AS309" i="4" s="1"/>
  <c r="AF300" i="4"/>
  <c r="K301" i="4"/>
  <c r="AD300" i="4"/>
  <c r="AD304" i="4"/>
  <c r="G302" i="4"/>
  <c r="AU303" i="4"/>
  <c r="S304" i="4"/>
  <c r="AY304" i="4"/>
  <c r="BL302" i="4"/>
  <c r="J301" i="4"/>
  <c r="J308" i="4" s="1"/>
  <c r="BA303" i="4"/>
  <c r="BH300" i="4"/>
  <c r="BH309" i="4" s="1"/>
  <c r="BJ302" i="4"/>
  <c r="BF302" i="4"/>
  <c r="AJ303" i="4"/>
  <c r="W301" i="4"/>
  <c r="W308" i="4" s="1"/>
  <c r="AL300" i="4"/>
  <c r="BK304" i="4"/>
  <c r="AQ300" i="4"/>
  <c r="BK300" i="4"/>
  <c r="AI301" i="4"/>
  <c r="AI308" i="4" s="1"/>
  <c r="J304" i="4"/>
  <c r="K304" i="4"/>
  <c r="AX301" i="4"/>
  <c r="AX308" i="4" s="1"/>
  <c r="U304" i="4"/>
  <c r="BH301" i="4"/>
  <c r="AP304" i="4"/>
  <c r="AO304" i="4"/>
  <c r="S302" i="4"/>
  <c r="BO301" i="4"/>
  <c r="BL303" i="4"/>
  <c r="BC300" i="4"/>
  <c r="AJ302" i="4"/>
  <c r="AK304" i="4"/>
  <c r="T301" i="4"/>
  <c r="T308" i="4" s="1"/>
  <c r="BN302" i="4"/>
  <c r="H300" i="4"/>
  <c r="AT301" i="4"/>
  <c r="U303" i="4"/>
  <c r="T300" i="4"/>
  <c r="N302" i="4"/>
  <c r="BB301" i="4"/>
  <c r="O303" i="4"/>
  <c r="AV304" i="4"/>
  <c r="AR304" i="4"/>
  <c r="AA304" i="4"/>
  <c r="Q303" i="4"/>
  <c r="R300" i="4"/>
  <c r="R309" i="4" s="1"/>
  <c r="BH303" i="4"/>
  <c r="AL301" i="4"/>
  <c r="AV301" i="4"/>
  <c r="AC304" i="4"/>
  <c r="BA301" i="4"/>
  <c r="T302" i="4"/>
  <c r="BO300" i="4"/>
  <c r="AF301" i="4"/>
  <c r="G300" i="4"/>
  <c r="Z302" i="4"/>
  <c r="BD301" i="4"/>
  <c r="BD308" i="4" s="1"/>
  <c r="AC300" i="4"/>
  <c r="AC309" i="4" s="1"/>
  <c r="Z304" i="4"/>
  <c r="AT303" i="4"/>
  <c r="BN303" i="4"/>
  <c r="AY301" i="4"/>
  <c r="AD302" i="4"/>
  <c r="BC301" i="4"/>
  <c r="L301" i="4"/>
  <c r="BD304" i="4"/>
  <c r="P301" i="4"/>
  <c r="BD300" i="4"/>
  <c r="BD309" i="4" s="1"/>
  <c r="P303" i="4"/>
  <c r="AV303" i="4"/>
  <c r="Z301" i="4"/>
  <c r="Z308" i="4" s="1"/>
  <c r="BF303" i="4"/>
  <c r="AJ301" i="4"/>
  <c r="AJ308" i="4" s="1"/>
  <c r="R304" i="4"/>
  <c r="Q304" i="4"/>
  <c r="BH304" i="4"/>
  <c r="AM301" i="4"/>
  <c r="AB303" i="4"/>
  <c r="Z300" i="4"/>
  <c r="BM301" i="4"/>
  <c r="BJ303" i="4"/>
  <c r="BA300" i="4"/>
  <c r="BA309" i="4" s="1"/>
  <c r="AG302" i="4"/>
  <c r="AH304" i="4"/>
  <c r="R301" i="4"/>
  <c r="AT302" i="4"/>
  <c r="BO304" i="4"/>
  <c r="AO301" i="4"/>
  <c r="AO308" i="4" s="1"/>
  <c r="BO303" i="4"/>
  <c r="K303" i="4"/>
  <c r="O304" i="4"/>
  <c r="BM300" i="4"/>
  <c r="AD301" i="4"/>
  <c r="AD308" i="4" s="1"/>
  <c r="BF300" i="4"/>
  <c r="BF309" i="4" s="1"/>
  <c r="X303" i="4"/>
  <c r="I301" i="4"/>
  <c r="AX300" i="4"/>
  <c r="AY300" i="4"/>
  <c r="AQ303" i="4"/>
  <c r="BM303" i="4"/>
  <c r="U301" i="4"/>
  <c r="AN303" i="4"/>
  <c r="M304" i="4"/>
  <c r="AQ304" i="4"/>
  <c r="X301" i="4"/>
  <c r="X308" i="4" s="1"/>
  <c r="AR303" i="4"/>
  <c r="L302" i="4"/>
  <c r="X304" i="4"/>
  <c r="BK301" i="4"/>
  <c r="BK308" i="4" s="1"/>
  <c r="AA301" i="4"/>
  <c r="AL304" i="4"/>
  <c r="BG301" i="4"/>
  <c r="BG308" i="4" s="1"/>
  <c r="Q104" i="4"/>
  <c r="R98" i="4"/>
  <c r="BL308" i="4" l="1"/>
  <c r="I308" i="4"/>
  <c r="I315" i="4" s="1"/>
  <c r="J312" i="4" s="1"/>
  <c r="AA308" i="4"/>
  <c r="AW308" i="4"/>
  <c r="AY309" i="4"/>
  <c r="BM309" i="4"/>
  <c r="R308" i="4"/>
  <c r="AX309" i="4"/>
  <c r="O308" i="4"/>
  <c r="AL308" i="4"/>
  <c r="AK308" i="4"/>
  <c r="AP308" i="4"/>
  <c r="N309" i="4"/>
  <c r="Y309" i="4"/>
  <c r="AF308" i="4"/>
  <c r="BC309" i="4"/>
  <c r="BC308" i="4"/>
  <c r="BH308" i="4"/>
  <c r="AM308" i="4"/>
  <c r="L308" i="4"/>
  <c r="Q308" i="4"/>
  <c r="G308" i="4"/>
  <c r="BO308" i="4"/>
  <c r="AZ308" i="4"/>
  <c r="BF308" i="4"/>
  <c r="AV309" i="4"/>
  <c r="BE308" i="4"/>
  <c r="AZ309" i="4"/>
  <c r="AN308" i="4"/>
  <c r="M309" i="4"/>
  <c r="P308" i="4"/>
  <c r="G309" i="4"/>
  <c r="AO309" i="4"/>
  <c r="BN309" i="4"/>
  <c r="O309" i="4"/>
  <c r="AP309" i="4"/>
  <c r="BM308" i="4"/>
  <c r="Z309" i="4"/>
  <c r="BK309" i="4"/>
  <c r="AJ309" i="4"/>
  <c r="AK309" i="4"/>
  <c r="AU309" i="4"/>
  <c r="U308" i="4"/>
  <c r="BO309" i="4"/>
  <c r="AQ309" i="4"/>
  <c r="AH309" i="4"/>
  <c r="AE309" i="4"/>
  <c r="AR309" i="4"/>
  <c r="Y308" i="4"/>
  <c r="BB308" i="4"/>
  <c r="AU308" i="4"/>
  <c r="AN309" i="4"/>
  <c r="AT309" i="4"/>
  <c r="X309" i="4"/>
  <c r="S308" i="4"/>
  <c r="AA309" i="4"/>
  <c r="AS308" i="4"/>
  <c r="BA308" i="4"/>
  <c r="AL309" i="4"/>
  <c r="K309" i="4"/>
  <c r="J309" i="4"/>
  <c r="BI309" i="4"/>
  <c r="AI309" i="4"/>
  <c r="U309" i="4"/>
  <c r="AW309" i="4"/>
  <c r="AY308" i="4"/>
  <c r="T309" i="4"/>
  <c r="V309" i="4"/>
  <c r="AB308" i="4"/>
  <c r="I309" i="4"/>
  <c r="F18" i="5" s="1"/>
  <c r="E18" i="5" s="1"/>
  <c r="AQ308" i="4"/>
  <c r="AG309" i="4"/>
  <c r="AD309" i="4"/>
  <c r="BJ308" i="4"/>
  <c r="V308" i="4"/>
  <c r="L309" i="4"/>
  <c r="BB309" i="4"/>
  <c r="AG308" i="4"/>
  <c r="AM309" i="4"/>
  <c r="AV308" i="4"/>
  <c r="AT308" i="4"/>
  <c r="K308" i="4"/>
  <c r="AH308" i="4"/>
  <c r="S309" i="4"/>
  <c r="AC308" i="4"/>
  <c r="H309" i="4"/>
  <c r="H316" i="4" s="1"/>
  <c r="I313" i="4" s="1"/>
  <c r="AF309" i="4"/>
  <c r="BJ309" i="4"/>
  <c r="AR308" i="4"/>
  <c r="Q309" i="4"/>
  <c r="BN308" i="4"/>
  <c r="AX337" i="4"/>
  <c r="W337" i="4"/>
  <c r="X337" i="4"/>
  <c r="AO337" i="4"/>
  <c r="AF337" i="4"/>
  <c r="Z337" i="4"/>
  <c r="T337" i="4"/>
  <c r="BL337" i="4"/>
  <c r="AL337" i="4"/>
  <c r="BF337" i="4"/>
  <c r="BA337" i="4"/>
  <c r="K337" i="4"/>
  <c r="AZ337" i="4"/>
  <c r="AT337" i="4"/>
  <c r="BN337" i="4"/>
  <c r="AI337" i="4"/>
  <c r="BJ337" i="4"/>
  <c r="BO337" i="4"/>
  <c r="AN337" i="4"/>
  <c r="N337" i="4"/>
  <c r="AH337" i="4"/>
  <c r="AV337" i="4"/>
  <c r="AJ337" i="4"/>
  <c r="AM337" i="4"/>
  <c r="M337" i="4"/>
  <c r="AG337" i="4"/>
  <c r="AC337" i="4"/>
  <c r="AA337" i="4"/>
  <c r="BG337" i="4"/>
  <c r="U337" i="4"/>
  <c r="O337" i="4"/>
  <c r="AU337" i="4"/>
  <c r="I337" i="4"/>
  <c r="L337" i="4"/>
  <c r="BM337" i="4"/>
  <c r="AB337" i="4"/>
  <c r="BI337" i="4"/>
  <c r="V337" i="4"/>
  <c r="S337" i="4"/>
  <c r="BH337" i="4"/>
  <c r="AY337" i="4"/>
  <c r="AQ337" i="4"/>
  <c r="P337" i="4"/>
  <c r="AW337" i="4"/>
  <c r="J337" i="4"/>
  <c r="AR337" i="4"/>
  <c r="AE337" i="4"/>
  <c r="Y337" i="4"/>
  <c r="AD337" i="4"/>
  <c r="BK337" i="4"/>
  <c r="AK337" i="4"/>
  <c r="BE337" i="4"/>
  <c r="R337" i="4"/>
  <c r="BC337" i="4"/>
  <c r="AS337" i="4"/>
  <c r="BB337" i="4"/>
  <c r="Q337" i="4"/>
  <c r="H337" i="4"/>
  <c r="AP337" i="4"/>
  <c r="BD337" i="4"/>
  <c r="R104" i="4"/>
  <c r="S98" i="4"/>
  <c r="H341" i="4" l="1" a="1"/>
  <c r="I316" i="4"/>
  <c r="J313" i="4" s="1"/>
  <c r="J316" i="4" s="1"/>
  <c r="K313" i="4" s="1"/>
  <c r="K316" i="4" s="1"/>
  <c r="L313" i="4" s="1"/>
  <c r="S104" i="4"/>
  <c r="T98" i="4"/>
  <c r="J315" i="4"/>
  <c r="BI341" i="4" l="1"/>
  <c r="AF341" i="4"/>
  <c r="L341" i="4"/>
  <c r="AD341" i="4"/>
  <c r="AO341" i="4"/>
  <c r="Z341" i="4"/>
  <c r="AN341" i="4"/>
  <c r="BJ341" i="4"/>
  <c r="N341" i="4"/>
  <c r="K341" i="4"/>
  <c r="AX341" i="4"/>
  <c r="J341" i="4"/>
  <c r="U341" i="4"/>
  <c r="AY341" i="4"/>
  <c r="AM341" i="4"/>
  <c r="AR341" i="4"/>
  <c r="AP341" i="4"/>
  <c r="BL341" i="4"/>
  <c r="BC341" i="4"/>
  <c r="AH341" i="4"/>
  <c r="BB341" i="4"/>
  <c r="AV341" i="4"/>
  <c r="AJ341" i="4"/>
  <c r="O341" i="4"/>
  <c r="BN341" i="4"/>
  <c r="V341" i="4"/>
  <c r="S341" i="4"/>
  <c r="X341" i="4"/>
  <c r="I341" i="4"/>
  <c r="Q341" i="4"/>
  <c r="W341" i="4"/>
  <c r="AT341" i="4"/>
  <c r="AI341" i="4"/>
  <c r="AK341" i="4"/>
  <c r="AG341" i="4"/>
  <c r="AA341" i="4"/>
  <c r="AW341" i="4"/>
  <c r="AU341" i="4"/>
  <c r="BA341" i="4"/>
  <c r="AS341" i="4"/>
  <c r="BM341" i="4"/>
  <c r="AE341" i="4"/>
  <c r="H341" i="4"/>
  <c r="BK341" i="4"/>
  <c r="P341" i="4"/>
  <c r="Y341" i="4"/>
  <c r="AB341" i="4"/>
  <c r="BG341" i="4"/>
  <c r="BH341" i="4"/>
  <c r="BE341" i="4"/>
  <c r="AZ341" i="4"/>
  <c r="AL341" i="4"/>
  <c r="BO341" i="4"/>
  <c r="M341" i="4"/>
  <c r="AQ341" i="4"/>
  <c r="BD341" i="4"/>
  <c r="R341" i="4"/>
  <c r="BF341" i="4"/>
  <c r="T341" i="4"/>
  <c r="F22" i="5" s="1"/>
  <c r="E22" i="5" s="1"/>
  <c r="AC341" i="4"/>
  <c r="T104" i="4"/>
  <c r="U98" i="4"/>
  <c r="L316" i="4"/>
  <c r="M313" i="4" s="1"/>
  <c r="K312" i="4"/>
  <c r="H347" i="4" l="1" a="1"/>
  <c r="AW347" i="4" s="1"/>
  <c r="U104" i="4"/>
  <c r="V98" i="4"/>
  <c r="M316" i="4"/>
  <c r="N313" i="4" s="1"/>
  <c r="K315" i="4"/>
  <c r="L312" i="4" s="1"/>
  <c r="BF347" i="4" l="1"/>
  <c r="AZ347" i="4"/>
  <c r="BJ347" i="4"/>
  <c r="BB347" i="4"/>
  <c r="BG347" i="4"/>
  <c r="AF347" i="4"/>
  <c r="L347" i="4"/>
  <c r="AT347" i="4"/>
  <c r="K347" i="4"/>
  <c r="W347" i="4"/>
  <c r="BL347" i="4"/>
  <c r="AD347" i="4"/>
  <c r="AX347" i="4"/>
  <c r="M347" i="4"/>
  <c r="AO347" i="4"/>
  <c r="AC347" i="4"/>
  <c r="AB347" i="4"/>
  <c r="I347" i="4"/>
  <c r="BM347" i="4"/>
  <c r="BN347" i="4"/>
  <c r="AR347" i="4"/>
  <c r="V347" i="4"/>
  <c r="AP347" i="4"/>
  <c r="P347" i="4"/>
  <c r="BE347" i="4"/>
  <c r="AV347" i="4"/>
  <c r="Y347" i="4"/>
  <c r="U347" i="4"/>
  <c r="BA347" i="4"/>
  <c r="AY347" i="4"/>
  <c r="AN347" i="4"/>
  <c r="AH347" i="4"/>
  <c r="AL347" i="4"/>
  <c r="AE347" i="4"/>
  <c r="O347" i="4"/>
  <c r="Z347" i="4"/>
  <c r="J347" i="4"/>
  <c r="Q347" i="4"/>
  <c r="AU347" i="4"/>
  <c r="R347" i="4"/>
  <c r="S347" i="4"/>
  <c r="AM347" i="4"/>
  <c r="BK347" i="4"/>
  <c r="AK347" i="4"/>
  <c r="AJ347" i="4"/>
  <c r="BC347" i="4"/>
  <c r="AQ347" i="4"/>
  <c r="X347" i="4"/>
  <c r="AA347" i="4"/>
  <c r="H347" i="4"/>
  <c r="BO347" i="4"/>
  <c r="BI347" i="4"/>
  <c r="BD347" i="4"/>
  <c r="AS347" i="4"/>
  <c r="N347" i="4"/>
  <c r="AG347" i="4"/>
  <c r="BH347" i="4"/>
  <c r="T347" i="4"/>
  <c r="AI347" i="4"/>
  <c r="V104" i="4"/>
  <c r="W98" i="4"/>
  <c r="L315" i="4"/>
  <c r="M312" i="4" s="1"/>
  <c r="N316" i="4"/>
  <c r="O313" i="4" s="1"/>
  <c r="W104" i="4" l="1"/>
  <c r="X98" i="4"/>
  <c r="O316" i="4"/>
  <c r="P313" i="4" s="1"/>
  <c r="M315" i="4"/>
  <c r="N312" i="4" s="1"/>
  <c r="X104" i="4" l="1"/>
  <c r="Y98" i="4"/>
  <c r="P316" i="4"/>
  <c r="Q313" i="4" s="1"/>
  <c r="N315" i="4"/>
  <c r="O312" i="4" s="1"/>
  <c r="Y104" i="4" l="1"/>
  <c r="Z98" i="4"/>
  <c r="O315" i="4"/>
  <c r="P312" i="4" s="1"/>
  <c r="Q316" i="4"/>
  <c r="R313" i="4" s="1"/>
  <c r="AA98" i="4" l="1"/>
  <c r="Z104" i="4"/>
  <c r="R316" i="4"/>
  <c r="S313" i="4" s="1"/>
  <c r="P315" i="4"/>
  <c r="Q312" i="4" s="1"/>
  <c r="AA104" i="4" l="1"/>
  <c r="AB98" i="4"/>
  <c r="S316" i="4"/>
  <c r="T313" i="4" s="1"/>
  <c r="Q315" i="4"/>
  <c r="R312" i="4" s="1"/>
  <c r="AC98" i="4" l="1"/>
  <c r="AB104" i="4"/>
  <c r="R315" i="4"/>
  <c r="S312" i="4" s="1"/>
  <c r="T316" i="4"/>
  <c r="U313" i="4" s="1"/>
  <c r="AD98" i="4" l="1"/>
  <c r="AC104" i="4"/>
  <c r="U316" i="4"/>
  <c r="V313" i="4" s="1"/>
  <c r="S315" i="4"/>
  <c r="T312" i="4" s="1"/>
  <c r="AD104" i="4" l="1"/>
  <c r="AE98" i="4"/>
  <c r="T315" i="4"/>
  <c r="U312" i="4" s="1"/>
  <c r="V316" i="4"/>
  <c r="W313" i="4" s="1"/>
  <c r="AE104" i="4" l="1"/>
  <c r="AF98" i="4"/>
  <c r="U315" i="4"/>
  <c r="V312" i="4" s="1"/>
  <c r="W316" i="4"/>
  <c r="X313" i="4" s="1"/>
  <c r="AF104" i="4" l="1"/>
  <c r="AG98" i="4"/>
  <c r="X316" i="4"/>
  <c r="Y313" i="4" s="1"/>
  <c r="V315" i="4"/>
  <c r="W312" i="4" s="1"/>
  <c r="AG104" i="4" l="1"/>
  <c r="AH98" i="4"/>
  <c r="W315" i="4"/>
  <c r="X312" i="4" s="1"/>
  <c r="Y316" i="4"/>
  <c r="Z313" i="4" s="1"/>
  <c r="AH104" i="4" l="1"/>
  <c r="AI98" i="4"/>
  <c r="Z316" i="4"/>
  <c r="AA313" i="4" s="1"/>
  <c r="X315" i="4"/>
  <c r="Y312" i="4" s="1"/>
  <c r="AI104" i="4" l="1"/>
  <c r="AJ98" i="4"/>
  <c r="Y315" i="4"/>
  <c r="Z312" i="4" s="1"/>
  <c r="AA316" i="4"/>
  <c r="AB313" i="4" s="1"/>
  <c r="AK98" i="4" l="1"/>
  <c r="AJ104" i="4"/>
  <c r="AB316" i="4"/>
  <c r="AC313" i="4" s="1"/>
  <c r="Z315" i="4"/>
  <c r="AA312" i="4" s="1"/>
  <c r="AK104" i="4" l="1"/>
  <c r="AL98" i="4"/>
  <c r="AC316" i="4"/>
  <c r="AD313" i="4" s="1"/>
  <c r="AA315" i="4"/>
  <c r="AB312" i="4" s="1"/>
  <c r="AM98" i="4" l="1"/>
  <c r="AL104" i="4"/>
  <c r="AD316" i="4"/>
  <c r="AE313" i="4" s="1"/>
  <c r="AB315" i="4"/>
  <c r="AC312" i="4" s="1"/>
  <c r="AM104" i="4" l="1"/>
  <c r="AN98" i="4"/>
  <c r="AC315" i="4"/>
  <c r="AD312" i="4" s="1"/>
  <c r="AE316" i="4"/>
  <c r="AF313" i="4" s="1"/>
  <c r="AN104" i="4" l="1"/>
  <c r="AO98" i="4"/>
  <c r="AF316" i="4"/>
  <c r="AG313" i="4" s="1"/>
  <c r="AD315" i="4"/>
  <c r="AE312" i="4" s="1"/>
  <c r="AO104" i="4" l="1"/>
  <c r="AP98" i="4"/>
  <c r="AE315" i="4"/>
  <c r="AF312" i="4" s="1"/>
  <c r="AG316" i="4"/>
  <c r="AH313" i="4" s="1"/>
  <c r="AP104" i="4" l="1"/>
  <c r="AQ98" i="4"/>
  <c r="AF315" i="4"/>
  <c r="AG312" i="4" s="1"/>
  <c r="AH316" i="4"/>
  <c r="AI313" i="4" s="1"/>
  <c r="AR98" i="4" l="1"/>
  <c r="AQ104" i="4"/>
  <c r="AG315" i="4"/>
  <c r="AH312" i="4" s="1"/>
  <c r="AI316" i="4"/>
  <c r="AJ313" i="4" s="1"/>
  <c r="AS98" i="4" l="1"/>
  <c r="AR104" i="4"/>
  <c r="AH315" i="4"/>
  <c r="AI312" i="4" s="1"/>
  <c r="AJ316" i="4"/>
  <c r="AK313" i="4" s="1"/>
  <c r="AT98" i="4" l="1"/>
  <c r="AS104" i="4"/>
  <c r="AK316" i="4"/>
  <c r="AL313" i="4" s="1"/>
  <c r="AI315" i="4"/>
  <c r="AJ312" i="4" s="1"/>
  <c r="AU98" i="4" l="1"/>
  <c r="AT104" i="4"/>
  <c r="AJ315" i="4"/>
  <c r="AK312" i="4" s="1"/>
  <c r="AL316" i="4"/>
  <c r="AM313" i="4" s="1"/>
  <c r="AV98" i="4" l="1"/>
  <c r="AU104" i="4"/>
  <c r="AM316" i="4"/>
  <c r="AN313" i="4" s="1"/>
  <c r="AK315" i="4"/>
  <c r="AL312" i="4" s="1"/>
  <c r="AV104" i="4" l="1"/>
  <c r="AW98" i="4"/>
  <c r="AL315" i="4"/>
  <c r="AM312" i="4" s="1"/>
  <c r="AN316" i="4"/>
  <c r="AO313" i="4" s="1"/>
  <c r="AX98" i="4" l="1"/>
  <c r="AW104" i="4"/>
  <c r="AO316" i="4"/>
  <c r="AP313" i="4" s="1"/>
  <c r="AM315" i="4"/>
  <c r="AN312" i="4" s="1"/>
  <c r="AX104" i="4" l="1"/>
  <c r="AY98" i="4"/>
  <c r="AN315" i="4"/>
  <c r="AO312" i="4" s="1"/>
  <c r="AP316" i="4"/>
  <c r="AQ313" i="4" s="1"/>
  <c r="AY104" i="4" l="1"/>
  <c r="AZ98" i="4"/>
  <c r="AQ316" i="4"/>
  <c r="AR313" i="4" s="1"/>
  <c r="AO315" i="4"/>
  <c r="AP312" i="4" s="1"/>
  <c r="AZ104" i="4" l="1"/>
  <c r="BA98" i="4"/>
  <c r="AR316" i="4"/>
  <c r="AS313" i="4" s="1"/>
  <c r="AP315" i="4"/>
  <c r="AQ312" i="4" s="1"/>
  <c r="BA104" i="4" l="1"/>
  <c r="BB98" i="4"/>
  <c r="AS316" i="4"/>
  <c r="AT313" i="4" s="1"/>
  <c r="AQ315" i="4"/>
  <c r="AR312" i="4" s="1"/>
  <c r="BC98" i="4" l="1"/>
  <c r="BB104" i="4"/>
  <c r="AR315" i="4"/>
  <c r="AS312" i="4" s="1"/>
  <c r="AT316" i="4"/>
  <c r="AU313" i="4" s="1"/>
  <c r="BC104" i="4" l="1"/>
  <c r="BD98" i="4"/>
  <c r="AU316" i="4"/>
  <c r="AV313" i="4" s="1"/>
  <c r="AS315" i="4"/>
  <c r="AT312" i="4" s="1"/>
  <c r="BE98" i="4" l="1"/>
  <c r="BD104" i="4"/>
  <c r="AV316" i="4"/>
  <c r="AW313" i="4" s="1"/>
  <c r="AT315" i="4"/>
  <c r="AU312" i="4" s="1"/>
  <c r="BE104" i="4" l="1"/>
  <c r="BF98" i="4"/>
  <c r="AU315" i="4"/>
  <c r="AV312" i="4" s="1"/>
  <c r="AW316" i="4"/>
  <c r="AX313" i="4" s="1"/>
  <c r="BF104" i="4" l="1"/>
  <c r="BG98" i="4"/>
  <c r="AX316" i="4"/>
  <c r="AY313" i="4" s="1"/>
  <c r="AV315" i="4"/>
  <c r="AW312" i="4" s="1"/>
  <c r="BH98" i="4" l="1"/>
  <c r="BG104" i="4"/>
  <c r="AY316" i="4"/>
  <c r="AZ313" i="4" s="1"/>
  <c r="AW315" i="4"/>
  <c r="AX312" i="4" s="1"/>
  <c r="BI98" i="4" l="1"/>
  <c r="BH104" i="4"/>
  <c r="AX315" i="4"/>
  <c r="AY312" i="4" s="1"/>
  <c r="AZ316" i="4"/>
  <c r="BA313" i="4" s="1"/>
  <c r="BJ98" i="4" l="1"/>
  <c r="BI104" i="4"/>
  <c r="AY315" i="4"/>
  <c r="AZ312" i="4" s="1"/>
  <c r="BA316" i="4"/>
  <c r="BB313" i="4" s="1"/>
  <c r="BJ104" i="4" l="1"/>
  <c r="BK98" i="4"/>
  <c r="BB316" i="4"/>
  <c r="BC313" i="4" s="1"/>
  <c r="AZ315" i="4"/>
  <c r="BA312" i="4" s="1"/>
  <c r="BK104" i="4" l="1"/>
  <c r="BL98" i="4"/>
  <c r="BC316" i="4"/>
  <c r="BD313" i="4" s="1"/>
  <c r="BA315" i="4"/>
  <c r="BB312" i="4" s="1"/>
  <c r="BM98" i="4" l="1"/>
  <c r="BL104" i="4"/>
  <c r="BB315" i="4"/>
  <c r="BC312" i="4" s="1"/>
  <c r="BD316" i="4"/>
  <c r="BE313" i="4" s="1"/>
  <c r="BM104" i="4" l="1"/>
  <c r="BN98" i="4"/>
  <c r="BE316" i="4"/>
  <c r="BF313" i="4" s="1"/>
  <c r="BC315" i="4"/>
  <c r="BD312" i="4" s="1"/>
  <c r="BO98" i="4" l="1"/>
  <c r="BN104" i="4"/>
  <c r="BD315" i="4"/>
  <c r="BE312" i="4" s="1"/>
  <c r="BF316" i="4"/>
  <c r="BG313" i="4" s="1"/>
  <c r="F176" i="4" l="1" a="1"/>
  <c r="BO104" i="4"/>
  <c r="BE315" i="4"/>
  <c r="BF312" i="4" s="1"/>
  <c r="BG316" i="4"/>
  <c r="BH313" i="4" s="1"/>
  <c r="AP176" i="4" l="1"/>
  <c r="AB176" i="4"/>
  <c r="BI176" i="4"/>
  <c r="BD176" i="4"/>
  <c r="AG176" i="4"/>
  <c r="R176" i="4"/>
  <c r="AU176" i="4"/>
  <c r="AF176" i="4"/>
  <c r="AM176" i="4"/>
  <c r="W176" i="4"/>
  <c r="AO176" i="4"/>
  <c r="O176" i="4"/>
  <c r="AJ176" i="4"/>
  <c r="X176" i="4"/>
  <c r="AL176" i="4"/>
  <c r="AZ176" i="4"/>
  <c r="AD176" i="4"/>
  <c r="P176" i="4"/>
  <c r="AW176" i="4"/>
  <c r="T176" i="4"/>
  <c r="BF176" i="4"/>
  <c r="BK176" i="4"/>
  <c r="AK176" i="4"/>
  <c r="V176" i="4"/>
  <c r="BM176" i="4"/>
  <c r="AY176" i="4"/>
  <c r="Y176" i="4"/>
  <c r="K176" i="4"/>
  <c r="BA176" i="4"/>
  <c r="BC176" i="4"/>
  <c r="BH176" i="4"/>
  <c r="BG176" i="4"/>
  <c r="AC176" i="4"/>
  <c r="AV176" i="4"/>
  <c r="BP176" i="4"/>
  <c r="I176" i="4"/>
  <c r="S176" i="4"/>
  <c r="G176" i="4"/>
  <c r="BB176" i="4"/>
  <c r="BO176" i="4"/>
  <c r="AT176" i="4"/>
  <c r="AA176" i="4"/>
  <c r="J176" i="4"/>
  <c r="AQ176" i="4"/>
  <c r="AS176" i="4"/>
  <c r="Q176" i="4"/>
  <c r="F176" i="4"/>
  <c r="BN176" i="4"/>
  <c r="BE176" i="4"/>
  <c r="U176" i="4"/>
  <c r="M176" i="4"/>
  <c r="AE176" i="4"/>
  <c r="AX176" i="4"/>
  <c r="AR176" i="4"/>
  <c r="BL176" i="4"/>
  <c r="L176" i="4"/>
  <c r="AI176" i="4"/>
  <c r="AN176" i="4"/>
  <c r="BJ176" i="4"/>
  <c r="H176" i="4"/>
  <c r="H184" i="4" s="1" a="1"/>
  <c r="AX187" i="4" s="1"/>
  <c r="Z176" i="4"/>
  <c r="N176" i="4"/>
  <c r="AH176" i="4"/>
  <c r="BH316" i="4"/>
  <c r="BI313" i="4" s="1"/>
  <c r="BF315" i="4"/>
  <c r="BG312" i="4" s="1"/>
  <c r="O189" i="4" l="1"/>
  <c r="W188" i="4"/>
  <c r="BM185" i="4"/>
  <c r="AR189" i="4"/>
  <c r="AY185" i="4"/>
  <c r="AF185" i="4"/>
  <c r="J189" i="4"/>
  <c r="AZ184" i="4"/>
  <c r="R184" i="4"/>
  <c r="AJ186" i="4"/>
  <c r="AB186" i="4"/>
  <c r="Z186" i="4"/>
  <c r="AG187" i="4"/>
  <c r="I189" i="4"/>
  <c r="Z188" i="4"/>
  <c r="AG189" i="4"/>
  <c r="AC186" i="4"/>
  <c r="BJ184" i="4"/>
  <c r="BF187" i="4"/>
  <c r="AP187" i="4"/>
  <c r="AQ188" i="4"/>
  <c r="AV187" i="4"/>
  <c r="AH189" i="4"/>
  <c r="BN189" i="4"/>
  <c r="AZ186" i="4"/>
  <c r="L184" i="4"/>
  <c r="AH188" i="4"/>
  <c r="BI189" i="4"/>
  <c r="I185" i="4"/>
  <c r="AB188" i="4"/>
  <c r="BJ185" i="4"/>
  <c r="I187" i="4"/>
  <c r="P185" i="4"/>
  <c r="BH189" i="4"/>
  <c r="AB185" i="4"/>
  <c r="AX188" i="4"/>
  <c r="T185" i="4"/>
  <c r="Q187" i="4"/>
  <c r="BC188" i="4"/>
  <c r="U184" i="4"/>
  <c r="BL188" i="4"/>
  <c r="J187" i="4"/>
  <c r="I188" i="4"/>
  <c r="P188" i="4"/>
  <c r="BA184" i="4"/>
  <c r="N189" i="4"/>
  <c r="V184" i="4"/>
  <c r="AA186" i="4"/>
  <c r="AJ185" i="4"/>
  <c r="AU187" i="4"/>
  <c r="AF188" i="4"/>
  <c r="AK187" i="4"/>
  <c r="AR188" i="4"/>
  <c r="AN188" i="4"/>
  <c r="AK189" i="4"/>
  <c r="AS184" i="4"/>
  <c r="BB189" i="4"/>
  <c r="BJ187" i="4"/>
  <c r="BF185" i="4"/>
  <c r="BH187" i="4"/>
  <c r="H186" i="4"/>
  <c r="BL185" i="4"/>
  <c r="AV189" i="4"/>
  <c r="AC188" i="4"/>
  <c r="BM189" i="4"/>
  <c r="Q189" i="4"/>
  <c r="S185" i="4"/>
  <c r="AH185" i="4"/>
  <c r="W185" i="4"/>
  <c r="BM186" i="4"/>
  <c r="M185" i="4"/>
  <c r="T186" i="4"/>
  <c r="AL188" i="4"/>
  <c r="M187" i="4"/>
  <c r="T188" i="4"/>
  <c r="L188" i="4"/>
  <c r="P189" i="4"/>
  <c r="AC185" i="4"/>
  <c r="AT185" i="4"/>
  <c r="AJ187" i="4"/>
  <c r="BF186" i="4"/>
  <c r="AM185" i="4"/>
  <c r="BK189" i="4"/>
  <c r="AP189" i="4"/>
  <c r="BA186" i="4"/>
  <c r="AL185" i="4"/>
  <c r="AT184" i="4"/>
  <c r="BO188" i="4"/>
  <c r="P187" i="4"/>
  <c r="BG186" i="4"/>
  <c r="BH184" i="4"/>
  <c r="BO185" i="4"/>
  <c r="BB188" i="4"/>
  <c r="N187" i="4"/>
  <c r="U188" i="4"/>
  <c r="AZ188" i="4"/>
  <c r="AW189" i="4"/>
  <c r="M188" i="4"/>
  <c r="T189" i="4"/>
  <c r="AP185" i="4"/>
  <c r="Y187" i="4"/>
  <c r="Z184" i="4"/>
  <c r="AG185" i="4"/>
  <c r="AD189" i="4"/>
  <c r="AQ186" i="4"/>
  <c r="BF188" i="4"/>
  <c r="AM188" i="4"/>
  <c r="AV188" i="4"/>
  <c r="AM189" i="4"/>
  <c r="N186" i="4"/>
  <c r="AW184" i="4"/>
  <c r="BD185" i="4"/>
  <c r="AE184" i="4"/>
  <c r="I186" i="4"/>
  <c r="BE189" i="4"/>
  <c r="BG184" i="4"/>
  <c r="AB184" i="4"/>
  <c r="AC189" i="4"/>
  <c r="BD184" i="4"/>
  <c r="AC187" i="4"/>
  <c r="AL189" i="4"/>
  <c r="AX186" i="4"/>
  <c r="AH187" i="4"/>
  <c r="AG184" i="4"/>
  <c r="AI188" i="4"/>
  <c r="BN188" i="4"/>
  <c r="AU189" i="4"/>
  <c r="AX184" i="4"/>
  <c r="BE185" i="4"/>
  <c r="AM187" i="4"/>
  <c r="J186" i="4"/>
  <c r="AW185" i="4"/>
  <c r="BD186" i="4"/>
  <c r="AA184" i="4"/>
  <c r="S187" i="4"/>
  <c r="BI187" i="4"/>
  <c r="H189" i="4"/>
  <c r="BO184" i="4"/>
  <c r="AP188" i="4"/>
  <c r="AH186" i="4"/>
  <c r="W189" i="4"/>
  <c r="X186" i="4"/>
  <c r="W187" i="4"/>
  <c r="L186" i="4"/>
  <c r="X188" i="4"/>
  <c r="AE189" i="4"/>
  <c r="M189" i="4"/>
  <c r="AR187" i="4"/>
  <c r="BA185" i="4"/>
  <c r="AI185" i="4"/>
  <c r="M184" i="4"/>
  <c r="BG185" i="4"/>
  <c r="L185" i="4"/>
  <c r="Z189" i="4"/>
  <c r="AE186" i="4"/>
  <c r="BA189" i="4"/>
  <c r="W186" i="4"/>
  <c r="AO187" i="4"/>
  <c r="AI186" i="4"/>
  <c r="K184" i="4"/>
  <c r="AT187" i="4"/>
  <c r="J185" i="4"/>
  <c r="AN184" i="4"/>
  <c r="K186" i="4"/>
  <c r="BA187" i="4"/>
  <c r="BE184" i="4"/>
  <c r="Y188" i="4"/>
  <c r="AF189" i="4"/>
  <c r="R186" i="4"/>
  <c r="AD185" i="4"/>
  <c r="X189" i="4"/>
  <c r="AF184" i="4"/>
  <c r="BM187" i="4"/>
  <c r="AO185" i="4"/>
  <c r="AK185" i="4"/>
  <c r="AR186" i="4"/>
  <c r="O185" i="4"/>
  <c r="BJ188" i="4"/>
  <c r="J184" i="4"/>
  <c r="J188" i="4"/>
  <c r="BG189" i="4"/>
  <c r="U187" i="4"/>
  <c r="Q184" i="4"/>
  <c r="BH185" i="4"/>
  <c r="BO186" i="4"/>
  <c r="BD187" i="4"/>
  <c r="AY186" i="4"/>
  <c r="AD188" i="4"/>
  <c r="W184" i="4"/>
  <c r="BB186" i="4"/>
  <c r="U189" i="4"/>
  <c r="AH184" i="4"/>
  <c r="X185" i="4"/>
  <c r="Q185" i="4"/>
  <c r="BG188" i="4"/>
  <c r="AE188" i="4"/>
  <c r="BE187" i="4"/>
  <c r="AZ187" i="4"/>
  <c r="BK185" i="4"/>
  <c r="AE187" i="4"/>
  <c r="BB185" i="4"/>
  <c r="AS188" i="4"/>
  <c r="Y184" i="4"/>
  <c r="AN186" i="4"/>
  <c r="R188" i="4"/>
  <c r="BI185" i="4"/>
  <c r="H187" i="4"/>
  <c r="BK184" i="4"/>
  <c r="AM184" i="4"/>
  <c r="BH186" i="4"/>
  <c r="BO187" i="4"/>
  <c r="AN187" i="4"/>
  <c r="BI186" i="4"/>
  <c r="L189" i="4"/>
  <c r="T184" i="4"/>
  <c r="AJ188" i="4"/>
  <c r="AL186" i="4"/>
  <c r="AS187" i="4"/>
  <c r="S189" i="4"/>
  <c r="AI187" i="4"/>
  <c r="BK188" i="4"/>
  <c r="BC186" i="4"/>
  <c r="AI189" i="4"/>
  <c r="AQ184" i="4"/>
  <c r="AC184" i="4"/>
  <c r="AK186" i="4"/>
  <c r="BD188" i="4"/>
  <c r="O187" i="4"/>
  <c r="AK188" i="4"/>
  <c r="O184" i="4"/>
  <c r="S186" i="4"/>
  <c r="Q188" i="4"/>
  <c r="AZ185" i="4"/>
  <c r="H184" i="4"/>
  <c r="BC189" i="4"/>
  <c r="BK186" i="4"/>
  <c r="BF189" i="4"/>
  <c r="AA187" i="4"/>
  <c r="AM186" i="4"/>
  <c r="BJ189" i="4"/>
  <c r="AY189" i="4"/>
  <c r="BL189" i="4"/>
  <c r="AO184" i="4"/>
  <c r="V187" i="4"/>
  <c r="AJ184" i="4"/>
  <c r="AV186" i="4"/>
  <c r="N184" i="4"/>
  <c r="U185" i="4"/>
  <c r="R189" i="4"/>
  <c r="N188" i="4"/>
  <c r="BM184" i="4"/>
  <c r="K187" i="4"/>
  <c r="BB184" i="4"/>
  <c r="O188" i="4"/>
  <c r="P184" i="4"/>
  <c r="BL187" i="4"/>
  <c r="AP186" i="4"/>
  <c r="M186" i="4"/>
  <c r="AT186" i="4"/>
  <c r="O186" i="4"/>
  <c r="BJ186" i="4"/>
  <c r="BL184" i="4"/>
  <c r="AL184" i="4"/>
  <c r="AL190" i="4" s="1"/>
  <c r="BM188" i="4"/>
  <c r="AL187" i="4"/>
  <c r="AT189" i="4"/>
  <c r="BE188" i="4"/>
  <c r="N185" i="4"/>
  <c r="AY188" i="4"/>
  <c r="AO188" i="4"/>
  <c r="AR184" i="4"/>
  <c r="AX185" i="4"/>
  <c r="BN184" i="4"/>
  <c r="AR185" i="4"/>
  <c r="AR190" i="4" s="1"/>
  <c r="BC187" i="4"/>
  <c r="K185" i="4"/>
  <c r="Z185" i="4"/>
  <c r="AG186" i="4"/>
  <c r="AA189" i="4"/>
  <c r="AS189" i="4"/>
  <c r="AW188" i="4"/>
  <c r="BD189" i="4"/>
  <c r="AD187" i="4"/>
  <c r="AX189" i="4"/>
  <c r="BF184" i="4"/>
  <c r="AP184" i="4"/>
  <c r="AV185" i="4"/>
  <c r="L187" i="4"/>
  <c r="S188" i="4"/>
  <c r="BA188" i="4"/>
  <c r="BE186" i="4"/>
  <c r="K188" i="4"/>
  <c r="BB187" i="4"/>
  <c r="AZ189" i="4"/>
  <c r="BK187" i="4"/>
  <c r="X184" i="4"/>
  <c r="AE185" i="4"/>
  <c r="AN185" i="4"/>
  <c r="AW187" i="4"/>
  <c r="BO189" i="4"/>
  <c r="AW186" i="4"/>
  <c r="AT188" i="4"/>
  <c r="AI184" i="4"/>
  <c r="AU186" i="4"/>
  <c r="AU184" i="4"/>
  <c r="AN189" i="4"/>
  <c r="H185" i="4"/>
  <c r="V189" i="4"/>
  <c r="BH188" i="4"/>
  <c r="AK184" i="4"/>
  <c r="AD186" i="4"/>
  <c r="AD190" i="4" s="1"/>
  <c r="T187" i="4"/>
  <c r="P186" i="4"/>
  <c r="AU188" i="4"/>
  <c r="AY184" i="4"/>
  <c r="X187" i="4"/>
  <c r="AS185" i="4"/>
  <c r="BL186" i="4"/>
  <c r="AD184" i="4"/>
  <c r="R185" i="4"/>
  <c r="V185" i="4"/>
  <c r="BI184" i="4"/>
  <c r="U186" i="4"/>
  <c r="S184" i="4"/>
  <c r="AA185" i="4"/>
  <c r="AJ189" i="4"/>
  <c r="Q186" i="4"/>
  <c r="AQ185" i="4"/>
  <c r="AQ189" i="4"/>
  <c r="BI188" i="4"/>
  <c r="I184" i="4"/>
  <c r="BN187" i="4"/>
  <c r="BC184" i="4"/>
  <c r="Y186" i="4"/>
  <c r="AF187" i="4"/>
  <c r="BN185" i="4"/>
  <c r="Z187" i="4"/>
  <c r="AG188" i="4"/>
  <c r="AB189" i="4"/>
  <c r="H188" i="4"/>
  <c r="AV184" i="4"/>
  <c r="BC185" i="4"/>
  <c r="AB187" i="4"/>
  <c r="AY187" i="4"/>
  <c r="AU185" i="4"/>
  <c r="AO186" i="4"/>
  <c r="AO190" i="4" s="1"/>
  <c r="AF186" i="4"/>
  <c r="K189" i="4"/>
  <c r="BG187" i="4"/>
  <c r="R187" i="4"/>
  <c r="Y189" i="4"/>
  <c r="Y185" i="4"/>
  <c r="AQ187" i="4"/>
  <c r="AO189" i="4"/>
  <c r="V186" i="4"/>
  <c r="BN186" i="4"/>
  <c r="AS186" i="4"/>
  <c r="V188" i="4"/>
  <c r="AA188" i="4"/>
  <c r="BI316" i="4"/>
  <c r="BJ313" i="4" s="1"/>
  <c r="BG315" i="4"/>
  <c r="BH312" i="4" s="1"/>
  <c r="S190" i="4" l="1"/>
  <c r="BO190" i="4"/>
  <c r="BK190" i="4"/>
  <c r="AM190" i="4"/>
  <c r="M190" i="4"/>
  <c r="P190" i="4"/>
  <c r="AJ190" i="4"/>
  <c r="AK190" i="4"/>
  <c r="BL190" i="4"/>
  <c r="AY190" i="4"/>
  <c r="H190" i="4"/>
  <c r="AN190" i="4"/>
  <c r="AT190" i="4"/>
  <c r="I190" i="4"/>
  <c r="BM190" i="4"/>
  <c r="AG190" i="4"/>
  <c r="AH190" i="4"/>
  <c r="AI190" i="4"/>
  <c r="AW190" i="4"/>
  <c r="AC190" i="4"/>
  <c r="BG190" i="4"/>
  <c r="AS190" i="4"/>
  <c r="BE190" i="4"/>
  <c r="T190" i="4"/>
  <c r="BI190" i="4"/>
  <c r="AP190" i="4"/>
  <c r="R190" i="4"/>
  <c r="AQ190" i="4"/>
  <c r="N190" i="4"/>
  <c r="J190" i="4"/>
  <c r="AB190" i="4"/>
  <c r="AV190" i="4"/>
  <c r="BN190" i="4"/>
  <c r="K190" i="4"/>
  <c r="L190" i="4"/>
  <c r="AA190" i="4"/>
  <c r="Z190" i="4"/>
  <c r="V190" i="4"/>
  <c r="BD190" i="4"/>
  <c r="BB190" i="4"/>
  <c r="BA190" i="4"/>
  <c r="Y190" i="4"/>
  <c r="BC190" i="4"/>
  <c r="U190" i="4"/>
  <c r="AX190" i="4"/>
  <c r="BJ190" i="4"/>
  <c r="BH190" i="4"/>
  <c r="AU190" i="4"/>
  <c r="O190" i="4"/>
  <c r="AF190" i="4"/>
  <c r="Q190" i="4"/>
  <c r="BF190" i="4"/>
  <c r="X190" i="4"/>
  <c r="AE190" i="4"/>
  <c r="W190" i="4"/>
  <c r="AZ190" i="4"/>
  <c r="BJ316" i="4"/>
  <c r="BK313" i="4" s="1"/>
  <c r="BH315" i="4"/>
  <c r="BI312" i="4" s="1"/>
  <c r="F196" i="4" l="1" a="1"/>
  <c r="AN196" i="4" s="1"/>
  <c r="H197" i="4" a="1"/>
  <c r="BI197" i="4" s="1"/>
  <c r="BK316" i="4"/>
  <c r="BL313" i="4" s="1"/>
  <c r="BI315" i="4"/>
  <c r="BJ312" i="4" s="1"/>
  <c r="W196" i="4" l="1"/>
  <c r="BJ197" i="4"/>
  <c r="BB197" i="4"/>
  <c r="N196" i="4"/>
  <c r="J197" i="4"/>
  <c r="AC196" i="4"/>
  <c r="BG196" i="4"/>
  <c r="AF196" i="4"/>
  <c r="BJ196" i="4"/>
  <c r="K196" i="4"/>
  <c r="AS197" i="4"/>
  <c r="BN196" i="4"/>
  <c r="BH196" i="4"/>
  <c r="AT196" i="4"/>
  <c r="AH197" i="4"/>
  <c r="AY197" i="4"/>
  <c r="BM197" i="4"/>
  <c r="Q196" i="4"/>
  <c r="BE196" i="4"/>
  <c r="BC196" i="4"/>
  <c r="K197" i="4"/>
  <c r="AZ197" i="4"/>
  <c r="BA196" i="4"/>
  <c r="AZ196" i="4"/>
  <c r="N197" i="4"/>
  <c r="AV197" i="4"/>
  <c r="AU197" i="4"/>
  <c r="X196" i="4"/>
  <c r="Z197" i="4"/>
  <c r="AI196" i="4"/>
  <c r="L197" i="4"/>
  <c r="AP196" i="4"/>
  <c r="AS196" i="4"/>
  <c r="BA197" i="4"/>
  <c r="T196" i="4"/>
  <c r="BH197" i="4"/>
  <c r="Z196" i="4"/>
  <c r="BN197" i="4"/>
  <c r="O196" i="4"/>
  <c r="BI196" i="4"/>
  <c r="BL196" i="4"/>
  <c r="AF197" i="4"/>
  <c r="AE196" i="4"/>
  <c r="AY196" i="4"/>
  <c r="AU196" i="4"/>
  <c r="BD197" i="4"/>
  <c r="BK197" i="4"/>
  <c r="S197" i="4"/>
  <c r="AM197" i="4"/>
  <c r="M197" i="4"/>
  <c r="AL197" i="4"/>
  <c r="AJ197" i="4"/>
  <c r="AR197" i="4"/>
  <c r="BP197" i="4"/>
  <c r="H197" i="4"/>
  <c r="BO197" i="4"/>
  <c r="AO197" i="4"/>
  <c r="AD197" i="4"/>
  <c r="J196" i="4"/>
  <c r="AG196" i="4"/>
  <c r="AC197" i="4"/>
  <c r="V196" i="4"/>
  <c r="AX196" i="4"/>
  <c r="AK197" i="4"/>
  <c r="H196" i="4"/>
  <c r="AQ196" i="4"/>
  <c r="AG197" i="4"/>
  <c r="R197" i="4"/>
  <c r="V197" i="4"/>
  <c r="AW197" i="4"/>
  <c r="L196" i="4"/>
  <c r="AO196" i="4"/>
  <c r="AD196" i="4"/>
  <c r="F196" i="4"/>
  <c r="BK196" i="4"/>
  <c r="P196" i="4"/>
  <c r="AM196" i="4"/>
  <c r="M196" i="4"/>
  <c r="BP196" i="4"/>
  <c r="G196" i="4"/>
  <c r="AR196" i="4"/>
  <c r="AK196" i="4"/>
  <c r="AJ196" i="4"/>
  <c r="S196" i="4"/>
  <c r="AL196" i="4"/>
  <c r="BO196" i="4"/>
  <c r="AW196" i="4"/>
  <c r="AA196" i="4"/>
  <c r="O197" i="4"/>
  <c r="AB197" i="4"/>
  <c r="BM196" i="4"/>
  <c r="AN197" i="4"/>
  <c r="AX197" i="4"/>
  <c r="AP197" i="4"/>
  <c r="AA197" i="4"/>
  <c r="Y197" i="4"/>
  <c r="BG197" i="4"/>
  <c r="AE197" i="4"/>
  <c r="I197" i="4"/>
  <c r="AV196" i="4"/>
  <c r="AT197" i="4"/>
  <c r="AB196" i="4"/>
  <c r="U196" i="4"/>
  <c r="BD196" i="4"/>
  <c r="Y196" i="4"/>
  <c r="AH196" i="4"/>
  <c r="AQ197" i="4"/>
  <c r="U197" i="4"/>
  <c r="BF197" i="4"/>
  <c r="T197" i="4"/>
  <c r="BB196" i="4"/>
  <c r="Q197" i="4"/>
  <c r="I196" i="4"/>
  <c r="W197" i="4"/>
  <c r="X197" i="4"/>
  <c r="BE197" i="4"/>
  <c r="AI197" i="4"/>
  <c r="BF196" i="4"/>
  <c r="P197" i="4"/>
  <c r="BC197" i="4"/>
  <c r="BL197" i="4"/>
  <c r="R196" i="4"/>
  <c r="BJ315" i="4"/>
  <c r="BK312" i="4" s="1"/>
  <c r="BL316" i="4"/>
  <c r="BM313" i="4" s="1"/>
  <c r="H20" i="4" l="1" a="1"/>
  <c r="BI20" i="4" s="1"/>
  <c r="BM316" i="4"/>
  <c r="BN313" i="4" s="1"/>
  <c r="BK315" i="4"/>
  <c r="BL312" i="4" s="1"/>
  <c r="Z20" i="4" l="1"/>
  <c r="BC20" i="4"/>
  <c r="S20" i="4"/>
  <c r="AA20" i="4"/>
  <c r="AU20" i="4"/>
  <c r="AO20" i="4"/>
  <c r="AF20" i="4"/>
  <c r="BJ20" i="4"/>
  <c r="AY20" i="4"/>
  <c r="K20" i="4"/>
  <c r="AC20" i="4"/>
  <c r="P20" i="4"/>
  <c r="AT20" i="4"/>
  <c r="BE20" i="4"/>
  <c r="I20" i="4"/>
  <c r="AM20" i="4"/>
  <c r="BP20" i="4"/>
  <c r="AG20" i="4"/>
  <c r="AK20" i="4"/>
  <c r="X20" i="4"/>
  <c r="BN20" i="4"/>
  <c r="AI20" i="4"/>
  <c r="AH20" i="4"/>
  <c r="BA20" i="4"/>
  <c r="AD20" i="4"/>
  <c r="AW20" i="4"/>
  <c r="H20" i="4"/>
  <c r="AQ20" i="4"/>
  <c r="AX20" i="4"/>
  <c r="O20" i="4"/>
  <c r="BK20" i="4"/>
  <c r="BL20" i="4"/>
  <c r="AV20" i="4"/>
  <c r="Q20" i="4"/>
  <c r="L20" i="4"/>
  <c r="AZ20" i="4"/>
  <c r="BG20" i="4"/>
  <c r="BF20" i="4"/>
  <c r="BO20" i="4"/>
  <c r="W20" i="4"/>
  <c r="U20" i="4"/>
  <c r="V20" i="4"/>
  <c r="AB20" i="4"/>
  <c r="BH20" i="4"/>
  <c r="AS20" i="4"/>
  <c r="BD20" i="4"/>
  <c r="R20" i="4"/>
  <c r="BM20" i="4"/>
  <c r="N20" i="4"/>
  <c r="AN20" i="4"/>
  <c r="T20" i="4"/>
  <c r="AJ20" i="4"/>
  <c r="AL20" i="4"/>
  <c r="M20" i="4"/>
  <c r="Y20" i="4"/>
  <c r="BB20" i="4"/>
  <c r="AP20" i="4"/>
  <c r="J20" i="4"/>
  <c r="AE20" i="4"/>
  <c r="AR20" i="4"/>
  <c r="BN316" i="4"/>
  <c r="BO313" i="4" s="1"/>
  <c r="BO316" i="4" s="1"/>
  <c r="H325" i="4" s="1" a="1"/>
  <c r="BL315" i="4"/>
  <c r="BM312" i="4" s="1"/>
  <c r="D20" i="4" l="1"/>
  <c r="N23" i="2"/>
  <c r="D6" i="7"/>
  <c r="BM325" i="4"/>
  <c r="BA325" i="4"/>
  <c r="AO325" i="4"/>
  <c r="AC325" i="4"/>
  <c r="Q325" i="4"/>
  <c r="BK325" i="4"/>
  <c r="AY325" i="4"/>
  <c r="AM325" i="4"/>
  <c r="AA325" i="4"/>
  <c r="O325" i="4"/>
  <c r="BH325" i="4"/>
  <c r="AV325" i="4"/>
  <c r="AJ325" i="4"/>
  <c r="X325" i="4"/>
  <c r="L325" i="4"/>
  <c r="BG325" i="4"/>
  <c r="AU325" i="4"/>
  <c r="AI325" i="4"/>
  <c r="W325" i="4"/>
  <c r="K325" i="4"/>
  <c r="BD325" i="4"/>
  <c r="AL325" i="4"/>
  <c r="T325" i="4"/>
  <c r="BC325" i="4"/>
  <c r="AK325" i="4"/>
  <c r="S325" i="4"/>
  <c r="BB325" i="4"/>
  <c r="AH325" i="4"/>
  <c r="R325" i="4"/>
  <c r="AZ325" i="4"/>
  <c r="AG325" i="4"/>
  <c r="P325" i="4"/>
  <c r="AX325" i="4"/>
  <c r="AF325" i="4"/>
  <c r="N325" i="4"/>
  <c r="BO325" i="4"/>
  <c r="AW325" i="4"/>
  <c r="AE325" i="4"/>
  <c r="M325" i="4"/>
  <c r="BN325" i="4"/>
  <c r="AT325" i="4"/>
  <c r="AD325" i="4"/>
  <c r="J325" i="4"/>
  <c r="BL325" i="4"/>
  <c r="AS325" i="4"/>
  <c r="AB325" i="4"/>
  <c r="I325" i="4"/>
  <c r="BI325" i="4"/>
  <c r="H325" i="4"/>
  <c r="BE325" i="4"/>
  <c r="AR325" i="4"/>
  <c r="AQ325" i="4"/>
  <c r="AP325" i="4"/>
  <c r="AN325" i="4"/>
  <c r="Z325" i="4"/>
  <c r="V325" i="4"/>
  <c r="BJ325" i="4"/>
  <c r="BF325" i="4"/>
  <c r="Y325" i="4"/>
  <c r="U325" i="4"/>
  <c r="BM315" i="4"/>
  <c r="BN312" i="4" s="1"/>
  <c r="BN315" i="4" l="1"/>
  <c r="BO312" i="4" s="1"/>
  <c r="BO315" i="4" s="1"/>
  <c r="H324" i="4" s="1" a="1"/>
  <c r="BN324" i="4" l="1"/>
  <c r="BB324" i="4"/>
  <c r="AP324" i="4"/>
  <c r="AD324" i="4"/>
  <c r="R324" i="4"/>
  <c r="BL324" i="4"/>
  <c r="AZ324" i="4"/>
  <c r="AN324" i="4"/>
  <c r="AB324" i="4"/>
  <c r="P324" i="4"/>
  <c r="BI324" i="4"/>
  <c r="AW324" i="4"/>
  <c r="AK324" i="4"/>
  <c r="Y324" i="4"/>
  <c r="M324" i="4"/>
  <c r="BH324" i="4"/>
  <c r="AV324" i="4"/>
  <c r="AJ324" i="4"/>
  <c r="X324" i="4"/>
  <c r="L324" i="4"/>
  <c r="BK324" i="4"/>
  <c r="AS324" i="4"/>
  <c r="AA324" i="4"/>
  <c r="I324" i="4"/>
  <c r="BJ324" i="4"/>
  <c r="AR324" i="4"/>
  <c r="Z324" i="4"/>
  <c r="BG324" i="4"/>
  <c r="AQ324" i="4"/>
  <c r="W324" i="4"/>
  <c r="H324" i="4"/>
  <c r="BF324" i="4"/>
  <c r="AO324" i="4"/>
  <c r="V324" i="4"/>
  <c r="BE324" i="4"/>
  <c r="AM324" i="4"/>
  <c r="U324" i="4"/>
  <c r="BD324" i="4"/>
  <c r="AL324" i="4"/>
  <c r="T324" i="4"/>
  <c r="BC324" i="4"/>
  <c r="AI324" i="4"/>
  <c r="S324" i="4"/>
  <c r="BA324" i="4"/>
  <c r="AH324" i="4"/>
  <c r="Q324" i="4"/>
  <c r="N324" i="4"/>
  <c r="BM324" i="4"/>
  <c r="J324" i="4"/>
  <c r="AY324" i="4"/>
  <c r="AX324" i="4"/>
  <c r="AU324" i="4"/>
  <c r="AT324" i="4"/>
  <c r="AG324" i="4"/>
  <c r="AE324" i="4"/>
  <c r="AC324" i="4"/>
  <c r="O324" i="4"/>
  <c r="K324" i="4"/>
  <c r="BO324" i="4"/>
  <c r="AF324" i="4"/>
  <c r="H326" i="4" l="1" a="1"/>
  <c r="BL326" i="4" s="1"/>
  <c r="AU326" i="4" l="1"/>
  <c r="M326" i="4"/>
  <c r="AE326" i="4"/>
  <c r="N326" i="4"/>
  <c r="J326" i="4"/>
  <c r="O326" i="4"/>
  <c r="R326" i="4"/>
  <c r="AW326" i="4"/>
  <c r="BO326" i="4"/>
  <c r="Q326" i="4"/>
  <c r="S326" i="4"/>
  <c r="V326" i="4"/>
  <c r="X326" i="4"/>
  <c r="AP326" i="4"/>
  <c r="BF326" i="4"/>
  <c r="AB326" i="4"/>
  <c r="AA326" i="4"/>
  <c r="AR326" i="4"/>
  <c r="U326" i="4"/>
  <c r="AL326" i="4"/>
  <c r="AC326" i="4"/>
  <c r="AH326" i="4"/>
  <c r="AG326" i="4"/>
  <c r="P326" i="4"/>
  <c r="H326" i="4"/>
  <c r="AN326" i="4"/>
  <c r="T326" i="4"/>
  <c r="AM326" i="4"/>
  <c r="BD326" i="4"/>
  <c r="BK326" i="4"/>
  <c r="AO326" i="4"/>
  <c r="AX326" i="4"/>
  <c r="AS326" i="4"/>
  <c r="BM326" i="4"/>
  <c r="AJ326" i="4"/>
  <c r="L326" i="4"/>
  <c r="AK326" i="4"/>
  <c r="AD326" i="4"/>
  <c r="K326" i="4"/>
  <c r="AY326" i="4"/>
  <c r="Y326" i="4"/>
  <c r="AV326" i="4"/>
  <c r="W326" i="4"/>
  <c r="AZ326" i="4"/>
  <c r="BI326" i="4"/>
  <c r="BG326" i="4"/>
  <c r="BA326" i="4"/>
  <c r="BC326" i="4"/>
  <c r="Z326" i="4"/>
  <c r="I326" i="4"/>
  <c r="BE326" i="4"/>
  <c r="AF326" i="4"/>
  <c r="BJ326" i="4"/>
  <c r="AT326" i="4"/>
  <c r="BH326" i="4"/>
  <c r="BB326" i="4"/>
  <c r="AQ326" i="4"/>
  <c r="BN326" i="4"/>
  <c r="AI326" i="4"/>
  <c r="N31" i="2" l="1"/>
  <c r="D11" i="7"/>
  <c r="F20" i="5"/>
  <c r="E20" i="5" s="1"/>
  <c r="G346" i="4" l="1" a="1"/>
  <c r="H228" i="4" a="1"/>
  <c r="H228" i="4"/>
  <c r="H230" i="4"/>
  <c r="I228" i="4"/>
  <c r="I230" i="4"/>
  <c r="J228" i="4"/>
  <c r="J230" i="4"/>
  <c r="K228" i="4"/>
  <c r="K230" i="4"/>
  <c r="L228" i="4"/>
  <c r="L230" i="4"/>
  <c r="M228" i="4"/>
  <c r="M230" i="4"/>
  <c r="N228" i="4"/>
  <c r="N230" i="4"/>
  <c r="O228" i="4"/>
  <c r="O230" i="4"/>
  <c r="P228" i="4"/>
  <c r="P230" i="4"/>
  <c r="Q228" i="4"/>
  <c r="Q230" i="4"/>
  <c r="R228" i="4"/>
  <c r="R230" i="4"/>
  <c r="S228" i="4"/>
  <c r="S230" i="4"/>
  <c r="T228" i="4"/>
  <c r="G346" i="4"/>
  <c r="H243" i="4" a="1"/>
  <c r="R243" i="4"/>
  <c r="Q243" i="4"/>
  <c r="P243" i="4"/>
  <c r="O243" i="4"/>
  <c r="H243" i="4"/>
  <c r="S243" i="4"/>
  <c r="N243" i="4"/>
  <c r="M243" i="4"/>
  <c r="L243" i="4"/>
  <c r="I243" i="4"/>
  <c r="K243" i="4"/>
  <c r="J243" i="4"/>
  <c r="H233" i="4" a="1"/>
  <c r="P233" i="4"/>
  <c r="I233" i="4"/>
  <c r="M233" i="4"/>
  <c r="N233" i="4"/>
  <c r="O233" i="4"/>
  <c r="J233" i="4"/>
  <c r="S233" i="4"/>
  <c r="K233" i="4"/>
  <c r="H233" i="4"/>
  <c r="L233" i="4"/>
  <c r="Q233" i="4"/>
  <c r="R233" i="4"/>
  <c r="H352" i="4" a="1"/>
  <c r="H22" i="4" a="1"/>
  <c r="H26" i="4" a="1"/>
  <c r="H234" i="4" a="1"/>
  <c r="J234" i="4"/>
  <c r="J235" i="4"/>
  <c r="R234" i="4"/>
  <c r="F13" i="5"/>
  <c r="R235" i="4"/>
  <c r="O234" i="4"/>
  <c r="O235" i="4"/>
  <c r="Q234" i="4"/>
  <c r="Q235" i="4"/>
  <c r="M234" i="4"/>
  <c r="M235" i="4"/>
  <c r="N234" i="4"/>
  <c r="N235" i="4"/>
  <c r="I234" i="4"/>
  <c r="I235" i="4"/>
  <c r="S234" i="4"/>
  <c r="S235" i="4"/>
  <c r="H234" i="4"/>
  <c r="H235" i="4"/>
  <c r="L234" i="4"/>
  <c r="L235" i="4"/>
  <c r="K234" i="4"/>
  <c r="K235" i="4"/>
  <c r="P234" i="4"/>
  <c r="P235" i="4"/>
  <c r="E13" i="5"/>
  <c r="H244" i="4" a="1"/>
  <c r="J244" i="4"/>
  <c r="R244" i="4"/>
  <c r="S244" i="4"/>
  <c r="K244" i="4"/>
  <c r="N244" i="4"/>
  <c r="I244" i="4"/>
  <c r="H244" i="4"/>
  <c r="L244" i="4"/>
  <c r="Q244" i="4"/>
  <c r="P244" i="4"/>
  <c r="O244" i="4"/>
  <c r="M244" i="4"/>
  <c r="H245" i="4" a="1"/>
  <c r="H245" i="4"/>
  <c r="H346" i="4"/>
  <c r="H351" i="4"/>
  <c r="H352" i="4"/>
  <c r="H249" i="4"/>
  <c r="I245" i="4"/>
  <c r="I249" i="4"/>
  <c r="J245" i="4"/>
  <c r="J249" i="4"/>
  <c r="K245" i="4"/>
  <c r="K249" i="4"/>
  <c r="L245" i="4"/>
  <c r="L249" i="4"/>
  <c r="M245" i="4"/>
  <c r="M249" i="4"/>
  <c r="N245" i="4"/>
  <c r="N249" i="4"/>
  <c r="O245" i="4"/>
  <c r="O249" i="4"/>
  <c r="P245" i="4"/>
  <c r="P249" i="4"/>
  <c r="Q245" i="4"/>
  <c r="Q249" i="4"/>
  <c r="R245" i="4"/>
  <c r="R249" i="4"/>
  <c r="S245" i="4"/>
  <c r="S249" i="4"/>
  <c r="T262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63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64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65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66" i="4"/>
  <c r="T229" i="4" s="1"/>
  <c r="H254" i="4"/>
  <c r="I254" i="4"/>
  <c r="J254" i="4"/>
  <c r="K254" i="4"/>
  <c r="L254" i="4"/>
  <c r="M254" i="4"/>
  <c r="N254" i="4"/>
  <c r="O254" i="4"/>
  <c r="P254" i="4"/>
  <c r="Q254" i="4"/>
  <c r="R254" i="4"/>
  <c r="S254" i="4"/>
  <c r="T267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68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69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T270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71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72" i="4"/>
  <c r="M346" i="4"/>
  <c r="M351" i="4"/>
  <c r="M352" i="4"/>
  <c r="F14" i="5"/>
  <c r="E14" i="5"/>
  <c r="L346" i="4"/>
  <c r="L351" i="4"/>
  <c r="L352" i="4"/>
  <c r="K346" i="4"/>
  <c r="K351" i="4"/>
  <c r="K352" i="4"/>
  <c r="J346" i="4"/>
  <c r="J351" i="4"/>
  <c r="J352" i="4"/>
  <c r="N346" i="4"/>
  <c r="N351" i="4"/>
  <c r="N352" i="4"/>
  <c r="O346" i="4"/>
  <c r="O351" i="4"/>
  <c r="O352" i="4"/>
  <c r="S346" i="4"/>
  <c r="S351" i="4"/>
  <c r="S352" i="4"/>
  <c r="R346" i="4"/>
  <c r="R351" i="4"/>
  <c r="R352" i="4"/>
  <c r="P346" i="4"/>
  <c r="P351" i="4"/>
  <c r="P352" i="4"/>
  <c r="Q346" i="4"/>
  <c r="Q351" i="4"/>
  <c r="Q352" i="4"/>
  <c r="I346" i="4"/>
  <c r="I351" i="4"/>
  <c r="I352" i="4"/>
  <c r="H21" i="4" a="1"/>
  <c r="H21" i="4"/>
  <c r="I21" i="4"/>
  <c r="J21" i="4"/>
  <c r="K21" i="4"/>
  <c r="L21" i="4"/>
  <c r="M21" i="4"/>
  <c r="N21" i="4"/>
  <c r="O21" i="4"/>
  <c r="P21" i="4"/>
  <c r="Q21" i="4"/>
  <c r="R21" i="4"/>
  <c r="S21" i="4"/>
  <c r="I22" i="4"/>
  <c r="I26" i="4"/>
  <c r="S22" i="4"/>
  <c r="S26" i="4"/>
  <c r="R22" i="4"/>
  <c r="R26" i="4"/>
  <c r="K22" i="4"/>
  <c r="K26" i="4"/>
  <c r="L22" i="4"/>
  <c r="L26" i="4"/>
  <c r="M22" i="4"/>
  <c r="M26" i="4"/>
  <c r="H22" i="4"/>
  <c r="H26" i="4"/>
  <c r="J22" i="4"/>
  <c r="J26" i="4"/>
  <c r="N22" i="4"/>
  <c r="N26" i="4"/>
  <c r="O22" i="4"/>
  <c r="O26" i="4"/>
  <c r="P22" i="4"/>
  <c r="P26" i="4"/>
  <c r="Q22" i="4"/>
  <c r="Q26" i="4"/>
  <c r="T230" i="4" l="1"/>
  <c r="F15" i="5"/>
  <c r="E15" i="5" s="1"/>
  <c r="U228" i="4" l="1"/>
  <c r="U230" i="4" s="1"/>
  <c r="T233" i="4"/>
  <c r="T243" i="4"/>
  <c r="T234" i="4" l="1"/>
  <c r="T244" i="4" s="1"/>
  <c r="U233" i="4"/>
  <c r="V228" i="4"/>
  <c r="V230" i="4" s="1"/>
  <c r="U243" i="4"/>
  <c r="W228" i="4" l="1"/>
  <c r="W230" i="4" s="1"/>
  <c r="V233" i="4"/>
  <c r="V243" i="4"/>
  <c r="U234" i="4"/>
  <c r="U244" i="4" s="1"/>
  <c r="U245" i="4" s="1"/>
  <c r="T235" i="4"/>
  <c r="T245" i="4"/>
  <c r="U235" i="4" l="1"/>
  <c r="T259" i="4"/>
  <c r="T250" i="4"/>
  <c r="T251" i="4"/>
  <c r="T252" i="4"/>
  <c r="T253" i="4"/>
  <c r="T254" i="4"/>
  <c r="T255" i="4"/>
  <c r="T256" i="4"/>
  <c r="T257" i="4"/>
  <c r="T258" i="4"/>
  <c r="T346" i="4"/>
  <c r="T351" i="4" s="1"/>
  <c r="T352" i="4" s="1"/>
  <c r="T21" i="4" s="1"/>
  <c r="T249" i="4"/>
  <c r="U258" i="4"/>
  <c r="U259" i="4"/>
  <c r="U250" i="4"/>
  <c r="U249" i="4"/>
  <c r="U251" i="4"/>
  <c r="U252" i="4"/>
  <c r="U253" i="4"/>
  <c r="U254" i="4"/>
  <c r="U255" i="4"/>
  <c r="U256" i="4"/>
  <c r="U257" i="4"/>
  <c r="U346" i="4"/>
  <c r="U351" i="4" s="1"/>
  <c r="U352" i="4" s="1"/>
  <c r="U21" i="4" s="1"/>
  <c r="U22" i="4" s="1"/>
  <c r="U26" i="4" s="1"/>
  <c r="V234" i="4"/>
  <c r="V244" i="4" s="1"/>
  <c r="V245" i="4" s="1"/>
  <c r="W233" i="4"/>
  <c r="W243" i="4"/>
  <c r="X228" i="4"/>
  <c r="X230" i="4" s="1"/>
  <c r="V257" i="4" l="1"/>
  <c r="V258" i="4"/>
  <c r="V259" i="4"/>
  <c r="V250" i="4"/>
  <c r="V251" i="4"/>
  <c r="V252" i="4"/>
  <c r="V253" i="4"/>
  <c r="V254" i="4"/>
  <c r="V255" i="4"/>
  <c r="V249" i="4"/>
  <c r="V346" i="4"/>
  <c r="V351" i="4" s="1"/>
  <c r="V352" i="4" s="1"/>
  <c r="V21" i="4" s="1"/>
  <c r="V22" i="4" s="1"/>
  <c r="V26" i="4" s="1"/>
  <c r="V256" i="4"/>
  <c r="Y228" i="4"/>
  <c r="Y230" i="4" s="1"/>
  <c r="X243" i="4"/>
  <c r="X233" i="4"/>
  <c r="W234" i="4"/>
  <c r="W244" i="4" s="1"/>
  <c r="W245" i="4" s="1"/>
  <c r="V235" i="4"/>
  <c r="T22" i="4"/>
  <c r="T26" i="4" s="1"/>
  <c r="W235" i="4" l="1"/>
  <c r="Y243" i="4"/>
  <c r="Z228" i="4"/>
  <c r="Z230" i="4" s="1"/>
  <c r="Y233" i="4"/>
  <c r="W256" i="4"/>
  <c r="W257" i="4"/>
  <c r="W258" i="4"/>
  <c r="W259" i="4"/>
  <c r="W249" i="4"/>
  <c r="W250" i="4"/>
  <c r="W251" i="4"/>
  <c r="W252" i="4"/>
  <c r="W253" i="4"/>
  <c r="W254" i="4"/>
  <c r="W346" i="4"/>
  <c r="W351" i="4" s="1"/>
  <c r="W352" i="4" s="1"/>
  <c r="W21" i="4" s="1"/>
  <c r="W22" i="4" s="1"/>
  <c r="W26" i="4" s="1"/>
  <c r="W255" i="4"/>
  <c r="X234" i="4"/>
  <c r="X244" i="4" s="1"/>
  <c r="X245" i="4" s="1"/>
  <c r="X235" i="4" l="1"/>
  <c r="X255" i="4"/>
  <c r="X256" i="4"/>
  <c r="X257" i="4"/>
  <c r="X258" i="4"/>
  <c r="X259" i="4"/>
  <c r="X250" i="4"/>
  <c r="X251" i="4"/>
  <c r="X249" i="4"/>
  <c r="X252" i="4"/>
  <c r="X253" i="4"/>
  <c r="X346" i="4"/>
  <c r="X351" i="4" s="1"/>
  <c r="X352" i="4" s="1"/>
  <c r="X21" i="4" s="1"/>
  <c r="X22" i="4" s="1"/>
  <c r="X26" i="4" s="1"/>
  <c r="X254" i="4"/>
  <c r="Y234" i="4"/>
  <c r="Y244" i="4" s="1"/>
  <c r="Y245" i="4" s="1"/>
  <c r="AA228" i="4"/>
  <c r="AA230" i="4" s="1"/>
  <c r="Z233" i="4"/>
  <c r="Z243" i="4"/>
  <c r="AA233" i="4" l="1"/>
  <c r="AB228" i="4"/>
  <c r="AB230" i="4" s="1"/>
  <c r="AA243" i="4"/>
  <c r="Z234" i="4"/>
  <c r="Z244" i="4" s="1"/>
  <c r="Z245" i="4" s="1"/>
  <c r="Y254" i="4"/>
  <c r="Y255" i="4"/>
  <c r="Y256" i="4"/>
  <c r="Y249" i="4"/>
  <c r="Y257" i="4"/>
  <c r="Y258" i="4"/>
  <c r="Y259" i="4"/>
  <c r="Y250" i="4"/>
  <c r="Y251" i="4"/>
  <c r="Y252" i="4"/>
  <c r="Y253" i="4"/>
  <c r="Y346" i="4"/>
  <c r="Y351" i="4" s="1"/>
  <c r="Y352" i="4" s="1"/>
  <c r="Y21" i="4" s="1"/>
  <c r="Y22" i="4" s="1"/>
  <c r="Y26" i="4" s="1"/>
  <c r="Y235" i="4"/>
  <c r="Z253" i="4" l="1"/>
  <c r="Z254" i="4"/>
  <c r="Z255" i="4"/>
  <c r="Z256" i="4"/>
  <c r="Z257" i="4"/>
  <c r="Z258" i="4"/>
  <c r="Z259" i="4"/>
  <c r="Z249" i="4"/>
  <c r="Z250" i="4"/>
  <c r="Z251" i="4"/>
  <c r="Z346" i="4"/>
  <c r="Z351" i="4" s="1"/>
  <c r="Z352" i="4" s="1"/>
  <c r="Z21" i="4" s="1"/>
  <c r="Z22" i="4" s="1"/>
  <c r="Z26" i="4" s="1"/>
  <c r="Z252" i="4"/>
  <c r="Z235" i="4"/>
  <c r="AB233" i="4"/>
  <c r="AB243" i="4"/>
  <c r="AC228" i="4"/>
  <c r="AC230" i="4" s="1"/>
  <c r="AA234" i="4"/>
  <c r="AA244" i="4" s="1"/>
  <c r="AA245" i="4" s="1"/>
  <c r="AA235" i="4" l="1"/>
  <c r="AA252" i="4"/>
  <c r="AA249" i="4"/>
  <c r="AA253" i="4"/>
  <c r="AA254" i="4"/>
  <c r="AA255" i="4"/>
  <c r="AA256" i="4"/>
  <c r="AA257" i="4"/>
  <c r="AA258" i="4"/>
  <c r="AA259" i="4"/>
  <c r="AA250" i="4"/>
  <c r="AA251" i="4"/>
  <c r="AA346" i="4"/>
  <c r="AA351" i="4" s="1"/>
  <c r="AA352" i="4" s="1"/>
  <c r="AA21" i="4" s="1"/>
  <c r="AA22" i="4" s="1"/>
  <c r="AA26" i="4" s="1"/>
  <c r="AB234" i="4"/>
  <c r="AB244" i="4" s="1"/>
  <c r="AB245" i="4" s="1"/>
  <c r="AD228" i="4"/>
  <c r="AD230" i="4" s="1"/>
  <c r="AC233" i="4"/>
  <c r="AC243" i="4"/>
  <c r="AC234" i="4" l="1"/>
  <c r="AC244" i="4" s="1"/>
  <c r="AC245" i="4" s="1"/>
  <c r="AB235" i="4"/>
  <c r="AD233" i="4"/>
  <c r="AE228" i="4"/>
  <c r="AE230" i="4" s="1"/>
  <c r="AD243" i="4"/>
  <c r="AB251" i="4"/>
  <c r="AB252" i="4"/>
  <c r="AB253" i="4"/>
  <c r="AB254" i="4"/>
  <c r="AB255" i="4"/>
  <c r="AB256" i="4"/>
  <c r="AB257" i="4"/>
  <c r="AB249" i="4"/>
  <c r="AB258" i="4"/>
  <c r="AB259" i="4"/>
  <c r="AB250" i="4"/>
  <c r="AB346" i="4"/>
  <c r="AB351" i="4" s="1"/>
  <c r="AB352" i="4" s="1"/>
  <c r="AB21" i="4" s="1"/>
  <c r="AB22" i="4" s="1"/>
  <c r="AB26" i="4" s="1"/>
  <c r="AF228" i="4" l="1"/>
  <c r="AE233" i="4"/>
  <c r="AE243" i="4"/>
  <c r="AD234" i="4"/>
  <c r="AD244" i="4" s="1"/>
  <c r="AD245" i="4" s="1"/>
  <c r="AC235" i="4"/>
  <c r="AC250" i="4"/>
  <c r="AC249" i="4"/>
  <c r="AC251" i="4"/>
  <c r="AC252" i="4"/>
  <c r="AC253" i="4"/>
  <c r="AC254" i="4"/>
  <c r="AC255" i="4"/>
  <c r="AC256" i="4"/>
  <c r="AC257" i="4"/>
  <c r="AC258" i="4"/>
  <c r="AC259" i="4"/>
  <c r="AC346" i="4"/>
  <c r="AC351" i="4" s="1"/>
  <c r="AC352" i="4" s="1"/>
  <c r="AC21" i="4" s="1"/>
  <c r="AC22" i="4" s="1"/>
  <c r="AC26" i="4" s="1"/>
  <c r="AD250" i="4" l="1"/>
  <c r="AD251" i="4"/>
  <c r="AD252" i="4"/>
  <c r="AD253" i="4"/>
  <c r="AD254" i="4"/>
  <c r="AD255" i="4"/>
  <c r="AD249" i="4"/>
  <c r="AD256" i="4"/>
  <c r="AD257" i="4"/>
  <c r="AD258" i="4"/>
  <c r="AD259" i="4"/>
  <c r="AD346" i="4"/>
  <c r="AD351" i="4" s="1"/>
  <c r="AD352" i="4" s="1"/>
  <c r="AD21" i="4" s="1"/>
  <c r="AD22" i="4" s="1"/>
  <c r="AD26" i="4" s="1"/>
  <c r="AE234" i="4"/>
  <c r="AE244" i="4" s="1"/>
  <c r="AE245" i="4" s="1"/>
  <c r="AD235" i="4"/>
  <c r="AE249" i="4" l="1"/>
  <c r="AF262" i="4" s="1"/>
  <c r="AE250" i="4"/>
  <c r="AF263" i="4" s="1"/>
  <c r="AE251" i="4"/>
  <c r="AF264" i="4" s="1"/>
  <c r="AE252" i="4"/>
  <c r="AF265" i="4" s="1"/>
  <c r="AE253" i="4"/>
  <c r="AF266" i="4" s="1"/>
  <c r="AE254" i="4"/>
  <c r="AF267" i="4" s="1"/>
  <c r="AE255" i="4"/>
  <c r="AF268" i="4" s="1"/>
  <c r="AE256" i="4"/>
  <c r="AF269" i="4" s="1"/>
  <c r="AE257" i="4"/>
  <c r="AF270" i="4" s="1"/>
  <c r="AE258" i="4"/>
  <c r="AF271" i="4" s="1"/>
  <c r="AE259" i="4"/>
  <c r="AF272" i="4" s="1"/>
  <c r="AE346" i="4"/>
  <c r="AE351" i="4" s="1"/>
  <c r="AE352" i="4" s="1"/>
  <c r="AE21" i="4" s="1"/>
  <c r="AE22" i="4" s="1"/>
  <c r="AE26" i="4" s="1"/>
  <c r="AE235" i="4"/>
  <c r="AF229" i="4" l="1"/>
  <c r="AF230" i="4" s="1"/>
  <c r="AG228" i="4" l="1"/>
  <c r="AG230" i="4" s="1"/>
  <c r="AF233" i="4"/>
  <c r="AF243" i="4"/>
  <c r="AF234" i="4" l="1"/>
  <c r="AF244" i="4" s="1"/>
  <c r="AF245" i="4" s="1"/>
  <c r="AG233" i="4"/>
  <c r="AH228" i="4"/>
  <c r="AH230" i="4" s="1"/>
  <c r="AG243" i="4"/>
  <c r="AI228" i="4" l="1"/>
  <c r="AI230" i="4" s="1"/>
  <c r="AH233" i="4"/>
  <c r="AH243" i="4"/>
  <c r="AG234" i="4"/>
  <c r="AG244" i="4" s="1"/>
  <c r="AG245" i="4" s="1"/>
  <c r="AF235" i="4"/>
  <c r="AF257" i="4"/>
  <c r="AF249" i="4"/>
  <c r="AF259" i="4"/>
  <c r="AF250" i="4"/>
  <c r="AF251" i="4"/>
  <c r="AF253" i="4"/>
  <c r="AF254" i="4"/>
  <c r="AF255" i="4"/>
  <c r="AF252" i="4"/>
  <c r="AF258" i="4"/>
  <c r="AF256" i="4"/>
  <c r="AF346" i="4"/>
  <c r="AF351" i="4" s="1"/>
  <c r="AF352" i="4" s="1"/>
  <c r="AF21" i="4" s="1"/>
  <c r="AF22" i="4" s="1"/>
  <c r="AF26" i="4" s="1"/>
  <c r="AG235" i="4" l="1"/>
  <c r="AH234" i="4"/>
  <c r="AH244" i="4" s="1"/>
  <c r="AH245" i="4" s="1"/>
  <c r="AG256" i="4"/>
  <c r="AG258" i="4"/>
  <c r="AG250" i="4"/>
  <c r="AG249" i="4"/>
  <c r="AG252" i="4"/>
  <c r="AG253" i="4"/>
  <c r="AG254" i="4"/>
  <c r="AG259" i="4"/>
  <c r="AG346" i="4"/>
  <c r="AG351" i="4" s="1"/>
  <c r="AG352" i="4" s="1"/>
  <c r="AG21" i="4" s="1"/>
  <c r="AG22" i="4" s="1"/>
  <c r="AG26" i="4" s="1"/>
  <c r="AG257" i="4"/>
  <c r="AG255" i="4"/>
  <c r="AG251" i="4"/>
  <c r="AI233" i="4"/>
  <c r="AI243" i="4"/>
  <c r="AJ228" i="4"/>
  <c r="AJ230" i="4" s="1"/>
  <c r="AH255" i="4" l="1"/>
  <c r="AH249" i="4"/>
  <c r="AH257" i="4"/>
  <c r="AH259" i="4"/>
  <c r="AH251" i="4"/>
  <c r="AH252" i="4"/>
  <c r="AH253" i="4"/>
  <c r="AH250" i="4"/>
  <c r="AH346" i="4"/>
  <c r="AH351" i="4" s="1"/>
  <c r="AH352" i="4" s="1"/>
  <c r="AH21" i="4" s="1"/>
  <c r="AH22" i="4" s="1"/>
  <c r="AH26" i="4" s="1"/>
  <c r="AH258" i="4"/>
  <c r="AH256" i="4"/>
  <c r="AH254" i="4"/>
  <c r="AI234" i="4"/>
  <c r="AI244" i="4" s="1"/>
  <c r="AI245" i="4" s="1"/>
  <c r="AK228" i="4"/>
  <c r="AK230" i="4" s="1"/>
  <c r="AJ243" i="4"/>
  <c r="AJ233" i="4"/>
  <c r="AH235" i="4"/>
  <c r="AJ234" i="4" l="1"/>
  <c r="AJ244" i="4" s="1"/>
  <c r="AJ245" i="4" s="1"/>
  <c r="AK233" i="4"/>
  <c r="AL228" i="4"/>
  <c r="AL230" i="4" s="1"/>
  <c r="AK243" i="4"/>
  <c r="AI235" i="4"/>
  <c r="AI254" i="4"/>
  <c r="AI256" i="4"/>
  <c r="AI258" i="4"/>
  <c r="AI259" i="4"/>
  <c r="AI249" i="4"/>
  <c r="AI250" i="4"/>
  <c r="AI251" i="4"/>
  <c r="AI252" i="4"/>
  <c r="AI346" i="4"/>
  <c r="AI351" i="4" s="1"/>
  <c r="AI352" i="4" s="1"/>
  <c r="AI21" i="4" s="1"/>
  <c r="AI22" i="4" s="1"/>
  <c r="AI26" i="4" s="1"/>
  <c r="AI257" i="4"/>
  <c r="AI255" i="4"/>
  <c r="AI253" i="4"/>
  <c r="AJ235" i="4" l="1"/>
  <c r="AM228" i="4"/>
  <c r="AM230" i="4" s="1"/>
  <c r="AL233" i="4"/>
  <c r="AL243" i="4"/>
  <c r="AK234" i="4"/>
  <c r="AK244" i="4" s="1"/>
  <c r="AK245" i="4" s="1"/>
  <c r="AJ253" i="4"/>
  <c r="AJ255" i="4"/>
  <c r="AJ257" i="4"/>
  <c r="AJ258" i="4"/>
  <c r="AJ259" i="4"/>
  <c r="AJ250" i="4"/>
  <c r="AJ251" i="4"/>
  <c r="AJ346" i="4"/>
  <c r="AJ351" i="4" s="1"/>
  <c r="AJ352" i="4" s="1"/>
  <c r="AJ21" i="4" s="1"/>
  <c r="AJ22" i="4" s="1"/>
  <c r="AJ26" i="4" s="1"/>
  <c r="AJ254" i="4"/>
  <c r="AJ252" i="4"/>
  <c r="AJ249" i="4"/>
  <c r="AJ256" i="4"/>
  <c r="AK235" i="4" l="1"/>
  <c r="AL234" i="4"/>
  <c r="AL244" i="4" s="1"/>
  <c r="AL245" i="4" s="1"/>
  <c r="AK252" i="4"/>
  <c r="AK254" i="4"/>
  <c r="AK256" i="4"/>
  <c r="AK249" i="4"/>
  <c r="AK257" i="4"/>
  <c r="AK258" i="4"/>
  <c r="AK250" i="4"/>
  <c r="AK346" i="4"/>
  <c r="AK351" i="4" s="1"/>
  <c r="AK352" i="4" s="1"/>
  <c r="AK21" i="4" s="1"/>
  <c r="AK22" i="4" s="1"/>
  <c r="AK26" i="4" s="1"/>
  <c r="AK259" i="4"/>
  <c r="AK255" i="4"/>
  <c r="AK253" i="4"/>
  <c r="AK251" i="4"/>
  <c r="AM233" i="4"/>
  <c r="AN228" i="4"/>
  <c r="AN230" i="4" s="1"/>
  <c r="AM243" i="4"/>
  <c r="AL251" i="4" l="1"/>
  <c r="AL253" i="4"/>
  <c r="AL255" i="4"/>
  <c r="AL256" i="4"/>
  <c r="AL257" i="4"/>
  <c r="AL259" i="4"/>
  <c r="AL254" i="4"/>
  <c r="AL346" i="4"/>
  <c r="AL351" i="4" s="1"/>
  <c r="AL352" i="4" s="1"/>
  <c r="AL21" i="4" s="1"/>
  <c r="AL22" i="4" s="1"/>
  <c r="AL26" i="4" s="1"/>
  <c r="AL252" i="4"/>
  <c r="AL250" i="4"/>
  <c r="AL249" i="4"/>
  <c r="AL258" i="4"/>
  <c r="AN233" i="4"/>
  <c r="AN243" i="4"/>
  <c r="AO228" i="4"/>
  <c r="AO230" i="4" s="1"/>
  <c r="AM234" i="4"/>
  <c r="AM244" i="4" s="1"/>
  <c r="AM245" i="4" s="1"/>
  <c r="AL235" i="4"/>
  <c r="AM235" i="4" l="1"/>
  <c r="AM250" i="4"/>
  <c r="AM252" i="4"/>
  <c r="AM254" i="4"/>
  <c r="AM249" i="4"/>
  <c r="AM255" i="4"/>
  <c r="AM256" i="4"/>
  <c r="AM258" i="4"/>
  <c r="AM251" i="4"/>
  <c r="AM259" i="4"/>
  <c r="AM257" i="4"/>
  <c r="AM346" i="4"/>
  <c r="AM351" i="4" s="1"/>
  <c r="AM352" i="4" s="1"/>
  <c r="AM21" i="4" s="1"/>
  <c r="AM22" i="4" s="1"/>
  <c r="AM26" i="4" s="1"/>
  <c r="AM253" i="4"/>
  <c r="AP228" i="4"/>
  <c r="AP230" i="4" s="1"/>
  <c r="AO233" i="4"/>
  <c r="AO243" i="4"/>
  <c r="AN234" i="4"/>
  <c r="AN244" i="4" s="1"/>
  <c r="AN245" i="4" s="1"/>
  <c r="AN235" i="4" l="1"/>
  <c r="AN251" i="4"/>
  <c r="AN253" i="4"/>
  <c r="AN254" i="4"/>
  <c r="AN255" i="4"/>
  <c r="AN257" i="4"/>
  <c r="AN259" i="4"/>
  <c r="AN249" i="4"/>
  <c r="AN256" i="4"/>
  <c r="AN252" i="4"/>
  <c r="AN250" i="4"/>
  <c r="AN258" i="4"/>
  <c r="AN346" i="4"/>
  <c r="AN351" i="4" s="1"/>
  <c r="AN352" i="4" s="1"/>
  <c r="AN21" i="4" s="1"/>
  <c r="AN22" i="4" s="1"/>
  <c r="AN26" i="4" s="1"/>
  <c r="AO234" i="4"/>
  <c r="AO244" i="4" s="1"/>
  <c r="AO245" i="4" s="1"/>
  <c r="AP233" i="4"/>
  <c r="AQ228" i="4"/>
  <c r="AQ230" i="4" s="1"/>
  <c r="AP243" i="4"/>
  <c r="AR228" i="4" l="1"/>
  <c r="AQ233" i="4"/>
  <c r="AQ243" i="4"/>
  <c r="AP234" i="4"/>
  <c r="AP244" i="4" s="1"/>
  <c r="AP245" i="4" s="1"/>
  <c r="AO235" i="4"/>
  <c r="AO250" i="4"/>
  <c r="AO252" i="4"/>
  <c r="AO346" i="4"/>
  <c r="AO351" i="4" s="1"/>
  <c r="AO352" i="4" s="1"/>
  <c r="AO21" i="4" s="1"/>
  <c r="AO22" i="4" s="1"/>
  <c r="AO26" i="4" s="1"/>
  <c r="AO249" i="4"/>
  <c r="AO253" i="4"/>
  <c r="AO254" i="4"/>
  <c r="AO256" i="4"/>
  <c r="AO258" i="4"/>
  <c r="AO251" i="4"/>
  <c r="AO259" i="4"/>
  <c r="AO257" i="4"/>
  <c r="AO255" i="4"/>
  <c r="AP259" i="4" l="1"/>
  <c r="AP251" i="4"/>
  <c r="AP252" i="4"/>
  <c r="AP253" i="4"/>
  <c r="AP255" i="4"/>
  <c r="AP249" i="4"/>
  <c r="AP257" i="4"/>
  <c r="AP258" i="4"/>
  <c r="AP256" i="4"/>
  <c r="AP254" i="4"/>
  <c r="AP346" i="4"/>
  <c r="AP351" i="4" s="1"/>
  <c r="AP352" i="4" s="1"/>
  <c r="AP21" i="4" s="1"/>
  <c r="AP22" i="4" s="1"/>
  <c r="AP26" i="4" s="1"/>
  <c r="AP250" i="4"/>
  <c r="AP235" i="4"/>
  <c r="AQ234" i="4"/>
  <c r="AQ244" i="4" s="1"/>
  <c r="AQ245" i="4" s="1"/>
  <c r="AQ235" i="4" l="1"/>
  <c r="AQ258" i="4"/>
  <c r="AR271" i="4" s="1"/>
  <c r="AQ250" i="4"/>
  <c r="AR263" i="4" s="1"/>
  <c r="AQ251" i="4"/>
  <c r="AR264" i="4" s="1"/>
  <c r="AQ252" i="4"/>
  <c r="AR265" i="4" s="1"/>
  <c r="AQ254" i="4"/>
  <c r="AR267" i="4" s="1"/>
  <c r="AQ346" i="4"/>
  <c r="AQ351" i="4" s="1"/>
  <c r="AQ352" i="4" s="1"/>
  <c r="AQ21" i="4" s="1"/>
  <c r="AQ22" i="4" s="1"/>
  <c r="AQ26" i="4" s="1"/>
  <c r="AQ256" i="4"/>
  <c r="AR269" i="4" s="1"/>
  <c r="AQ249" i="4"/>
  <c r="AR262" i="4" s="1"/>
  <c r="AQ259" i="4"/>
  <c r="AR272" i="4" s="1"/>
  <c r="AQ257" i="4"/>
  <c r="AR270" i="4" s="1"/>
  <c r="AQ255" i="4"/>
  <c r="AR268" i="4" s="1"/>
  <c r="AQ253" i="4"/>
  <c r="AR266" i="4" s="1"/>
  <c r="AR229" i="4" l="1"/>
  <c r="AR230" i="4" s="1"/>
  <c r="AR233" i="4" l="1"/>
  <c r="AS228" i="4"/>
  <c r="AS230" i="4" s="1"/>
  <c r="AR243" i="4"/>
  <c r="AT228" i="4" l="1"/>
  <c r="AT230" i="4" s="1"/>
  <c r="AS243" i="4"/>
  <c r="AS233" i="4"/>
  <c r="AR234" i="4"/>
  <c r="AR244" i="4" s="1"/>
  <c r="AR245" i="4" s="1"/>
  <c r="AR235" i="4" l="1"/>
  <c r="AR253" i="4"/>
  <c r="AR257" i="4"/>
  <c r="AR259" i="4"/>
  <c r="AR251" i="4"/>
  <c r="AR252" i="4"/>
  <c r="AR249" i="4"/>
  <c r="AR254" i="4"/>
  <c r="AR256" i="4"/>
  <c r="AR346" i="4"/>
  <c r="AR351" i="4" s="1"/>
  <c r="AR352" i="4" s="1"/>
  <c r="AR21" i="4" s="1"/>
  <c r="AR22" i="4" s="1"/>
  <c r="AR26" i="4" s="1"/>
  <c r="AR250" i="4"/>
  <c r="AR258" i="4"/>
  <c r="AR255" i="4"/>
  <c r="AS234" i="4"/>
  <c r="AS244" i="4" s="1"/>
  <c r="AS245" i="4" s="1"/>
  <c r="AU228" i="4"/>
  <c r="AU230" i="4" s="1"/>
  <c r="AT243" i="4"/>
  <c r="AT233" i="4"/>
  <c r="AS235" i="4" l="1"/>
  <c r="AT234" i="4"/>
  <c r="AT244" i="4" s="1"/>
  <c r="AT245" i="4" s="1"/>
  <c r="AV228" i="4"/>
  <c r="AV230" i="4" s="1"/>
  <c r="AU233" i="4"/>
  <c r="AU243" i="4"/>
  <c r="AS252" i="4"/>
  <c r="AS256" i="4"/>
  <c r="AS258" i="4"/>
  <c r="AS250" i="4"/>
  <c r="AS255" i="4"/>
  <c r="AS257" i="4"/>
  <c r="AS249" i="4"/>
  <c r="AS254" i="4"/>
  <c r="AS346" i="4"/>
  <c r="AS351" i="4" s="1"/>
  <c r="AS352" i="4" s="1"/>
  <c r="AS21" i="4" s="1"/>
  <c r="AS22" i="4" s="1"/>
  <c r="AS26" i="4" s="1"/>
  <c r="AS251" i="4"/>
  <c r="AS259" i="4"/>
  <c r="AS253" i="4"/>
  <c r="AT235" i="4" l="1"/>
  <c r="AT251" i="4"/>
  <c r="AT255" i="4"/>
  <c r="AT257" i="4"/>
  <c r="AT259" i="4"/>
  <c r="AT252" i="4"/>
  <c r="AT346" i="4"/>
  <c r="AT351" i="4" s="1"/>
  <c r="AT352" i="4" s="1"/>
  <c r="AT21" i="4" s="1"/>
  <c r="AT22" i="4" s="1"/>
  <c r="AT26" i="4" s="1"/>
  <c r="AT254" i="4"/>
  <c r="AT249" i="4"/>
  <c r="AT256" i="4"/>
  <c r="AT253" i="4"/>
  <c r="AT250" i="4"/>
  <c r="AT258" i="4"/>
  <c r="AU234" i="4"/>
  <c r="AU244" i="4" s="1"/>
  <c r="AU245" i="4" s="1"/>
  <c r="AV233" i="4"/>
  <c r="AV243" i="4"/>
  <c r="AW228" i="4"/>
  <c r="AW230" i="4" s="1"/>
  <c r="AU250" i="4" l="1"/>
  <c r="AU254" i="4"/>
  <c r="AU256" i="4"/>
  <c r="AU258" i="4"/>
  <c r="AU255" i="4"/>
  <c r="AU252" i="4"/>
  <c r="AU257" i="4"/>
  <c r="AU251" i="4"/>
  <c r="AU259" i="4"/>
  <c r="AU346" i="4"/>
  <c r="AU351" i="4" s="1"/>
  <c r="AU352" i="4" s="1"/>
  <c r="AU21" i="4" s="1"/>
  <c r="AU22" i="4" s="1"/>
  <c r="AU26" i="4" s="1"/>
  <c r="AU249" i="4"/>
  <c r="AU253" i="4"/>
  <c r="AV234" i="4"/>
  <c r="AV244" i="4" s="1"/>
  <c r="AV245" i="4" s="1"/>
  <c r="AU235" i="4"/>
  <c r="AW233" i="4"/>
  <c r="AX228" i="4"/>
  <c r="AX230" i="4" s="1"/>
  <c r="AW243" i="4"/>
  <c r="AV253" i="4" l="1"/>
  <c r="AV249" i="4"/>
  <c r="AV255" i="4"/>
  <c r="AV257" i="4"/>
  <c r="AV259" i="4"/>
  <c r="AV258" i="4"/>
  <c r="AV252" i="4"/>
  <c r="AV254" i="4"/>
  <c r="AV251" i="4"/>
  <c r="AV346" i="4"/>
  <c r="AV351" i="4" s="1"/>
  <c r="AV352" i="4" s="1"/>
  <c r="AV21" i="4" s="1"/>
  <c r="AV22" i="4" s="1"/>
  <c r="AV26" i="4" s="1"/>
  <c r="AV256" i="4"/>
  <c r="AV250" i="4"/>
  <c r="AV235" i="4"/>
  <c r="AX233" i="4"/>
  <c r="AY228" i="4"/>
  <c r="AY230" i="4" s="1"/>
  <c r="AX243" i="4"/>
  <c r="AW234" i="4"/>
  <c r="AW244" i="4" s="1"/>
  <c r="AW245" i="4" s="1"/>
  <c r="AW235" i="4" l="1"/>
  <c r="AW252" i="4"/>
  <c r="AW254" i="4"/>
  <c r="AW256" i="4"/>
  <c r="AW258" i="4"/>
  <c r="AW250" i="4"/>
  <c r="AW346" i="4"/>
  <c r="AW351" i="4" s="1"/>
  <c r="AW352" i="4" s="1"/>
  <c r="AW21" i="4" s="1"/>
  <c r="AW22" i="4" s="1"/>
  <c r="AW26" i="4" s="1"/>
  <c r="AW255" i="4"/>
  <c r="AW249" i="4"/>
  <c r="AW257" i="4"/>
  <c r="AW251" i="4"/>
  <c r="AW259" i="4"/>
  <c r="AW253" i="4"/>
  <c r="AZ228" i="4"/>
  <c r="AZ230" i="4" s="1"/>
  <c r="AY233" i="4"/>
  <c r="AY243" i="4"/>
  <c r="AX234" i="4"/>
  <c r="AX244" i="4" s="1"/>
  <c r="AX245" i="4" s="1"/>
  <c r="AX235" i="4" l="1"/>
  <c r="AY234" i="4"/>
  <c r="AY244" i="4" s="1"/>
  <c r="AY245" i="4" s="1"/>
  <c r="BA228" i="4"/>
  <c r="BA230" i="4" s="1"/>
  <c r="AZ233" i="4"/>
  <c r="AZ243" i="4"/>
  <c r="AX259" i="4"/>
  <c r="AX251" i="4"/>
  <c r="AX249" i="4"/>
  <c r="AX253" i="4"/>
  <c r="AX255" i="4"/>
  <c r="AX257" i="4"/>
  <c r="AX250" i="4"/>
  <c r="AX258" i="4"/>
  <c r="AX252" i="4"/>
  <c r="AX254" i="4"/>
  <c r="AX256" i="4"/>
  <c r="AX346" i="4"/>
  <c r="AX351" i="4" s="1"/>
  <c r="AX352" i="4" s="1"/>
  <c r="AX21" i="4" s="1"/>
  <c r="AX22" i="4" s="1"/>
  <c r="AX26" i="4" s="1"/>
  <c r="BA233" i="4" l="1"/>
  <c r="BB228" i="4"/>
  <c r="BB230" i="4" s="1"/>
  <c r="BA243" i="4"/>
  <c r="AZ234" i="4"/>
  <c r="AZ244" i="4" s="1"/>
  <c r="AZ245" i="4" s="1"/>
  <c r="AY235" i="4"/>
  <c r="AY258" i="4"/>
  <c r="AY250" i="4"/>
  <c r="AY252" i="4"/>
  <c r="AY254" i="4"/>
  <c r="AY256" i="4"/>
  <c r="AY253" i="4"/>
  <c r="AY255" i="4"/>
  <c r="AY257" i="4"/>
  <c r="AY249" i="4"/>
  <c r="AY251" i="4"/>
  <c r="AY259" i="4"/>
  <c r="AY346" i="4"/>
  <c r="AY351" i="4" s="1"/>
  <c r="AY352" i="4" s="1"/>
  <c r="AY21" i="4" s="1"/>
  <c r="AY22" i="4" s="1"/>
  <c r="AY26" i="4" s="1"/>
  <c r="AZ235" i="4" l="1"/>
  <c r="AZ257" i="4"/>
  <c r="AZ251" i="4"/>
  <c r="AZ253" i="4"/>
  <c r="AZ255" i="4"/>
  <c r="AZ249" i="4"/>
  <c r="AZ250" i="4"/>
  <c r="AZ258" i="4"/>
  <c r="AZ346" i="4"/>
  <c r="AZ351" i="4" s="1"/>
  <c r="AZ352" i="4" s="1"/>
  <c r="AZ21" i="4" s="1"/>
  <c r="AZ22" i="4" s="1"/>
  <c r="AZ26" i="4" s="1"/>
  <c r="AZ252" i="4"/>
  <c r="AZ254" i="4"/>
  <c r="AZ259" i="4"/>
  <c r="AZ256" i="4"/>
  <c r="BB233" i="4"/>
  <c r="BB243" i="4"/>
  <c r="BC228" i="4"/>
  <c r="BC230" i="4" s="1"/>
  <c r="BA234" i="4"/>
  <c r="BA244" i="4" s="1"/>
  <c r="BA245" i="4" s="1"/>
  <c r="BA235" i="4" l="1"/>
  <c r="BA256" i="4"/>
  <c r="BA250" i="4"/>
  <c r="BA252" i="4"/>
  <c r="BA254" i="4"/>
  <c r="BA253" i="4"/>
  <c r="BA346" i="4"/>
  <c r="BA351" i="4" s="1"/>
  <c r="BA352" i="4" s="1"/>
  <c r="BA21" i="4" s="1"/>
  <c r="BA22" i="4" s="1"/>
  <c r="BA26" i="4" s="1"/>
  <c r="BA249" i="4"/>
  <c r="BA258" i="4"/>
  <c r="BA255" i="4"/>
  <c r="BA257" i="4"/>
  <c r="BA251" i="4"/>
  <c r="BA259" i="4"/>
  <c r="BB234" i="4"/>
  <c r="BB244" i="4" s="1"/>
  <c r="BB245" i="4" s="1"/>
  <c r="BD228" i="4"/>
  <c r="BC233" i="4"/>
  <c r="BC243" i="4"/>
  <c r="BB255" i="4" l="1"/>
  <c r="BB259" i="4"/>
  <c r="BB251" i="4"/>
  <c r="BB253" i="4"/>
  <c r="BB256" i="4"/>
  <c r="BB346" i="4"/>
  <c r="BB351" i="4" s="1"/>
  <c r="BB352" i="4" s="1"/>
  <c r="BB21" i="4" s="1"/>
  <c r="BB22" i="4" s="1"/>
  <c r="BB26" i="4" s="1"/>
  <c r="BB250" i="4"/>
  <c r="BB249" i="4"/>
  <c r="BB258" i="4"/>
  <c r="BB252" i="4"/>
  <c r="BB257" i="4"/>
  <c r="BB254" i="4"/>
  <c r="BC234" i="4"/>
  <c r="BC244" i="4" s="1"/>
  <c r="BC245" i="4" s="1"/>
  <c r="BB235" i="4"/>
  <c r="BC254" i="4" l="1"/>
  <c r="BD267" i="4" s="1"/>
  <c r="BC258" i="4"/>
  <c r="BD271" i="4" s="1"/>
  <c r="BC250" i="4"/>
  <c r="BD263" i="4" s="1"/>
  <c r="BC252" i="4"/>
  <c r="BD265" i="4" s="1"/>
  <c r="BC259" i="4"/>
  <c r="BD272" i="4" s="1"/>
  <c r="BC256" i="4"/>
  <c r="BD269" i="4" s="1"/>
  <c r="BC253" i="4"/>
  <c r="BD266" i="4" s="1"/>
  <c r="BC346" i="4"/>
  <c r="BC351" i="4" s="1"/>
  <c r="BC352" i="4" s="1"/>
  <c r="BC21" i="4" s="1"/>
  <c r="BC22" i="4" s="1"/>
  <c r="BC26" i="4" s="1"/>
  <c r="BC255" i="4"/>
  <c r="BD268" i="4" s="1"/>
  <c r="BC249" i="4"/>
  <c r="BD262" i="4" s="1"/>
  <c r="BC257" i="4"/>
  <c r="BD270" i="4" s="1"/>
  <c r="BC251" i="4"/>
  <c r="BD264" i="4" s="1"/>
  <c r="BC235" i="4"/>
  <c r="BD229" i="4" l="1"/>
  <c r="BD230" i="4" s="1"/>
  <c r="BE228" i="4" l="1"/>
  <c r="BE230" i="4" s="1"/>
  <c r="BD233" i="4"/>
  <c r="BD243" i="4"/>
  <c r="BD234" i="4" l="1"/>
  <c r="BD244" i="4" s="1"/>
  <c r="BD245" i="4" s="1"/>
  <c r="BE233" i="4"/>
  <c r="BE243" i="4"/>
  <c r="BF228" i="4"/>
  <c r="BF230" i="4" s="1"/>
  <c r="BF233" i="4" l="1"/>
  <c r="BG228" i="4"/>
  <c r="BG230" i="4" s="1"/>
  <c r="BF243" i="4"/>
  <c r="BE234" i="4"/>
  <c r="BE244" i="4" s="1"/>
  <c r="BE245" i="4" s="1"/>
  <c r="BD250" i="4"/>
  <c r="BD255" i="4"/>
  <c r="BD256" i="4"/>
  <c r="BD252" i="4"/>
  <c r="BD251" i="4"/>
  <c r="BD254" i="4"/>
  <c r="BD249" i="4"/>
  <c r="BD346" i="4"/>
  <c r="BD351" i="4" s="1"/>
  <c r="BD352" i="4" s="1"/>
  <c r="BD21" i="4" s="1"/>
  <c r="BD22" i="4" s="1"/>
  <c r="BD26" i="4" s="1"/>
  <c r="BD253" i="4"/>
  <c r="BD257" i="4"/>
  <c r="BD259" i="4"/>
  <c r="BD258" i="4"/>
  <c r="BD235" i="4"/>
  <c r="BE235" i="4" l="1"/>
  <c r="BE256" i="4"/>
  <c r="BE258" i="4"/>
  <c r="BE257" i="4"/>
  <c r="BE252" i="4"/>
  <c r="BE251" i="4"/>
  <c r="BE254" i="4"/>
  <c r="BE249" i="4"/>
  <c r="BE253" i="4"/>
  <c r="BE346" i="4"/>
  <c r="BE351" i="4" s="1"/>
  <c r="BE352" i="4" s="1"/>
  <c r="BE21" i="4" s="1"/>
  <c r="BE22" i="4" s="1"/>
  <c r="BE26" i="4" s="1"/>
  <c r="BE250" i="4"/>
  <c r="BE255" i="4"/>
  <c r="BE259" i="4"/>
  <c r="BG233" i="4"/>
  <c r="BH228" i="4"/>
  <c r="BH230" i="4" s="1"/>
  <c r="BG243" i="4"/>
  <c r="BF234" i="4"/>
  <c r="BF244" i="4" s="1"/>
  <c r="BF245" i="4" s="1"/>
  <c r="BI228" i="4" l="1"/>
  <c r="BI230" i="4" s="1"/>
  <c r="BH233" i="4"/>
  <c r="BH243" i="4"/>
  <c r="BF235" i="4"/>
  <c r="BG234" i="4"/>
  <c r="BG244" i="4" s="1"/>
  <c r="BG245" i="4" s="1"/>
  <c r="BF259" i="4"/>
  <c r="BF256" i="4"/>
  <c r="BF258" i="4"/>
  <c r="BF252" i="4"/>
  <c r="BF251" i="4"/>
  <c r="BF254" i="4"/>
  <c r="BF249" i="4"/>
  <c r="BF257" i="4"/>
  <c r="BF346" i="4"/>
  <c r="BF351" i="4" s="1"/>
  <c r="BF352" i="4" s="1"/>
  <c r="BF21" i="4" s="1"/>
  <c r="BF22" i="4" s="1"/>
  <c r="BF26" i="4" s="1"/>
  <c r="BF253" i="4"/>
  <c r="BF250" i="4"/>
  <c r="BF255" i="4"/>
  <c r="BH234" i="4" l="1"/>
  <c r="BH244" i="4" s="1"/>
  <c r="BH245" i="4" s="1"/>
  <c r="BI233" i="4"/>
  <c r="BJ228" i="4"/>
  <c r="BJ230" i="4" s="1"/>
  <c r="BI243" i="4"/>
  <c r="BG235" i="4"/>
  <c r="BG255" i="4"/>
  <c r="BG259" i="4"/>
  <c r="BG256" i="4"/>
  <c r="BG258" i="4"/>
  <c r="BG252" i="4"/>
  <c r="BG251" i="4"/>
  <c r="BG254" i="4"/>
  <c r="BG249" i="4"/>
  <c r="BG346" i="4"/>
  <c r="BG351" i="4" s="1"/>
  <c r="BG352" i="4" s="1"/>
  <c r="BG21" i="4" s="1"/>
  <c r="BG22" i="4" s="1"/>
  <c r="BG26" i="4" s="1"/>
  <c r="BG253" i="4"/>
  <c r="BG257" i="4"/>
  <c r="BG250" i="4"/>
  <c r="BI234" i="4" l="1"/>
  <c r="BI244" i="4" s="1"/>
  <c r="BI245" i="4" s="1"/>
  <c r="BH235" i="4"/>
  <c r="BH250" i="4"/>
  <c r="BH255" i="4"/>
  <c r="BH259" i="4"/>
  <c r="BH256" i="4"/>
  <c r="BH258" i="4"/>
  <c r="BH252" i="4"/>
  <c r="BH346" i="4"/>
  <c r="BH351" i="4" s="1"/>
  <c r="BH352" i="4" s="1"/>
  <c r="BH21" i="4" s="1"/>
  <c r="BH22" i="4" s="1"/>
  <c r="BH26" i="4" s="1"/>
  <c r="BH251" i="4"/>
  <c r="BH254" i="4"/>
  <c r="BH249" i="4"/>
  <c r="BH253" i="4"/>
  <c r="BH257" i="4"/>
  <c r="BK228" i="4"/>
  <c r="BK230" i="4" s="1"/>
  <c r="BJ233" i="4"/>
  <c r="BJ243" i="4"/>
  <c r="BJ234" i="4" l="1"/>
  <c r="BJ244" i="4" s="1"/>
  <c r="BJ245" i="4" s="1"/>
  <c r="BK233" i="4"/>
  <c r="BL228" i="4"/>
  <c r="BL230" i="4" s="1"/>
  <c r="BK243" i="4"/>
  <c r="BI235" i="4"/>
  <c r="BI253" i="4"/>
  <c r="BI254" i="4"/>
  <c r="BI250" i="4"/>
  <c r="BI257" i="4"/>
  <c r="BI255" i="4"/>
  <c r="BI259" i="4"/>
  <c r="BI256" i="4"/>
  <c r="BI258" i="4"/>
  <c r="BI252" i="4"/>
  <c r="BI251" i="4"/>
  <c r="BI249" i="4"/>
  <c r="BI346" i="4"/>
  <c r="BI351" i="4" s="1"/>
  <c r="BI352" i="4" s="1"/>
  <c r="BI21" i="4" s="1"/>
  <c r="BI22" i="4" s="1"/>
  <c r="BI26" i="4" s="1"/>
  <c r="BL233" i="4" l="1"/>
  <c r="BM228" i="4"/>
  <c r="BM230" i="4" s="1"/>
  <c r="BL243" i="4"/>
  <c r="BK234" i="4"/>
  <c r="BK244" i="4" s="1"/>
  <c r="BK245" i="4" s="1"/>
  <c r="BJ250" i="4"/>
  <c r="BJ255" i="4"/>
  <c r="BJ259" i="4"/>
  <c r="BJ256" i="4"/>
  <c r="BJ258" i="4"/>
  <c r="BJ257" i="4"/>
  <c r="BJ254" i="4"/>
  <c r="BJ251" i="4"/>
  <c r="BJ346" i="4"/>
  <c r="BJ351" i="4" s="1"/>
  <c r="BJ352" i="4" s="1"/>
  <c r="BJ21" i="4" s="1"/>
  <c r="BJ22" i="4" s="1"/>
  <c r="BJ26" i="4" s="1"/>
  <c r="BJ249" i="4"/>
  <c r="BJ253" i="4"/>
  <c r="BJ252" i="4"/>
  <c r="BJ235" i="4"/>
  <c r="BM233" i="4" l="1"/>
  <c r="BM243" i="4"/>
  <c r="BN228" i="4"/>
  <c r="BN230" i="4" s="1"/>
  <c r="BK256" i="4"/>
  <c r="BK250" i="4"/>
  <c r="BK255" i="4"/>
  <c r="BK259" i="4"/>
  <c r="BK252" i="4"/>
  <c r="BK257" i="4"/>
  <c r="BK254" i="4"/>
  <c r="BK346" i="4"/>
  <c r="BK351" i="4" s="1"/>
  <c r="BK352" i="4" s="1"/>
  <c r="BK21" i="4" s="1"/>
  <c r="BK22" i="4" s="1"/>
  <c r="BK26" i="4" s="1"/>
  <c r="BK251" i="4"/>
  <c r="BK249" i="4"/>
  <c r="BK253" i="4"/>
  <c r="BK258" i="4"/>
  <c r="BK235" i="4"/>
  <c r="BL234" i="4"/>
  <c r="BL244" i="4" s="1"/>
  <c r="BL245" i="4" s="1"/>
  <c r="BN233" i="4" l="1"/>
  <c r="BN243" i="4"/>
  <c r="BO228" i="4"/>
  <c r="BO230" i="4" s="1"/>
  <c r="BL250" i="4"/>
  <c r="BL249" i="4"/>
  <c r="BL252" i="4"/>
  <c r="BL257" i="4"/>
  <c r="BL255" i="4"/>
  <c r="BL256" i="4"/>
  <c r="BL254" i="4"/>
  <c r="BL259" i="4"/>
  <c r="BL346" i="4"/>
  <c r="BL351" i="4" s="1"/>
  <c r="BL352" i="4" s="1"/>
  <c r="BL21" i="4" s="1"/>
  <c r="BL22" i="4" s="1"/>
  <c r="BL26" i="4" s="1"/>
  <c r="BL258" i="4"/>
  <c r="BL253" i="4"/>
  <c r="BL251" i="4"/>
  <c r="BL235" i="4"/>
  <c r="BM234" i="4"/>
  <c r="BM244" i="4" s="1"/>
  <c r="BM245" i="4" s="1"/>
  <c r="BO233" i="4" l="1"/>
  <c r="BO243" i="4"/>
  <c r="BM252" i="4"/>
  <c r="BM256" i="4"/>
  <c r="BM253" i="4"/>
  <c r="BM250" i="4"/>
  <c r="BM257" i="4"/>
  <c r="BM255" i="4"/>
  <c r="BM259" i="4"/>
  <c r="BM249" i="4"/>
  <c r="BM258" i="4"/>
  <c r="BM251" i="4"/>
  <c r="BM254" i="4"/>
  <c r="BM346" i="4"/>
  <c r="BM351" i="4" s="1"/>
  <c r="BM352" i="4" s="1"/>
  <c r="BM21" i="4" s="1"/>
  <c r="BM22" i="4" s="1"/>
  <c r="BM26" i="4" s="1"/>
  <c r="BM235" i="4"/>
  <c r="BN234" i="4"/>
  <c r="BN244" i="4" s="1"/>
  <c r="BN245" i="4" s="1"/>
  <c r="BN235" i="4" l="1"/>
  <c r="BN250" i="4"/>
  <c r="BN253" i="4"/>
  <c r="BN255" i="4"/>
  <c r="BN257" i="4"/>
  <c r="BN256" i="4"/>
  <c r="BN258" i="4"/>
  <c r="BN252" i="4"/>
  <c r="BN251" i="4"/>
  <c r="BN249" i="4"/>
  <c r="BN346" i="4"/>
  <c r="BN351" i="4" s="1"/>
  <c r="BN352" i="4" s="1"/>
  <c r="BN21" i="4" s="1"/>
  <c r="BN22" i="4" s="1"/>
  <c r="BN26" i="4" s="1"/>
  <c r="BN259" i="4"/>
  <c r="BN254" i="4"/>
  <c r="BO234" i="4"/>
  <c r="BO244" i="4" s="1"/>
  <c r="BO235" i="4" l="1"/>
  <c r="BO245" i="4"/>
  <c r="F16" i="5"/>
  <c r="E16" i="5" s="1"/>
  <c r="BO254" i="4" l="1"/>
  <c r="BP267" i="4" s="1"/>
  <c r="BO256" i="4"/>
  <c r="BP269" i="4" s="1"/>
  <c r="BO253" i="4"/>
  <c r="BP266" i="4" s="1"/>
  <c r="BO257" i="4"/>
  <c r="BP270" i="4" s="1"/>
  <c r="BO346" i="4"/>
  <c r="BO351" i="4" s="1"/>
  <c r="BO352" i="4" s="1"/>
  <c r="BO21" i="4" s="1"/>
  <c r="BO250" i="4"/>
  <c r="BP263" i="4" s="1"/>
  <c r="BO255" i="4"/>
  <c r="BP268" i="4" s="1"/>
  <c r="BO259" i="4"/>
  <c r="BP272" i="4" s="1"/>
  <c r="BO258" i="4"/>
  <c r="BP271" i="4" s="1"/>
  <c r="BO252" i="4"/>
  <c r="BP265" i="4" s="1"/>
  <c r="BO251" i="4"/>
  <c r="BP264" i="4" s="1"/>
  <c r="BO249" i="4"/>
  <c r="BP262" i="4" s="1"/>
  <c r="BP229" i="4" s="1"/>
  <c r="BP230" i="4" s="1"/>
  <c r="D9" i="7"/>
  <c r="D10" i="7" s="1"/>
  <c r="BP233" i="4" l="1"/>
  <c r="BO22" i="4"/>
  <c r="BO26" i="4" s="1"/>
  <c r="D26" i="4" s="1"/>
  <c r="D21" i="4"/>
  <c r="D22" i="4" s="1"/>
  <c r="BP234" i="4" l="1"/>
  <c r="BP235" i="4" s="1"/>
  <c r="N27" i="2"/>
  <c r="D7" i="7"/>
  <c r="D8" i="7" s="1"/>
  <c r="BP255" i="4" l="1"/>
  <c r="BP251" i="4"/>
  <c r="BP250" i="4"/>
  <c r="BP257" i="4"/>
  <c r="BP253" i="4"/>
  <c r="BP254" i="4"/>
  <c r="BP252" i="4"/>
  <c r="BP249" i="4"/>
  <c r="BP259" i="4"/>
  <c r="BP256" i="4"/>
  <c r="BP258" i="4"/>
</calcChain>
</file>

<file path=xl/sharedStrings.xml><?xml version="1.0" encoding="utf-8"?>
<sst xmlns="http://schemas.openxmlformats.org/spreadsheetml/2006/main" count="555" uniqueCount="300">
  <si>
    <t>X-Logistic Services (XLS) - 5 Year Financial Projection</t>
  </si>
  <si>
    <t>Period Number</t>
  </si>
  <si>
    <t>Period End</t>
  </si>
  <si>
    <t>Month</t>
  </si>
  <si>
    <t>Year</t>
  </si>
  <si>
    <t>EBITDA — With and Without Tim Forward Brands</t>
  </si>
  <si>
    <t>With</t>
  </si>
  <si>
    <t>Without</t>
  </si>
  <si>
    <t>Net Revenue</t>
  </si>
  <si>
    <t>[$]</t>
  </si>
  <si>
    <t>COGS (Cost of Goods Sold)</t>
  </si>
  <si>
    <t>Gross Profit</t>
  </si>
  <si>
    <t>SG&amp;A (Sales, General &amp; Administrative Expense)</t>
  </si>
  <si>
    <t>EBITDA</t>
  </si>
  <si>
    <t>1  Time Schedules</t>
  </si>
  <si>
    <t>Inflation Index</t>
  </si>
  <si>
    <t>[coef]</t>
  </si>
  <si>
    <t>Customer Active Status</t>
  </si>
  <si>
    <t>[flg]</t>
  </si>
  <si>
    <t>2  Demand / Growth</t>
  </si>
  <si>
    <t>Seasonal Demand</t>
  </si>
  <si>
    <t>[%]</t>
  </si>
  <si>
    <t>Customer YoY Growth</t>
  </si>
  <si>
    <t>3  Volumes</t>
  </si>
  <si>
    <t>Base Annual Parcels</t>
  </si>
  <si>
    <t>[parcel]</t>
  </si>
  <si>
    <t>Outbound Parcel with Demand</t>
  </si>
  <si>
    <t>Total Outbound Parcels</t>
  </si>
  <si>
    <t>Outbound Pallets with Demand</t>
  </si>
  <si>
    <t>pallets/parcel</t>
  </si>
  <si>
    <t>[pallet]</t>
  </si>
  <si>
    <t>Total Outbound Pallets</t>
  </si>
  <si>
    <t>Inbound Pallets with Demand</t>
  </si>
  <si>
    <t>Total Inbound Pallest</t>
  </si>
  <si>
    <t>Stored Pallets</t>
  </si>
  <si>
    <t>Total Stored Pallets</t>
  </si>
  <si>
    <t>4  Revenues</t>
  </si>
  <si>
    <t>Inbound Handling</t>
  </si>
  <si>
    <t>Inbound Handling Rate</t>
  </si>
  <si>
    <t>Inbound Handeling Rate</t>
  </si>
  <si>
    <t>$/pallet</t>
  </si>
  <si>
    <t>Volume in inbound Pallets</t>
  </si>
  <si>
    <t>Revenue from Inbound Handling</t>
  </si>
  <si>
    <t>Total Revenue - Inbound Handleing</t>
  </si>
  <si>
    <t>Outbound Picking</t>
  </si>
  <si>
    <t>Outbound Pricing rate</t>
  </si>
  <si>
    <t>Volume in Parcels</t>
  </si>
  <si>
    <t>Revenue from Outbound Picking</t>
  </si>
  <si>
    <t>Total Revenue - Outbound Picking</t>
  </si>
  <si>
    <t>Outbound Handling</t>
  </si>
  <si>
    <t>Outbound Handling Rate</t>
  </si>
  <si>
    <t>Outbound Haneling Rate</t>
  </si>
  <si>
    <t>Volume in outbound Pallets</t>
  </si>
  <si>
    <t>Revenue from Outbound Handling</t>
  </si>
  <si>
    <t>Total Revenue - Outbound Handeling</t>
  </si>
  <si>
    <t>Storage</t>
  </si>
  <si>
    <t>Storage Rate</t>
  </si>
  <si>
    <t>Volume Monthly Pallet Storage</t>
  </si>
  <si>
    <t>Revenue from Storage</t>
  </si>
  <si>
    <t>Total Revenue - Storage</t>
  </si>
  <si>
    <t>Revenue Summary</t>
  </si>
  <si>
    <t>Inbound Handeling</t>
  </si>
  <si>
    <t>Total Net Revenue</t>
  </si>
  <si>
    <t>5  Labor Cost / Workforce</t>
  </si>
  <si>
    <t>Activity</t>
  </si>
  <si>
    <t>Activity Volume</t>
  </si>
  <si>
    <t>[pallets]</t>
  </si>
  <si>
    <t>[parcels]</t>
  </si>
  <si>
    <t>Manhours</t>
  </si>
  <si>
    <t>Inbound Unloading</t>
  </si>
  <si>
    <t>Inbound pallets/hour</t>
  </si>
  <si>
    <t>[hours]</t>
  </si>
  <si>
    <t>Putaway to Rack</t>
  </si>
  <si>
    <t>Parcel Picking</t>
  </si>
  <si>
    <t>outbound parcels/hour</t>
  </si>
  <si>
    <t>Replenishment</t>
  </si>
  <si>
    <t>outbound pallets/hour</t>
  </si>
  <si>
    <t>Outbound Loading</t>
  </si>
  <si>
    <t>Total Manhours</t>
  </si>
  <si>
    <t>FTE Needs</t>
  </si>
  <si>
    <t>monthly hours/FTE</t>
  </si>
  <si>
    <t>[employees]</t>
  </si>
  <si>
    <t>Total FTE Needs</t>
  </si>
  <si>
    <t>[employee]</t>
  </si>
  <si>
    <t>Workforce</t>
  </si>
  <si>
    <t>Permanent FTE Staff</t>
  </si>
  <si>
    <t>employees starting in 2026</t>
  </si>
  <si>
    <t>Hired Staff</t>
  </si>
  <si>
    <t>Total Perminant FTE Staff</t>
  </si>
  <si>
    <t>Staffing Requirements</t>
  </si>
  <si>
    <t>Permanent staff</t>
  </si>
  <si>
    <t>Temp Staff Needed</t>
  </si>
  <si>
    <t>Total Staff Required</t>
  </si>
  <si>
    <t>Staffing Costs</t>
  </si>
  <si>
    <t>Staffing Wages</t>
  </si>
  <si>
    <t>FTE Monthly Rate</t>
  </si>
  <si>
    <t>$/month/employee</t>
  </si>
  <si>
    <t xml:space="preserve">Temp Staff Rate </t>
  </si>
  <si>
    <t>Staff Costs</t>
  </si>
  <si>
    <t>Temporary staff</t>
  </si>
  <si>
    <t>Total Staff Costs</t>
  </si>
  <si>
    <t>Hiring Decision Triggers</t>
  </si>
  <si>
    <t>New Hire Potential Savings</t>
  </si>
  <si>
    <t>Annual Savings - Previous Year</t>
  </si>
  <si>
    <t>6  Equipment</t>
  </si>
  <si>
    <t>Equipment Used</t>
  </si>
  <si>
    <t>Activity Equipment Utilization Hours</t>
  </si>
  <si>
    <t>hr/inbound pallet</t>
  </si>
  <si>
    <t>hr/outbound parcel</t>
  </si>
  <si>
    <t>hr/outboud pallet</t>
  </si>
  <si>
    <t>Employees</t>
  </si>
  <si>
    <t>Equipment Needed per Shift</t>
  </si>
  <si>
    <t>shifts/day</t>
  </si>
  <si>
    <t>[trucks]</t>
  </si>
  <si>
    <t>Capital Equipment</t>
  </si>
  <si>
    <t>Equipment Required</t>
  </si>
  <si>
    <t>Equipment Owned</t>
  </si>
  <si>
    <t>starting inventory</t>
  </si>
  <si>
    <t>Equipment Purchased</t>
  </si>
  <si>
    <t>Equipment Unit Purchase Cost</t>
  </si>
  <si>
    <t>$/truck</t>
  </si>
  <si>
    <t>Equipment Purchase Expense</t>
  </si>
  <si>
    <t>Total Equipment Purchase Expense</t>
  </si>
  <si>
    <t>Usage Costs</t>
  </si>
  <si>
    <t>Equipment Hourly Usage</t>
  </si>
  <si>
    <t>Equipment Energy Consumption</t>
  </si>
  <si>
    <t>Kilowatts</t>
  </si>
  <si>
    <t>[kWh]</t>
  </si>
  <si>
    <t>Total Equipment Energy Consumption</t>
  </si>
  <si>
    <t>Energy Costs</t>
  </si>
  <si>
    <t>Energy Price</t>
  </si>
  <si>
    <t>kWh</t>
  </si>
  <si>
    <t>Total Energy Cost</t>
  </si>
  <si>
    <t>7  Costs</t>
  </si>
  <si>
    <t>Variable Costs</t>
  </si>
  <si>
    <t>Labor</t>
  </si>
  <si>
    <t>Energy</t>
  </si>
  <si>
    <t>COGS</t>
  </si>
  <si>
    <t>Fixed COGS</t>
  </si>
  <si>
    <t>per month</t>
  </si>
  <si>
    <t>Variable COGS</t>
  </si>
  <si>
    <t>Total Cost of Goods Sold</t>
  </si>
  <si>
    <t>SG&amp;A (Sales, General, Administrative Expenses)</t>
  </si>
  <si>
    <t>X-Logistic Services (XLS)</t>
  </si>
  <si>
    <t>5-Year Monthly Financial Projection Model</t>
  </si>
  <si>
    <t>EBITDA Forecast  |  New Client Evaluation  |  61-Month Projection Horizon</t>
  </si>
  <si>
    <t>Model Purpose:</t>
  </si>
  <si>
    <t>5-year monthly EBITDA projection for strategic client decision-making</t>
  </si>
  <si>
    <t>New Client Toggle:</t>
  </si>
  <si>
    <t>Single-switch scenario — evaluate results with / without Tim Forward Brands</t>
  </si>
  <si>
    <t>Projection Period:</t>
  </si>
  <si>
    <t>January 2026 — December 2030 (61 months)</t>
  </si>
  <si>
    <t>Industries:</t>
  </si>
  <si>
    <t>Third-Party Logistics (3PL) | Retail | E-commerce | Industrial</t>
  </si>
  <si>
    <t>Service Lines:</t>
  </si>
  <si>
    <t>Inbound Handling · Outbound Picking · Outbound Handling · Storage</t>
  </si>
  <si>
    <t>Built By:</t>
  </si>
  <si>
    <t>Alicia Bruce</t>
  </si>
  <si>
    <t>Competition:</t>
  </si>
  <si>
    <t>Built using a Financial Modeling World Cup case. Synthetic data — for portfolio demonstration purposes only.</t>
  </si>
  <si>
    <t>Inputs and Assumptions</t>
  </si>
  <si>
    <t>1. General Assumptions</t>
  </si>
  <si>
    <t>General Assumptions</t>
  </si>
  <si>
    <t>Staff Information</t>
  </si>
  <si>
    <t>Company Name</t>
  </si>
  <si>
    <t>[Date]</t>
  </si>
  <si>
    <t>X-Logistic Service</t>
  </si>
  <si>
    <t>[FTE]</t>
  </si>
  <si>
    <t>First Year of Projections</t>
  </si>
  <si>
    <t>Monthly FTE Hours</t>
  </si>
  <si>
    <t>[Hours/FTE]</t>
  </si>
  <si>
    <t>Annual Inflation</t>
  </si>
  <si>
    <t>[% p.a.]</t>
  </si>
  <si>
    <t>Working shifts</t>
  </si>
  <si>
    <t>[#]</t>
  </si>
  <si>
    <t>SG&amp;A</t>
  </si>
  <si>
    <t>[$/month]</t>
  </si>
  <si>
    <t>Permanent staff Cost</t>
  </si>
  <si>
    <t>[$/FTE/Month]</t>
  </si>
  <si>
    <t>[$/kWh]</t>
  </si>
  <si>
    <t>Temporary staff Cost</t>
  </si>
  <si>
    <t>Staff Productivity per Activity</t>
  </si>
  <si>
    <t>Staff Productivity</t>
  </si>
  <si>
    <t>Service Prices</t>
  </si>
  <si>
    <t>Inbound unloading</t>
  </si>
  <si>
    <t>[Inbound Pallets/Hour]</t>
  </si>
  <si>
    <t>Inbound handling</t>
  </si>
  <si>
    <t>[$/Inbound Pallet]</t>
  </si>
  <si>
    <t>Putaway to rack</t>
  </si>
  <si>
    <t>Outbound picking</t>
  </si>
  <si>
    <t>[$/Outbound Parcel]</t>
  </si>
  <si>
    <t>Picking</t>
  </si>
  <si>
    <t>[Outbound Parcels/Hour]</t>
  </si>
  <si>
    <t>Outbound handling</t>
  </si>
  <si>
    <t>[$/Outbound Pallet]</t>
  </si>
  <si>
    <t>[Outbound Pallets/Hour]</t>
  </si>
  <si>
    <t>Storage rack</t>
  </si>
  <si>
    <t>[$/Pallet/Month]</t>
  </si>
  <si>
    <t>Outbound loading</t>
  </si>
  <si>
    <t>2. Client Data</t>
  </si>
  <si>
    <t>Client Name</t>
  </si>
  <si>
    <t>Segment</t>
  </si>
  <si>
    <t>Starting Month</t>
  </si>
  <si>
    <t>Monthly Outbound Parcels</t>
  </si>
  <si>
    <t>Parcels Per Pallet</t>
  </si>
  <si>
    <t>Initial Balance (Pallets)</t>
  </si>
  <si>
    <t>Assortment Growth Rate</t>
  </si>
  <si>
    <t>Contract Active</t>
  </si>
  <si>
    <t>Michael’s Market Goods</t>
  </si>
  <si>
    <t>Retail</t>
  </si>
  <si>
    <t>Andrew Digital Commerce</t>
  </si>
  <si>
    <t>E-commerce</t>
  </si>
  <si>
    <t>Anup Industrial Systems</t>
  </si>
  <si>
    <t>Industrial</t>
  </si>
  <si>
    <t>Joseph Retail Group</t>
  </si>
  <si>
    <t>Dim Collective</t>
  </si>
  <si>
    <t>Tim Forward Brands</t>
  </si>
  <si>
    <t>3. Customers Volume Growth</t>
  </si>
  <si>
    <t>CustomerVolumeGrowthIn</t>
  </si>
  <si>
    <t>4. Seasonality per Client Segment</t>
  </si>
  <si>
    <t>SegmentsNameIn</t>
  </si>
  <si>
    <t>SegmentsSeasonalityIn</t>
  </si>
  <si>
    <t>5. Equipment Data</t>
  </si>
  <si>
    <t>Current Equipment Owned</t>
  </si>
  <si>
    <t>Utilization</t>
  </si>
  <si>
    <t>Powered Pallet Truck</t>
  </si>
  <si>
    <t>[Units]</t>
  </si>
  <si>
    <t>[h/Inbound Pallet]</t>
  </si>
  <si>
    <t>Reach Truck</t>
  </si>
  <si>
    <t>[h/Outbound Parcel]</t>
  </si>
  <si>
    <t>Equipment Purchase Price</t>
  </si>
  <si>
    <t>[h/Outbound Pallet]</t>
  </si>
  <si>
    <t>[$/Unit]</t>
  </si>
  <si>
    <t>ActivityEquipmentIn</t>
  </si>
  <si>
    <t>Current Power Consumption</t>
  </si>
  <si>
    <t>Period #</t>
  </si>
  <si>
    <t>Start Date</t>
  </si>
  <si>
    <t>End Date</t>
  </si>
  <si>
    <t>Month #</t>
  </si>
  <si>
    <t>Quarter #</t>
  </si>
  <si>
    <t>Quarter Name</t>
  </si>
  <si>
    <t>Operating Year</t>
  </si>
  <si>
    <t>1. P&amp;L Statement</t>
  </si>
  <si>
    <t>CPI</t>
  </si>
  <si>
    <t>Seasonality</t>
  </si>
  <si>
    <t>Client Volume Growth</t>
  </si>
  <si>
    <t>Questions &amp; Answers</t>
  </si>
  <si>
    <t>#</t>
  </si>
  <si>
    <t>Question</t>
  </si>
  <si>
    <t>Points</t>
  </si>
  <si>
    <t>Section</t>
  </si>
  <si>
    <t>Answer</t>
  </si>
  <si>
    <t>Correct Answer</t>
  </si>
  <si>
    <t>Part 1 - Without the New Client</t>
  </si>
  <si>
    <t>What are the Anup Industrial Systems Outbound Parcels in 03/2026?</t>
  </si>
  <si>
    <t>What are the Michael’s Market Goods Outbound Pallets in year 2027?</t>
  </si>
  <si>
    <t>What are the Andrew Digital Commerce Inbound Pallets in 11/2027?</t>
  </si>
  <si>
    <t>What is the monthly peak total revenue from pallets storage of 2026?</t>
  </si>
  <si>
    <t>What is the total revenue from inbound handling over the 5-year period?</t>
  </si>
  <si>
    <t>How many FTE will be needed to handle the Replenishment in 01/2026?</t>
  </si>
  <si>
    <t>How many temporary staff will be needed in 11/2026?</t>
  </si>
  <si>
    <t>Assuming you had 1 more permanent staff in 2026, how much money would you save during the year by not using a temporary worker?</t>
  </si>
  <si>
    <t>How many additional permanent staff will be hired at the beginning of 2027?</t>
  </si>
  <si>
    <t>What is the total cost of temporary staff over the 5-year period?</t>
  </si>
  <si>
    <t>How many Reach Trucks will be needed to handle the Replenishment in 01/2026?</t>
  </si>
  <si>
    <t>How many Power Pallet Trucks will be needed for all activities in 02/2026?</t>
  </si>
  <si>
    <t>Which month will you buy the first additional Reach Truck?</t>
  </si>
  <si>
    <t>What is the total amount invested into the trucks over the 5-year period?</t>
  </si>
  <si>
    <t>How many hours Powered Pallet Trucks will be used in 03/2026 for Inbound Unloading Activity?</t>
  </si>
  <si>
    <t>What is the total cost of energy consumption by all trucks for 01/2027?</t>
  </si>
  <si>
    <t>What is the amount of fixed COGS incurred in 01/2027?</t>
  </si>
  <si>
    <t>What is the total amount of SG&amp;A costs incurred over the 5-year period?</t>
  </si>
  <si>
    <t>What is the total EBITDA for the 5-year period?</t>
  </si>
  <si>
    <t>Part 2 - With the New Client</t>
  </si>
  <si>
    <t>If Tim Forward Brands sign the contract, what is the total EBITDA for the 5-year period?</t>
  </si>
  <si>
    <t>i1OwNHgEFD7u0auo+Co71V9hKviRajTQWEUZo+yMHv8KRTVltoK89vUtgaZa9WvkoPPvK5pehJezplZYqVf4UNSJFDbCFFOUkz2Iv3abUXo6IhuNv1jmsp7DvEhQbpVogQKJGURxAFAwXfKVo53wJFASqhGt8cuKwG4jZZ69d+FjgTe78eBYzTIUgU9a4da1xilS</t>
  </si>
  <si>
    <t xml:space="preserve">Financial Modeling World Cup (FMWC) </t>
  </si>
  <si>
    <t>P&amp;L Statement</t>
  </si>
  <si>
    <t>Schedules and Supporting Calculations</t>
  </si>
  <si>
    <t>End of Model</t>
  </si>
  <si>
    <t>X-Logistic Services (XLS) Dashboard</t>
  </si>
  <si>
    <t>Total Revenue</t>
  </si>
  <si>
    <t>EBITDA Margin</t>
  </si>
  <si>
    <t>Total Labor Costs</t>
  </si>
  <si>
    <t>Temp Labor %</t>
  </si>
  <si>
    <t>Total Capex</t>
  </si>
  <si>
    <t xml:space="preserve">On </t>
  </si>
  <si>
    <t>Off</t>
  </si>
  <si>
    <t>Client Impact Summary</t>
  </si>
  <si>
    <t>Revenue</t>
  </si>
  <si>
    <t>CAPEX</t>
  </si>
  <si>
    <t>Without Client</t>
  </si>
  <si>
    <t>With Client</t>
  </si>
  <si>
    <t>Revenue — With and Without Tim Forward Brands</t>
  </si>
  <si>
    <t>CapEx — With and Without Tim Forward Brands</t>
  </si>
  <si>
    <t>Calculations Added for Model</t>
  </si>
  <si>
    <t>Gain/Loss</t>
  </si>
  <si>
    <t>With Tom Forward Brands*</t>
  </si>
  <si>
    <t>*Toggle also powers model to turn on and off the addtion of Tom Forward Brands</t>
  </si>
  <si>
    <t xml:space="preserve">Tom Forward Brands Currently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</si>
</sst>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"/>
    <numFmt numFmtId="166" formatCode="&quot;Year&quot;\ 0"/>
    <numFmt numFmtId="167" formatCode="#,##0.0000"/>
    <numFmt numFmtId="168" formatCode="0.0000"/>
    <numFmt numFmtId="169" formatCode="&quot;Year&quot;\ 0\+"/>
    <numFmt numFmtId="170" formatCode="&quot;Month&quot;\ 0"/>
    <numFmt numFmtId="171" formatCode="#,##0.0"/>
    <numFmt numFmtId="172" formatCode="_(* #,##0_);_(* \(#,##0\);_(* &quot;-&quot;??_);_(@_)"/>
    <numFmt numFmtId="173" formatCode="_(* #,##0.0_);_(* \(#,##0.0\);_(* &quot;-&quot;??_);_(@_)"/>
    <numFmt numFmtId="174" formatCode="#,###,###"/>
    <numFmt numFmtId="175" formatCode="&quot;Month &quot;##"/>
    <numFmt numFmtId="176" formatCode="&quot;$&quot;#,###,###.00"/>
    <numFmt numFmtId="177" formatCode="_(&quot;$&quot;* #,##0_);_(&quot;$&quot;* \(#,##0\);_(&quot;$&quot;* &quot;-&quot;??_);_(@_)"/>
  </numFmts>
  <fonts count="54">
    <font>
      <sz val="9"/>
      <color theme="1"/>
      <name val="NeverMind"/>
      <family val="2"/>
    </font>
    <font>
      <sz val="9"/>
      <color rgb="FF3F3F76"/>
      <name val="NeverMind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NeverMind"/>
      <family val="2"/>
    </font>
    <font>
      <sz val="10"/>
      <color rgb="FF00B050"/>
      <name val="Aptos Narrow"/>
      <family val="2"/>
    </font>
    <font>
      <sz val="9"/>
      <color rgb="FF3F3F76"/>
      <name val="Calibri"/>
      <family val="2"/>
      <scheme val="minor"/>
    </font>
    <font>
      <b/>
      <sz val="8"/>
      <name val="Calibri"/>
      <family val="2"/>
      <scheme val="minor"/>
    </font>
    <font>
      <b/>
      <sz val="9"/>
      <color theme="1"/>
      <name val="NeverMind"/>
      <family val="2"/>
    </font>
    <font>
      <sz val="10"/>
      <name val="Aptos Narrow"/>
      <family val="2"/>
    </font>
    <font>
      <i/>
      <sz val="10"/>
      <color theme="1" tint="0.499984740745262"/>
      <name val="Calibri"/>
      <family val="2"/>
      <scheme val="minor"/>
    </font>
    <font>
      <b/>
      <sz val="10"/>
      <name val="Calibri"/>
      <family val="2"/>
    </font>
    <font>
      <i/>
      <sz val="9"/>
      <color theme="1" tint="0.499984740745262"/>
      <name val="NeverMind"/>
    </font>
    <font>
      <sz val="10"/>
      <color theme="1"/>
      <name val="NeverMind"/>
      <family val="2"/>
    </font>
    <font>
      <sz val="9"/>
      <color rgb="FF000000"/>
      <name val="NeverMind"/>
      <family val="2"/>
    </font>
    <font>
      <b/>
      <sz val="11"/>
      <name val="Calibri"/>
      <family val="2"/>
    </font>
    <font>
      <b/>
      <sz val="9"/>
      <color rgb="FF000000"/>
      <name val="NeverMind"/>
    </font>
    <font>
      <b/>
      <sz val="10"/>
      <color rgb="FF000000"/>
      <name val="Calibri"/>
      <family val="2"/>
    </font>
    <font>
      <b/>
      <sz val="24"/>
      <color rgb="FFFFFFFF"/>
      <name val="Arial"/>
    </font>
    <font>
      <i/>
      <sz val="10"/>
      <color rgb="FFAACCCC"/>
      <name val="Arial"/>
    </font>
    <font>
      <b/>
      <sz val="10"/>
      <color rgb="FF444444"/>
      <name val="Arial"/>
    </font>
    <font>
      <sz val="10"/>
      <color rgb="FF000000"/>
      <name val="Arial"/>
    </font>
    <font>
      <i/>
      <sz val="8"/>
      <color rgb="FF999999"/>
      <name val="Arial"/>
    </font>
    <font>
      <sz val="16"/>
      <color rgb="FF208BB7"/>
      <name val="Arial"/>
      <family val="2"/>
    </font>
    <font>
      <sz val="9"/>
      <color rgb="FF208BB7"/>
      <name val="NeverMind"/>
      <family val="2"/>
    </font>
    <font>
      <b/>
      <sz val="24"/>
      <color rgb="FFFFFFFF"/>
      <name val="Arial"/>
      <family val="2"/>
    </font>
    <font>
      <b/>
      <sz val="10"/>
      <color rgb="FF444444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5"/>
      <color theme="0"/>
      <name val="Arial"/>
      <family val="2"/>
    </font>
    <font>
      <sz val="7"/>
      <color theme="1"/>
      <name val="Arial"/>
      <family val="2"/>
    </font>
    <font>
      <b/>
      <sz val="9"/>
      <color theme="1"/>
      <name val="Arial"/>
      <family val="2"/>
    </font>
    <font>
      <b/>
      <sz val="7"/>
      <color theme="1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i/>
      <sz val="9"/>
      <color rgb="FF155C79"/>
      <name val="Arial"/>
      <family val="2"/>
    </font>
    <font>
      <i/>
      <sz val="9"/>
      <color theme="0"/>
      <name val="Arial"/>
      <family val="2"/>
    </font>
    <font>
      <b/>
      <sz val="10"/>
      <name val="Arial"/>
      <family val="2"/>
    </font>
    <font>
      <sz val="9"/>
      <color rgb="FF155C79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208BB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5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/>
      <bottom/>
      <diagonal/>
    </border>
    <border>
      <left style="dashed">
        <color rgb="FF000000"/>
      </left>
      <right style="dashed">
        <color rgb="FF000000"/>
      </right>
      <top/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/>
      <diagonal/>
    </border>
    <border>
      <left style="dashed">
        <color rgb="FF000000"/>
      </left>
      <right/>
      <top style="dashed">
        <color rgb="FF000000"/>
      </top>
      <bottom/>
      <diagonal/>
    </border>
    <border>
      <left style="dashed">
        <color rgb="FF000000"/>
      </left>
      <right/>
      <top/>
      <bottom/>
      <diagonal/>
    </border>
    <border>
      <left style="dashed">
        <color rgb="FF000000"/>
      </left>
      <right/>
      <top/>
      <bottom style="dashed">
        <color rgb="FF000000"/>
      </bottom>
      <diagonal/>
    </border>
    <border>
      <left/>
      <right style="dashed">
        <color rgb="FF000000"/>
      </right>
      <top style="dashed">
        <color rgb="FF000000"/>
      </top>
      <bottom/>
      <diagonal/>
    </border>
    <border>
      <left/>
      <right style="dashed">
        <color rgb="FF000000"/>
      </right>
      <top/>
      <bottom/>
      <diagonal/>
    </border>
    <border>
      <left/>
      <right style="dashed">
        <color rgb="FF000000"/>
      </right>
      <top/>
      <bottom style="dashed">
        <color rgb="FF000000"/>
      </bottom>
      <diagonal/>
    </border>
    <border>
      <left style="dashed">
        <color rgb="FF000000"/>
      </left>
      <right/>
      <top style="dashed">
        <color rgb="FF000000"/>
      </top>
      <bottom style="dashed">
        <color rgb="FF000000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 style="thin">
        <color indexed="64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dashed">
        <color indexed="64"/>
      </left>
      <right style="dashed">
        <color indexed="64"/>
      </right>
      <top style="thin">
        <color rgb="FF000000"/>
      </top>
      <bottom style="double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indexed="64"/>
      </bottom>
      <diagonal/>
    </border>
    <border>
      <left style="dashed">
        <color rgb="FF000000"/>
      </left>
      <right/>
      <top/>
      <bottom style="thin">
        <color indexed="64"/>
      </bottom>
      <diagonal/>
    </border>
    <border>
      <left/>
      <right style="dashed">
        <color rgb="FF000000"/>
      </right>
      <top/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2" borderId="1"/>
    <xf numFmtId="0" fontId="2" fillId="0" borderId="0"/>
    <xf numFmtId="0" fontId="3" fillId="0" borderId="0"/>
    <xf numFmtId="171" fontId="13" fillId="0" borderId="4">
      <alignment horizontal="center"/>
      <protection locked="0"/>
    </xf>
    <xf numFmtId="0" fontId="12" fillId="0" borderId="0"/>
    <xf numFmtId="0" fontId="2" fillId="0" borderId="0"/>
    <xf numFmtId="43" fontId="12" fillId="0" borderId="0"/>
    <xf numFmtId="9" fontId="12" fillId="0" borderId="0"/>
    <xf numFmtId="44" fontId="12" fillId="0" borderId="0"/>
  </cellStyleXfs>
  <cellXfs count="317">
    <xf numFmtId="0" fontId="0" fillId="0" borderId="0" xfId="0"/>
    <xf numFmtId="0" fontId="4" fillId="4" borderId="3" xfId="0" applyFont="1" applyFill="1" applyBorder="1" applyAlignment="1">
      <alignment horizontal="centerContinuous"/>
    </xf>
    <xf numFmtId="3" fontId="5" fillId="0" borderId="0" xfId="0" applyNumberFormat="1" applyFont="1" applyAlignment="1">
      <alignment horizontal="centerContinuous"/>
    </xf>
    <xf numFmtId="3" fontId="5" fillId="0" borderId="0" xfId="0" applyNumberFormat="1" applyFont="1" applyAlignment="1">
      <alignment horizontal="centerContinuous" vertical="center"/>
    </xf>
    <xf numFmtId="0" fontId="6" fillId="0" borderId="0" xfId="0" applyFont="1" applyAlignment="1">
      <alignment horizontal="centerContinuous"/>
    </xf>
    <xf numFmtId="0" fontId="6" fillId="0" borderId="0" xfId="0" applyFont="1"/>
    <xf numFmtId="0" fontId="7" fillId="0" borderId="6" xfId="0" applyFont="1" applyBorder="1" applyAlignment="1">
      <alignment horizontal="centerContinuous"/>
    </xf>
    <xf numFmtId="0" fontId="7" fillId="0" borderId="6" xfId="0" applyFont="1" applyBorder="1" applyAlignment="1">
      <alignment horizontal="centerContinuous" vertical="center"/>
    </xf>
    <xf numFmtId="0" fontId="6" fillId="0" borderId="6" xfId="0" applyFont="1" applyBorder="1" applyAlignment="1">
      <alignment horizontal="centerContinuous"/>
    </xf>
    <xf numFmtId="0" fontId="8" fillId="0" borderId="2" xfId="0" applyFont="1" applyBorder="1"/>
    <xf numFmtId="0" fontId="6" fillId="0" borderId="2" xfId="0" applyFont="1" applyBorder="1" applyAlignment="1">
      <alignment horizontal="center" vertical="center"/>
    </xf>
    <xf numFmtId="15" fontId="8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left" indent="1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10" fillId="5" borderId="1" xfId="1" applyNumberFormat="1" applyFont="1" applyFill="1" applyAlignment="1">
      <alignment horizontal="center"/>
    </xf>
    <xf numFmtId="0" fontId="8" fillId="4" borderId="3" xfId="0" applyFont="1" applyFill="1" applyBorder="1" applyAlignment="1">
      <alignment horizontal="left"/>
    </xf>
    <xf numFmtId="15" fontId="6" fillId="0" borderId="0" xfId="0" applyNumberFormat="1" applyFont="1" applyAlignment="1">
      <alignment horizontal="left" indent="1"/>
    </xf>
    <xf numFmtId="164" fontId="10" fillId="5" borderId="1" xfId="1" applyNumberFormat="1" applyFont="1" applyFill="1" applyAlignment="1" applyProtection="1">
      <alignment horizontal="center"/>
      <protection locked="0"/>
    </xf>
    <xf numFmtId="3" fontId="10" fillId="5" borderId="1" xfId="1" applyNumberFormat="1" applyFont="1" applyFill="1" applyAlignment="1" applyProtection="1">
      <alignment horizontal="center"/>
      <protection locked="0"/>
    </xf>
    <xf numFmtId="0" fontId="10" fillId="5" borderId="5" xfId="1" applyFont="1" applyFill="1" applyBorder="1" applyAlignment="1" applyProtection="1">
      <alignment horizontal="center"/>
      <protection locked="0"/>
    </xf>
    <xf numFmtId="0" fontId="6" fillId="0" borderId="0" xfId="0" applyFont="1" applyAlignment="1">
      <alignment horizontal="center"/>
    </xf>
    <xf numFmtId="165" fontId="10" fillId="5" borderId="1" xfId="1" applyNumberFormat="1" applyFont="1" applyFill="1" applyAlignment="1" applyProtection="1">
      <alignment horizontal="center"/>
      <protection locked="0"/>
    </xf>
    <xf numFmtId="2" fontId="10" fillId="5" borderId="1" xfId="1" applyNumberFormat="1" applyFont="1" applyFill="1" applyAlignment="1" applyProtection="1">
      <alignment horizontal="center"/>
      <protection locked="0"/>
    </xf>
    <xf numFmtId="4" fontId="6" fillId="0" borderId="0" xfId="0" applyNumberFormat="1" applyFont="1"/>
    <xf numFmtId="0" fontId="6" fillId="0" borderId="0" xfId="0" applyFont="1" applyAlignment="1">
      <alignment horizontal="left" vertical="center" indent="1"/>
    </xf>
    <xf numFmtId="0" fontId="8" fillId="0" borderId="2" xfId="0" applyFont="1" applyBorder="1" applyAlignment="1">
      <alignment horizontal="center"/>
    </xf>
    <xf numFmtId="164" fontId="10" fillId="5" borderId="5" xfId="1" applyNumberFormat="1" applyFont="1" applyFill="1" applyBorder="1" applyAlignment="1" applyProtection="1">
      <alignment horizontal="center"/>
      <protection locked="0"/>
    </xf>
    <xf numFmtId="166" fontId="8" fillId="0" borderId="2" xfId="0" applyNumberFormat="1" applyFont="1" applyBorder="1" applyAlignment="1">
      <alignment horizontal="center" vertical="center"/>
    </xf>
    <xf numFmtId="166" fontId="8" fillId="0" borderId="2" xfId="0" applyNumberFormat="1" applyFont="1" applyBorder="1" applyAlignment="1">
      <alignment horizontal="center"/>
    </xf>
    <xf numFmtId="4" fontId="10" fillId="5" borderId="1" xfId="1" applyNumberFormat="1" applyFont="1" applyFill="1" applyAlignment="1" applyProtection="1">
      <alignment horizontal="center"/>
      <protection locked="0"/>
    </xf>
    <xf numFmtId="168" fontId="10" fillId="5" borderId="1" xfId="1" applyNumberFormat="1" applyFont="1" applyFill="1" applyAlignment="1" applyProtection="1">
      <alignment horizontal="center"/>
      <protection locked="0"/>
    </xf>
    <xf numFmtId="15" fontId="11" fillId="0" borderId="2" xfId="0" applyNumberFormat="1" applyFont="1" applyBorder="1" applyAlignment="1">
      <alignment horizontal="center"/>
    </xf>
    <xf numFmtId="169" fontId="8" fillId="0" borderId="2" xfId="0" applyNumberFormat="1" applyFont="1" applyBorder="1" applyAlignment="1">
      <alignment horizontal="center"/>
    </xf>
    <xf numFmtId="0" fontId="8" fillId="0" borderId="2" xfId="5" quotePrefix="1" applyFont="1" applyBorder="1" applyAlignment="1">
      <alignment horizontal="left"/>
    </xf>
    <xf numFmtId="0" fontId="8" fillId="0" borderId="2" xfId="5" applyFont="1" applyBorder="1"/>
    <xf numFmtId="0" fontId="8" fillId="0" borderId="2" xfId="5" applyFont="1" applyBorder="1" applyAlignment="1">
      <alignment horizontal="center"/>
    </xf>
    <xf numFmtId="170" fontId="14" fillId="2" borderId="5" xfId="1" applyNumberFormat="1" applyFont="1" applyBorder="1" applyAlignment="1">
      <alignment horizontal="center" vertical="center"/>
    </xf>
    <xf numFmtId="170" fontId="14" fillId="2" borderId="1" xfId="1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0" fontId="10" fillId="5" borderId="1" xfId="1" applyNumberFormat="1" applyFont="1" applyFill="1" applyAlignment="1" applyProtection="1">
      <alignment horizontal="center"/>
      <protection locked="0"/>
    </xf>
    <xf numFmtId="2" fontId="0" fillId="0" borderId="0" xfId="0" applyNumberFormat="1"/>
    <xf numFmtId="14" fontId="0" fillId="0" borderId="0" xfId="0" applyNumberFormat="1"/>
    <xf numFmtId="3" fontId="0" fillId="0" borderId="0" xfId="0" applyNumberFormat="1"/>
    <xf numFmtId="0" fontId="0" fillId="3" borderId="3" xfId="0" applyFill="1" applyBorder="1"/>
    <xf numFmtId="0" fontId="0" fillId="6" borderId="3" xfId="0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8" fontId="6" fillId="0" borderId="0" xfId="0" applyNumberFormat="1" applyFont="1"/>
    <xf numFmtId="171" fontId="17" fillId="0" borderId="0" xfId="0" applyNumberFormat="1" applyFont="1"/>
    <xf numFmtId="0" fontId="17" fillId="0" borderId="0" xfId="0" applyFont="1"/>
    <xf numFmtId="0" fontId="0" fillId="0" borderId="0" xfId="0" applyAlignment="1">
      <alignment horizontal="left" indent="1"/>
    </xf>
    <xf numFmtId="0" fontId="18" fillId="0" borderId="0" xfId="0" applyFont="1"/>
    <xf numFmtId="0" fontId="19" fillId="0" borderId="2" xfId="5" quotePrefix="1" applyFont="1" applyBorder="1" applyAlignment="1">
      <alignment horizontal="left"/>
    </xf>
    <xf numFmtId="0" fontId="20" fillId="0" borderId="0" xfId="0" applyFont="1"/>
    <xf numFmtId="171" fontId="10" fillId="5" borderId="1" xfId="1" applyNumberFormat="1" applyFont="1" applyFill="1" applyAlignment="1" applyProtection="1">
      <alignment horizontal="center"/>
      <protection locked="0"/>
    </xf>
    <xf numFmtId="0" fontId="20" fillId="0" borderId="0" xfId="0" applyFont="1" applyAlignment="1">
      <alignment horizontal="left"/>
    </xf>
    <xf numFmtId="2" fontId="6" fillId="0" borderId="0" xfId="0" applyNumberFormat="1" applyFont="1" applyAlignment="1">
      <alignment horizontal="center" vertical="center"/>
    </xf>
    <xf numFmtId="167" fontId="6" fillId="0" borderId="0" xfId="0" applyNumberFormat="1" applyFont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43" fontId="0" fillId="0" borderId="0" xfId="7" applyFont="1" applyAlignment="1">
      <alignment vertical="top"/>
    </xf>
    <xf numFmtId="172" fontId="0" fillId="0" borderId="0" xfId="7" applyNumberFormat="1" applyFont="1"/>
    <xf numFmtId="166" fontId="8" fillId="0" borderId="0" xfId="0" applyNumberFormat="1" applyFont="1" applyAlignment="1">
      <alignment horizontal="center"/>
    </xf>
    <xf numFmtId="43" fontId="6" fillId="0" borderId="0" xfId="7" applyFont="1"/>
    <xf numFmtId="43" fontId="21" fillId="0" borderId="0" xfId="7" applyFont="1"/>
    <xf numFmtId="1" fontId="6" fillId="0" borderId="0" xfId="0" applyNumberFormat="1" applyFont="1"/>
    <xf numFmtId="0" fontId="23" fillId="8" borderId="3" xfId="0" applyFont="1" applyFill="1" applyBorder="1"/>
    <xf numFmtId="0" fontId="23" fillId="8" borderId="3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/>
    <xf numFmtId="3" fontId="25" fillId="10" borderId="7" xfId="0" applyNumberFormat="1" applyFont="1" applyFill="1" applyBorder="1" applyAlignment="1">
      <alignment horizontal="center" vertical="center"/>
    </xf>
    <xf numFmtId="6" fontId="25" fillId="10" borderId="7" xfId="0" applyNumberFormat="1" applyFont="1" applyFill="1" applyBorder="1" applyAlignment="1">
      <alignment horizontal="center" vertical="center"/>
    </xf>
    <xf numFmtId="0" fontId="25" fillId="10" borderId="7" xfId="0" applyFont="1" applyFill="1" applyBorder="1" applyAlignment="1">
      <alignment horizontal="center" vertical="center"/>
    </xf>
    <xf numFmtId="17" fontId="25" fillId="10" borderId="7" xfId="0" applyNumberFormat="1" applyFont="1" applyFill="1" applyBorder="1" applyAlignment="1">
      <alignment horizontal="center" vertical="center"/>
    </xf>
    <xf numFmtId="0" fontId="22" fillId="0" borderId="8" xfId="0" applyFont="1" applyBorder="1"/>
    <xf numFmtId="0" fontId="24" fillId="0" borderId="8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0" xfId="0" applyFont="1"/>
    <xf numFmtId="43" fontId="25" fillId="10" borderId="7" xfId="0" applyNumberFormat="1" applyFont="1" applyFill="1" applyBorder="1" applyAlignment="1">
      <alignment horizontal="center" vertical="center"/>
    </xf>
    <xf numFmtId="177" fontId="25" fillId="10" borderId="7" xfId="9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0" borderId="0" xfId="0"/>
    <xf numFmtId="0" fontId="29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2" fillId="0" borderId="0" xfId="0" applyFont="1"/>
    <xf numFmtId="0" fontId="24" fillId="0" borderId="0" xfId="0" applyFont="1"/>
    <xf numFmtId="0" fontId="0" fillId="13" borderId="0" xfId="0" applyFill="1"/>
    <xf numFmtId="0" fontId="26" fillId="13" borderId="0" xfId="0" applyFont="1" applyFill="1" applyAlignment="1">
      <alignment horizontal="left" vertical="center"/>
    </xf>
    <xf numFmtId="0" fontId="0" fillId="13" borderId="0" xfId="0" applyFill="1"/>
    <xf numFmtId="0" fontId="27" fillId="13" borderId="0" xfId="0" applyFont="1" applyFill="1" applyAlignment="1">
      <alignment horizontal="left" vertical="center"/>
    </xf>
    <xf numFmtId="0" fontId="0" fillId="3" borderId="0" xfId="0" applyFill="1"/>
    <xf numFmtId="0" fontId="30" fillId="0" borderId="0" xfId="0" applyFont="1" applyAlignment="1">
      <alignment vertical="center"/>
    </xf>
    <xf numFmtId="0" fontId="0" fillId="0" borderId="0" xfId="0" applyAlignment="1"/>
    <xf numFmtId="0" fontId="31" fillId="13" borderId="0" xfId="0" applyFont="1" applyFill="1" applyAlignment="1">
      <alignment horizontal="left" vertical="center"/>
    </xf>
    <xf numFmtId="0" fontId="32" fillId="13" borderId="0" xfId="0" applyFont="1" applyFill="1"/>
    <xf numFmtId="0" fontId="35" fillId="3" borderId="0" xfId="0" applyFont="1" applyFill="1"/>
    <xf numFmtId="0" fontId="35" fillId="0" borderId="0" xfId="0" applyFont="1"/>
    <xf numFmtId="0" fontId="36" fillId="0" borderId="0" xfId="0" applyFont="1"/>
    <xf numFmtId="6" fontId="37" fillId="0" borderId="0" xfId="0" applyNumberFormat="1" applyFont="1" applyAlignment="1">
      <alignment horizontal="left" vertical="center"/>
    </xf>
    <xf numFmtId="0" fontId="38" fillId="3" borderId="3" xfId="0" applyFont="1" applyFill="1" applyBorder="1" applyAlignment="1">
      <alignment horizontal="left" indent="3"/>
    </xf>
    <xf numFmtId="0" fontId="35" fillId="3" borderId="3" xfId="0" applyFont="1" applyFill="1" applyBorder="1"/>
    <xf numFmtId="0" fontId="35" fillId="3" borderId="3" xfId="0" applyFont="1" applyFill="1" applyBorder="1" applyAlignment="1">
      <alignment horizontal="center"/>
    </xf>
    <xf numFmtId="0" fontId="39" fillId="3" borderId="3" xfId="0" applyFont="1" applyFill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43" fontId="35" fillId="0" borderId="0" xfId="0" applyNumberFormat="1" applyFont="1"/>
    <xf numFmtId="0" fontId="40" fillId="0" borderId="0" xfId="0" applyFont="1"/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 vertical="center"/>
    </xf>
    <xf numFmtId="0" fontId="40" fillId="7" borderId="0" xfId="0" applyFont="1" applyFill="1"/>
    <xf numFmtId="14" fontId="40" fillId="7" borderId="0" xfId="0" applyNumberFormat="1" applyFont="1" applyFill="1"/>
    <xf numFmtId="14" fontId="40" fillId="0" borderId="0" xfId="0" applyNumberFormat="1" applyFont="1"/>
    <xf numFmtId="43" fontId="40" fillId="0" borderId="0" xfId="7" applyFont="1"/>
    <xf numFmtId="0" fontId="42" fillId="3" borderId="3" xfId="0" applyFont="1" applyFill="1" applyBorder="1" applyAlignment="1">
      <alignment horizontal="left" indent="3"/>
    </xf>
    <xf numFmtId="0" fontId="36" fillId="3" borderId="3" xfId="0" applyFont="1" applyFill="1" applyBorder="1"/>
    <xf numFmtId="0" fontId="36" fillId="3" borderId="3" xfId="0" applyFont="1" applyFill="1" applyBorder="1" applyAlignment="1">
      <alignment horizontal="center"/>
    </xf>
    <xf numFmtId="43" fontId="35" fillId="0" borderId="0" xfId="7" applyFont="1"/>
    <xf numFmtId="177" fontId="35" fillId="0" borderId="0" xfId="9" applyNumberFormat="1" applyFont="1"/>
    <xf numFmtId="172" fontId="40" fillId="0" borderId="0" xfId="7" applyNumberFormat="1" applyFont="1"/>
    <xf numFmtId="6" fontId="40" fillId="0" borderId="0" xfId="9" applyNumberFormat="1" applyFont="1"/>
    <xf numFmtId="172" fontId="40" fillId="0" borderId="0" xfId="7" applyNumberFormat="1" applyFont="1" applyAlignment="1">
      <alignment horizontal="center"/>
    </xf>
    <xf numFmtId="172" fontId="41" fillId="0" borderId="0" xfId="7" applyNumberFormat="1" applyFont="1" applyAlignment="1">
      <alignment horizontal="center" vertical="center"/>
    </xf>
    <xf numFmtId="172" fontId="40" fillId="7" borderId="0" xfId="7" applyNumberFormat="1" applyFont="1" applyFill="1"/>
    <xf numFmtId="172" fontId="35" fillId="0" borderId="0" xfId="7" applyNumberFormat="1" applyFont="1"/>
    <xf numFmtId="6" fontId="35" fillId="0" borderId="0" xfId="9" applyNumberFormat="1" applyFont="1"/>
    <xf numFmtId="172" fontId="35" fillId="0" borderId="0" xfId="7" applyNumberFormat="1" applyFont="1" applyAlignment="1">
      <alignment horizontal="center"/>
    </xf>
    <xf numFmtId="172" fontId="39" fillId="0" borderId="0" xfId="7" applyNumberFormat="1" applyFont="1" applyAlignment="1">
      <alignment horizontal="center" vertical="center"/>
    </xf>
    <xf numFmtId="172" fontId="35" fillId="7" borderId="0" xfId="7" applyNumberFormat="1" applyFont="1" applyFill="1"/>
    <xf numFmtId="172" fontId="40" fillId="0" borderId="3" xfId="7" applyNumberFormat="1" applyFont="1" applyBorder="1"/>
    <xf numFmtId="6" fontId="40" fillId="0" borderId="3" xfId="9" applyNumberFormat="1" applyFont="1" applyBorder="1"/>
    <xf numFmtId="172" fontId="40" fillId="0" borderId="3" xfId="7" applyNumberFormat="1" applyFont="1" applyBorder="1" applyAlignment="1">
      <alignment horizontal="center"/>
    </xf>
    <xf numFmtId="172" fontId="41" fillId="0" borderId="3" xfId="7" applyNumberFormat="1" applyFont="1" applyBorder="1" applyAlignment="1">
      <alignment horizontal="center" vertical="center"/>
    </xf>
    <xf numFmtId="172" fontId="40" fillId="7" borderId="3" xfId="7" applyNumberFormat="1" applyFont="1" applyFill="1" applyBorder="1"/>
    <xf numFmtId="0" fontId="46" fillId="7" borderId="3" xfId="0" applyFont="1" applyFill="1" applyBorder="1" applyAlignment="1">
      <alignment horizontal="left" indent="3"/>
    </xf>
    <xf numFmtId="0" fontId="36" fillId="7" borderId="3" xfId="0" applyFont="1" applyFill="1" applyBorder="1"/>
    <xf numFmtId="0" fontId="36" fillId="7" borderId="3" xfId="0" applyFont="1" applyFill="1" applyBorder="1" applyAlignment="1">
      <alignment horizontal="center"/>
    </xf>
    <xf numFmtId="0" fontId="39" fillId="7" borderId="3" xfId="0" applyFont="1" applyFill="1" applyBorder="1" applyAlignment="1">
      <alignment horizontal="center" vertical="center"/>
    </xf>
    <xf numFmtId="0" fontId="35" fillId="0" borderId="9" xfId="0" applyFont="1" applyBorder="1"/>
    <xf numFmtId="164" fontId="47" fillId="0" borderId="13" xfId="8" applyNumberFormat="1" applyFont="1" applyBorder="1" applyAlignment="1">
      <alignment horizontal="center"/>
    </xf>
    <xf numFmtId="43" fontId="35" fillId="7" borderId="0" xfId="7" applyFont="1" applyFill="1"/>
    <xf numFmtId="0" fontId="40" fillId="0" borderId="0" xfId="0" applyFont="1" applyAlignment="1">
      <alignment horizontal="left" indent="6"/>
    </xf>
    <xf numFmtId="0" fontId="35" fillId="0" borderId="0" xfId="0" applyFont="1" applyAlignment="1">
      <alignment horizontal="left" indent="2"/>
    </xf>
    <xf numFmtId="0" fontId="47" fillId="0" borderId="17" xfId="0" applyFont="1" applyBorder="1" applyAlignment="1">
      <alignment horizontal="center"/>
    </xf>
    <xf numFmtId="175" fontId="47" fillId="0" borderId="16" xfId="0" applyNumberFormat="1" applyFont="1" applyBorder="1" applyAlignment="1">
      <alignment horizontal="center"/>
    </xf>
    <xf numFmtId="0" fontId="35" fillId="7" borderId="0" xfId="0" applyFont="1" applyFill="1"/>
    <xf numFmtId="0" fontId="47" fillId="0" borderId="18" xfId="0" applyFont="1" applyBorder="1" applyAlignment="1">
      <alignment horizontal="center"/>
    </xf>
    <xf numFmtId="175" fontId="47" fillId="0" borderId="14" xfId="0" applyNumberFormat="1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175" fontId="47" fillId="0" borderId="15" xfId="0" applyNumberFormat="1" applyFont="1" applyBorder="1" applyAlignment="1">
      <alignment horizontal="center"/>
    </xf>
    <xf numFmtId="0" fontId="40" fillId="0" borderId="0" xfId="0" applyFont="1" applyAlignment="1">
      <alignment horizontal="left" indent="7"/>
    </xf>
    <xf numFmtId="0" fontId="47" fillId="0" borderId="16" xfId="0" applyFont="1" applyBorder="1" applyAlignment="1">
      <alignment horizontal="center"/>
    </xf>
    <xf numFmtId="10" fontId="35" fillId="7" borderId="0" xfId="8" applyNumberFormat="1" applyFont="1" applyFill="1"/>
    <xf numFmtId="10" fontId="35" fillId="0" borderId="0" xfId="8" applyNumberFormat="1" applyFont="1"/>
    <xf numFmtId="0" fontId="47" fillId="0" borderId="14" xfId="0" applyFont="1" applyBorder="1" applyAlignment="1">
      <alignment horizontal="center"/>
    </xf>
    <xf numFmtId="0" fontId="47" fillId="0" borderId="15" xfId="0" applyFont="1" applyBorder="1" applyAlignment="1">
      <alignment horizontal="center"/>
    </xf>
    <xf numFmtId="0" fontId="40" fillId="0" borderId="0" xfId="0" applyFont="1" applyAlignment="1">
      <alignment horizontal="left" indent="17"/>
    </xf>
    <xf numFmtId="174" fontId="47" fillId="0" borderId="17" xfId="7" applyNumberFormat="1" applyFont="1" applyBorder="1" applyAlignment="1">
      <alignment horizontal="center"/>
    </xf>
    <xf numFmtId="174" fontId="47" fillId="0" borderId="18" xfId="7" applyNumberFormat="1" applyFont="1" applyBorder="1" applyAlignment="1">
      <alignment horizontal="center"/>
    </xf>
    <xf numFmtId="174" fontId="47" fillId="0" borderId="19" xfId="7" applyNumberFormat="1" applyFont="1" applyBorder="1" applyAlignment="1">
      <alignment horizontal="center"/>
    </xf>
    <xf numFmtId="0" fontId="40" fillId="0" borderId="8" xfId="0" applyFont="1" applyBorder="1" applyAlignment="1">
      <alignment horizontal="left"/>
    </xf>
    <xf numFmtId="0" fontId="40" fillId="0" borderId="8" xfId="0" applyFont="1" applyBorder="1"/>
    <xf numFmtId="0" fontId="40" fillId="0" borderId="8" xfId="0" applyFont="1" applyBorder="1" applyAlignment="1">
      <alignment horizontal="center"/>
    </xf>
    <xf numFmtId="0" fontId="41" fillId="0" borderId="8" xfId="0" applyFont="1" applyBorder="1" applyAlignment="1">
      <alignment horizontal="center" vertical="center"/>
    </xf>
    <xf numFmtId="172" fontId="40" fillId="7" borderId="8" xfId="7" applyNumberFormat="1" applyFont="1" applyFill="1" applyBorder="1"/>
    <xf numFmtId="172" fontId="40" fillId="0" borderId="8" xfId="7" applyNumberFormat="1" applyFont="1" applyBorder="1"/>
    <xf numFmtId="0" fontId="35" fillId="0" borderId="2" xfId="0" applyFont="1" applyBorder="1"/>
    <xf numFmtId="0" fontId="47" fillId="0" borderId="32" xfId="0" applyFont="1" applyBorder="1" applyAlignment="1">
      <alignment horizontal="center"/>
    </xf>
    <xf numFmtId="0" fontId="47" fillId="0" borderId="31" xfId="0" applyFont="1" applyBorder="1" applyAlignment="1">
      <alignment horizontal="center"/>
    </xf>
    <xf numFmtId="9" fontId="40" fillId="0" borderId="0" xfId="8" quotePrefix="1" applyFont="1" applyAlignment="1">
      <alignment horizontal="center"/>
    </xf>
    <xf numFmtId="9" fontId="41" fillId="0" borderId="0" xfId="8" applyFont="1" applyAlignment="1">
      <alignment horizontal="center" vertical="center"/>
    </xf>
    <xf numFmtId="10" fontId="47" fillId="0" borderId="16" xfId="8" applyNumberFormat="1" applyFont="1" applyBorder="1" applyAlignment="1">
      <alignment horizontal="center"/>
    </xf>
    <xf numFmtId="0" fontId="47" fillId="0" borderId="20" xfId="8" applyNumberFormat="1" applyFont="1" applyBorder="1" applyAlignment="1">
      <alignment horizontal="center"/>
    </xf>
    <xf numFmtId="9" fontId="39" fillId="0" borderId="0" xfId="8" applyFont="1" applyAlignment="1">
      <alignment horizontal="center" vertical="center"/>
    </xf>
    <xf numFmtId="10" fontId="47" fillId="0" borderId="14" xfId="8" applyNumberFormat="1" applyFont="1" applyBorder="1" applyAlignment="1">
      <alignment horizontal="center"/>
    </xf>
    <xf numFmtId="0" fontId="47" fillId="0" borderId="21" xfId="8" applyNumberFormat="1" applyFont="1" applyBorder="1" applyAlignment="1">
      <alignment horizontal="center"/>
    </xf>
    <xf numFmtId="10" fontId="47" fillId="0" borderId="31" xfId="8" applyNumberFormat="1" applyFont="1" applyBorder="1" applyAlignment="1">
      <alignment horizontal="center"/>
    </xf>
    <xf numFmtId="0" fontId="47" fillId="0" borderId="33" xfId="8" applyNumberFormat="1" applyFont="1" applyBorder="1" applyAlignment="1">
      <alignment horizontal="center"/>
    </xf>
    <xf numFmtId="0" fontId="35" fillId="0" borderId="0" xfId="7" applyNumberFormat="1" applyFont="1" applyAlignment="1">
      <alignment horizontal="center"/>
    </xf>
    <xf numFmtId="0" fontId="39" fillId="0" borderId="0" xfId="7" applyNumberFormat="1" applyFont="1" applyAlignment="1">
      <alignment horizontal="center" vertical="center"/>
    </xf>
    <xf numFmtId="174" fontId="47" fillId="0" borderId="16" xfId="9" applyNumberFormat="1" applyFont="1" applyBorder="1" applyAlignment="1">
      <alignment horizontal="center"/>
    </xf>
    <xf numFmtId="172" fontId="35" fillId="0" borderId="0" xfId="0" applyNumberFormat="1" applyFont="1"/>
    <xf numFmtId="174" fontId="47" fillId="0" borderId="14" xfId="9" applyNumberFormat="1" applyFont="1" applyBorder="1" applyAlignment="1">
      <alignment horizontal="center"/>
    </xf>
    <xf numFmtId="174" fontId="47" fillId="0" borderId="31" xfId="9" applyNumberFormat="1" applyFont="1" applyBorder="1" applyAlignment="1">
      <alignment horizontal="center"/>
    </xf>
    <xf numFmtId="176" fontId="47" fillId="0" borderId="23" xfId="9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39" fillId="0" borderId="2" xfId="0" applyFont="1" applyBorder="1" applyAlignment="1">
      <alignment horizontal="center" vertical="center"/>
    </xf>
    <xf numFmtId="172" fontId="40" fillId="7" borderId="8" xfId="0" applyNumberFormat="1" applyFont="1" applyFill="1" applyBorder="1"/>
    <xf numFmtId="172" fontId="40" fillId="0" borderId="8" xfId="0" applyNumberFormat="1" applyFont="1" applyBorder="1"/>
    <xf numFmtId="172" fontId="40" fillId="0" borderId="0" xfId="0" applyNumberFormat="1" applyFont="1"/>
    <xf numFmtId="172" fontId="40" fillId="7" borderId="0" xfId="0" applyNumberFormat="1" applyFont="1" applyFill="1"/>
    <xf numFmtId="176" fontId="47" fillId="0" borderId="13" xfId="9" applyNumberFormat="1" applyFont="1" applyBorder="1" applyAlignment="1">
      <alignment horizontal="center"/>
    </xf>
    <xf numFmtId="0" fontId="47" fillId="0" borderId="24" xfId="0" applyFont="1" applyBorder="1" applyAlignment="1">
      <alignment horizontal="center"/>
    </xf>
    <xf numFmtId="172" fontId="35" fillId="7" borderId="0" xfId="0" applyNumberFormat="1" applyFont="1" applyFill="1"/>
    <xf numFmtId="0" fontId="35" fillId="0" borderId="8" xfId="0" applyFont="1" applyBorder="1"/>
    <xf numFmtId="172" fontId="35" fillId="0" borderId="0" xfId="0" applyNumberFormat="1" applyFont="1" applyAlignment="1">
      <alignment horizontal="center"/>
    </xf>
    <xf numFmtId="0" fontId="39" fillId="0" borderId="8" xfId="0" applyFont="1" applyBorder="1" applyAlignment="1">
      <alignment horizontal="center" vertical="center"/>
    </xf>
    <xf numFmtId="172" fontId="35" fillId="7" borderId="8" xfId="0" applyNumberFormat="1" applyFont="1" applyFill="1" applyBorder="1"/>
    <xf numFmtId="172" fontId="35" fillId="0" borderId="8" xfId="0" applyNumberFormat="1" applyFont="1" applyBorder="1"/>
    <xf numFmtId="172" fontId="35" fillId="0" borderId="2" xfId="0" applyNumberFormat="1" applyFont="1" applyBorder="1" applyAlignment="1">
      <alignment horizontal="center"/>
    </xf>
    <xf numFmtId="172" fontId="35" fillId="7" borderId="2" xfId="0" applyNumberFormat="1" applyFont="1" applyFill="1" applyBorder="1"/>
    <xf numFmtId="172" fontId="35" fillId="0" borderId="2" xfId="0" applyNumberFormat="1" applyFont="1" applyBorder="1"/>
    <xf numFmtId="172" fontId="40" fillId="11" borderId="10" xfId="7" applyNumberFormat="1" applyFont="1" applyFill="1" applyBorder="1" applyAlignment="1">
      <alignment horizontal="left"/>
    </xf>
    <xf numFmtId="172" fontId="40" fillId="11" borderId="10" xfId="7" applyNumberFormat="1" applyFont="1" applyFill="1" applyBorder="1"/>
    <xf numFmtId="172" fontId="40" fillId="11" borderId="10" xfId="7" applyNumberFormat="1" applyFont="1" applyFill="1" applyBorder="1" applyAlignment="1">
      <alignment horizontal="center"/>
    </xf>
    <xf numFmtId="172" fontId="41" fillId="11" borderId="10" xfId="7" applyNumberFormat="1" applyFont="1" applyFill="1" applyBorder="1" applyAlignment="1">
      <alignment horizontal="center" vertical="center"/>
    </xf>
    <xf numFmtId="0" fontId="47" fillId="0" borderId="25" xfId="0" applyFont="1" applyBorder="1" applyAlignment="1">
      <alignment horizontal="center"/>
    </xf>
    <xf numFmtId="0" fontId="47" fillId="0" borderId="26" xfId="0" applyFont="1" applyBorder="1" applyAlignment="1">
      <alignment horizontal="center"/>
    </xf>
    <xf numFmtId="174" fontId="47" fillId="0" borderId="15" xfId="9" applyNumberFormat="1" applyFont="1" applyBorder="1" applyAlignment="1">
      <alignment horizontal="center"/>
    </xf>
    <xf numFmtId="0" fontId="47" fillId="0" borderId="27" xfId="0" applyFont="1" applyBorder="1" applyAlignment="1">
      <alignment horizontal="center"/>
    </xf>
    <xf numFmtId="43" fontId="40" fillId="0" borderId="8" xfId="7" applyFont="1" applyBorder="1"/>
    <xf numFmtId="43" fontId="40" fillId="7" borderId="8" xfId="7" applyFont="1" applyFill="1" applyBorder="1"/>
    <xf numFmtId="174" fontId="47" fillId="0" borderId="0" xfId="9" applyNumberFormat="1" applyFont="1" applyAlignment="1">
      <alignment horizontal="center"/>
    </xf>
    <xf numFmtId="0" fontId="47" fillId="0" borderId="0" xfId="0" applyFont="1" applyAlignment="1">
      <alignment horizontal="center"/>
    </xf>
    <xf numFmtId="174" fontId="47" fillId="0" borderId="12" xfId="9" applyNumberFormat="1" applyFont="1" applyBorder="1" applyAlignment="1">
      <alignment horizontal="center"/>
    </xf>
    <xf numFmtId="0" fontId="47" fillId="0" borderId="11" xfId="0" applyFont="1" applyBorder="1" applyAlignment="1">
      <alignment horizontal="center"/>
    </xf>
    <xf numFmtId="3" fontId="35" fillId="0" borderId="0" xfId="0" applyNumberFormat="1" applyFont="1"/>
    <xf numFmtId="43" fontId="40" fillId="7" borderId="0" xfId="7" applyFont="1" applyFill="1"/>
    <xf numFmtId="173" fontId="35" fillId="7" borderId="0" xfId="7" applyNumberFormat="1" applyFont="1" applyFill="1"/>
    <xf numFmtId="173" fontId="35" fillId="0" borderId="0" xfId="7" applyNumberFormat="1" applyFont="1"/>
    <xf numFmtId="0" fontId="47" fillId="0" borderId="20" xfId="0" applyFont="1" applyBorder="1" applyAlignment="1">
      <alignment horizontal="center"/>
    </xf>
    <xf numFmtId="0" fontId="47" fillId="0" borderId="22" xfId="0" applyFont="1" applyBorder="1" applyAlignment="1">
      <alignment horizontal="center"/>
    </xf>
    <xf numFmtId="171" fontId="35" fillId="0" borderId="0" xfId="0" applyNumberFormat="1" applyFont="1"/>
    <xf numFmtId="171" fontId="35" fillId="0" borderId="0" xfId="0" applyNumberFormat="1" applyFont="1" applyAlignment="1">
      <alignment horizontal="center"/>
    </xf>
    <xf numFmtId="171" fontId="39" fillId="0" borderId="0" xfId="0" applyNumberFormat="1" applyFont="1" applyAlignment="1">
      <alignment horizontal="center" vertical="center"/>
    </xf>
    <xf numFmtId="171" fontId="40" fillId="0" borderId="0" xfId="0" applyNumberFormat="1" applyFont="1" applyAlignment="1">
      <alignment horizontal="center"/>
    </xf>
    <xf numFmtId="167" fontId="47" fillId="0" borderId="16" xfId="9" applyNumberFormat="1" applyFont="1" applyBorder="1" applyAlignment="1">
      <alignment horizontal="center"/>
    </xf>
    <xf numFmtId="172" fontId="39" fillId="0" borderId="0" xfId="0" applyNumberFormat="1" applyFont="1" applyAlignment="1">
      <alignment horizontal="center" vertical="center"/>
    </xf>
    <xf numFmtId="167" fontId="47" fillId="0" borderId="14" xfId="9" applyNumberFormat="1" applyFont="1" applyBorder="1" applyAlignment="1">
      <alignment horizontal="center"/>
    </xf>
    <xf numFmtId="167" fontId="47" fillId="0" borderId="15" xfId="9" applyNumberFormat="1" applyFont="1" applyBorder="1" applyAlignment="1">
      <alignment horizontal="center"/>
    </xf>
    <xf numFmtId="43" fontId="35" fillId="7" borderId="0" xfId="0" applyNumberFormat="1" applyFont="1" applyFill="1"/>
    <xf numFmtId="3" fontId="47" fillId="0" borderId="16" xfId="9" applyNumberFormat="1" applyFont="1" applyBorder="1" applyAlignment="1">
      <alignment horizontal="center"/>
    </xf>
    <xf numFmtId="3" fontId="47" fillId="0" borderId="25" xfId="0" applyNumberFormat="1" applyFont="1" applyBorder="1" applyAlignment="1">
      <alignment horizontal="center"/>
    </xf>
    <xf numFmtId="3" fontId="47" fillId="0" borderId="14" xfId="9" applyNumberFormat="1" applyFont="1" applyBorder="1" applyAlignment="1">
      <alignment horizontal="center"/>
    </xf>
    <xf numFmtId="3" fontId="47" fillId="0" borderId="26" xfId="0" applyNumberFormat="1" applyFont="1" applyBorder="1" applyAlignment="1">
      <alignment horizontal="center"/>
    </xf>
    <xf numFmtId="3" fontId="47" fillId="0" borderId="15" xfId="9" applyNumberFormat="1" applyFont="1" applyBorder="1" applyAlignment="1">
      <alignment horizontal="center"/>
    </xf>
    <xf numFmtId="3" fontId="47" fillId="0" borderId="27" xfId="0" applyNumberFormat="1" applyFont="1" applyBorder="1" applyAlignment="1">
      <alignment horizontal="center"/>
    </xf>
    <xf numFmtId="43" fontId="35" fillId="7" borderId="0" xfId="0" applyNumberFormat="1" applyFont="1" applyFill="1" applyAlignment="1">
      <alignment wrapText="1"/>
    </xf>
    <xf numFmtId="0" fontId="35" fillId="0" borderId="0" xfId="0" applyFont="1" applyAlignment="1">
      <alignment wrapText="1"/>
    </xf>
    <xf numFmtId="174" fontId="35" fillId="7" borderId="0" xfId="0" applyNumberFormat="1" applyFont="1" applyFill="1"/>
    <xf numFmtId="174" fontId="35" fillId="0" borderId="0" xfId="0" applyNumberFormat="1" applyFont="1"/>
    <xf numFmtId="0" fontId="47" fillId="0" borderId="12" xfId="9" applyNumberFormat="1" applyFont="1" applyBorder="1" applyAlignment="1">
      <alignment horizontal="center"/>
    </xf>
    <xf numFmtId="0" fontId="35" fillId="0" borderId="0" xfId="0" applyFont="1" applyAlignment="1">
      <alignment horizontal="left"/>
    </xf>
    <xf numFmtId="4" fontId="35" fillId="0" borderId="0" xfId="0" applyNumberFormat="1" applyFont="1"/>
    <xf numFmtId="0" fontId="40" fillId="11" borderId="28" xfId="0" applyFont="1" applyFill="1" applyBorder="1"/>
    <xf numFmtId="0" fontId="40" fillId="11" borderId="28" xfId="0" applyFont="1" applyFill="1" applyBorder="1" applyAlignment="1">
      <alignment horizontal="center"/>
    </xf>
    <xf numFmtId="0" fontId="41" fillId="11" borderId="28" xfId="0" applyFont="1" applyFill="1" applyBorder="1" applyAlignment="1">
      <alignment horizontal="center" vertical="center"/>
    </xf>
    <xf numFmtId="43" fontId="40" fillId="11" borderId="28" xfId="7" applyFont="1" applyFill="1" applyBorder="1"/>
    <xf numFmtId="172" fontId="40" fillId="11" borderId="28" xfId="7" applyNumberFormat="1" applyFont="1" applyFill="1" applyBorder="1"/>
    <xf numFmtId="0" fontId="40" fillId="11" borderId="29" xfId="0" applyFont="1" applyFill="1" applyBorder="1"/>
    <xf numFmtId="174" fontId="47" fillId="11" borderId="29" xfId="9" applyNumberFormat="1" applyFont="1" applyFill="1" applyBorder="1" applyAlignment="1">
      <alignment horizontal="center"/>
    </xf>
    <xf numFmtId="0" fontId="47" fillId="11" borderId="30" xfId="0" applyFont="1" applyFill="1" applyBorder="1" applyAlignment="1">
      <alignment horizontal="center"/>
    </xf>
    <xf numFmtId="0" fontId="41" fillId="11" borderId="29" xfId="0" applyFont="1" applyFill="1" applyBorder="1" applyAlignment="1">
      <alignment horizontal="center" vertical="center"/>
    </xf>
    <xf numFmtId="172" fontId="40" fillId="11" borderId="29" xfId="0" applyNumberFormat="1" applyFont="1" applyFill="1" applyBorder="1"/>
    <xf numFmtId="172" fontId="35" fillId="0" borderId="0" xfId="0" applyNumberFormat="1" applyFont="1" applyFill="1"/>
    <xf numFmtId="0" fontId="48" fillId="0" borderId="0" xfId="0" applyFont="1"/>
    <xf numFmtId="0" fontId="49" fillId="12" borderId="3" xfId="0" applyFont="1" applyFill="1" applyBorder="1" applyAlignment="1">
      <alignment horizontal="left"/>
    </xf>
    <xf numFmtId="0" fontId="49" fillId="12" borderId="3" xfId="0" applyFont="1" applyFill="1" applyBorder="1" applyAlignment="1">
      <alignment horizontal="center"/>
    </xf>
    <xf numFmtId="0" fontId="50" fillId="12" borderId="3" xfId="0" applyFont="1" applyFill="1" applyBorder="1" applyAlignment="1">
      <alignment horizontal="center"/>
    </xf>
    <xf numFmtId="171" fontId="49" fillId="12" borderId="3" xfId="0" applyNumberFormat="1" applyFont="1" applyFill="1" applyBorder="1" applyAlignment="1">
      <alignment horizontal="center"/>
    </xf>
    <xf numFmtId="171" fontId="49" fillId="0" borderId="0" xfId="0" applyNumberFormat="1" applyFont="1" applyAlignment="1">
      <alignment horizontal="center"/>
    </xf>
    <xf numFmtId="0" fontId="51" fillId="0" borderId="0" xfId="0" applyFont="1"/>
    <xf numFmtId="2" fontId="35" fillId="0" borderId="0" xfId="0" applyNumberFormat="1" applyFont="1"/>
    <xf numFmtId="43" fontId="12" fillId="0" borderId="0" xfId="7"/>
    <xf numFmtId="0" fontId="6" fillId="14" borderId="0" xfId="0" applyFont="1" applyFill="1" applyBorder="1" applyAlignment="1">
      <alignment horizontal="centerContinuous"/>
    </xf>
    <xf numFmtId="0" fontId="4" fillId="14" borderId="0" xfId="0" applyFont="1" applyFill="1" applyBorder="1" applyAlignment="1">
      <alignment horizontal="centerContinuous"/>
    </xf>
    <xf numFmtId="0" fontId="8" fillId="14" borderId="0" xfId="0" applyFont="1" applyFill="1" applyBorder="1" applyAlignment="1">
      <alignment horizontal="center"/>
    </xf>
    <xf numFmtId="167" fontId="10" fillId="14" borderId="0" xfId="1" applyNumberFormat="1" applyFont="1" applyFill="1" applyBorder="1" applyAlignment="1" applyProtection="1">
      <alignment horizontal="center"/>
      <protection locked="0"/>
    </xf>
    <xf numFmtId="3" fontId="6" fillId="0" borderId="34" xfId="1" applyNumberFormat="1" applyFont="1" applyFill="1" applyBorder="1" applyAlignment="1" applyProtection="1">
      <alignment horizontal="center"/>
      <protection locked="0"/>
    </xf>
    <xf numFmtId="1" fontId="10" fillId="5" borderId="34" xfId="1" applyNumberFormat="1" applyFont="1" applyFill="1" applyBorder="1" applyAlignment="1" applyProtection="1">
      <alignment horizontal="center"/>
      <protection locked="0"/>
    </xf>
    <xf numFmtId="167" fontId="10" fillId="5" borderId="35" xfId="1" applyNumberFormat="1" applyFont="1" applyFill="1" applyBorder="1" applyAlignment="1" applyProtection="1">
      <alignment horizontal="center"/>
      <protection locked="0"/>
    </xf>
    <xf numFmtId="167" fontId="10" fillId="5" borderId="34" xfId="1" applyNumberFormat="1" applyFont="1" applyFill="1" applyBorder="1" applyAlignment="1" applyProtection="1">
      <alignment horizontal="center"/>
      <protection locked="0"/>
    </xf>
    <xf numFmtId="0" fontId="6" fillId="14" borderId="0" xfId="0" applyFont="1" applyFill="1" applyBorder="1"/>
    <xf numFmtId="1" fontId="6" fillId="14" borderId="0" xfId="0" applyNumberFormat="1" applyFont="1" applyFill="1" applyBorder="1"/>
    <xf numFmtId="3" fontId="6" fillId="14" borderId="0" xfId="1" applyNumberFormat="1" applyFont="1" applyFill="1" applyBorder="1" applyAlignment="1" applyProtection="1">
      <alignment horizontal="center"/>
      <protection locked="0"/>
    </xf>
    <xf numFmtId="1" fontId="10" fillId="14" borderId="0" xfId="1" applyNumberFormat="1" applyFont="1" applyFill="1" applyBorder="1" applyAlignment="1" applyProtection="1">
      <alignment horizontal="center"/>
      <protection locked="0"/>
    </xf>
    <xf numFmtId="43" fontId="6" fillId="14" borderId="0" xfId="7" applyFont="1" applyFill="1" applyBorder="1"/>
    <xf numFmtId="0" fontId="6" fillId="0" borderId="0" xfId="0" applyFont="1" applyAlignment="1">
      <alignment horizontal="center"/>
    </xf>
    <xf numFmtId="0" fontId="52" fillId="0" borderId="0" xfId="0" applyFont="1" applyAlignment="1">
      <alignment horizontal="right"/>
    </xf>
    <xf numFmtId="0" fontId="33" fillId="13" borderId="0" xfId="0" applyFont="1" applyFill="1" applyAlignment="1">
      <alignment horizontal="center" vertical="center"/>
    </xf>
    <xf numFmtId="0" fontId="35" fillId="13" borderId="0" xfId="0" applyFont="1" applyFill="1" applyAlignment="1">
      <alignment horizontal="center"/>
    </xf>
    <xf numFmtId="6" fontId="37" fillId="0" borderId="37" xfId="0" applyNumberFormat="1" applyFont="1" applyBorder="1" applyAlignment="1">
      <alignment horizontal="left" vertical="center"/>
    </xf>
    <xf numFmtId="6" fontId="37" fillId="0" borderId="39" xfId="0" applyNumberFormat="1" applyFont="1" applyBorder="1" applyAlignment="1">
      <alignment horizontal="left" vertical="center"/>
    </xf>
    <xf numFmtId="9" fontId="36" fillId="0" borderId="39" xfId="8" applyFont="1" applyBorder="1" applyAlignment="1">
      <alignment horizontal="left"/>
    </xf>
    <xf numFmtId="6" fontId="37" fillId="0" borderId="41" xfId="0" applyNumberFormat="1" applyFont="1" applyBorder="1" applyAlignment="1">
      <alignment horizontal="left" vertical="center"/>
    </xf>
    <xf numFmtId="0" fontId="53" fillId="0" borderId="0" xfId="0" applyFont="1"/>
    <xf numFmtId="0" fontId="36" fillId="0" borderId="0" xfId="0" applyFont="1" applyAlignment="1">
      <alignment horizontal="center"/>
    </xf>
    <xf numFmtId="6" fontId="53" fillId="0" borderId="42" xfId="0" applyNumberFormat="1" applyFont="1" applyBorder="1" applyAlignment="1">
      <alignment horizontal="center"/>
    </xf>
    <xf numFmtId="0" fontId="53" fillId="0" borderId="43" xfId="0" applyFont="1" applyBorder="1" applyAlignment="1">
      <alignment horizontal="center"/>
    </xf>
    <xf numFmtId="0" fontId="53" fillId="0" borderId="44" xfId="0" applyFont="1" applyBorder="1" applyAlignment="1">
      <alignment horizontal="center"/>
    </xf>
    <xf numFmtId="37" fontId="36" fillId="0" borderId="36" xfId="7" applyNumberFormat="1" applyFont="1" applyBorder="1" applyAlignment="1">
      <alignment horizontal="center"/>
    </xf>
    <xf numFmtId="37" fontId="36" fillId="0" borderId="38" xfId="7" applyNumberFormat="1" applyFont="1" applyBorder="1" applyAlignment="1">
      <alignment horizontal="center"/>
    </xf>
    <xf numFmtId="37" fontId="36" fillId="0" borderId="40" xfId="7" applyNumberFormat="1" applyFont="1" applyBorder="1" applyAlignment="1">
      <alignment horizontal="center"/>
    </xf>
    <xf numFmtId="0" fontId="34" fillId="0" borderId="45" xfId="0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/>
    </xf>
    <xf numFmtId="0" fontId="34" fillId="0" borderId="36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40" xfId="0" applyFont="1" applyBorder="1" applyAlignment="1">
      <alignment horizontal="center" vertical="center"/>
    </xf>
    <xf numFmtId="0" fontId="36" fillId="0" borderId="0" xfId="0" applyFont="1" applyAlignment="1">
      <alignment wrapText="1"/>
    </xf>
    <xf numFmtId="0" fontId="40" fillId="0" borderId="0" xfId="0" applyFont="1" applyBorder="1" applyAlignment="1">
      <alignment horizontal="centerContinuous"/>
    </xf>
    <xf numFmtId="44" fontId="43" fillId="0" borderId="0" xfId="9" applyFont="1" applyBorder="1" applyAlignment="1">
      <alignment horizontal="centerContinuous"/>
    </xf>
    <xf numFmtId="0" fontId="44" fillId="0" borderId="0" xfId="0" applyFont="1" applyBorder="1" applyAlignment="1">
      <alignment horizontal="right"/>
    </xf>
    <xf numFmtId="0" fontId="45" fillId="0" borderId="0" xfId="0" applyFont="1" applyBorder="1"/>
    <xf numFmtId="177" fontId="44" fillId="0" borderId="0" xfId="9" applyNumberFormat="1" applyFont="1" applyBorder="1" applyAlignment="1">
      <alignment horizontal="center"/>
    </xf>
    <xf numFmtId="0" fontId="40" fillId="0" borderId="44" xfId="0" applyFont="1" applyBorder="1" applyAlignment="1">
      <alignment horizontal="center"/>
    </xf>
    <xf numFmtId="0" fontId="40" fillId="0" borderId="42" xfId="0" applyFont="1" applyBorder="1" applyAlignment="1">
      <alignment horizontal="right"/>
    </xf>
    <xf numFmtId="37" fontId="36" fillId="0" borderId="48" xfId="7" applyNumberFormat="1" applyFont="1" applyBorder="1" applyAlignment="1">
      <alignment horizontal="center"/>
    </xf>
    <xf numFmtId="37" fontId="36" fillId="0" borderId="49" xfId="7" applyNumberFormat="1" applyFont="1" applyBorder="1" applyAlignment="1">
      <alignment horizontal="center"/>
    </xf>
    <xf numFmtId="37" fontId="36" fillId="0" borderId="50" xfId="7" applyNumberFormat="1" applyFont="1" applyBorder="1" applyAlignment="1">
      <alignment horizontal="center"/>
    </xf>
    <xf numFmtId="37" fontId="36" fillId="0" borderId="51" xfId="7" applyNumberFormat="1" applyFont="1" applyBorder="1" applyAlignment="1">
      <alignment horizontal="center"/>
    </xf>
    <xf numFmtId="37" fontId="36" fillId="0" borderId="52" xfId="7" applyNumberFormat="1" applyFont="1" applyBorder="1" applyAlignment="1">
      <alignment horizontal="center"/>
    </xf>
    <xf numFmtId="37" fontId="36" fillId="0" borderId="53" xfId="7" applyNumberFormat="1" applyFont="1" applyBorder="1" applyAlignment="1">
      <alignment horizontal="center"/>
    </xf>
  </cellXfs>
  <cellStyles count="10">
    <cellStyle name="Assumptions" xfId="4" xr:uid="{00000000-0005-0000-0000-000004000000}"/>
    <cellStyle name="Comma" xfId="7" builtinId="3"/>
    <cellStyle name="Currency" xfId="9" builtinId="4"/>
    <cellStyle name="Input" xfId="1" builtinId="20"/>
    <cellStyle name="Lien hypertexte 2" xfId="3" xr:uid="{00000000-0005-0000-0000-000003000000}"/>
    <cellStyle name="Normal" xfId="0" builtinId="0"/>
    <cellStyle name="Normal 2" xfId="2" xr:uid="{00000000-0005-0000-0000-000002000000}"/>
    <cellStyle name="Normal 2 3" xfId="6" xr:uid="{00000000-0005-0000-0000-000006000000}"/>
    <cellStyle name="Normal 3 2" xfId="5" xr:uid="{00000000-0005-0000-0000-000005000000}"/>
    <cellStyle name="Percent" xfId="8" builtinId="5"/>
  </cellStyles>
  <dxfs count="2">
    <dxf>
      <fill>
        <patternFill>
          <bgColor theme="9"/>
        </patternFill>
      </fill>
    </dxf>
    <dxf>
      <fill>
        <patternFill>
          <bgColor rgb="FFCC0000"/>
        </patternFill>
      </fill>
    </dxf>
  </dxfs>
  <tableStyles count="0" defaultTableStyle="TableStyleMedium2" defaultPivotStyle="PivotStyleLight16"/>
  <colors>
    <mruColors>
      <color rgb="FFCC0000"/>
      <color rgb="FF208B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Monthly</a:t>
            </a:r>
            <a:r>
              <a:rPr lang="en-US" sz="1200" baseline="0">
                <a:latin typeface="Arial" panose="020B0604020202020204" pitchFamily="34" charset="0"/>
                <a:cs typeface="Arial" panose="020B0604020202020204" pitchFamily="34" charset="0"/>
              </a:rPr>
              <a:t> Revenue and EBITDA</a:t>
            </a:r>
            <a:endParaRPr lang="en-US" sz="12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Model!$H$8:$BO$8</c:f>
              <c:numCache>
                <c:formatCode>m/d/yyyy</c:formatCode>
                <c:ptCount val="60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  <c:pt idx="24">
                  <c:v>46783</c:v>
                </c:pt>
                <c:pt idx="25">
                  <c:v>46812</c:v>
                </c:pt>
                <c:pt idx="26">
                  <c:v>46843</c:v>
                </c:pt>
                <c:pt idx="27">
                  <c:v>46873</c:v>
                </c:pt>
                <c:pt idx="28">
                  <c:v>46904</c:v>
                </c:pt>
                <c:pt idx="29">
                  <c:v>46934</c:v>
                </c:pt>
                <c:pt idx="30">
                  <c:v>46965</c:v>
                </c:pt>
                <c:pt idx="31">
                  <c:v>46996</c:v>
                </c:pt>
                <c:pt idx="32">
                  <c:v>47026</c:v>
                </c:pt>
                <c:pt idx="33">
                  <c:v>47057</c:v>
                </c:pt>
                <c:pt idx="34">
                  <c:v>47087</c:v>
                </c:pt>
                <c:pt idx="35">
                  <c:v>47118</c:v>
                </c:pt>
                <c:pt idx="36">
                  <c:v>47149</c:v>
                </c:pt>
                <c:pt idx="37">
                  <c:v>47177</c:v>
                </c:pt>
                <c:pt idx="38">
                  <c:v>47208</c:v>
                </c:pt>
                <c:pt idx="39">
                  <c:v>47238</c:v>
                </c:pt>
                <c:pt idx="40">
                  <c:v>47269</c:v>
                </c:pt>
                <c:pt idx="41">
                  <c:v>47299</c:v>
                </c:pt>
                <c:pt idx="42">
                  <c:v>47330</c:v>
                </c:pt>
                <c:pt idx="43">
                  <c:v>47361</c:v>
                </c:pt>
                <c:pt idx="44">
                  <c:v>47391</c:v>
                </c:pt>
                <c:pt idx="45">
                  <c:v>47422</c:v>
                </c:pt>
                <c:pt idx="46">
                  <c:v>47452</c:v>
                </c:pt>
                <c:pt idx="47">
                  <c:v>47483</c:v>
                </c:pt>
                <c:pt idx="48">
                  <c:v>47514</c:v>
                </c:pt>
                <c:pt idx="49">
                  <c:v>47542</c:v>
                </c:pt>
                <c:pt idx="50">
                  <c:v>47573</c:v>
                </c:pt>
                <c:pt idx="51">
                  <c:v>47603</c:v>
                </c:pt>
                <c:pt idx="52">
                  <c:v>47634</c:v>
                </c:pt>
                <c:pt idx="53">
                  <c:v>47664</c:v>
                </c:pt>
                <c:pt idx="54">
                  <c:v>47695</c:v>
                </c:pt>
                <c:pt idx="55">
                  <c:v>47726</c:v>
                </c:pt>
                <c:pt idx="56">
                  <c:v>47756</c:v>
                </c:pt>
                <c:pt idx="57">
                  <c:v>47787</c:v>
                </c:pt>
                <c:pt idx="58">
                  <c:v>47817</c:v>
                </c:pt>
                <c:pt idx="59">
                  <c:v>47848</c:v>
                </c:pt>
              </c:numCache>
            </c:numRef>
          </c:cat>
          <c:val>
            <c:numRef>
              <c:f>Model!$H$20:$BO$20</c:f>
              <c:numCache>
                <c:formatCode>_(* #,##0_);_(* \(#,##0\);_(* "-"??_);_(@_)</c:formatCode>
                <c:ptCount val="60"/>
                <c:pt idx="0">
                  <c:v>1061089.0397727271</c:v>
                </c:pt>
                <c:pt idx="1">
                  <c:v>1110288.2649621214</c:v>
                </c:pt>
                <c:pt idx="2">
                  <c:v>1221309.1350378788</c:v>
                </c:pt>
                <c:pt idx="3">
                  <c:v>1354238.8678030302</c:v>
                </c:pt>
                <c:pt idx="4">
                  <c:v>1483298.2984848486</c:v>
                </c:pt>
                <c:pt idx="5">
                  <c:v>1409043.1272727272</c:v>
                </c:pt>
                <c:pt idx="6">
                  <c:v>1256633.1505681816</c:v>
                </c:pt>
                <c:pt idx="7">
                  <c:v>1415401.7924242425</c:v>
                </c:pt>
                <c:pt idx="8">
                  <c:v>1606767.0907196971</c:v>
                </c:pt>
                <c:pt idx="9">
                  <c:v>1840443.3806818179</c:v>
                </c:pt>
                <c:pt idx="10">
                  <c:v>2240213.9312500004</c:v>
                </c:pt>
                <c:pt idx="11">
                  <c:v>1924048.3342159092</c:v>
                </c:pt>
                <c:pt idx="12">
                  <c:v>1318859.7977176704</c:v>
                </c:pt>
                <c:pt idx="13">
                  <c:v>1371272.9053936934</c:v>
                </c:pt>
                <c:pt idx="14">
                  <c:v>1490747.0308121024</c:v>
                </c:pt>
                <c:pt idx="15">
                  <c:v>1633608.9771421591</c:v>
                </c:pt>
                <c:pt idx="16">
                  <c:v>1772207.4113190912</c:v>
                </c:pt>
                <c:pt idx="17">
                  <c:v>1693530.1115551707</c:v>
                </c:pt>
                <c:pt idx="18">
                  <c:v>1531874.982347216</c:v>
                </c:pt>
                <c:pt idx="19">
                  <c:v>1703155.7445301139</c:v>
                </c:pt>
                <c:pt idx="20">
                  <c:v>1908451.2866402841</c:v>
                </c:pt>
                <c:pt idx="21">
                  <c:v>2162319.0585785797</c:v>
                </c:pt>
                <c:pt idx="22">
                  <c:v>2596936.137752898</c:v>
                </c:pt>
                <c:pt idx="23">
                  <c:v>2245744.552945117</c:v>
                </c:pt>
                <c:pt idx="24">
                  <c:v>1581562.3333832067</c:v>
                </c:pt>
                <c:pt idx="25">
                  <c:v>1637222.6094192013</c:v>
                </c:pt>
                <c:pt idx="26">
                  <c:v>1763589.7957032777</c:v>
                </c:pt>
                <c:pt idx="27">
                  <c:v>1915171.5486377934</c:v>
                </c:pt>
                <c:pt idx="28">
                  <c:v>2062321.9215064719</c:v>
                </c:pt>
                <c:pt idx="29">
                  <c:v>1979402.3144848403</c:v>
                </c:pt>
                <c:pt idx="30">
                  <c:v>1808806.8336808397</c:v>
                </c:pt>
                <c:pt idx="31">
                  <c:v>1989059.8798644135</c:v>
                </c:pt>
                <c:pt idx="32">
                  <c:v>2205348.2525760587</c:v>
                </c:pt>
                <c:pt idx="33">
                  <c:v>2473557.9679643619</c:v>
                </c:pt>
                <c:pt idx="34">
                  <c:v>2932311.2013310809</c:v>
                </c:pt>
                <c:pt idx="35">
                  <c:v>2549563.049096927</c:v>
                </c:pt>
                <c:pt idx="36">
                  <c:v>1840000.8783382026</c:v>
                </c:pt>
                <c:pt idx="37">
                  <c:v>1897975.4388785544</c:v>
                </c:pt>
                <c:pt idx="38">
                  <c:v>2029022.5183075287</c:v>
                </c:pt>
                <c:pt idx="39">
                  <c:v>2186585.3992488002</c:v>
                </c:pt>
                <c:pt idx="40">
                  <c:v>2339620.1622755625</c:v>
                </c:pt>
                <c:pt idx="41">
                  <c:v>2253839.9879096383</c:v>
                </c:pt>
                <c:pt idx="42">
                  <c:v>2077247.9353760881</c:v>
                </c:pt>
                <c:pt idx="43">
                  <c:v>2263443.0715137203</c:v>
                </c:pt>
                <c:pt idx="44">
                  <c:v>2487085.7689755429</c:v>
                </c:pt>
                <c:pt idx="45">
                  <c:v>2764705.6587733338</c:v>
                </c:pt>
                <c:pt idx="46">
                  <c:v>3239126.4940270009</c:v>
                </c:pt>
                <c:pt idx="47">
                  <c:v>2840849.8406056599</c:v>
                </c:pt>
                <c:pt idx="48">
                  <c:v>2111597.0251532248</c:v>
                </c:pt>
                <c:pt idx="49">
                  <c:v>2171564.5715715126</c:v>
                </c:pt>
                <c:pt idx="50">
                  <c:v>2306914.9232983161</c:v>
                </c:pt>
                <c:pt idx="51">
                  <c:v>2469906.5237731431</c:v>
                </c:pt>
                <c:pt idx="52">
                  <c:v>2628248.6375799738</c:v>
                </c:pt>
                <c:pt idx="53">
                  <c:v>2539906.2543044873</c:v>
                </c:pt>
                <c:pt idx="54">
                  <c:v>2358005.411748264</c:v>
                </c:pt>
                <c:pt idx="55">
                  <c:v>2549839.3918491793</c:v>
                </c:pt>
                <c:pt idx="56">
                  <c:v>2780255.5637530154</c:v>
                </c:pt>
                <c:pt idx="57">
                  <c:v>3066997.7370577762</c:v>
                </c:pt>
                <c:pt idx="58">
                  <c:v>3556761.0040966109</c:v>
                </c:pt>
                <c:pt idx="59">
                  <c:v>3146909.8173440238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61-4E6E-979B-9DA68685CB1D}"/>
            </c:ext>
          </c:extLst>
        </c:ser>
        <c:ser>
          <c:idx val="1"/>
          <c:order val="1"/>
          <c:tx>
            <c:v>EBITDA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Model!$H$8:$BO$8</c:f>
              <c:numCache>
                <c:formatCode>m/d/yyyy</c:formatCode>
                <c:ptCount val="60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  <c:pt idx="24">
                  <c:v>46783</c:v>
                </c:pt>
                <c:pt idx="25">
                  <c:v>46812</c:v>
                </c:pt>
                <c:pt idx="26">
                  <c:v>46843</c:v>
                </c:pt>
                <c:pt idx="27">
                  <c:v>46873</c:v>
                </c:pt>
                <c:pt idx="28">
                  <c:v>46904</c:v>
                </c:pt>
                <c:pt idx="29">
                  <c:v>46934</c:v>
                </c:pt>
                <c:pt idx="30">
                  <c:v>46965</c:v>
                </c:pt>
                <c:pt idx="31">
                  <c:v>46996</c:v>
                </c:pt>
                <c:pt idx="32">
                  <c:v>47026</c:v>
                </c:pt>
                <c:pt idx="33">
                  <c:v>47057</c:v>
                </c:pt>
                <c:pt idx="34">
                  <c:v>47087</c:v>
                </c:pt>
                <c:pt idx="35">
                  <c:v>47118</c:v>
                </c:pt>
                <c:pt idx="36">
                  <c:v>47149</c:v>
                </c:pt>
                <c:pt idx="37">
                  <c:v>47177</c:v>
                </c:pt>
                <c:pt idx="38">
                  <c:v>47208</c:v>
                </c:pt>
                <c:pt idx="39">
                  <c:v>47238</c:v>
                </c:pt>
                <c:pt idx="40">
                  <c:v>47269</c:v>
                </c:pt>
                <c:pt idx="41">
                  <c:v>47299</c:v>
                </c:pt>
                <c:pt idx="42">
                  <c:v>47330</c:v>
                </c:pt>
                <c:pt idx="43">
                  <c:v>47361</c:v>
                </c:pt>
                <c:pt idx="44">
                  <c:v>47391</c:v>
                </c:pt>
                <c:pt idx="45">
                  <c:v>47422</c:v>
                </c:pt>
                <c:pt idx="46">
                  <c:v>47452</c:v>
                </c:pt>
                <c:pt idx="47">
                  <c:v>47483</c:v>
                </c:pt>
                <c:pt idx="48">
                  <c:v>47514</c:v>
                </c:pt>
                <c:pt idx="49">
                  <c:v>47542</c:v>
                </c:pt>
                <c:pt idx="50">
                  <c:v>47573</c:v>
                </c:pt>
                <c:pt idx="51">
                  <c:v>47603</c:v>
                </c:pt>
                <c:pt idx="52">
                  <c:v>47634</c:v>
                </c:pt>
                <c:pt idx="53">
                  <c:v>47664</c:v>
                </c:pt>
                <c:pt idx="54">
                  <c:v>47695</c:v>
                </c:pt>
                <c:pt idx="55">
                  <c:v>47726</c:v>
                </c:pt>
                <c:pt idx="56">
                  <c:v>47756</c:v>
                </c:pt>
                <c:pt idx="57">
                  <c:v>47787</c:v>
                </c:pt>
                <c:pt idx="58">
                  <c:v>47817</c:v>
                </c:pt>
                <c:pt idx="59">
                  <c:v>47848</c:v>
                </c:pt>
              </c:numCache>
            </c:numRef>
          </c:cat>
          <c:val>
            <c:numRef>
              <c:f>Model!$H$26:$BO$26</c:f>
              <c:numCache>
                <c:formatCode>_(* #,##0_);_(* \(#,##0\);_(* "-"??_);_(@_)</c:formatCode>
                <c:ptCount val="60"/>
                <c:pt idx="0">
                  <c:v>196939.86030568159</c:v>
                </c:pt>
                <c:pt idx="1">
                  <c:v>245592.75425893953</c:v>
                </c:pt>
                <c:pt idx="2">
                  <c:v>336842.01834377693</c:v>
                </c:pt>
                <c:pt idx="3">
                  <c:v>394600.96519652929</c:v>
                </c:pt>
                <c:pt idx="4">
                  <c:v>450328.23301738838</c:v>
                </c:pt>
                <c:pt idx="5">
                  <c:v>420417.39387536794</c:v>
                </c:pt>
                <c:pt idx="6">
                  <c:v>379399.76100250357</c:v>
                </c:pt>
                <c:pt idx="7">
                  <c:v>454462.77022494213</c:v>
                </c:pt>
                <c:pt idx="8">
                  <c:v>529954.93396677857</c:v>
                </c:pt>
                <c:pt idx="9">
                  <c:v>635127.29516311665</c:v>
                </c:pt>
                <c:pt idx="10">
                  <c:v>799225.92978621228</c:v>
                </c:pt>
                <c:pt idx="11">
                  <c:v>662601.17735205148</c:v>
                </c:pt>
                <c:pt idx="12">
                  <c:v>419557.41752386594</c:v>
                </c:pt>
                <c:pt idx="13">
                  <c:v>471393.4057975678</c:v>
                </c:pt>
                <c:pt idx="14">
                  <c:v>546953.98847873101</c:v>
                </c:pt>
                <c:pt idx="15">
                  <c:v>609267.11501080857</c:v>
                </c:pt>
                <c:pt idx="16">
                  <c:v>669426.44212145347</c:v>
                </c:pt>
                <c:pt idx="17">
                  <c:v>638054.18614786968</c:v>
                </c:pt>
                <c:pt idx="18">
                  <c:v>594987.43798177596</c:v>
                </c:pt>
                <c:pt idx="19">
                  <c:v>676033.98217825429</c:v>
                </c:pt>
                <c:pt idx="20">
                  <c:v>757422.28775340738</c:v>
                </c:pt>
                <c:pt idx="21">
                  <c:v>871885.92596595921</c:v>
                </c:pt>
                <c:pt idx="22">
                  <c:v>1050514.2579566229</c:v>
                </c:pt>
                <c:pt idx="23">
                  <c:v>899059.22613790073</c:v>
                </c:pt>
                <c:pt idx="24">
                  <c:v>623994.41182755318</c:v>
                </c:pt>
                <c:pt idx="25">
                  <c:v>679044.82100571995</c:v>
                </c:pt>
                <c:pt idx="26">
                  <c:v>777611.32774851099</c:v>
                </c:pt>
                <c:pt idx="27">
                  <c:v>843896.81299097405</c:v>
                </c:pt>
                <c:pt idx="28">
                  <c:v>907954.55438357685</c:v>
                </c:pt>
                <c:pt idx="29">
                  <c:v>875126.8146380079</c:v>
                </c:pt>
                <c:pt idx="30">
                  <c:v>829886.86144175276</c:v>
                </c:pt>
                <c:pt idx="31">
                  <c:v>915369.29928052414</c:v>
                </c:pt>
                <c:pt idx="32">
                  <c:v>1001392.8304896494</c:v>
                </c:pt>
                <c:pt idx="33">
                  <c:v>1122516.9445916903</c:v>
                </c:pt>
                <c:pt idx="34">
                  <c:v>1311299.8665366916</c:v>
                </c:pt>
                <c:pt idx="35">
                  <c:v>1146515.8926635948</c:v>
                </c:pt>
                <c:pt idx="36">
                  <c:v>840026.28931187768</c:v>
                </c:pt>
                <c:pt idx="37">
                  <c:v>897368.18274653354</c:v>
                </c:pt>
                <c:pt idx="38">
                  <c:v>1014096.3222762453</c:v>
                </c:pt>
                <c:pt idx="39">
                  <c:v>1083150.8113169877</c:v>
                </c:pt>
                <c:pt idx="40">
                  <c:v>1149937.3848575214</c:v>
                </c:pt>
                <c:pt idx="41">
                  <c:v>1116189.6121883108</c:v>
                </c:pt>
                <c:pt idx="42">
                  <c:v>1069548.1867720932</c:v>
                </c:pt>
                <c:pt idx="43">
                  <c:v>1158027.1255448433</c:v>
                </c:pt>
                <c:pt idx="44">
                  <c:v>1247201.799541885</c:v>
                </c:pt>
                <c:pt idx="45">
                  <c:v>1372756.2006631042</c:v>
                </c:pt>
                <c:pt idx="46">
                  <c:v>1568207.3717967067</c:v>
                </c:pt>
                <c:pt idx="47">
                  <c:v>1396972.0963626206</c:v>
                </c:pt>
                <c:pt idx="48">
                  <c:v>1076974.1456733695</c:v>
                </c:pt>
                <c:pt idx="49">
                  <c:v>1136289.4723222491</c:v>
                </c:pt>
                <c:pt idx="50">
                  <c:v>1264067.3049083429</c:v>
                </c:pt>
                <c:pt idx="51">
                  <c:v>1335623.5452599558</c:v>
                </c:pt>
                <c:pt idx="52">
                  <c:v>1404865.1622431132</c:v>
                </c:pt>
                <c:pt idx="53">
                  <c:v>1370281.0280212231</c:v>
                </c:pt>
                <c:pt idx="54">
                  <c:v>1321364.48221989</c:v>
                </c:pt>
                <c:pt idx="55">
                  <c:v>1413700.5054655049</c:v>
                </c:pt>
                <c:pt idx="56">
                  <c:v>1505775.0182161543</c:v>
                </c:pt>
                <c:pt idx="57">
                  <c:v>1635591.0769311509</c:v>
                </c:pt>
                <c:pt idx="58">
                  <c:v>1837524.422499995</c:v>
                </c:pt>
                <c:pt idx="59">
                  <c:v>1661481.0454773598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61-4E6E-979B-9DA68685C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1134016"/>
        <c:axId val="1541150816"/>
      </c:lineChart>
      <c:dateAx>
        <c:axId val="1541134016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94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41150816"/>
        <c:crosses val="autoZero"/>
        <c:auto val="1"/>
        <c:lblOffset val="100"/>
        <c:baseTimeUnit val="months"/>
      </c:dateAx>
      <c:valAx>
        <c:axId val="154115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4113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260350</xdr:colOff>
      <xdr:row>2</xdr:row>
      <xdr:rowOff>120650</xdr:rowOff>
    </xdr:from>
    <xdr:to>
      <xdr:col>13</xdr:col>
      <xdr:colOff>723900</xdr:colOff>
      <xdr:row>14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421781-9D98-49F4-B5F7-11030AFE5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13073</xdr:colOff>
      <xdr:row>0</xdr:row>
      <xdr:rowOff>1</xdr:rowOff>
    </xdr:from>
    <xdr:to>
      <xdr:col>1</xdr:col>
      <xdr:colOff>1057275</xdr:colOff>
      <xdr:row>2</xdr:row>
      <xdr:rowOff>150439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148" y="1"/>
          <a:ext cx="1044202" cy="60763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13073</xdr:colOff>
      <xdr:row>0</xdr:row>
      <xdr:rowOff>1</xdr:rowOff>
    </xdr:from>
    <xdr:to>
      <xdr:col>1</xdr:col>
      <xdr:colOff>1057275</xdr:colOff>
      <xdr:row>2</xdr:row>
      <xdr:rowOff>150439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623" y="1"/>
          <a:ext cx="1044202" cy="61398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N19"/>
  <sheetViews>
    <sheetView showGridLines="0" workbookViewId="0">
      <selection activeCell="A14" sqref="A14"/>
    </sheetView>
  </sheetViews>
  <sheetFormatPr defaultRowHeight="11.5"/>
  <cols>
    <col min="1" max="1" width="12" customWidth="1"/>
    <col min="2" max="2" width="4" customWidth="1"/>
    <col min="3" max="4" width="30" customWidth="1"/>
    <col min="5" max="14" width="12" customWidth="1"/>
  </cols>
  <sheetData>
    <row r="1" spans="1:14" ht="40" customHeight="1">
      <c r="A1" s="91"/>
      <c r="B1" s="91"/>
      <c r="C1" s="92" t="s">
        <v>143</v>
      </c>
      <c r="D1" s="93"/>
      <c r="E1" s="93"/>
      <c r="F1" s="93"/>
      <c r="G1" s="93"/>
      <c r="H1" s="93"/>
      <c r="I1" s="93"/>
      <c r="J1" s="93"/>
      <c r="K1" s="93"/>
      <c r="L1" s="93"/>
      <c r="M1" s="91"/>
      <c r="N1" s="91"/>
    </row>
    <row r="2" spans="1:14" ht="32" customHeight="1">
      <c r="A2" s="91"/>
      <c r="B2" s="91"/>
      <c r="C2" s="98" t="s">
        <v>144</v>
      </c>
      <c r="D2" s="99"/>
      <c r="E2" s="99"/>
      <c r="F2" s="99"/>
      <c r="G2" s="99"/>
      <c r="H2" s="99"/>
      <c r="I2" s="99"/>
      <c r="J2" s="99"/>
      <c r="K2" s="99"/>
      <c r="L2" s="99"/>
      <c r="M2" s="91"/>
      <c r="N2" s="91"/>
    </row>
    <row r="3" spans="1:14" ht="24" customHeight="1">
      <c r="A3" s="91"/>
      <c r="B3" s="91"/>
      <c r="C3" s="94" t="s">
        <v>145</v>
      </c>
      <c r="D3" s="93"/>
      <c r="E3" s="93"/>
      <c r="F3" s="93"/>
      <c r="G3" s="93"/>
      <c r="H3" s="93"/>
      <c r="I3" s="93"/>
      <c r="J3" s="93"/>
      <c r="K3" s="93"/>
      <c r="L3" s="93"/>
      <c r="M3" s="91"/>
      <c r="N3" s="91"/>
    </row>
    <row r="4" spans="1:14" ht="4" customHeight="1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</row>
    <row r="6" spans="1:14" ht="22" customHeight="1">
      <c r="C6" s="88" t="s">
        <v>146</v>
      </c>
      <c r="D6" s="87" t="s">
        <v>147</v>
      </c>
      <c r="E6" s="86"/>
      <c r="F6" s="86"/>
      <c r="G6" s="86"/>
      <c r="H6" s="86"/>
      <c r="I6" s="86"/>
      <c r="J6" s="86"/>
      <c r="K6" s="86"/>
      <c r="L6" s="86"/>
    </row>
    <row r="7" spans="1:14" ht="22" customHeight="1">
      <c r="C7" s="88" t="s">
        <v>148</v>
      </c>
      <c r="D7" s="87" t="s">
        <v>149</v>
      </c>
      <c r="E7" s="86"/>
      <c r="F7" s="86"/>
      <c r="G7" s="86"/>
      <c r="H7" s="86"/>
      <c r="I7" s="86"/>
      <c r="J7" s="86"/>
      <c r="K7" s="86"/>
      <c r="L7" s="86"/>
    </row>
    <row r="8" spans="1:14" ht="22" customHeight="1">
      <c r="C8" s="88" t="s">
        <v>150</v>
      </c>
      <c r="D8" s="87" t="s">
        <v>151</v>
      </c>
      <c r="E8" s="86"/>
      <c r="F8" s="86"/>
      <c r="G8" s="86"/>
      <c r="H8" s="86"/>
      <c r="I8" s="86"/>
      <c r="J8" s="86"/>
      <c r="K8" s="86"/>
      <c r="L8" s="86"/>
    </row>
    <row r="9" spans="1:14" ht="22" customHeight="1">
      <c r="C9" s="88" t="s">
        <v>152</v>
      </c>
      <c r="D9" s="87" t="s">
        <v>153</v>
      </c>
      <c r="E9" s="86"/>
      <c r="F9" s="86"/>
      <c r="G9" s="86"/>
      <c r="H9" s="86"/>
      <c r="I9" s="86"/>
      <c r="J9" s="86"/>
      <c r="K9" s="86"/>
      <c r="L9" s="86"/>
    </row>
    <row r="10" spans="1:14" ht="22" customHeight="1">
      <c r="C10" s="88" t="s">
        <v>154</v>
      </c>
      <c r="D10" s="87" t="s">
        <v>155</v>
      </c>
      <c r="E10" s="86"/>
      <c r="F10" s="86"/>
      <c r="G10" s="86"/>
      <c r="H10" s="86"/>
      <c r="I10" s="86"/>
      <c r="J10" s="86"/>
      <c r="K10" s="86"/>
      <c r="L10" s="86"/>
    </row>
    <row r="11" spans="1:14" ht="22" customHeight="1">
      <c r="C11" s="88" t="s">
        <v>156</v>
      </c>
      <c r="D11" s="87" t="s">
        <v>157</v>
      </c>
      <c r="E11" s="86"/>
      <c r="F11" s="86"/>
      <c r="G11" s="86"/>
      <c r="H11" s="86"/>
      <c r="I11" s="86"/>
      <c r="J11" s="86"/>
      <c r="K11" s="86"/>
      <c r="L11" s="86"/>
    </row>
    <row r="12" spans="1:14" ht="22" customHeight="1">
      <c r="C12" s="88" t="s">
        <v>158</v>
      </c>
      <c r="D12" s="87" t="s">
        <v>276</v>
      </c>
      <c r="E12" s="86"/>
      <c r="F12" s="86"/>
      <c r="G12" s="86"/>
      <c r="H12" s="86"/>
      <c r="I12" s="86"/>
      <c r="J12" s="86"/>
      <c r="K12" s="86"/>
      <c r="L12" s="86"/>
    </row>
    <row r="13" spans="1:14" ht="22" customHeight="1">
      <c r="C13" s="88"/>
      <c r="D13" s="87"/>
      <c r="E13" s="86"/>
      <c r="F13" s="86"/>
      <c r="G13" s="86"/>
      <c r="H13" s="86"/>
      <c r="I13" s="86"/>
      <c r="J13" s="86"/>
      <c r="K13" s="86"/>
      <c r="L13" s="86"/>
    </row>
    <row r="14" spans="1:14" ht="20" customHeight="1">
      <c r="A14" s="96" t="s">
        <v>159</v>
      </c>
    </row>
    <row r="15" spans="1:14">
      <c r="D15" s="97"/>
      <c r="E15" s="97"/>
      <c r="F15" s="97"/>
      <c r="G15" s="97"/>
      <c r="H15" s="97"/>
      <c r="I15" s="97"/>
      <c r="J15" s="97"/>
      <c r="K15" s="97"/>
      <c r="L15" s="97"/>
    </row>
    <row r="17" customFormat="1"/>
    <row r="18" customFormat="1"/>
    <row r="19" customFormat="1"/>
  </sheetData>
  <mergeCells count="19">
    <mergeCell ref="C2:L2"/>
    <mergeCell ref="C9"/>
    <mergeCell ref="C1:L1"/>
    <mergeCell ref="D10:L10"/>
    <mergeCell ref="D9:L9"/>
    <mergeCell ref="C11"/>
    <mergeCell ref="C7"/>
    <mergeCell ref="C6"/>
    <mergeCell ref="C3:L3"/>
    <mergeCell ref="D12:L12"/>
    <mergeCell ref="C8"/>
    <mergeCell ref="D11:L11"/>
    <mergeCell ref="C13"/>
    <mergeCell ref="C10"/>
    <mergeCell ref="D13:L13"/>
    <mergeCell ref="D7:L7"/>
    <mergeCell ref="D6:L6"/>
    <mergeCell ref="D8:L8"/>
    <mergeCell ref="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478C8-729D-479E-B875-5DD54617B617}">
  <sheetPr>
    <tabColor theme="4" tint="-0.499984740745262"/>
  </sheetPr>
  <dimension ref="A1:N21"/>
  <sheetViews>
    <sheetView showGridLines="0" tabSelected="1" zoomScaleNormal="100" workbookViewId="0">
      <selection activeCell="H17" sqref="H17"/>
    </sheetView>
  </sheetViews>
  <sheetFormatPr defaultRowHeight="11.5"/>
  <cols>
    <col min="1" max="1" width="12" customWidth="1"/>
    <col min="2" max="2" width="4" customWidth="1"/>
    <col min="3" max="3" width="20.796875" customWidth="1"/>
    <col min="4" max="4" width="16.296875" bestFit="1" customWidth="1"/>
    <col min="5" max="5" width="14.69921875" bestFit="1" customWidth="1"/>
    <col min="6" max="6" width="12.5" bestFit="1" customWidth="1"/>
    <col min="7" max="14" width="12" customWidth="1"/>
  </cols>
  <sheetData>
    <row r="1" spans="1:14" ht="40" customHeight="1">
      <c r="A1" s="91"/>
      <c r="B1" s="91"/>
      <c r="C1" s="283" t="s">
        <v>280</v>
      </c>
      <c r="D1" s="284"/>
      <c r="E1" s="284"/>
      <c r="F1" s="284"/>
      <c r="G1" s="284"/>
      <c r="H1" s="284"/>
      <c r="I1" s="284"/>
      <c r="J1" s="284"/>
      <c r="K1" s="284"/>
      <c r="L1" s="284"/>
      <c r="M1" s="91"/>
      <c r="N1" s="91"/>
    </row>
    <row r="2" spans="1:14" ht="4" customHeight="1">
      <c r="A2" s="95"/>
      <c r="B2" s="95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95"/>
      <c r="N2" s="95"/>
    </row>
    <row r="3" spans="1:14"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1:14" ht="25">
      <c r="C4" s="303" t="s">
        <v>297</v>
      </c>
      <c r="D4" s="290" t="s">
        <v>287</v>
      </c>
      <c r="E4" s="101"/>
      <c r="F4" s="101"/>
      <c r="G4" s="101"/>
      <c r="H4" s="101"/>
      <c r="I4" s="101"/>
      <c r="J4" s="101"/>
      <c r="K4" s="101"/>
      <c r="L4" s="101"/>
    </row>
    <row r="5" spans="1:14" ht="13" thickBot="1">
      <c r="C5" s="102"/>
      <c r="D5" s="102"/>
      <c r="E5" s="101"/>
      <c r="F5" s="101"/>
      <c r="G5" s="101"/>
      <c r="H5" s="101"/>
      <c r="I5" s="101"/>
      <c r="J5" s="101"/>
      <c r="K5" s="101"/>
      <c r="L5" s="101"/>
    </row>
    <row r="6" spans="1:14" ht="22" customHeight="1">
      <c r="C6" s="300" t="s">
        <v>281</v>
      </c>
      <c r="D6" s="285">
        <f>SUM(Model!D20)</f>
        <v>124155810.13333492</v>
      </c>
      <c r="E6" s="103"/>
      <c r="F6" s="103"/>
      <c r="G6" s="103"/>
      <c r="H6" s="103"/>
      <c r="I6" s="103"/>
      <c r="J6" s="103"/>
      <c r="K6" s="103"/>
      <c r="L6" s="103"/>
    </row>
    <row r="7" spans="1:14" ht="22" customHeight="1">
      <c r="C7" s="301" t="s">
        <v>13</v>
      </c>
      <c r="D7" s="286">
        <f ca="1">Model!D26</f>
        <v>55621677.795762785</v>
      </c>
      <c r="E7" s="103"/>
      <c r="F7" s="103"/>
      <c r="G7" s="103"/>
      <c r="H7" s="103"/>
      <c r="I7" s="103"/>
      <c r="J7" s="103"/>
      <c r="K7" s="103"/>
      <c r="L7" s="103"/>
    </row>
    <row r="8" spans="1:14" ht="22" customHeight="1">
      <c r="C8" s="301" t="s">
        <v>282</v>
      </c>
      <c r="D8" s="287">
        <f ca="1">D7/D6</f>
        <v>0.44799899204095944</v>
      </c>
      <c r="E8" s="103"/>
      <c r="F8" s="103"/>
      <c r="G8" s="103"/>
      <c r="H8" s="103"/>
      <c r="I8" s="103"/>
      <c r="J8" s="103"/>
      <c r="K8" s="103"/>
      <c r="L8" s="103"/>
    </row>
    <row r="9" spans="1:14" ht="22" customHeight="1">
      <c r="C9" s="301" t="s">
        <v>283</v>
      </c>
      <c r="D9" s="286">
        <f ca="1">SUM(Model!H245:BO245)</f>
        <v>59230113.281539582</v>
      </c>
      <c r="E9" s="103"/>
      <c r="F9" s="103"/>
      <c r="G9" s="103"/>
      <c r="H9" s="103"/>
      <c r="I9" s="103"/>
      <c r="J9" s="103"/>
      <c r="K9" s="103"/>
      <c r="L9" s="103"/>
    </row>
    <row r="10" spans="1:14" ht="22" customHeight="1">
      <c r="C10" s="301" t="s">
        <v>284</v>
      </c>
      <c r="D10" s="287">
        <f ca="1">SUM(Model!H244:BO244)/'Dashboard Summary'!D9</f>
        <v>0.18824987081482297</v>
      </c>
      <c r="E10" s="103"/>
      <c r="F10" s="103"/>
      <c r="G10" s="103"/>
      <c r="H10" s="103"/>
      <c r="I10" s="103"/>
      <c r="J10" s="103"/>
      <c r="K10" s="103"/>
      <c r="L10" s="103"/>
    </row>
    <row r="11" spans="1:14" ht="22" customHeight="1" thickBot="1">
      <c r="C11" s="302" t="s">
        <v>285</v>
      </c>
      <c r="D11" s="288">
        <f>SUM(Model!H326:BO326)</f>
        <v>1254790.294</v>
      </c>
      <c r="E11" s="103"/>
      <c r="F11" s="103"/>
      <c r="G11" s="103"/>
      <c r="H11" s="103"/>
      <c r="I11" s="103"/>
      <c r="J11" s="103"/>
      <c r="K11" s="103"/>
      <c r="L11" s="103"/>
    </row>
    <row r="12" spans="1:14" ht="22" customHeight="1">
      <c r="C12" s="84"/>
      <c r="D12" s="87"/>
      <c r="E12" s="86"/>
      <c r="F12" s="86"/>
      <c r="G12" s="86"/>
      <c r="H12" s="86"/>
      <c r="I12" s="86"/>
      <c r="J12" s="86"/>
      <c r="K12" s="86"/>
      <c r="L12" s="86"/>
    </row>
    <row r="13" spans="1:14" ht="22" customHeight="1">
      <c r="C13" s="84"/>
      <c r="D13" s="87"/>
      <c r="E13" s="86"/>
      <c r="F13" s="86"/>
      <c r="G13" s="86"/>
      <c r="H13" s="86"/>
      <c r="I13" s="86"/>
      <c r="J13" s="86"/>
      <c r="K13" s="86"/>
      <c r="L13" s="86"/>
    </row>
    <row r="14" spans="1:14" ht="22" customHeight="1">
      <c r="C14" s="84"/>
      <c r="D14" s="85"/>
    </row>
    <row r="15" spans="1:14" ht="20" customHeight="1" thickBot="1">
      <c r="A15" s="96"/>
      <c r="C15" s="282" t="s">
        <v>288</v>
      </c>
      <c r="D15" s="101"/>
      <c r="E15" s="101"/>
      <c r="F15" s="101"/>
    </row>
    <row r="16" spans="1:14" ht="20" customHeight="1" thickBot="1">
      <c r="A16" s="96"/>
      <c r="C16" s="289"/>
      <c r="D16" s="291" t="s">
        <v>291</v>
      </c>
      <c r="E16" s="292" t="s">
        <v>292</v>
      </c>
      <c r="F16" s="293" t="s">
        <v>296</v>
      </c>
    </row>
    <row r="17" spans="1:12" ht="13">
      <c r="C17" s="297" t="s">
        <v>289</v>
      </c>
      <c r="D17" s="294">
        <f>Assumptions!N25</f>
        <v>124155810.13333492</v>
      </c>
      <c r="E17" s="311">
        <f>Assumptions!N24</f>
        <v>136524079.55451494</v>
      </c>
      <c r="F17" s="314">
        <f>E17-D17</f>
        <v>12368269.421180025</v>
      </c>
      <c r="G17" s="97"/>
      <c r="H17" s="97"/>
      <c r="I17" s="97"/>
      <c r="J17" s="97"/>
      <c r="K17" s="97"/>
      <c r="L17" s="97"/>
    </row>
    <row r="18" spans="1:12" ht="13">
      <c r="C18" s="298" t="s">
        <v>13</v>
      </c>
      <c r="D18" s="295">
        <f>Assumptions!N29</f>
        <v>55621677.795762785</v>
      </c>
      <c r="E18" s="312">
        <f>Assumptions!N28</f>
        <v>61161158.676881537</v>
      </c>
      <c r="F18" s="315">
        <f>E18-D18</f>
        <v>5539480.8811187521</v>
      </c>
    </row>
    <row r="19" spans="1:12" ht="13.5" thickBot="1">
      <c r="C19" s="299" t="s">
        <v>290</v>
      </c>
      <c r="D19" s="296">
        <f>Assumptions!N33</f>
        <v>1254790.294</v>
      </c>
      <c r="E19" s="313">
        <f>Assumptions!N32</f>
        <v>2036472.55345</v>
      </c>
      <c r="F19" s="316">
        <f>E19-D19</f>
        <v>781682.25945000001</v>
      </c>
    </row>
    <row r="21" spans="1:12">
      <c r="A21" s="96" t="s">
        <v>298</v>
      </c>
    </row>
  </sheetData>
  <mergeCells count="3">
    <mergeCell ref="C1:L1"/>
    <mergeCell ref="D12:L12"/>
    <mergeCell ref="D13:L1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9E09A3-E264-48D0-A489-B423E901CCD3}">
          <x14:formula1>
            <xm:f>Assumptions!$M$3:$M$4</xm:f>
          </x14:formula1>
          <xm:sqref>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208BB7"/>
  </sheetPr>
  <dimension ref="B1:P451"/>
  <sheetViews>
    <sheetView showGridLines="0" topLeftCell="D17" zoomScale="79" zoomScaleNormal="100" workbookViewId="0">
      <selection activeCell="I30" sqref="I30"/>
    </sheetView>
  </sheetViews>
  <sheetFormatPr defaultColWidth="8.69921875" defaultRowHeight="13"/>
  <cols>
    <col min="1" max="1" width="3.19921875" style="5" customWidth="1"/>
    <col min="2" max="2" width="27.69921875" style="5" bestFit="1" customWidth="1"/>
    <col min="3" max="3" width="14.8984375" style="14" bestFit="1" customWidth="1"/>
    <col min="4" max="4" width="14.69921875" style="5" bestFit="1" customWidth="1"/>
    <col min="5" max="5" width="22.19921875" style="5" bestFit="1" customWidth="1"/>
    <col min="6" max="6" width="24.19921875" style="5" bestFit="1" customWidth="1"/>
    <col min="7" max="7" width="28.59765625" style="5" bestFit="1" customWidth="1"/>
    <col min="8" max="8" width="29.09765625" style="5" bestFit="1" customWidth="1"/>
    <col min="9" max="9" width="13.3984375" style="5" bestFit="1" customWidth="1"/>
    <col min="10" max="10" width="13.3984375" style="5" customWidth="1"/>
    <col min="11" max="11" width="13.8984375" style="5" customWidth="1"/>
    <col min="12" max="12" width="14.19921875" style="5" bestFit="1" customWidth="1"/>
    <col min="13" max="13" width="12.69921875" style="5" bestFit="1" customWidth="1"/>
    <col min="14" max="14" width="14.8984375" style="5" bestFit="1" customWidth="1"/>
    <col min="15" max="15" width="12.69921875" style="5" bestFit="1" customWidth="1"/>
    <col min="16" max="16" width="12.59765625" style="5" bestFit="1" customWidth="1"/>
    <col min="17" max="17" width="8.69921875" style="5" customWidth="1"/>
    <col min="18" max="16384" width="8.69921875" style="5"/>
  </cols>
  <sheetData>
    <row r="1" spans="2:16">
      <c r="J1" s="276"/>
      <c r="K1" s="281" t="s">
        <v>295</v>
      </c>
      <c r="L1" s="281"/>
      <c r="M1" s="281"/>
      <c r="N1" s="281"/>
      <c r="O1" s="281"/>
      <c r="P1" s="281"/>
    </row>
    <row r="2" spans="2:16" ht="23.4" customHeight="1">
      <c r="B2" s="2" t="s">
        <v>143</v>
      </c>
      <c r="C2" s="3"/>
      <c r="D2" s="4"/>
      <c r="E2" s="4"/>
      <c r="F2" s="4"/>
      <c r="G2" s="4"/>
      <c r="H2" s="4"/>
      <c r="I2" s="4"/>
      <c r="J2" s="268"/>
    </row>
    <row r="3" spans="2:16" ht="16.25" customHeight="1" thickBot="1">
      <c r="B3" s="6" t="s">
        <v>160</v>
      </c>
      <c r="C3" s="7"/>
      <c r="D3" s="8"/>
      <c r="E3" s="8"/>
      <c r="F3" s="8"/>
      <c r="G3" s="8"/>
      <c r="H3" s="8"/>
      <c r="I3" s="8"/>
      <c r="J3" s="268"/>
      <c r="M3" s="5" t="s">
        <v>286</v>
      </c>
    </row>
    <row r="4" spans="2:16">
      <c r="J4" s="276"/>
      <c r="M4" s="5" t="s">
        <v>287</v>
      </c>
    </row>
    <row r="5" spans="2:16" ht="15" customHeight="1" thickBot="1">
      <c r="B5" s="16" t="s">
        <v>161</v>
      </c>
      <c r="C5" s="1"/>
      <c r="D5" s="1"/>
      <c r="E5" s="1"/>
      <c r="F5" s="1"/>
      <c r="G5" s="1"/>
      <c r="H5" s="1"/>
      <c r="I5" s="1"/>
      <c r="J5" s="269"/>
    </row>
    <row r="6" spans="2:16" ht="14.4" customHeight="1" thickTop="1">
      <c r="C6" s="5"/>
      <c r="J6" s="276"/>
    </row>
    <row r="7" spans="2:16">
      <c r="B7" s="9" t="s">
        <v>162</v>
      </c>
      <c r="C7" s="10"/>
      <c r="D7" s="11"/>
      <c r="F7" s="9" t="s">
        <v>163</v>
      </c>
      <c r="G7" s="10"/>
      <c r="H7" s="11"/>
      <c r="J7" s="276"/>
    </row>
    <row r="8" spans="2:16">
      <c r="B8" s="12" t="s">
        <v>164</v>
      </c>
      <c r="C8" s="13" t="s">
        <v>165</v>
      </c>
      <c r="D8" s="20" t="s">
        <v>166</v>
      </c>
      <c r="F8" s="12" t="s">
        <v>90</v>
      </c>
      <c r="G8" s="13" t="s">
        <v>167</v>
      </c>
      <c r="H8" s="19">
        <v>174</v>
      </c>
      <c r="J8" s="276"/>
      <c r="L8" s="48"/>
    </row>
    <row r="9" spans="2:16">
      <c r="B9" s="12" t="s">
        <v>168</v>
      </c>
      <c r="C9" s="13" t="s">
        <v>165</v>
      </c>
      <c r="D9" s="20">
        <v>2026</v>
      </c>
      <c r="F9" s="12" t="s">
        <v>169</v>
      </c>
      <c r="G9" s="13" t="s">
        <v>170</v>
      </c>
      <c r="H9" s="19">
        <v>160</v>
      </c>
      <c r="J9" s="276"/>
      <c r="L9" s="49"/>
    </row>
    <row r="10" spans="2:16">
      <c r="B10" s="12" t="s">
        <v>171</v>
      </c>
      <c r="C10" s="13" t="s">
        <v>172</v>
      </c>
      <c r="D10" s="15">
        <v>0.03</v>
      </c>
      <c r="F10" s="12" t="s">
        <v>173</v>
      </c>
      <c r="G10" s="13" t="s">
        <v>174</v>
      </c>
      <c r="H10" s="19">
        <v>3</v>
      </c>
      <c r="J10" s="276"/>
      <c r="L10" s="50"/>
    </row>
    <row r="11" spans="2:16">
      <c r="B11" s="12" t="s">
        <v>175</v>
      </c>
      <c r="C11" s="13" t="s">
        <v>176</v>
      </c>
      <c r="D11" s="19">
        <v>62500</v>
      </c>
      <c r="F11" s="12" t="s">
        <v>177</v>
      </c>
      <c r="G11" s="13" t="s">
        <v>178</v>
      </c>
      <c r="H11" s="19">
        <v>4160</v>
      </c>
      <c r="J11" s="276"/>
      <c r="L11" s="50"/>
    </row>
    <row r="12" spans="2:16">
      <c r="B12" s="12" t="s">
        <v>130</v>
      </c>
      <c r="C12" s="13" t="s">
        <v>179</v>
      </c>
      <c r="D12" s="23">
        <v>0.18</v>
      </c>
      <c r="F12" s="12" t="s">
        <v>180</v>
      </c>
      <c r="G12" s="13" t="s">
        <v>178</v>
      </c>
      <c r="H12" s="19">
        <v>5120</v>
      </c>
      <c r="I12" s="68"/>
      <c r="J12" s="277"/>
      <c r="K12"/>
      <c r="L12" s="50"/>
    </row>
    <row r="13" spans="2:16">
      <c r="B13" s="12" t="s">
        <v>138</v>
      </c>
      <c r="C13" s="13" t="s">
        <v>176</v>
      </c>
      <c r="D13" s="19">
        <v>60000</v>
      </c>
      <c r="G13" s="13"/>
      <c r="J13" s="276"/>
    </row>
    <row r="14" spans="2:16">
      <c r="F14" s="9" t="s">
        <v>181</v>
      </c>
      <c r="G14" s="10"/>
      <c r="H14" s="32" t="s">
        <v>182</v>
      </c>
      <c r="J14" s="276"/>
    </row>
    <row r="15" spans="2:16">
      <c r="B15" s="9" t="s">
        <v>183</v>
      </c>
      <c r="C15" s="10"/>
      <c r="D15" s="11"/>
      <c r="F15" s="51" t="s">
        <v>184</v>
      </c>
      <c r="G15" s="13" t="s">
        <v>185</v>
      </c>
      <c r="H15" s="23">
        <v>12</v>
      </c>
      <c r="J15" s="276"/>
    </row>
    <row r="16" spans="2:16">
      <c r="B16" s="51" t="s">
        <v>186</v>
      </c>
      <c r="C16" s="13" t="s">
        <v>187</v>
      </c>
      <c r="D16" s="23">
        <v>4.5</v>
      </c>
      <c r="F16" s="51" t="s">
        <v>188</v>
      </c>
      <c r="G16" s="13" t="s">
        <v>185</v>
      </c>
      <c r="H16" s="23">
        <v>10</v>
      </c>
      <c r="J16" s="276"/>
    </row>
    <row r="17" spans="2:14">
      <c r="B17" s="51" t="s">
        <v>189</v>
      </c>
      <c r="C17" s="13" t="s">
        <v>190</v>
      </c>
      <c r="D17" s="31">
        <v>0.35</v>
      </c>
      <c r="F17" s="51" t="s">
        <v>191</v>
      </c>
      <c r="G17" s="13" t="s">
        <v>192</v>
      </c>
      <c r="H17" s="23">
        <v>180</v>
      </c>
      <c r="J17" s="276"/>
    </row>
    <row r="18" spans="2:14">
      <c r="B18" s="51" t="s">
        <v>193</v>
      </c>
      <c r="C18" s="13" t="s">
        <v>194</v>
      </c>
      <c r="D18" s="23">
        <v>5</v>
      </c>
      <c r="F18" s="51" t="s">
        <v>75</v>
      </c>
      <c r="G18" s="13" t="s">
        <v>195</v>
      </c>
      <c r="H18" s="23">
        <v>15</v>
      </c>
      <c r="J18" s="276"/>
    </row>
    <row r="19" spans="2:14">
      <c r="B19" s="51" t="s">
        <v>196</v>
      </c>
      <c r="C19" s="13" t="s">
        <v>197</v>
      </c>
      <c r="D19" s="23">
        <v>6</v>
      </c>
      <c r="F19" s="51" t="s">
        <v>198</v>
      </c>
      <c r="G19" s="13" t="s">
        <v>195</v>
      </c>
      <c r="H19" s="23">
        <v>14</v>
      </c>
      <c r="J19" s="276"/>
      <c r="L19" s="50"/>
    </row>
    <row r="20" spans="2:14">
      <c r="J20" s="276"/>
    </row>
    <row r="21" spans="2:14">
      <c r="J21" s="276"/>
    </row>
    <row r="22" spans="2:14" ht="15" customHeight="1" thickBot="1">
      <c r="B22" s="16" t="s">
        <v>199</v>
      </c>
      <c r="C22" s="1"/>
      <c r="D22" s="1"/>
      <c r="E22" s="1"/>
      <c r="F22" s="1"/>
      <c r="G22" s="1"/>
      <c r="H22" s="1"/>
      <c r="I22" s="1"/>
      <c r="J22" s="269"/>
    </row>
    <row r="23" spans="2:14" ht="14.4" customHeight="1" thickTop="1">
      <c r="J23" s="276"/>
      <c r="L23" t="s">
        <v>293</v>
      </c>
      <c r="N23" s="267">
        <f>Model!D20</f>
        <v>124155810.13333492</v>
      </c>
    </row>
    <row r="24" spans="2:14">
      <c r="B24" s="34" t="s">
        <v>200</v>
      </c>
      <c r="C24" s="35" t="s">
        <v>201</v>
      </c>
      <c r="D24" s="36" t="s">
        <v>202</v>
      </c>
      <c r="E24" s="36" t="s">
        <v>203</v>
      </c>
      <c r="F24" s="36" t="s">
        <v>204</v>
      </c>
      <c r="G24" s="36" t="s">
        <v>205</v>
      </c>
      <c r="H24" s="36" t="s">
        <v>206</v>
      </c>
      <c r="I24" s="26" t="s">
        <v>207</v>
      </c>
      <c r="J24" s="270"/>
      <c r="L24" t="s">
        <v>6</v>
      </c>
      <c r="M24">
        <v>1</v>
      </c>
      <c r="N24" s="267">
        <f t="dataTable" ref="N24:N25" dt2D="0" dtr="0" r1="I30" ca="1"/>
        <v>136524079.55451494</v>
      </c>
    </row>
    <row r="25" spans="2:14">
      <c r="B25" s="25" t="s">
        <v>208</v>
      </c>
      <c r="C25" s="5" t="s">
        <v>209</v>
      </c>
      <c r="D25" s="37">
        <v>1</v>
      </c>
      <c r="E25" s="19">
        <v>375000</v>
      </c>
      <c r="F25" s="22">
        <v>18</v>
      </c>
      <c r="G25" s="19">
        <v>2400</v>
      </c>
      <c r="H25" s="18">
        <v>0.03</v>
      </c>
      <c r="I25" s="272">
        <v>1</v>
      </c>
      <c r="J25" s="278"/>
      <c r="L25" t="s">
        <v>7</v>
      </c>
      <c r="M25">
        <v>0</v>
      </c>
      <c r="N25" s="267">
        <v>124155810.13333492</v>
      </c>
    </row>
    <row r="26" spans="2:14">
      <c r="B26" s="25" t="s">
        <v>210</v>
      </c>
      <c r="C26" s="5" t="s">
        <v>211</v>
      </c>
      <c r="D26" s="38">
        <v>1</v>
      </c>
      <c r="E26" s="19">
        <v>450000</v>
      </c>
      <c r="F26" s="22">
        <v>30</v>
      </c>
      <c r="G26" s="19">
        <v>2100</v>
      </c>
      <c r="H26" s="18">
        <v>0.06</v>
      </c>
      <c r="I26" s="272">
        <v>1</v>
      </c>
      <c r="J26" s="278"/>
      <c r="N26" s="267"/>
    </row>
    <row r="27" spans="2:14">
      <c r="B27" s="25" t="s">
        <v>212</v>
      </c>
      <c r="C27" s="5" t="s">
        <v>213</v>
      </c>
      <c r="D27" s="38">
        <v>1</v>
      </c>
      <c r="E27" s="19">
        <v>225000</v>
      </c>
      <c r="F27" s="22">
        <v>15</v>
      </c>
      <c r="G27" s="19">
        <v>1800</v>
      </c>
      <c r="H27" s="18">
        <v>0.01</v>
      </c>
      <c r="I27" s="272">
        <v>1</v>
      </c>
      <c r="J27" s="278"/>
      <c r="L27" t="s">
        <v>5</v>
      </c>
      <c r="N27" s="267">
        <f ca="1">Model!D26</f>
        <v>55621677.795762785</v>
      </c>
    </row>
    <row r="28" spans="2:14">
      <c r="B28" s="25" t="s">
        <v>214</v>
      </c>
      <c r="C28" s="5" t="s">
        <v>209</v>
      </c>
      <c r="D28" s="38">
        <v>1</v>
      </c>
      <c r="E28" s="19">
        <v>300000</v>
      </c>
      <c r="F28" s="22">
        <v>22</v>
      </c>
      <c r="G28" s="19">
        <v>2700</v>
      </c>
      <c r="H28" s="18">
        <v>0</v>
      </c>
      <c r="I28" s="272">
        <v>1</v>
      </c>
      <c r="J28" s="278"/>
      <c r="L28" t="s">
        <v>6</v>
      </c>
      <c r="M28">
        <v>1</v>
      </c>
      <c r="N28" s="267">
        <f t="dataTable" ref="N28:N29" dt2D="0" dtr="0" r1="I30" ca="1"/>
        <v>61161158.676881537</v>
      </c>
    </row>
    <row r="29" spans="2:14">
      <c r="B29" s="25" t="s">
        <v>215</v>
      </c>
      <c r="C29" s="5" t="s">
        <v>209</v>
      </c>
      <c r="D29" s="38">
        <v>1</v>
      </c>
      <c r="E29" s="19">
        <v>125000</v>
      </c>
      <c r="F29" s="22">
        <v>25</v>
      </c>
      <c r="G29" s="19">
        <v>900</v>
      </c>
      <c r="H29" s="18">
        <v>0.08</v>
      </c>
      <c r="I29" s="272">
        <v>1</v>
      </c>
      <c r="J29" s="278"/>
      <c r="L29" t="s">
        <v>7</v>
      </c>
      <c r="M29">
        <v>0</v>
      </c>
      <c r="N29" s="267">
        <v>55621677.795762785</v>
      </c>
    </row>
    <row r="30" spans="2:14">
      <c r="B30" s="25" t="s">
        <v>216</v>
      </c>
      <c r="C30" s="5" t="s">
        <v>209</v>
      </c>
      <c r="D30" s="38">
        <v>37</v>
      </c>
      <c r="E30" s="19">
        <v>250000</v>
      </c>
      <c r="F30" s="22">
        <v>15</v>
      </c>
      <c r="G30" s="19">
        <v>1500</v>
      </c>
      <c r="H30" s="18">
        <v>0.09</v>
      </c>
      <c r="I30" s="273">
        <f>IF('Dashboard Summary'!D4="Off",0,1)</f>
        <v>0</v>
      </c>
      <c r="J30" s="279"/>
      <c r="N30" s="267"/>
    </row>
    <row r="31" spans="2:14">
      <c r="B31" s="52"/>
      <c r="J31" s="276"/>
      <c r="L31" t="s">
        <v>294</v>
      </c>
      <c r="N31" s="267">
        <f>SUM(Model!H326:BO326)</f>
        <v>1254790.294</v>
      </c>
    </row>
    <row r="32" spans="2:14">
      <c r="J32" s="276"/>
      <c r="L32" t="s">
        <v>6</v>
      </c>
      <c r="M32">
        <v>1</v>
      </c>
      <c r="N32" s="267">
        <f t="dataTable" ref="N32:N33" dt2D="0" dtr="0" r1="I30"/>
        <v>2036472.55345</v>
      </c>
    </row>
    <row r="33" spans="2:16" ht="15" customHeight="1" thickBot="1">
      <c r="B33" s="16" t="s">
        <v>217</v>
      </c>
      <c r="C33" s="1"/>
      <c r="D33" s="1"/>
      <c r="E33" s="1"/>
      <c r="F33" s="1"/>
      <c r="G33" s="1"/>
      <c r="H33" s="1"/>
      <c r="I33" s="1"/>
      <c r="J33" s="269"/>
      <c r="L33" t="s">
        <v>7</v>
      </c>
      <c r="M33">
        <v>0</v>
      </c>
      <c r="N33" s="267">
        <v>1254790.294</v>
      </c>
    </row>
    <row r="34" spans="2:16" ht="14.4" customHeight="1" thickTop="1">
      <c r="J34" s="276"/>
    </row>
    <row r="35" spans="2:16">
      <c r="B35" s="34" t="s">
        <v>200</v>
      </c>
      <c r="C35" s="53"/>
      <c r="D35" s="28">
        <v>1</v>
      </c>
      <c r="E35" s="29">
        <v>2</v>
      </c>
      <c r="F35" s="29">
        <v>3</v>
      </c>
      <c r="G35" s="29">
        <v>4</v>
      </c>
      <c r="H35" s="33">
        <v>5</v>
      </c>
      <c r="I35" s="5">
        <v>0</v>
      </c>
      <c r="J35" s="276"/>
      <c r="K35" s="65">
        <v>1</v>
      </c>
      <c r="L35" s="65">
        <v>2</v>
      </c>
      <c r="M35" s="65">
        <v>3</v>
      </c>
      <c r="N35" s="65">
        <v>4</v>
      </c>
      <c r="O35" s="65">
        <v>5</v>
      </c>
      <c r="P35" s="65">
        <v>6</v>
      </c>
    </row>
    <row r="36" spans="2:16">
      <c r="B36" s="25" t="s">
        <v>208</v>
      </c>
      <c r="D36" s="27">
        <v>7.0000000000000007E-2</v>
      </c>
      <c r="E36" s="27">
        <v>0.05</v>
      </c>
      <c r="F36" s="27">
        <v>0.05</v>
      </c>
      <c r="G36" s="27">
        <v>0.03</v>
      </c>
      <c r="H36" s="27">
        <v>0.02</v>
      </c>
      <c r="I36" s="66">
        <f t="array" ref="I36:I41">starting_parc</f>
        <v>375000</v>
      </c>
      <c r="J36" s="280"/>
      <c r="K36" s="67">
        <f t="array" ref="K36:K41">_xlfn.ANCHORARRAY(I36)*(1+D36:D41)</f>
        <v>401250</v>
      </c>
      <c r="L36" s="67">
        <f t="array" ref="L36:L41">_xlfn.ANCHORARRAY(K36)*(1+E36:E41)</f>
        <v>421312.5</v>
      </c>
      <c r="M36" s="67">
        <f t="array" ref="M36:M41">_xlfn.ANCHORARRAY(L36)*(1+F36:F41)</f>
        <v>442378.125</v>
      </c>
      <c r="N36" s="67">
        <f t="array" ref="N36:N41">_xlfn.ANCHORARRAY(M36)*(1+G36:G41)</f>
        <v>455649.46875</v>
      </c>
      <c r="O36" s="67">
        <f t="array" ref="O36:O41">_xlfn.ANCHORARRAY(N36)*(1+H36:H41)</f>
        <v>464762.458125</v>
      </c>
      <c r="P36" s="67">
        <f t="array" ref="P36:P41">_xlfn.ANCHORARRAY(O36)*(1+H36:H41)</f>
        <v>474057.70728750003</v>
      </c>
    </row>
    <row r="37" spans="2:16">
      <c r="B37" s="25" t="s">
        <v>210</v>
      </c>
      <c r="D37" s="18">
        <v>0.12</v>
      </c>
      <c r="E37" s="18">
        <v>0.06</v>
      </c>
      <c r="F37" s="18">
        <v>0.02</v>
      </c>
      <c r="G37" s="18">
        <v>0</v>
      </c>
      <c r="H37" s="18">
        <v>0</v>
      </c>
      <c r="I37" s="66">
        <v>450000</v>
      </c>
      <c r="J37" s="280"/>
      <c r="K37" s="67">
        <v>504000.00000000006</v>
      </c>
      <c r="L37" s="66">
        <v>534240.00000000012</v>
      </c>
      <c r="M37" s="67">
        <v>544924.80000000016</v>
      </c>
      <c r="N37" s="66">
        <v>544924.80000000016</v>
      </c>
      <c r="O37" s="66">
        <v>544924.80000000016</v>
      </c>
      <c r="P37" s="66">
        <v>544924.80000000016</v>
      </c>
    </row>
    <row r="38" spans="2:16">
      <c r="B38" s="25" t="s">
        <v>212</v>
      </c>
      <c r="D38" s="18">
        <v>0.01</v>
      </c>
      <c r="E38" s="18">
        <v>5.0000000000000001E-3</v>
      </c>
      <c r="F38" s="18">
        <v>0</v>
      </c>
      <c r="G38" s="18">
        <v>-0.01</v>
      </c>
      <c r="H38" s="18">
        <v>-1.4999999999999999E-2</v>
      </c>
      <c r="I38" s="66">
        <v>225000</v>
      </c>
      <c r="J38" s="280"/>
      <c r="K38" s="67">
        <v>227250</v>
      </c>
      <c r="L38" s="67">
        <v>228386.24999999997</v>
      </c>
      <c r="M38" s="67">
        <v>228386.24999999997</v>
      </c>
      <c r="N38" s="66">
        <v>226102.38749999998</v>
      </c>
      <c r="O38" s="66">
        <v>222710.85168749999</v>
      </c>
      <c r="P38" s="66">
        <v>219370.1889121875</v>
      </c>
    </row>
    <row r="39" spans="2:16">
      <c r="B39" s="25" t="s">
        <v>214</v>
      </c>
      <c r="D39" s="18">
        <v>-0.08</v>
      </c>
      <c r="E39" s="18">
        <v>-0.04</v>
      </c>
      <c r="F39" s="18">
        <v>-0.06</v>
      </c>
      <c r="G39" s="18">
        <v>-0.08</v>
      </c>
      <c r="H39" s="18">
        <v>-7.0000000000000007E-2</v>
      </c>
      <c r="I39" s="66">
        <v>300000</v>
      </c>
      <c r="J39" s="280"/>
      <c r="K39" s="67">
        <v>276000</v>
      </c>
      <c r="L39" s="67">
        <v>264960</v>
      </c>
      <c r="M39" s="67">
        <v>249062.39999999999</v>
      </c>
      <c r="N39" s="66">
        <v>229137.408</v>
      </c>
      <c r="O39" s="66">
        <v>213097.78943999999</v>
      </c>
      <c r="P39" s="66">
        <v>198180.94417919999</v>
      </c>
    </row>
    <row r="40" spans="2:16">
      <c r="B40" s="25" t="s">
        <v>215</v>
      </c>
      <c r="D40" s="18">
        <v>0.3</v>
      </c>
      <c r="E40" s="18">
        <v>0.15</v>
      </c>
      <c r="F40" s="18">
        <v>0.1</v>
      </c>
      <c r="G40" s="18">
        <v>0.06</v>
      </c>
      <c r="H40" s="18">
        <v>0.04</v>
      </c>
      <c r="I40" s="66">
        <v>125000</v>
      </c>
      <c r="J40" s="280"/>
      <c r="K40" s="67">
        <v>162500</v>
      </c>
      <c r="L40" s="67">
        <v>186875</v>
      </c>
      <c r="M40" s="67">
        <v>205562.50000000003</v>
      </c>
      <c r="N40" s="66">
        <v>217896.25000000003</v>
      </c>
      <c r="O40" s="66">
        <v>226612.10000000003</v>
      </c>
      <c r="P40" s="66">
        <v>235676.58400000003</v>
      </c>
    </row>
    <row r="41" spans="2:16">
      <c r="B41" s="25" t="s">
        <v>216</v>
      </c>
      <c r="D41" s="18">
        <v>0</v>
      </c>
      <c r="E41" s="18">
        <v>0</v>
      </c>
      <c r="F41" s="18">
        <v>0</v>
      </c>
      <c r="G41" s="40">
        <v>0.14480000000000001</v>
      </c>
      <c r="H41" s="18">
        <v>0.04</v>
      </c>
      <c r="I41" s="66">
        <v>250000</v>
      </c>
      <c r="J41" s="280"/>
      <c r="K41" s="67">
        <v>250000</v>
      </c>
      <c r="L41" s="66">
        <v>250000</v>
      </c>
      <c r="M41" s="66">
        <v>250000</v>
      </c>
      <c r="N41" s="66">
        <v>286200</v>
      </c>
      <c r="O41" s="66">
        <v>297648</v>
      </c>
      <c r="P41" s="66">
        <v>309553.91999999998</v>
      </c>
    </row>
    <row r="42" spans="2:16">
      <c r="H42" s="54" t="s">
        <v>218</v>
      </c>
      <c r="J42" s="276"/>
    </row>
    <row r="43" spans="2:16">
      <c r="G43" s="54"/>
      <c r="J43" s="276"/>
    </row>
    <row r="44" spans="2:16" ht="15" customHeight="1" thickBot="1">
      <c r="B44" s="16" t="s">
        <v>219</v>
      </c>
      <c r="C44" s="1"/>
      <c r="D44" s="1"/>
      <c r="E44" s="1"/>
      <c r="F44" s="1"/>
      <c r="G44" s="1"/>
      <c r="H44" s="1"/>
      <c r="I44" s="1"/>
      <c r="J44" s="269"/>
    </row>
    <row r="45" spans="2:16" ht="14.4" customHeight="1" thickTop="1">
      <c r="C45" s="41"/>
      <c r="D45" s="41"/>
      <c r="E45" s="41"/>
      <c r="J45" s="276"/>
    </row>
    <row r="46" spans="2:16">
      <c r="B46" s="53" t="s">
        <v>3</v>
      </c>
      <c r="C46" s="53"/>
      <c r="D46" s="28" t="s">
        <v>209</v>
      </c>
      <c r="E46" s="29" t="s">
        <v>211</v>
      </c>
      <c r="F46" s="29" t="s">
        <v>213</v>
      </c>
      <c r="G46" s="54" t="s">
        <v>220</v>
      </c>
      <c r="J46" s="276"/>
    </row>
    <row r="47" spans="2:16">
      <c r="B47" s="21">
        <v>1</v>
      </c>
      <c r="D47" s="23">
        <v>0.75</v>
      </c>
      <c r="E47" s="23">
        <v>0.75</v>
      </c>
      <c r="F47" s="23">
        <v>0.95</v>
      </c>
      <c r="J47" s="276"/>
    </row>
    <row r="48" spans="2:16">
      <c r="B48" s="21">
        <v>2</v>
      </c>
      <c r="D48" s="23">
        <v>0.8</v>
      </c>
      <c r="E48" s="23">
        <v>0.65</v>
      </c>
      <c r="F48" s="23">
        <v>0.95</v>
      </c>
      <c r="J48" s="276"/>
    </row>
    <row r="49" spans="2:10">
      <c r="B49" s="21">
        <v>3</v>
      </c>
      <c r="D49" s="23">
        <v>0.85</v>
      </c>
      <c r="E49" s="23">
        <v>0.7</v>
      </c>
      <c r="F49" s="23">
        <v>1</v>
      </c>
      <c r="J49" s="276"/>
    </row>
    <row r="50" spans="2:10">
      <c r="B50" s="21">
        <v>4</v>
      </c>
      <c r="D50" s="23">
        <v>0.95</v>
      </c>
      <c r="E50" s="23">
        <v>0.75</v>
      </c>
      <c r="F50" s="23">
        <v>1</v>
      </c>
      <c r="G50" s="41"/>
      <c r="J50" s="276"/>
    </row>
    <row r="51" spans="2:10">
      <c r="B51" s="21">
        <v>5</v>
      </c>
      <c r="D51" s="23">
        <v>1.1000000000000001</v>
      </c>
      <c r="E51" s="23">
        <v>0.70000000000000007</v>
      </c>
      <c r="F51" s="23">
        <v>1</v>
      </c>
      <c r="J51" s="276"/>
    </row>
    <row r="52" spans="2:10">
      <c r="B52" s="21">
        <v>6</v>
      </c>
      <c r="D52" s="23">
        <v>1.2</v>
      </c>
      <c r="E52" s="23">
        <v>0.75</v>
      </c>
      <c r="F52" s="23">
        <v>1</v>
      </c>
      <c r="J52" s="276"/>
    </row>
    <row r="53" spans="2:10">
      <c r="B53" s="21">
        <v>7</v>
      </c>
      <c r="D53" s="23">
        <v>0.9</v>
      </c>
      <c r="E53" s="23">
        <v>0.70000000000000007</v>
      </c>
      <c r="F53" s="23">
        <v>0.95</v>
      </c>
      <c r="J53" s="276"/>
    </row>
    <row r="54" spans="2:10">
      <c r="B54" s="21">
        <v>8</v>
      </c>
      <c r="D54" s="23">
        <v>0.85</v>
      </c>
      <c r="E54" s="23">
        <v>0.9</v>
      </c>
      <c r="F54" s="23">
        <v>0.9</v>
      </c>
      <c r="J54" s="276"/>
    </row>
    <row r="55" spans="2:10">
      <c r="B55" s="21">
        <v>9</v>
      </c>
      <c r="D55" s="23">
        <v>1</v>
      </c>
      <c r="E55" s="23">
        <v>1.05</v>
      </c>
      <c r="F55" s="23">
        <v>1.1000000000000001</v>
      </c>
      <c r="J55" s="276"/>
    </row>
    <row r="56" spans="2:10">
      <c r="B56" s="21">
        <v>10</v>
      </c>
      <c r="D56" s="23">
        <v>1.05</v>
      </c>
      <c r="E56" s="23">
        <v>1.1000000000000001</v>
      </c>
      <c r="F56" s="23">
        <v>1.1000000000000001</v>
      </c>
      <c r="J56" s="276"/>
    </row>
    <row r="57" spans="2:10">
      <c r="B57" s="21">
        <v>11</v>
      </c>
      <c r="D57" s="23">
        <v>1.2</v>
      </c>
      <c r="E57" s="23">
        <v>1.75</v>
      </c>
      <c r="F57" s="23">
        <v>1.05</v>
      </c>
      <c r="J57" s="276"/>
    </row>
    <row r="58" spans="2:10">
      <c r="B58" s="21">
        <v>12</v>
      </c>
      <c r="D58" s="23">
        <v>1.35</v>
      </c>
      <c r="E58" s="23">
        <v>2.2000000000000002</v>
      </c>
      <c r="F58" s="23">
        <v>1</v>
      </c>
      <c r="J58" s="276"/>
    </row>
    <row r="59" spans="2:10">
      <c r="F59" s="54" t="s">
        <v>221</v>
      </c>
      <c r="J59" s="276"/>
    </row>
    <row r="60" spans="2:10">
      <c r="J60" s="276"/>
    </row>
    <row r="61" spans="2:10" ht="15" customHeight="1" thickBot="1">
      <c r="B61" s="16" t="s">
        <v>222</v>
      </c>
      <c r="C61" s="1"/>
      <c r="D61" s="1"/>
      <c r="E61" s="1"/>
      <c r="F61" s="1"/>
      <c r="G61" s="1"/>
      <c r="H61" s="1"/>
      <c r="I61" s="1"/>
      <c r="J61" s="269"/>
    </row>
    <row r="62" spans="2:10" ht="14.4" customHeight="1" thickTop="1">
      <c r="J62" s="276"/>
    </row>
    <row r="63" spans="2:10">
      <c r="B63" s="9" t="s">
        <v>223</v>
      </c>
      <c r="C63" s="10"/>
      <c r="D63" s="11"/>
      <c r="F63" s="9" t="s">
        <v>64</v>
      </c>
      <c r="G63" s="9" t="s">
        <v>105</v>
      </c>
      <c r="H63" s="9"/>
      <c r="I63" s="26" t="s">
        <v>224</v>
      </c>
      <c r="J63" s="270"/>
    </row>
    <row r="64" spans="2:10">
      <c r="B64" s="12" t="s">
        <v>225</v>
      </c>
      <c r="C64" s="13" t="s">
        <v>226</v>
      </c>
      <c r="D64" s="55">
        <v>35</v>
      </c>
      <c r="F64" s="51" t="s">
        <v>184</v>
      </c>
      <c r="G64" s="47" t="s">
        <v>225</v>
      </c>
      <c r="H64" s="13" t="s">
        <v>227</v>
      </c>
      <c r="I64" s="274">
        <v>7.0000000000000007E-2</v>
      </c>
      <c r="J64" s="271"/>
    </row>
    <row r="65" spans="2:11">
      <c r="B65" s="12" t="s">
        <v>228</v>
      </c>
      <c r="C65" s="13" t="s">
        <v>226</v>
      </c>
      <c r="D65" s="55">
        <v>25</v>
      </c>
      <c r="F65" s="51" t="s">
        <v>188</v>
      </c>
      <c r="G65" s="47" t="s">
        <v>228</v>
      </c>
      <c r="H65" s="13" t="s">
        <v>227</v>
      </c>
      <c r="I65" s="275">
        <v>8.5000000000000006E-2</v>
      </c>
      <c r="J65" s="271"/>
    </row>
    <row r="66" spans="2:11">
      <c r="F66" s="51" t="s">
        <v>191</v>
      </c>
      <c r="G66" s="47" t="s">
        <v>225</v>
      </c>
      <c r="H66" s="39" t="s">
        <v>229</v>
      </c>
      <c r="I66" s="275">
        <v>5.4999999999999997E-3</v>
      </c>
      <c r="J66" s="271"/>
    </row>
    <row r="67" spans="2:11">
      <c r="B67" s="9" t="s">
        <v>230</v>
      </c>
      <c r="C67" s="10"/>
      <c r="D67" s="11"/>
      <c r="F67" s="51" t="s">
        <v>75</v>
      </c>
      <c r="G67" s="47" t="s">
        <v>228</v>
      </c>
      <c r="H67" s="13" t="s">
        <v>231</v>
      </c>
      <c r="I67" s="275">
        <v>6.5000000000000002E-2</v>
      </c>
      <c r="J67" s="271"/>
    </row>
    <row r="68" spans="2:11">
      <c r="B68" s="12" t="s">
        <v>225</v>
      </c>
      <c r="C68" s="13" t="s">
        <v>232</v>
      </c>
      <c r="D68" s="19">
        <v>22000</v>
      </c>
      <c r="F68" s="51" t="s">
        <v>198</v>
      </c>
      <c r="G68" s="47" t="s">
        <v>225</v>
      </c>
      <c r="H68" s="13" t="s">
        <v>231</v>
      </c>
      <c r="I68" s="275">
        <v>6.5000000000000002E-2</v>
      </c>
      <c r="J68" s="271"/>
    </row>
    <row r="69" spans="2:11">
      <c r="B69" s="12" t="s">
        <v>228</v>
      </c>
      <c r="C69" s="13" t="s">
        <v>232</v>
      </c>
      <c r="D69" s="19">
        <v>45000</v>
      </c>
      <c r="G69" s="56" t="s">
        <v>233</v>
      </c>
      <c r="J69" s="276"/>
    </row>
    <row r="70" spans="2:11">
      <c r="J70" s="276"/>
      <c r="K70" s="48"/>
    </row>
    <row r="71" spans="2:11">
      <c r="B71" s="9" t="s">
        <v>234</v>
      </c>
      <c r="C71" s="10"/>
      <c r="D71" s="11"/>
      <c r="J71" s="276"/>
      <c r="K71" s="48"/>
    </row>
    <row r="72" spans="2:11">
      <c r="B72" s="12" t="s">
        <v>225</v>
      </c>
      <c r="C72" s="13" t="s">
        <v>127</v>
      </c>
      <c r="D72" s="30">
        <v>2.5</v>
      </c>
      <c r="J72" s="276"/>
      <c r="K72" s="48"/>
    </row>
    <row r="73" spans="2:11">
      <c r="B73" s="12" t="s">
        <v>228</v>
      </c>
      <c r="C73" s="13" t="s">
        <v>127</v>
      </c>
      <c r="D73" s="30">
        <v>7</v>
      </c>
      <c r="J73" s="276"/>
      <c r="K73" s="48"/>
    </row>
    <row r="74" spans="2:11">
      <c r="J74" s="276"/>
      <c r="K74" s="48"/>
    </row>
    <row r="75" spans="2:11">
      <c r="K75" s="48"/>
    </row>
    <row r="76" spans="2:11">
      <c r="K76" s="48"/>
    </row>
    <row r="77" spans="2:11">
      <c r="C77" s="5"/>
    </row>
    <row r="78" spans="2:11">
      <c r="C78" s="5"/>
    </row>
    <row r="79" spans="2:11">
      <c r="C79" s="5"/>
    </row>
    <row r="80" spans="2:11">
      <c r="C80" s="5"/>
    </row>
    <row r="81" spans="3:5">
      <c r="C81" s="5"/>
    </row>
    <row r="82" spans="3:5">
      <c r="C82" s="5"/>
    </row>
    <row r="83" spans="3:5">
      <c r="C83" s="5"/>
    </row>
    <row r="84" spans="3:5">
      <c r="C84" s="5"/>
    </row>
    <row r="85" spans="3:5">
      <c r="C85" s="5"/>
    </row>
    <row r="86" spans="3:5">
      <c r="C86" s="5"/>
    </row>
    <row r="87" spans="3:5">
      <c r="C87" s="5"/>
    </row>
    <row r="89" spans="3:5">
      <c r="C89" s="57"/>
      <c r="D89" s="57"/>
      <c r="E89" s="57"/>
    </row>
    <row r="91" spans="3:5">
      <c r="C91" s="5"/>
    </row>
    <row r="92" spans="3:5">
      <c r="C92" s="5"/>
    </row>
    <row r="93" spans="3:5">
      <c r="C93" s="5"/>
    </row>
    <row r="94" spans="3:5">
      <c r="C94" s="5"/>
    </row>
    <row r="95" spans="3:5">
      <c r="C95" s="5"/>
    </row>
    <row r="98" spans="5:11">
      <c r="E98" s="24"/>
      <c r="K98" s="58"/>
    </row>
    <row r="99" spans="5:11">
      <c r="E99" s="24"/>
      <c r="K99" s="58"/>
    </row>
    <row r="100" spans="5:11">
      <c r="E100" s="24"/>
      <c r="K100" s="58"/>
    </row>
    <row r="101" spans="5:11">
      <c r="E101" s="24"/>
      <c r="K101" s="58"/>
    </row>
    <row r="102" spans="5:11">
      <c r="E102" s="24"/>
      <c r="K102" s="58"/>
    </row>
    <row r="113" spans="7:10">
      <c r="G113" s="59"/>
      <c r="H113" s="60"/>
      <c r="I113" s="60"/>
      <c r="J113" s="60"/>
    </row>
    <row r="114" spans="7:10">
      <c r="G114" s="61"/>
      <c r="H114" s="62"/>
      <c r="I114" s="62"/>
      <c r="J114" s="62"/>
    </row>
    <row r="115" spans="7:10">
      <c r="G115" s="61"/>
      <c r="H115" s="62"/>
      <c r="I115" s="62"/>
      <c r="J115" s="62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439" spans="2:2">
      <c r="B439" s="17"/>
    </row>
    <row r="440" spans="2:2">
      <c r="B440" s="17"/>
    </row>
    <row r="441" spans="2:2">
      <c r="B441" s="17"/>
    </row>
    <row r="442" spans="2:2">
      <c r="B442" s="17"/>
    </row>
    <row r="443" spans="2:2">
      <c r="B443" s="17"/>
    </row>
    <row r="444" spans="2:2">
      <c r="B444" s="17"/>
    </row>
    <row r="445" spans="2:2">
      <c r="B445" s="17"/>
    </row>
    <row r="446" spans="2:2">
      <c r="B446" s="17"/>
    </row>
    <row r="447" spans="2:2">
      <c r="B447" s="17"/>
    </row>
    <row r="448" spans="2:2">
      <c r="B448" s="17"/>
    </row>
    <row r="449" spans="2:2">
      <c r="B449" s="17"/>
    </row>
    <row r="450" spans="2:2">
      <c r="B450" s="17"/>
    </row>
    <row r="451" spans="2:2">
      <c r="B451" s="17"/>
    </row>
  </sheetData>
  <mergeCells count="1">
    <mergeCell ref="K1:P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08BB7"/>
  </sheetPr>
  <dimension ref="A2:XFD33"/>
  <sheetViews>
    <sheetView topLeftCell="A3" workbookViewId="0">
      <pane xSplit="3" ySplit="10" topLeftCell="D11" activePane="bottomRight" state="frozen"/>
      <selection pane="topRight"/>
      <selection pane="bottomLeft"/>
      <selection pane="bottomRight" activeCell="C11" sqref="C11"/>
    </sheetView>
  </sheetViews>
  <sheetFormatPr defaultColWidth="0" defaultRowHeight="11.5"/>
  <cols>
    <col min="1" max="2" width="8.8984375" customWidth="1"/>
    <col min="3" max="3" width="23.8984375" bestFit="1" customWidth="1"/>
    <col min="4" max="4" width="9.8984375" bestFit="1" customWidth="1"/>
    <col min="5" max="65" width="11.09765625" bestFit="1" customWidth="1"/>
    <col min="66" max="66" width="8.8984375" hidden="1" customWidth="1"/>
    <col min="67" max="16384" width="8.8984375" hidden="1"/>
  </cols>
  <sheetData>
    <row r="2" spans="2:65" ht="12" customHeight="1" thickBot="1">
      <c r="B2" s="44" t="str">
        <f>Assumptions!D8</f>
        <v>X-Logistic Service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</row>
    <row r="3" spans="2:65" ht="12" customHeight="1" thickTop="1"/>
    <row r="4" spans="2:65">
      <c r="C4" t="s">
        <v>235</v>
      </c>
      <c r="D4">
        <v>0</v>
      </c>
      <c r="E4">
        <f t="array" ref="E4:BL10">Timeline(Assumptions!D9,5)</f>
        <v>1</v>
      </c>
      <c r="F4">
        <v>2</v>
      </c>
      <c r="G4">
        <v>3</v>
      </c>
      <c r="H4">
        <v>4</v>
      </c>
      <c r="I4">
        <v>5</v>
      </c>
      <c r="J4">
        <v>6</v>
      </c>
      <c r="K4">
        <v>7</v>
      </c>
      <c r="L4">
        <v>8</v>
      </c>
      <c r="M4">
        <v>9</v>
      </c>
      <c r="N4">
        <v>10</v>
      </c>
      <c r="O4">
        <v>11</v>
      </c>
      <c r="P4">
        <v>12</v>
      </c>
      <c r="Q4">
        <v>13</v>
      </c>
      <c r="R4">
        <v>14</v>
      </c>
      <c r="S4">
        <v>15</v>
      </c>
      <c r="T4">
        <v>16</v>
      </c>
      <c r="U4">
        <v>17</v>
      </c>
      <c r="V4">
        <v>18</v>
      </c>
      <c r="W4">
        <v>19</v>
      </c>
      <c r="X4">
        <v>20</v>
      </c>
      <c r="Y4">
        <v>21</v>
      </c>
      <c r="Z4">
        <v>22</v>
      </c>
      <c r="AA4">
        <v>23</v>
      </c>
      <c r="AB4">
        <v>24</v>
      </c>
      <c r="AC4">
        <v>25</v>
      </c>
      <c r="AD4">
        <v>26</v>
      </c>
      <c r="AE4">
        <v>27</v>
      </c>
      <c r="AF4">
        <v>28</v>
      </c>
      <c r="AG4">
        <v>29</v>
      </c>
      <c r="AH4">
        <v>30</v>
      </c>
      <c r="AI4">
        <v>31</v>
      </c>
      <c r="AJ4">
        <v>32</v>
      </c>
      <c r="AK4">
        <v>33</v>
      </c>
      <c r="AL4">
        <v>34</v>
      </c>
      <c r="AM4">
        <v>35</v>
      </c>
      <c r="AN4">
        <v>36</v>
      </c>
      <c r="AO4">
        <v>37</v>
      </c>
      <c r="AP4">
        <v>38</v>
      </c>
      <c r="AQ4">
        <v>39</v>
      </c>
      <c r="AR4">
        <v>40</v>
      </c>
      <c r="AS4">
        <v>41</v>
      </c>
      <c r="AT4">
        <v>42</v>
      </c>
      <c r="AU4">
        <v>43</v>
      </c>
      <c r="AV4">
        <v>44</v>
      </c>
      <c r="AW4">
        <v>45</v>
      </c>
      <c r="AX4">
        <v>46</v>
      </c>
      <c r="AY4">
        <v>47</v>
      </c>
      <c r="AZ4">
        <v>48</v>
      </c>
      <c r="BA4">
        <v>49</v>
      </c>
      <c r="BB4">
        <v>50</v>
      </c>
      <c r="BC4">
        <v>51</v>
      </c>
      <c r="BD4">
        <v>52</v>
      </c>
      <c r="BE4">
        <v>53</v>
      </c>
      <c r="BF4">
        <v>54</v>
      </c>
      <c r="BG4">
        <v>55</v>
      </c>
      <c r="BH4">
        <v>56</v>
      </c>
      <c r="BI4">
        <v>57</v>
      </c>
      <c r="BJ4">
        <v>58</v>
      </c>
      <c r="BK4">
        <v>59</v>
      </c>
      <c r="BL4">
        <v>60</v>
      </c>
      <c r="BM4">
        <f>BL4+1</f>
        <v>61</v>
      </c>
    </row>
    <row r="5" spans="2:65">
      <c r="C5" t="s">
        <v>236</v>
      </c>
      <c r="D5" s="42">
        <v>45992</v>
      </c>
      <c r="E5" s="42">
        <v>46023</v>
      </c>
      <c r="F5" s="42">
        <v>46054</v>
      </c>
      <c r="G5" s="42">
        <v>46082</v>
      </c>
      <c r="H5" s="42">
        <v>46113</v>
      </c>
      <c r="I5" s="42">
        <v>46143</v>
      </c>
      <c r="J5" s="42">
        <v>46174</v>
      </c>
      <c r="K5" s="42">
        <v>46204</v>
      </c>
      <c r="L5" s="42">
        <v>46235</v>
      </c>
      <c r="M5" s="42">
        <v>46266</v>
      </c>
      <c r="N5" s="42">
        <v>46296</v>
      </c>
      <c r="O5" s="42">
        <v>46327</v>
      </c>
      <c r="P5" s="42">
        <v>46357</v>
      </c>
      <c r="Q5" s="42">
        <v>46388</v>
      </c>
      <c r="R5" s="42">
        <v>46419</v>
      </c>
      <c r="S5" s="42">
        <v>46447</v>
      </c>
      <c r="T5" s="42">
        <v>46478</v>
      </c>
      <c r="U5" s="42">
        <v>46508</v>
      </c>
      <c r="V5" s="42">
        <v>46539</v>
      </c>
      <c r="W5" s="42">
        <v>46569</v>
      </c>
      <c r="X5" s="42">
        <v>46600</v>
      </c>
      <c r="Y5" s="42">
        <v>46631</v>
      </c>
      <c r="Z5" s="42">
        <v>46661</v>
      </c>
      <c r="AA5" s="42">
        <v>46692</v>
      </c>
      <c r="AB5" s="42">
        <v>46722</v>
      </c>
      <c r="AC5" s="42">
        <v>46753</v>
      </c>
      <c r="AD5" s="42">
        <v>46784</v>
      </c>
      <c r="AE5" s="42">
        <v>46813</v>
      </c>
      <c r="AF5" s="42">
        <v>46844</v>
      </c>
      <c r="AG5" s="42">
        <v>46874</v>
      </c>
      <c r="AH5" s="42">
        <v>46905</v>
      </c>
      <c r="AI5" s="42">
        <v>46935</v>
      </c>
      <c r="AJ5" s="42">
        <v>46966</v>
      </c>
      <c r="AK5" s="42">
        <v>46997</v>
      </c>
      <c r="AL5" s="42">
        <v>47027</v>
      </c>
      <c r="AM5" s="42">
        <v>47058</v>
      </c>
      <c r="AN5" s="42">
        <v>47088</v>
      </c>
      <c r="AO5" s="42">
        <v>47119</v>
      </c>
      <c r="AP5" s="42">
        <v>47150</v>
      </c>
      <c r="AQ5" s="42">
        <v>47178</v>
      </c>
      <c r="AR5" s="42">
        <v>47209</v>
      </c>
      <c r="AS5" s="42">
        <v>47239</v>
      </c>
      <c r="AT5" s="42">
        <v>47270</v>
      </c>
      <c r="AU5" s="42">
        <v>47300</v>
      </c>
      <c r="AV5" s="42">
        <v>47331</v>
      </c>
      <c r="AW5" s="42">
        <v>47362</v>
      </c>
      <c r="AX5" s="42">
        <v>47392</v>
      </c>
      <c r="AY5" s="42">
        <v>47423</v>
      </c>
      <c r="AZ5" s="42">
        <v>47453</v>
      </c>
      <c r="BA5" s="42">
        <v>47484</v>
      </c>
      <c r="BB5" s="42">
        <v>47515</v>
      </c>
      <c r="BC5" s="42">
        <v>47543</v>
      </c>
      <c r="BD5" s="42">
        <v>47574</v>
      </c>
      <c r="BE5" s="42">
        <v>47604</v>
      </c>
      <c r="BF5" s="42">
        <v>47635</v>
      </c>
      <c r="BG5" s="42">
        <v>47665</v>
      </c>
      <c r="BH5" s="42">
        <v>47696</v>
      </c>
      <c r="BI5" s="42">
        <v>47727</v>
      </c>
      <c r="BJ5" s="42">
        <v>47757</v>
      </c>
      <c r="BK5" s="42">
        <v>47788</v>
      </c>
      <c r="BL5" s="42">
        <v>47818</v>
      </c>
      <c r="BM5" s="42">
        <f>BL5+31</f>
        <v>47849</v>
      </c>
    </row>
    <row r="6" spans="2:65">
      <c r="C6" t="s">
        <v>237</v>
      </c>
      <c r="D6" s="42">
        <f>EOMONTH(D5,0)</f>
        <v>46022</v>
      </c>
      <c r="E6" s="42">
        <v>46053</v>
      </c>
      <c r="F6" s="42">
        <v>46081</v>
      </c>
      <c r="G6" s="42">
        <v>46112</v>
      </c>
      <c r="H6" s="42">
        <v>46142</v>
      </c>
      <c r="I6" s="42">
        <v>46173</v>
      </c>
      <c r="J6" s="42">
        <v>46203</v>
      </c>
      <c r="K6" s="42">
        <v>46234</v>
      </c>
      <c r="L6" s="42">
        <v>46265</v>
      </c>
      <c r="M6" s="42">
        <v>46295</v>
      </c>
      <c r="N6" s="42">
        <v>46326</v>
      </c>
      <c r="O6" s="42">
        <v>46356</v>
      </c>
      <c r="P6" s="42">
        <v>46387</v>
      </c>
      <c r="Q6" s="42">
        <v>46418</v>
      </c>
      <c r="R6" s="42">
        <v>46446</v>
      </c>
      <c r="S6" s="42">
        <v>46477</v>
      </c>
      <c r="T6" s="42">
        <v>46507</v>
      </c>
      <c r="U6" s="42">
        <v>46538</v>
      </c>
      <c r="V6" s="42">
        <v>46568</v>
      </c>
      <c r="W6" s="42">
        <v>46599</v>
      </c>
      <c r="X6" s="42">
        <v>46630</v>
      </c>
      <c r="Y6" s="42">
        <v>46660</v>
      </c>
      <c r="Z6" s="42">
        <v>46691</v>
      </c>
      <c r="AA6" s="42">
        <v>46721</v>
      </c>
      <c r="AB6" s="42">
        <v>46752</v>
      </c>
      <c r="AC6" s="42">
        <v>46783</v>
      </c>
      <c r="AD6" s="42">
        <v>46812</v>
      </c>
      <c r="AE6" s="42">
        <v>46843</v>
      </c>
      <c r="AF6" s="42">
        <v>46873</v>
      </c>
      <c r="AG6" s="42">
        <v>46904</v>
      </c>
      <c r="AH6" s="42">
        <v>46934</v>
      </c>
      <c r="AI6" s="42">
        <v>46965</v>
      </c>
      <c r="AJ6" s="42">
        <v>46996</v>
      </c>
      <c r="AK6" s="42">
        <v>47026</v>
      </c>
      <c r="AL6" s="42">
        <v>47057</v>
      </c>
      <c r="AM6" s="42">
        <v>47087</v>
      </c>
      <c r="AN6" s="42">
        <v>47118</v>
      </c>
      <c r="AO6" s="42">
        <v>47149</v>
      </c>
      <c r="AP6" s="42">
        <v>47177</v>
      </c>
      <c r="AQ6" s="42">
        <v>47208</v>
      </c>
      <c r="AR6" s="42">
        <v>47238</v>
      </c>
      <c r="AS6" s="42">
        <v>47269</v>
      </c>
      <c r="AT6" s="42">
        <v>47299</v>
      </c>
      <c r="AU6" s="42">
        <v>47330</v>
      </c>
      <c r="AV6" s="42">
        <v>47361</v>
      </c>
      <c r="AW6" s="42">
        <v>47391</v>
      </c>
      <c r="AX6" s="42">
        <v>47422</v>
      </c>
      <c r="AY6" s="42">
        <v>47452</v>
      </c>
      <c r="AZ6" s="42">
        <v>47483</v>
      </c>
      <c r="BA6" s="42">
        <v>47514</v>
      </c>
      <c r="BB6" s="42">
        <v>47542</v>
      </c>
      <c r="BC6" s="42">
        <v>47573</v>
      </c>
      <c r="BD6" s="42">
        <v>47603</v>
      </c>
      <c r="BE6" s="42">
        <v>47634</v>
      </c>
      <c r="BF6" s="42">
        <v>47664</v>
      </c>
      <c r="BG6" s="42">
        <v>47695</v>
      </c>
      <c r="BH6" s="42">
        <v>47726</v>
      </c>
      <c r="BI6" s="42">
        <v>47756</v>
      </c>
      <c r="BJ6" s="42">
        <v>47787</v>
      </c>
      <c r="BK6" s="42">
        <v>47817</v>
      </c>
      <c r="BL6" s="42">
        <v>47848</v>
      </c>
      <c r="BM6" s="42">
        <f>EOMONTH(BM5,0)</f>
        <v>47879</v>
      </c>
    </row>
    <row r="7" spans="2:65">
      <c r="C7" t="s">
        <v>4</v>
      </c>
      <c r="D7">
        <f>YEAR(D5)</f>
        <v>2025</v>
      </c>
      <c r="E7">
        <v>2026</v>
      </c>
      <c r="F7">
        <v>2026</v>
      </c>
      <c r="G7">
        <v>2026</v>
      </c>
      <c r="H7">
        <v>2026</v>
      </c>
      <c r="I7">
        <v>2026</v>
      </c>
      <c r="J7">
        <v>2026</v>
      </c>
      <c r="K7">
        <v>2026</v>
      </c>
      <c r="L7">
        <v>2026</v>
      </c>
      <c r="M7">
        <v>2026</v>
      </c>
      <c r="N7">
        <v>2026</v>
      </c>
      <c r="O7">
        <v>2026</v>
      </c>
      <c r="P7">
        <v>2026</v>
      </c>
      <c r="Q7">
        <v>2027</v>
      </c>
      <c r="R7">
        <v>2027</v>
      </c>
      <c r="S7">
        <v>2027</v>
      </c>
      <c r="T7">
        <v>2027</v>
      </c>
      <c r="U7">
        <v>2027</v>
      </c>
      <c r="V7">
        <v>2027</v>
      </c>
      <c r="W7">
        <v>2027</v>
      </c>
      <c r="X7">
        <v>2027</v>
      </c>
      <c r="Y7">
        <v>2027</v>
      </c>
      <c r="Z7">
        <v>2027</v>
      </c>
      <c r="AA7">
        <v>2027</v>
      </c>
      <c r="AB7">
        <v>2027</v>
      </c>
      <c r="AC7">
        <v>2028</v>
      </c>
      <c r="AD7">
        <v>2028</v>
      </c>
      <c r="AE7">
        <v>2028</v>
      </c>
      <c r="AF7">
        <v>2028</v>
      </c>
      <c r="AG7">
        <v>2028</v>
      </c>
      <c r="AH7">
        <v>2028</v>
      </c>
      <c r="AI7">
        <v>2028</v>
      </c>
      <c r="AJ7">
        <v>2028</v>
      </c>
      <c r="AK7">
        <v>2028</v>
      </c>
      <c r="AL7">
        <v>2028</v>
      </c>
      <c r="AM7">
        <v>2028</v>
      </c>
      <c r="AN7">
        <v>2028</v>
      </c>
      <c r="AO7">
        <v>2029</v>
      </c>
      <c r="AP7">
        <v>2029</v>
      </c>
      <c r="AQ7">
        <v>2029</v>
      </c>
      <c r="AR7">
        <v>2029</v>
      </c>
      <c r="AS7">
        <v>2029</v>
      </c>
      <c r="AT7">
        <v>2029</v>
      </c>
      <c r="AU7">
        <v>2029</v>
      </c>
      <c r="AV7">
        <v>2029</v>
      </c>
      <c r="AW7">
        <v>2029</v>
      </c>
      <c r="AX7">
        <v>2029</v>
      </c>
      <c r="AY7">
        <v>2029</v>
      </c>
      <c r="AZ7">
        <v>2029</v>
      </c>
      <c r="BA7">
        <v>2030</v>
      </c>
      <c r="BB7">
        <v>2030</v>
      </c>
      <c r="BC7">
        <v>2030</v>
      </c>
      <c r="BD7">
        <v>2030</v>
      </c>
      <c r="BE7">
        <v>2030</v>
      </c>
      <c r="BF7">
        <v>2030</v>
      </c>
      <c r="BG7">
        <v>2030</v>
      </c>
      <c r="BH7">
        <v>2030</v>
      </c>
      <c r="BI7">
        <v>2030</v>
      </c>
      <c r="BJ7">
        <v>2030</v>
      </c>
      <c r="BK7">
        <v>2030</v>
      </c>
      <c r="BL7">
        <v>2030</v>
      </c>
      <c r="BM7">
        <f>YEAR(BM5)</f>
        <v>2031</v>
      </c>
    </row>
    <row r="8" spans="2:65">
      <c r="C8" t="s">
        <v>238</v>
      </c>
      <c r="D8">
        <f>MONTH(D5)</f>
        <v>12</v>
      </c>
      <c r="E8">
        <v>1</v>
      </c>
      <c r="F8">
        <v>2</v>
      </c>
      <c r="G8">
        <v>3</v>
      </c>
      <c r="H8">
        <v>4</v>
      </c>
      <c r="I8">
        <v>5</v>
      </c>
      <c r="J8">
        <v>6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</v>
      </c>
      <c r="R8">
        <v>2</v>
      </c>
      <c r="S8">
        <v>3</v>
      </c>
      <c r="T8">
        <v>4</v>
      </c>
      <c r="U8">
        <v>5</v>
      </c>
      <c r="V8">
        <v>6</v>
      </c>
      <c r="W8">
        <v>7</v>
      </c>
      <c r="X8">
        <v>8</v>
      </c>
      <c r="Y8">
        <v>9</v>
      </c>
      <c r="Z8">
        <v>10</v>
      </c>
      <c r="AA8">
        <v>11</v>
      </c>
      <c r="AB8">
        <v>12</v>
      </c>
      <c r="AC8">
        <v>1</v>
      </c>
      <c r="AD8">
        <v>2</v>
      </c>
      <c r="AE8">
        <v>3</v>
      </c>
      <c r="AF8">
        <v>4</v>
      </c>
      <c r="AG8">
        <v>5</v>
      </c>
      <c r="AH8">
        <v>6</v>
      </c>
      <c r="AI8">
        <v>7</v>
      </c>
      <c r="AJ8">
        <v>8</v>
      </c>
      <c r="AK8">
        <v>9</v>
      </c>
      <c r="AL8">
        <v>10</v>
      </c>
      <c r="AM8">
        <v>11</v>
      </c>
      <c r="AN8">
        <v>12</v>
      </c>
      <c r="AO8">
        <v>1</v>
      </c>
      <c r="AP8">
        <v>2</v>
      </c>
      <c r="AQ8">
        <v>3</v>
      </c>
      <c r="AR8">
        <v>4</v>
      </c>
      <c r="AS8">
        <v>5</v>
      </c>
      <c r="AT8">
        <v>6</v>
      </c>
      <c r="AU8">
        <v>7</v>
      </c>
      <c r="AV8">
        <v>8</v>
      </c>
      <c r="AW8">
        <v>9</v>
      </c>
      <c r="AX8">
        <v>10</v>
      </c>
      <c r="AY8">
        <v>11</v>
      </c>
      <c r="AZ8">
        <v>12</v>
      </c>
      <c r="BA8">
        <v>1</v>
      </c>
      <c r="BB8">
        <v>2</v>
      </c>
      <c r="BC8">
        <v>3</v>
      </c>
      <c r="BD8">
        <v>4</v>
      </c>
      <c r="BE8">
        <v>5</v>
      </c>
      <c r="BF8">
        <v>6</v>
      </c>
      <c r="BG8">
        <v>7</v>
      </c>
      <c r="BH8">
        <v>8</v>
      </c>
      <c r="BI8">
        <v>9</v>
      </c>
      <c r="BJ8">
        <v>10</v>
      </c>
      <c r="BK8">
        <v>11</v>
      </c>
      <c r="BL8">
        <v>12</v>
      </c>
      <c r="BM8">
        <f>MONTH(BM5)</f>
        <v>1</v>
      </c>
    </row>
    <row r="9" spans="2:65">
      <c r="C9" t="s">
        <v>239</v>
      </c>
      <c r="D9">
        <v>4</v>
      </c>
      <c r="E9">
        <v>1</v>
      </c>
      <c r="F9">
        <v>1</v>
      </c>
      <c r="G9">
        <v>1</v>
      </c>
      <c r="H9">
        <v>2</v>
      </c>
      <c r="I9">
        <v>2</v>
      </c>
      <c r="J9">
        <v>2</v>
      </c>
      <c r="K9">
        <v>3</v>
      </c>
      <c r="L9">
        <v>3</v>
      </c>
      <c r="M9">
        <v>3</v>
      </c>
      <c r="N9">
        <v>4</v>
      </c>
      <c r="O9">
        <v>4</v>
      </c>
      <c r="P9">
        <v>4</v>
      </c>
      <c r="Q9">
        <v>1</v>
      </c>
      <c r="R9">
        <v>1</v>
      </c>
      <c r="S9">
        <v>1</v>
      </c>
      <c r="T9">
        <v>2</v>
      </c>
      <c r="U9">
        <v>2</v>
      </c>
      <c r="V9">
        <v>2</v>
      </c>
      <c r="W9">
        <v>3</v>
      </c>
      <c r="X9">
        <v>3</v>
      </c>
      <c r="Y9">
        <v>3</v>
      </c>
      <c r="Z9">
        <v>4</v>
      </c>
      <c r="AA9">
        <v>4</v>
      </c>
      <c r="AB9">
        <v>4</v>
      </c>
      <c r="AC9">
        <v>1</v>
      </c>
      <c r="AD9">
        <v>1</v>
      </c>
      <c r="AE9">
        <v>1</v>
      </c>
      <c r="AF9">
        <v>2</v>
      </c>
      <c r="AG9">
        <v>2</v>
      </c>
      <c r="AH9">
        <v>2</v>
      </c>
      <c r="AI9">
        <v>3</v>
      </c>
      <c r="AJ9">
        <v>3</v>
      </c>
      <c r="AK9">
        <v>3</v>
      </c>
      <c r="AL9">
        <v>4</v>
      </c>
      <c r="AM9">
        <v>4</v>
      </c>
      <c r="AN9">
        <v>4</v>
      </c>
      <c r="AO9">
        <v>1</v>
      </c>
      <c r="AP9">
        <v>1</v>
      </c>
      <c r="AQ9">
        <v>1</v>
      </c>
      <c r="AR9">
        <v>2</v>
      </c>
      <c r="AS9">
        <v>2</v>
      </c>
      <c r="AT9">
        <v>2</v>
      </c>
      <c r="AU9">
        <v>3</v>
      </c>
      <c r="AV9">
        <v>3</v>
      </c>
      <c r="AW9">
        <v>3</v>
      </c>
      <c r="AX9">
        <v>4</v>
      </c>
      <c r="AY9">
        <v>4</v>
      </c>
      <c r="AZ9">
        <v>4</v>
      </c>
      <c r="BA9">
        <v>1</v>
      </c>
      <c r="BB9">
        <v>1</v>
      </c>
      <c r="BC9">
        <v>1</v>
      </c>
      <c r="BD9">
        <v>2</v>
      </c>
      <c r="BE9">
        <v>2</v>
      </c>
      <c r="BF9">
        <v>2</v>
      </c>
      <c r="BG9">
        <v>3</v>
      </c>
      <c r="BH9">
        <v>3</v>
      </c>
      <c r="BI9">
        <v>3</v>
      </c>
      <c r="BJ9">
        <v>4</v>
      </c>
      <c r="BK9">
        <v>4</v>
      </c>
      <c r="BL9">
        <v>4</v>
      </c>
      <c r="BM9">
        <v>4</v>
      </c>
    </row>
    <row r="10" spans="2:65" s="46" customFormat="1">
      <c r="C10" s="47" t="s">
        <v>240</v>
      </c>
      <c r="D10" s="46" t="str">
        <f>YEAR(D5) &amp; "-Q" &amp;  D9</f>
        <v>2025-Q4</v>
      </c>
      <c r="E10" s="46" t="str">
        <v>2026-Q1</v>
      </c>
      <c r="F10" s="46" t="str">
        <v>2026-Q1</v>
      </c>
      <c r="G10" s="46" t="str">
        <v>2026-Q1</v>
      </c>
      <c r="H10" s="46" t="str">
        <v>2026-Q2</v>
      </c>
      <c r="I10" s="46" t="str">
        <v>2026-Q2</v>
      </c>
      <c r="J10" s="46" t="str">
        <v>2026-Q2</v>
      </c>
      <c r="K10" s="46" t="str">
        <v>2026-Q3</v>
      </c>
      <c r="L10" s="46" t="str">
        <v>2026-Q3</v>
      </c>
      <c r="M10" s="46" t="str">
        <v>2026-Q3</v>
      </c>
      <c r="N10" s="46" t="str">
        <v>2026-Q4</v>
      </c>
      <c r="O10" s="46" t="str">
        <v>2026-Q4</v>
      </c>
      <c r="P10" s="46" t="str">
        <v>2026-Q4</v>
      </c>
      <c r="Q10" s="46" t="str">
        <v>2027-Q1</v>
      </c>
      <c r="R10" s="46" t="str">
        <v>2027-Q1</v>
      </c>
      <c r="S10" s="46" t="str">
        <v>2027-Q1</v>
      </c>
      <c r="T10" s="46" t="str">
        <v>2027-Q2</v>
      </c>
      <c r="U10" s="46" t="str">
        <v>2027-Q2</v>
      </c>
      <c r="V10" s="46" t="str">
        <v>2027-Q2</v>
      </c>
      <c r="W10" s="46" t="str">
        <v>2027-Q3</v>
      </c>
      <c r="X10" s="46" t="str">
        <v>2027-Q3</v>
      </c>
      <c r="Y10" s="46" t="str">
        <v>2027-Q3</v>
      </c>
      <c r="Z10" s="46" t="str">
        <v>2027-Q4</v>
      </c>
      <c r="AA10" s="46" t="str">
        <v>2027-Q4</v>
      </c>
      <c r="AB10" s="46" t="str">
        <v>2027-Q4</v>
      </c>
      <c r="AC10" s="46" t="str">
        <v>2028-Q1</v>
      </c>
      <c r="AD10" s="46" t="str">
        <v>2028-Q1</v>
      </c>
      <c r="AE10" s="46" t="str">
        <v>2028-Q1</v>
      </c>
      <c r="AF10" s="46" t="str">
        <v>2028-Q2</v>
      </c>
      <c r="AG10" s="46" t="str">
        <v>2028-Q2</v>
      </c>
      <c r="AH10" s="46" t="str">
        <v>2028-Q2</v>
      </c>
      <c r="AI10" s="46" t="str">
        <v>2028-Q3</v>
      </c>
      <c r="AJ10" s="46" t="str">
        <v>2028-Q3</v>
      </c>
      <c r="AK10" s="46" t="str">
        <v>2028-Q3</v>
      </c>
      <c r="AL10" s="46" t="str">
        <v>2028-Q4</v>
      </c>
      <c r="AM10" s="46" t="str">
        <v>2028-Q4</v>
      </c>
      <c r="AN10" s="46" t="str">
        <v>2028-Q4</v>
      </c>
      <c r="AO10" s="46" t="str">
        <v>2029-Q1</v>
      </c>
      <c r="AP10" s="46" t="str">
        <v>2029-Q1</v>
      </c>
      <c r="AQ10" s="46" t="str">
        <v>2029-Q1</v>
      </c>
      <c r="AR10" s="46" t="str">
        <v>2029-Q2</v>
      </c>
      <c r="AS10" s="46" t="str">
        <v>2029-Q2</v>
      </c>
      <c r="AT10" s="46" t="str">
        <v>2029-Q2</v>
      </c>
      <c r="AU10" s="46" t="str">
        <v>2029-Q3</v>
      </c>
      <c r="AV10" s="46" t="str">
        <v>2029-Q3</v>
      </c>
      <c r="AW10" s="46" t="str">
        <v>2029-Q3</v>
      </c>
      <c r="AX10" s="46" t="str">
        <v>2029-Q4</v>
      </c>
      <c r="AY10" s="46" t="str">
        <v>2029-Q4</v>
      </c>
      <c r="AZ10" s="46" t="str">
        <v>2029-Q4</v>
      </c>
      <c r="BA10" s="46" t="str">
        <v>2030-Q1</v>
      </c>
      <c r="BB10" s="46" t="str">
        <v>2030-Q1</v>
      </c>
      <c r="BC10" s="46" t="str">
        <v>2030-Q1</v>
      </c>
      <c r="BD10" s="46" t="str">
        <v>2030-Q2</v>
      </c>
      <c r="BE10" s="46" t="str">
        <v>2030-Q2</v>
      </c>
      <c r="BF10" s="46" t="str">
        <v>2030-Q2</v>
      </c>
      <c r="BG10" s="46" t="str">
        <v>2030-Q3</v>
      </c>
      <c r="BH10" s="46" t="str">
        <v>2030-Q3</v>
      </c>
      <c r="BI10" s="46" t="str">
        <v>2030-Q3</v>
      </c>
      <c r="BJ10" s="46" t="str">
        <v>2030-Q4</v>
      </c>
      <c r="BK10" s="46" t="str">
        <v>2030-Q4</v>
      </c>
      <c r="BL10" s="46" t="str">
        <v>2030-Q4</v>
      </c>
      <c r="BM10" s="46" t="str">
        <f>YEAR(BM5) &amp; "-Q" &amp;  BM9</f>
        <v>2031-Q4</v>
      </c>
    </row>
    <row r="11" spans="2:65" s="46" customFormat="1">
      <c r="C11" s="47" t="s">
        <v>241</v>
      </c>
      <c r="D11" s="46">
        <f t="array" ref="D11:BM11">D7:BM7-D7</f>
        <v>0</v>
      </c>
      <c r="E11" s="46">
        <v>1</v>
      </c>
      <c r="F11" s="46">
        <v>1</v>
      </c>
      <c r="G11" s="46">
        <v>1</v>
      </c>
      <c r="H11" s="46">
        <v>1</v>
      </c>
      <c r="I11" s="46">
        <v>1</v>
      </c>
      <c r="J11" s="46">
        <v>1</v>
      </c>
      <c r="K11" s="46">
        <v>1</v>
      </c>
      <c r="L11" s="46">
        <v>1</v>
      </c>
      <c r="M11" s="46">
        <v>1</v>
      </c>
      <c r="N11" s="46">
        <v>1</v>
      </c>
      <c r="O11" s="46">
        <v>1</v>
      </c>
      <c r="P11" s="46">
        <v>1</v>
      </c>
      <c r="Q11" s="46">
        <v>2</v>
      </c>
      <c r="R11" s="46">
        <v>2</v>
      </c>
      <c r="S11" s="46">
        <v>2</v>
      </c>
      <c r="T11" s="46">
        <v>2</v>
      </c>
      <c r="U11" s="46">
        <v>2</v>
      </c>
      <c r="V11" s="46">
        <v>2</v>
      </c>
      <c r="W11" s="46">
        <v>2</v>
      </c>
      <c r="X11" s="46">
        <v>2</v>
      </c>
      <c r="Y11" s="46">
        <v>2</v>
      </c>
      <c r="Z11" s="46">
        <v>2</v>
      </c>
      <c r="AA11" s="46">
        <v>2</v>
      </c>
      <c r="AB11" s="46">
        <v>2</v>
      </c>
      <c r="AC11" s="46">
        <v>3</v>
      </c>
      <c r="AD11" s="46">
        <v>3</v>
      </c>
      <c r="AE11" s="46">
        <v>3</v>
      </c>
      <c r="AF11" s="46">
        <v>3</v>
      </c>
      <c r="AG11" s="46">
        <v>3</v>
      </c>
      <c r="AH11" s="46">
        <v>3</v>
      </c>
      <c r="AI11" s="46">
        <v>3</v>
      </c>
      <c r="AJ11" s="46">
        <v>3</v>
      </c>
      <c r="AK11" s="46">
        <v>3</v>
      </c>
      <c r="AL11" s="46">
        <v>3</v>
      </c>
      <c r="AM11" s="46">
        <v>3</v>
      </c>
      <c r="AN11" s="46">
        <v>3</v>
      </c>
      <c r="AO11" s="46">
        <v>4</v>
      </c>
      <c r="AP11" s="46">
        <v>4</v>
      </c>
      <c r="AQ11" s="46">
        <v>4</v>
      </c>
      <c r="AR11" s="46">
        <v>4</v>
      </c>
      <c r="AS11" s="46">
        <v>4</v>
      </c>
      <c r="AT11" s="46">
        <v>4</v>
      </c>
      <c r="AU11" s="46">
        <v>4</v>
      </c>
      <c r="AV11" s="46">
        <v>4</v>
      </c>
      <c r="AW11" s="46">
        <v>4</v>
      </c>
      <c r="AX11" s="46">
        <v>4</v>
      </c>
      <c r="AY11" s="46">
        <v>4</v>
      </c>
      <c r="AZ11" s="46">
        <v>4</v>
      </c>
      <c r="BA11" s="46">
        <v>5</v>
      </c>
      <c r="BB11" s="46">
        <v>5</v>
      </c>
      <c r="BC11" s="46">
        <v>5</v>
      </c>
      <c r="BD11" s="46">
        <v>5</v>
      </c>
      <c r="BE11" s="46">
        <v>5</v>
      </c>
      <c r="BF11" s="46">
        <v>5</v>
      </c>
      <c r="BG11" s="46">
        <v>5</v>
      </c>
      <c r="BH11" s="46">
        <v>5</v>
      </c>
      <c r="BI11" s="46">
        <v>5</v>
      </c>
      <c r="BJ11" s="46">
        <v>5</v>
      </c>
      <c r="BK11" s="46">
        <v>5</v>
      </c>
      <c r="BL11" s="46">
        <v>5</v>
      </c>
      <c r="BM11" s="46">
        <v>6</v>
      </c>
    </row>
    <row r="12" spans="2:65" ht="12" customHeight="1" thickBot="1"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</row>
    <row r="13" spans="2:65" ht="11.4" customHeight="1" thickTop="1"/>
    <row r="14" spans="2:65" ht="12" customHeight="1" thickBot="1">
      <c r="B14" s="44" t="s">
        <v>242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</row>
    <row r="15" spans="2:65" ht="12" customHeight="1" thickTop="1"/>
    <row r="16" spans="2:65">
      <c r="C16" t="s">
        <v>243</v>
      </c>
      <c r="D16">
        <f t="array" ref="D16:BM16">(1+Assumptions!D10)^(D7:BM7-'Financial Model'!E7)</f>
        <v>0.970873786407767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1.03</v>
      </c>
      <c r="R16">
        <v>1.03</v>
      </c>
      <c r="S16">
        <v>1.03</v>
      </c>
      <c r="T16">
        <v>1.03</v>
      </c>
      <c r="U16">
        <v>1.03</v>
      </c>
      <c r="V16">
        <v>1.03</v>
      </c>
      <c r="W16">
        <v>1.03</v>
      </c>
      <c r="X16">
        <v>1.03</v>
      </c>
      <c r="Y16">
        <v>1.03</v>
      </c>
      <c r="Z16">
        <v>1.03</v>
      </c>
      <c r="AA16">
        <v>1.03</v>
      </c>
      <c r="AB16">
        <v>1.03</v>
      </c>
      <c r="AC16">
        <v>1.0609</v>
      </c>
      <c r="AD16">
        <v>1.0609</v>
      </c>
      <c r="AE16">
        <v>1.0609</v>
      </c>
      <c r="AF16">
        <v>1.0609</v>
      </c>
      <c r="AG16">
        <v>1.0609</v>
      </c>
      <c r="AH16">
        <v>1.0609</v>
      </c>
      <c r="AI16">
        <v>1.0609</v>
      </c>
      <c r="AJ16">
        <v>1.0609</v>
      </c>
      <c r="AK16">
        <v>1.0609</v>
      </c>
      <c r="AL16">
        <v>1.0609</v>
      </c>
      <c r="AM16">
        <v>1.0609</v>
      </c>
      <c r="AN16">
        <v>1.0609</v>
      </c>
      <c r="AO16">
        <v>1.092727</v>
      </c>
      <c r="AP16">
        <v>1.092727</v>
      </c>
      <c r="AQ16">
        <v>1.092727</v>
      </c>
      <c r="AR16">
        <v>1.092727</v>
      </c>
      <c r="AS16">
        <v>1.092727</v>
      </c>
      <c r="AT16">
        <v>1.092727</v>
      </c>
      <c r="AU16">
        <v>1.092727</v>
      </c>
      <c r="AV16">
        <v>1.092727</v>
      </c>
      <c r="AW16">
        <v>1.092727</v>
      </c>
      <c r="AX16">
        <v>1.092727</v>
      </c>
      <c r="AY16">
        <v>1.092727</v>
      </c>
      <c r="AZ16">
        <v>1.092727</v>
      </c>
      <c r="BA16">
        <v>1.1255088099999999</v>
      </c>
      <c r="BB16">
        <v>1.1255088099999999</v>
      </c>
      <c r="BC16">
        <v>1.1255088099999999</v>
      </c>
      <c r="BD16">
        <v>1.1255088099999999</v>
      </c>
      <c r="BE16">
        <v>1.1255088099999999</v>
      </c>
      <c r="BF16">
        <v>1.1255088099999999</v>
      </c>
      <c r="BG16">
        <v>1.1255088099999999</v>
      </c>
      <c r="BH16">
        <v>1.1255088099999999</v>
      </c>
      <c r="BI16">
        <v>1.1255088099999999</v>
      </c>
      <c r="BJ16">
        <v>1.1255088099999999</v>
      </c>
      <c r="BK16">
        <v>1.1255088099999999</v>
      </c>
      <c r="BL16">
        <v>1.1255088099999999</v>
      </c>
      <c r="BM16">
        <v>1.1592740742999998</v>
      </c>
    </row>
    <row r="18" spans="2:16384" ht="12" customHeight="1" thickBot="1">
      <c r="B18" s="44" t="s">
        <v>244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</row>
    <row r="19" spans="2:16384" ht="12" customHeight="1" thickTop="1">
      <c r="C19" t="str">
        <f t="array" ref="C19:C24">seg</f>
        <v>Retail</v>
      </c>
      <c r="E19" s="63">
        <f t="array" ref="E19:BM19">VLOOKUP($E$8:$BM$8,Assumptions!$B$47:$F$58,_xlfn.XMATCH('Financial Model'!$C19,Assumptions!$B$46:$F$46))</f>
        <v>0.75</v>
      </c>
      <c r="F19">
        <v>0.8</v>
      </c>
      <c r="G19">
        <v>0.85</v>
      </c>
      <c r="H19">
        <v>0.95</v>
      </c>
      <c r="I19">
        <v>1.1000000000000001</v>
      </c>
      <c r="J19">
        <v>1.2</v>
      </c>
      <c r="K19">
        <v>0.9</v>
      </c>
      <c r="L19">
        <v>0.85</v>
      </c>
      <c r="M19">
        <v>1</v>
      </c>
      <c r="N19">
        <v>1.05</v>
      </c>
      <c r="O19">
        <v>1.2</v>
      </c>
      <c r="P19">
        <v>1.35</v>
      </c>
      <c r="Q19">
        <v>0.75</v>
      </c>
      <c r="R19">
        <v>0.8</v>
      </c>
      <c r="S19">
        <v>0.85</v>
      </c>
      <c r="T19">
        <v>0.95</v>
      </c>
      <c r="U19">
        <v>1.1000000000000001</v>
      </c>
      <c r="V19">
        <v>1.2</v>
      </c>
      <c r="W19">
        <v>0.9</v>
      </c>
      <c r="X19">
        <v>0.85</v>
      </c>
      <c r="Y19">
        <v>1</v>
      </c>
      <c r="Z19">
        <v>1.05</v>
      </c>
      <c r="AA19">
        <v>1.2</v>
      </c>
      <c r="AB19">
        <v>1.35</v>
      </c>
      <c r="AC19">
        <v>0.75</v>
      </c>
      <c r="AD19">
        <v>0.8</v>
      </c>
      <c r="AE19">
        <v>0.85</v>
      </c>
      <c r="AF19">
        <v>0.95</v>
      </c>
      <c r="AG19">
        <v>1.1000000000000001</v>
      </c>
      <c r="AH19">
        <v>1.2</v>
      </c>
      <c r="AI19">
        <v>0.9</v>
      </c>
      <c r="AJ19">
        <v>0.85</v>
      </c>
      <c r="AK19">
        <v>1</v>
      </c>
      <c r="AL19">
        <v>1.05</v>
      </c>
      <c r="AM19">
        <v>1.2</v>
      </c>
      <c r="AN19">
        <v>1.35</v>
      </c>
      <c r="AO19">
        <v>0.75</v>
      </c>
      <c r="AP19">
        <v>0.8</v>
      </c>
      <c r="AQ19">
        <v>0.85</v>
      </c>
      <c r="AR19">
        <v>0.95</v>
      </c>
      <c r="AS19">
        <v>1.1000000000000001</v>
      </c>
      <c r="AT19">
        <v>1.2</v>
      </c>
      <c r="AU19">
        <v>0.9</v>
      </c>
      <c r="AV19">
        <v>0.85</v>
      </c>
      <c r="AW19">
        <v>1</v>
      </c>
      <c r="AX19">
        <v>1.05</v>
      </c>
      <c r="AY19">
        <v>1.2</v>
      </c>
      <c r="AZ19">
        <v>1.35</v>
      </c>
      <c r="BA19">
        <v>0.75</v>
      </c>
      <c r="BB19">
        <v>0.8</v>
      </c>
      <c r="BC19">
        <v>0.85</v>
      </c>
      <c r="BD19">
        <v>0.95</v>
      </c>
      <c r="BE19">
        <v>1.1000000000000001</v>
      </c>
      <c r="BF19">
        <v>1.2</v>
      </c>
      <c r="BG19">
        <v>0.9</v>
      </c>
      <c r="BH19">
        <v>0.85</v>
      </c>
      <c r="BI19">
        <v>1</v>
      </c>
      <c r="BJ19">
        <v>1.05</v>
      </c>
      <c r="BK19">
        <v>1.2</v>
      </c>
      <c r="BL19">
        <v>1.35</v>
      </c>
      <c r="BM19">
        <v>0.75</v>
      </c>
    </row>
    <row r="20" spans="2:16384">
      <c r="C20" t="str">
        <v>E-commerce</v>
      </c>
      <c r="E20" s="63">
        <f t="array" ref="E20:BM20">VLOOKUP($E$8:$BM$8,Assumptions!$B$47:$F$58,_xlfn.XMATCH('Financial Model'!$C20,Assumptions!$B$46:$F$46))</f>
        <v>0.75</v>
      </c>
      <c r="F20">
        <v>0.65</v>
      </c>
      <c r="G20">
        <v>0.7</v>
      </c>
      <c r="H20">
        <v>0.75</v>
      </c>
      <c r="I20">
        <v>0.70000000000000007</v>
      </c>
      <c r="J20">
        <v>0.75</v>
      </c>
      <c r="K20">
        <v>0.70000000000000007</v>
      </c>
      <c r="L20">
        <v>0.9</v>
      </c>
      <c r="M20">
        <v>1.05</v>
      </c>
      <c r="N20">
        <v>1.1000000000000001</v>
      </c>
      <c r="O20">
        <v>1.75</v>
      </c>
      <c r="P20">
        <v>2.2000000000000002</v>
      </c>
      <c r="Q20">
        <v>0.75</v>
      </c>
      <c r="R20">
        <v>0.65</v>
      </c>
      <c r="S20">
        <v>0.7</v>
      </c>
      <c r="T20">
        <v>0.75</v>
      </c>
      <c r="U20">
        <v>0.70000000000000007</v>
      </c>
      <c r="V20">
        <v>0.75</v>
      </c>
      <c r="W20">
        <v>0.70000000000000007</v>
      </c>
      <c r="X20">
        <v>0.9</v>
      </c>
      <c r="Y20">
        <v>1.05</v>
      </c>
      <c r="Z20">
        <v>1.1000000000000001</v>
      </c>
      <c r="AA20">
        <v>1.75</v>
      </c>
      <c r="AB20">
        <v>2.2000000000000002</v>
      </c>
      <c r="AC20">
        <v>0.75</v>
      </c>
      <c r="AD20">
        <v>0.65</v>
      </c>
      <c r="AE20">
        <v>0.7</v>
      </c>
      <c r="AF20">
        <v>0.75</v>
      </c>
      <c r="AG20">
        <v>0.70000000000000007</v>
      </c>
      <c r="AH20">
        <v>0.75</v>
      </c>
      <c r="AI20">
        <v>0.70000000000000007</v>
      </c>
      <c r="AJ20">
        <v>0.9</v>
      </c>
      <c r="AK20">
        <v>1.05</v>
      </c>
      <c r="AL20">
        <v>1.1000000000000001</v>
      </c>
      <c r="AM20">
        <v>1.75</v>
      </c>
      <c r="AN20">
        <v>2.2000000000000002</v>
      </c>
      <c r="AO20">
        <v>0.75</v>
      </c>
      <c r="AP20">
        <v>0.65</v>
      </c>
      <c r="AQ20">
        <v>0.7</v>
      </c>
      <c r="AR20">
        <v>0.75</v>
      </c>
      <c r="AS20">
        <v>0.70000000000000007</v>
      </c>
      <c r="AT20">
        <v>0.75</v>
      </c>
      <c r="AU20">
        <v>0.70000000000000007</v>
      </c>
      <c r="AV20">
        <v>0.9</v>
      </c>
      <c r="AW20">
        <v>1.05</v>
      </c>
      <c r="AX20">
        <v>1.1000000000000001</v>
      </c>
      <c r="AY20">
        <v>1.75</v>
      </c>
      <c r="AZ20">
        <v>2.2000000000000002</v>
      </c>
      <c r="BA20">
        <v>0.75</v>
      </c>
      <c r="BB20">
        <v>0.65</v>
      </c>
      <c r="BC20">
        <v>0.7</v>
      </c>
      <c r="BD20">
        <v>0.75</v>
      </c>
      <c r="BE20">
        <v>0.70000000000000007</v>
      </c>
      <c r="BF20">
        <v>0.75</v>
      </c>
      <c r="BG20">
        <v>0.70000000000000007</v>
      </c>
      <c r="BH20">
        <v>0.9</v>
      </c>
      <c r="BI20">
        <v>1.05</v>
      </c>
      <c r="BJ20">
        <v>1.1000000000000001</v>
      </c>
      <c r="BK20">
        <v>1.75</v>
      </c>
      <c r="BL20">
        <v>2.2000000000000002</v>
      </c>
      <c r="BM20">
        <v>0.75</v>
      </c>
    </row>
    <row r="21" spans="2:16384">
      <c r="C21" t="str">
        <v>Industrial</v>
      </c>
      <c r="E21" s="63">
        <f t="array" ref="E21:BM21">VLOOKUP($E$8:$BM$8,Assumptions!$B$47:$F$58,_xlfn.XMATCH('Financial Model'!$C21,Assumptions!$B$46:$F$46))</f>
        <v>0.95</v>
      </c>
      <c r="F21">
        <v>0.95</v>
      </c>
      <c r="G21">
        <v>1</v>
      </c>
      <c r="H21">
        <v>1</v>
      </c>
      <c r="I21">
        <v>1</v>
      </c>
      <c r="J21">
        <v>1</v>
      </c>
      <c r="K21">
        <v>0.95</v>
      </c>
      <c r="L21">
        <v>0.9</v>
      </c>
      <c r="M21">
        <v>1.1000000000000001</v>
      </c>
      <c r="N21">
        <v>1.1000000000000001</v>
      </c>
      <c r="O21">
        <v>1.05</v>
      </c>
      <c r="P21">
        <v>1</v>
      </c>
      <c r="Q21">
        <v>0.95</v>
      </c>
      <c r="R21">
        <v>0.95</v>
      </c>
      <c r="S21">
        <v>1</v>
      </c>
      <c r="T21">
        <v>1</v>
      </c>
      <c r="U21">
        <v>1</v>
      </c>
      <c r="V21">
        <v>1</v>
      </c>
      <c r="W21">
        <v>0.95</v>
      </c>
      <c r="X21">
        <v>0.9</v>
      </c>
      <c r="Y21">
        <v>1.1000000000000001</v>
      </c>
      <c r="Z21">
        <v>1.1000000000000001</v>
      </c>
      <c r="AA21">
        <v>1.05</v>
      </c>
      <c r="AB21">
        <v>1</v>
      </c>
      <c r="AC21">
        <v>0.95</v>
      </c>
      <c r="AD21">
        <v>0.95</v>
      </c>
      <c r="AE21">
        <v>1</v>
      </c>
      <c r="AF21">
        <v>1</v>
      </c>
      <c r="AG21">
        <v>1</v>
      </c>
      <c r="AH21">
        <v>1</v>
      </c>
      <c r="AI21">
        <v>0.95</v>
      </c>
      <c r="AJ21">
        <v>0.9</v>
      </c>
      <c r="AK21">
        <v>1.1000000000000001</v>
      </c>
      <c r="AL21">
        <v>1.1000000000000001</v>
      </c>
      <c r="AM21">
        <v>1.05</v>
      </c>
      <c r="AN21">
        <v>1</v>
      </c>
      <c r="AO21">
        <v>0.95</v>
      </c>
      <c r="AP21">
        <v>0.95</v>
      </c>
      <c r="AQ21">
        <v>1</v>
      </c>
      <c r="AR21">
        <v>1</v>
      </c>
      <c r="AS21">
        <v>1</v>
      </c>
      <c r="AT21">
        <v>1</v>
      </c>
      <c r="AU21">
        <v>0.95</v>
      </c>
      <c r="AV21">
        <v>0.9</v>
      </c>
      <c r="AW21">
        <v>1.1000000000000001</v>
      </c>
      <c r="AX21">
        <v>1.1000000000000001</v>
      </c>
      <c r="AY21">
        <v>1.05</v>
      </c>
      <c r="AZ21">
        <v>1</v>
      </c>
      <c r="BA21">
        <v>0.95</v>
      </c>
      <c r="BB21">
        <v>0.95</v>
      </c>
      <c r="BC21">
        <v>1</v>
      </c>
      <c r="BD21">
        <v>1</v>
      </c>
      <c r="BE21">
        <v>1</v>
      </c>
      <c r="BF21">
        <v>1</v>
      </c>
      <c r="BG21">
        <v>0.95</v>
      </c>
      <c r="BH21">
        <v>0.9</v>
      </c>
      <c r="BI21">
        <v>1.1000000000000001</v>
      </c>
      <c r="BJ21">
        <v>1.1000000000000001</v>
      </c>
      <c r="BK21">
        <v>1.05</v>
      </c>
      <c r="BL21">
        <v>1</v>
      </c>
      <c r="BM21">
        <v>0.95</v>
      </c>
    </row>
    <row r="22" spans="2:16384">
      <c r="C22" t="str">
        <v>Retail</v>
      </c>
      <c r="E22" s="63">
        <f t="array" ref="E22:BM22">VLOOKUP($E$8:$BM$8,Assumptions!$B$47:$F$58,_xlfn.XMATCH('Financial Model'!$C22,Assumptions!$B$46:$F$46))</f>
        <v>0.75</v>
      </c>
      <c r="F22">
        <v>0.8</v>
      </c>
      <c r="G22">
        <v>0.85</v>
      </c>
      <c r="H22">
        <v>0.95</v>
      </c>
      <c r="I22">
        <v>1.1000000000000001</v>
      </c>
      <c r="J22">
        <v>1.2</v>
      </c>
      <c r="K22">
        <v>0.9</v>
      </c>
      <c r="L22">
        <v>0.85</v>
      </c>
      <c r="M22">
        <v>1</v>
      </c>
      <c r="N22">
        <v>1.05</v>
      </c>
      <c r="O22">
        <v>1.2</v>
      </c>
      <c r="P22">
        <v>1.35</v>
      </c>
      <c r="Q22">
        <v>0.75</v>
      </c>
      <c r="R22">
        <v>0.8</v>
      </c>
      <c r="S22">
        <v>0.85</v>
      </c>
      <c r="T22">
        <v>0.95</v>
      </c>
      <c r="U22">
        <v>1.1000000000000001</v>
      </c>
      <c r="V22">
        <v>1.2</v>
      </c>
      <c r="W22">
        <v>0.9</v>
      </c>
      <c r="X22">
        <v>0.85</v>
      </c>
      <c r="Y22">
        <v>1</v>
      </c>
      <c r="Z22">
        <v>1.05</v>
      </c>
      <c r="AA22">
        <v>1.2</v>
      </c>
      <c r="AB22">
        <v>1.35</v>
      </c>
      <c r="AC22">
        <v>0.75</v>
      </c>
      <c r="AD22">
        <v>0.8</v>
      </c>
      <c r="AE22">
        <v>0.85</v>
      </c>
      <c r="AF22">
        <v>0.95</v>
      </c>
      <c r="AG22">
        <v>1.1000000000000001</v>
      </c>
      <c r="AH22">
        <v>1.2</v>
      </c>
      <c r="AI22">
        <v>0.9</v>
      </c>
      <c r="AJ22">
        <v>0.85</v>
      </c>
      <c r="AK22">
        <v>1</v>
      </c>
      <c r="AL22">
        <v>1.05</v>
      </c>
      <c r="AM22">
        <v>1.2</v>
      </c>
      <c r="AN22">
        <v>1.35</v>
      </c>
      <c r="AO22">
        <v>0.75</v>
      </c>
      <c r="AP22">
        <v>0.8</v>
      </c>
      <c r="AQ22">
        <v>0.85</v>
      </c>
      <c r="AR22">
        <v>0.95</v>
      </c>
      <c r="AS22">
        <v>1.1000000000000001</v>
      </c>
      <c r="AT22">
        <v>1.2</v>
      </c>
      <c r="AU22">
        <v>0.9</v>
      </c>
      <c r="AV22">
        <v>0.85</v>
      </c>
      <c r="AW22">
        <v>1</v>
      </c>
      <c r="AX22">
        <v>1.05</v>
      </c>
      <c r="AY22">
        <v>1.2</v>
      </c>
      <c r="AZ22">
        <v>1.35</v>
      </c>
      <c r="BA22">
        <v>0.75</v>
      </c>
      <c r="BB22">
        <v>0.8</v>
      </c>
      <c r="BC22">
        <v>0.85</v>
      </c>
      <c r="BD22">
        <v>0.95</v>
      </c>
      <c r="BE22">
        <v>1.1000000000000001</v>
      </c>
      <c r="BF22">
        <v>1.2</v>
      </c>
      <c r="BG22">
        <v>0.9</v>
      </c>
      <c r="BH22">
        <v>0.85</v>
      </c>
      <c r="BI22">
        <v>1</v>
      </c>
      <c r="BJ22">
        <v>1.05</v>
      </c>
      <c r="BK22">
        <v>1.2</v>
      </c>
      <c r="BL22">
        <v>1.35</v>
      </c>
      <c r="BM22">
        <v>0.75</v>
      </c>
    </row>
    <row r="23" spans="2:16384">
      <c r="C23" t="str">
        <v>Retail</v>
      </c>
      <c r="E23" s="63">
        <f t="array" ref="E23:BM23">VLOOKUP($E$8:$BM$8,Assumptions!$B$47:$F$58,_xlfn.XMATCH('Financial Model'!$C23,Assumptions!$B$46:$F$46))</f>
        <v>0.75</v>
      </c>
      <c r="F23">
        <v>0.8</v>
      </c>
      <c r="G23">
        <v>0.85</v>
      </c>
      <c r="H23">
        <v>0.95</v>
      </c>
      <c r="I23">
        <v>1.1000000000000001</v>
      </c>
      <c r="J23">
        <v>1.2</v>
      </c>
      <c r="K23">
        <v>0.9</v>
      </c>
      <c r="L23">
        <v>0.85</v>
      </c>
      <c r="M23">
        <v>1</v>
      </c>
      <c r="N23">
        <v>1.05</v>
      </c>
      <c r="O23">
        <v>1.2</v>
      </c>
      <c r="P23">
        <v>1.35</v>
      </c>
      <c r="Q23">
        <v>0.75</v>
      </c>
      <c r="R23">
        <v>0.8</v>
      </c>
      <c r="S23">
        <v>0.85</v>
      </c>
      <c r="T23">
        <v>0.95</v>
      </c>
      <c r="U23">
        <v>1.1000000000000001</v>
      </c>
      <c r="V23">
        <v>1.2</v>
      </c>
      <c r="W23">
        <v>0.9</v>
      </c>
      <c r="X23">
        <v>0.85</v>
      </c>
      <c r="Y23">
        <v>1</v>
      </c>
      <c r="Z23">
        <v>1.05</v>
      </c>
      <c r="AA23">
        <v>1.2</v>
      </c>
      <c r="AB23">
        <v>1.35</v>
      </c>
      <c r="AC23">
        <v>0.75</v>
      </c>
      <c r="AD23">
        <v>0.8</v>
      </c>
      <c r="AE23">
        <v>0.85</v>
      </c>
      <c r="AF23">
        <v>0.95</v>
      </c>
      <c r="AG23">
        <v>1.1000000000000001</v>
      </c>
      <c r="AH23">
        <v>1.2</v>
      </c>
      <c r="AI23">
        <v>0.9</v>
      </c>
      <c r="AJ23">
        <v>0.85</v>
      </c>
      <c r="AK23">
        <v>1</v>
      </c>
      <c r="AL23">
        <v>1.05</v>
      </c>
      <c r="AM23">
        <v>1.2</v>
      </c>
      <c r="AN23">
        <v>1.35</v>
      </c>
      <c r="AO23">
        <v>0.75</v>
      </c>
      <c r="AP23">
        <v>0.8</v>
      </c>
      <c r="AQ23">
        <v>0.85</v>
      </c>
      <c r="AR23">
        <v>0.95</v>
      </c>
      <c r="AS23">
        <v>1.1000000000000001</v>
      </c>
      <c r="AT23">
        <v>1.2</v>
      </c>
      <c r="AU23">
        <v>0.9</v>
      </c>
      <c r="AV23">
        <v>0.85</v>
      </c>
      <c r="AW23">
        <v>1</v>
      </c>
      <c r="AX23">
        <v>1.05</v>
      </c>
      <c r="AY23">
        <v>1.2</v>
      </c>
      <c r="AZ23">
        <v>1.35</v>
      </c>
      <c r="BA23">
        <v>0.75</v>
      </c>
      <c r="BB23">
        <v>0.8</v>
      </c>
      <c r="BC23">
        <v>0.85</v>
      </c>
      <c r="BD23">
        <v>0.95</v>
      </c>
      <c r="BE23">
        <v>1.1000000000000001</v>
      </c>
      <c r="BF23">
        <v>1.2</v>
      </c>
      <c r="BG23">
        <v>0.9</v>
      </c>
      <c r="BH23">
        <v>0.85</v>
      </c>
      <c r="BI23">
        <v>1</v>
      </c>
      <c r="BJ23">
        <v>1.05</v>
      </c>
      <c r="BK23">
        <v>1.2</v>
      </c>
      <c r="BL23">
        <v>1.35</v>
      </c>
      <c r="BM23">
        <v>0.75</v>
      </c>
    </row>
    <row r="24" spans="2:16384">
      <c r="C24" t="str">
        <v>Retail</v>
      </c>
      <c r="E24" s="63">
        <f t="array" ref="E24:BM24">VLOOKUP($E$8:$BM$8,Assumptions!$B$47:$F$58,_xlfn.XMATCH('Financial Model'!$C24,Assumptions!$B$46:$F$46))</f>
        <v>0.75</v>
      </c>
      <c r="F24">
        <v>0.8</v>
      </c>
      <c r="G24">
        <v>0.85</v>
      </c>
      <c r="H24">
        <v>0.95</v>
      </c>
      <c r="I24">
        <v>1.1000000000000001</v>
      </c>
      <c r="J24">
        <v>1.2</v>
      </c>
      <c r="K24">
        <v>0.9</v>
      </c>
      <c r="L24">
        <v>0.85</v>
      </c>
      <c r="M24">
        <v>1</v>
      </c>
      <c r="N24">
        <v>1.05</v>
      </c>
      <c r="O24">
        <v>1.2</v>
      </c>
      <c r="P24">
        <v>1.35</v>
      </c>
      <c r="Q24">
        <v>0.75</v>
      </c>
      <c r="R24">
        <v>0.8</v>
      </c>
      <c r="S24">
        <v>0.85</v>
      </c>
      <c r="T24">
        <v>0.95</v>
      </c>
      <c r="U24">
        <v>1.1000000000000001</v>
      </c>
      <c r="V24">
        <v>1.2</v>
      </c>
      <c r="W24">
        <v>0.9</v>
      </c>
      <c r="X24">
        <v>0.85</v>
      </c>
      <c r="Y24">
        <v>1</v>
      </c>
      <c r="Z24">
        <v>1.05</v>
      </c>
      <c r="AA24">
        <v>1.2</v>
      </c>
      <c r="AB24">
        <v>1.35</v>
      </c>
      <c r="AC24">
        <v>0.75</v>
      </c>
      <c r="AD24">
        <v>0.8</v>
      </c>
      <c r="AE24">
        <v>0.85</v>
      </c>
      <c r="AF24">
        <v>0.95</v>
      </c>
      <c r="AG24">
        <v>1.1000000000000001</v>
      </c>
      <c r="AH24">
        <v>1.2</v>
      </c>
      <c r="AI24">
        <v>0.9</v>
      </c>
      <c r="AJ24">
        <v>0.85</v>
      </c>
      <c r="AK24">
        <v>1</v>
      </c>
      <c r="AL24">
        <v>1.05</v>
      </c>
      <c r="AM24">
        <v>1.2</v>
      </c>
      <c r="AN24">
        <v>1.35</v>
      </c>
      <c r="AO24">
        <v>0.75</v>
      </c>
      <c r="AP24">
        <v>0.8</v>
      </c>
      <c r="AQ24">
        <v>0.85</v>
      </c>
      <c r="AR24">
        <v>0.95</v>
      </c>
      <c r="AS24">
        <v>1.1000000000000001</v>
      </c>
      <c r="AT24">
        <v>1.2</v>
      </c>
      <c r="AU24">
        <v>0.9</v>
      </c>
      <c r="AV24">
        <v>0.85</v>
      </c>
      <c r="AW24">
        <v>1</v>
      </c>
      <c r="AX24">
        <v>1.05</v>
      </c>
      <c r="AY24">
        <v>1.2</v>
      </c>
      <c r="AZ24">
        <v>1.35</v>
      </c>
      <c r="BA24">
        <v>0.75</v>
      </c>
      <c r="BB24">
        <v>0.8</v>
      </c>
      <c r="BC24">
        <v>0.85</v>
      </c>
      <c r="BD24">
        <v>0.95</v>
      </c>
      <c r="BE24">
        <v>1.1000000000000001</v>
      </c>
      <c r="BF24">
        <v>1.2</v>
      </c>
      <c r="BG24">
        <v>0.9</v>
      </c>
      <c r="BH24">
        <v>0.85</v>
      </c>
      <c r="BI24">
        <v>1</v>
      </c>
      <c r="BJ24">
        <v>1.05</v>
      </c>
      <c r="BK24">
        <v>1.2</v>
      </c>
      <c r="BL24">
        <v>1.35</v>
      </c>
      <c r="BM24">
        <v>0.75</v>
      </c>
    </row>
    <row r="26" spans="2:16384" ht="12" customHeight="1" thickBot="1">
      <c r="B26" s="44" t="s">
        <v>245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</row>
    <row r="27" spans="2:16384" ht="12" customHeight="1" thickTop="1"/>
    <row r="28" spans="2:16384">
      <c r="C28" t="str">
        <f t="array" ref="C28:C33">cust</f>
        <v>Michael’s Market Goods</v>
      </c>
      <c r="D28" s="43">
        <f>Assumptions!E25</f>
        <v>375000</v>
      </c>
      <c r="E28" s="64">
        <f t="array" ref="E28">(1+(_xlfn.XLOOKUP(E$11,Assumptions!$B$35:$H$35,_xlfn.XLOOKUP($C28,Assumptions!$B$36:$B$41,Assumptions!$B$36:$H$41),,-1)))*$D28</f>
        <v>401250</v>
      </c>
      <c r="F28" s="64">
        <f t="array" ref="F28">(1+(_xlfn.XLOOKUP(F$11,Assumptions!$B$35:$H$35,_xlfn.XLOOKUP($C28,Assumptions!$B$36:$B$41,Assumptions!$B$36:$H$41),,-1)))*$D28</f>
        <v>401250</v>
      </c>
      <c r="G28" s="64">
        <f t="array" ref="G28">(1+(_xlfn.XLOOKUP(G$11,Assumptions!$B$35:$H$35,_xlfn.XLOOKUP($C28,Assumptions!$B$36:$B$41,Assumptions!$B$36:$H$41),,-1)))*$D28</f>
        <v>401250</v>
      </c>
      <c r="H28" s="64">
        <f t="array" ref="H28">(1+(_xlfn.XLOOKUP(H$11,Assumptions!$B$35:$H$35,_xlfn.XLOOKUP($C28,Assumptions!$B$36:$B$41,Assumptions!$B$36:$H$41),,-1)))*$D28</f>
        <v>401250</v>
      </c>
      <c r="I28" s="64">
        <f t="array" ref="I28">(1+(_xlfn.XLOOKUP(I$11,Assumptions!$B$35:$H$35,_xlfn.XLOOKUP($C28,Assumptions!$B$36:$B$41,Assumptions!$B$36:$H$41),,-1)))*$D28</f>
        <v>401250</v>
      </c>
      <c r="J28" s="64">
        <f t="array" ref="J28">(1+(_xlfn.XLOOKUP(J$11,Assumptions!$B$35:$H$35,_xlfn.XLOOKUP($C28,Assumptions!$B$36:$B$41,Assumptions!$B$36:$H$41),,-1)))*$D28</f>
        <v>401250</v>
      </c>
      <c r="K28" s="64">
        <f t="array" ref="K28">(1+(_xlfn.XLOOKUP(K$11,Assumptions!$B$35:$H$35,_xlfn.XLOOKUP($C28,Assumptions!$B$36:$B$41,Assumptions!$B$36:$H$41),,-1)))*$D28</f>
        <v>401250</v>
      </c>
      <c r="L28" s="64">
        <f t="array" ref="L28">(1+(_xlfn.XLOOKUP(L$11,Assumptions!$B$35:$H$35,_xlfn.XLOOKUP($C28,Assumptions!$B$36:$B$41,Assumptions!$B$36:$H$41),,-1)))*$D28</f>
        <v>401250</v>
      </c>
      <c r="M28" s="64">
        <f t="array" ref="M28">(1+(_xlfn.XLOOKUP(M$11,Assumptions!$B$35:$H$35,_xlfn.XLOOKUP($C28,Assumptions!$B$36:$B$41,Assumptions!$B$36:$H$41),,-1)))*$D28</f>
        <v>401250</v>
      </c>
      <c r="N28" s="64">
        <f t="array" ref="N28">(1+(_xlfn.XLOOKUP(N$11,Assumptions!$B$35:$H$35,_xlfn.XLOOKUP($C28,Assumptions!$B$36:$B$41,Assumptions!$B$36:$H$41),,-1)))*$D28</f>
        <v>401250</v>
      </c>
      <c r="O28" s="64">
        <f t="array" ref="O28">(1+(_xlfn.XLOOKUP(O$11,Assumptions!$B$35:$H$35,_xlfn.XLOOKUP($C28,Assumptions!$B$36:$B$41,Assumptions!$B$36:$H$41),,-1)))*$D28</f>
        <v>401250</v>
      </c>
      <c r="P28" s="64">
        <f t="array" ref="P28">(1+(_xlfn.XLOOKUP(P$11,Assumptions!$B$35:$H$35,_xlfn.XLOOKUP($C28,Assumptions!$B$36:$B$41,Assumptions!$B$36:$H$41),,-1)))*$D28</f>
        <v>401250</v>
      </c>
      <c r="Q28" s="64">
        <f t="array" ref="Q28">(1+(_xlfn.XLOOKUP(Q$11,Assumptions!$B$35:$H$35,_xlfn.XLOOKUP($C28,Assumptions!$B$36:$B$41,Assumptions!$B$36:$H$41),,-1)))*$D28</f>
        <v>393750</v>
      </c>
      <c r="R28" s="64">
        <f t="array" ref="R28">(1+(_xlfn.XLOOKUP(R$11,Assumptions!$B$35:$H$35,_xlfn.XLOOKUP($C28,Assumptions!$B$36:$B$41,Assumptions!$B$36:$H$41),,-1)))*$D28</f>
        <v>393750</v>
      </c>
      <c r="S28" s="64">
        <f t="array" ref="S28">(1+(_xlfn.XLOOKUP(S$11,Assumptions!$B$35:$H$35,_xlfn.XLOOKUP($C28,Assumptions!$B$36:$B$41,Assumptions!$B$36:$H$41),,-1)))*$D28</f>
        <v>393750</v>
      </c>
      <c r="T28" s="64">
        <f t="array" ref="T28">(1+(_xlfn.XLOOKUP(T$11,Assumptions!$B$35:$H$35,_xlfn.XLOOKUP($C28,Assumptions!$B$36:$B$41,Assumptions!$B$36:$H$41),,-1)))*$D28</f>
        <v>393750</v>
      </c>
      <c r="U28" s="64">
        <f t="array" ref="U28">(1+(_xlfn.XLOOKUP(U$11,Assumptions!$B$35:$H$35,_xlfn.XLOOKUP($C28,Assumptions!$B$36:$B$41,Assumptions!$B$36:$H$41),,-1)))*$D28</f>
        <v>393750</v>
      </c>
      <c r="V28" s="64">
        <f t="array" ref="V28">(1+(_xlfn.XLOOKUP(V$11,Assumptions!$B$35:$H$35,_xlfn.XLOOKUP($C28,Assumptions!$B$36:$B$41,Assumptions!$B$36:$H$41),,-1)))*$D28</f>
        <v>393750</v>
      </c>
      <c r="W28" s="64">
        <f t="array" ref="W28">(1+(_xlfn.XLOOKUP(W$11,Assumptions!$B$35:$H$35,_xlfn.XLOOKUP($C28,Assumptions!$B$36:$B$41,Assumptions!$B$36:$H$41),,-1)))*$D28</f>
        <v>393750</v>
      </c>
      <c r="X28" s="64">
        <f t="array" ref="X28">(1+(_xlfn.XLOOKUP(X$11,Assumptions!$B$35:$H$35,_xlfn.XLOOKUP($C28,Assumptions!$B$36:$B$41,Assumptions!$B$36:$H$41),,-1)))*$D28</f>
        <v>393750</v>
      </c>
      <c r="Y28" s="64">
        <f t="array" ref="Y28">(1+(_xlfn.XLOOKUP(Y$11,Assumptions!$B$35:$H$35,_xlfn.XLOOKUP($C28,Assumptions!$B$36:$B$41,Assumptions!$B$36:$H$41),,-1)))*$D28</f>
        <v>393750</v>
      </c>
      <c r="Z28" s="64">
        <f t="array" ref="Z28">(1+(_xlfn.XLOOKUP(Z$11,Assumptions!$B$35:$H$35,_xlfn.XLOOKUP($C28,Assumptions!$B$36:$B$41,Assumptions!$B$36:$H$41),,-1)))*$D28</f>
        <v>393750</v>
      </c>
      <c r="AA28" s="64">
        <f t="array" ref="AA28">(1+(_xlfn.XLOOKUP(AA$11,Assumptions!$B$35:$H$35,_xlfn.XLOOKUP($C28,Assumptions!$B$36:$B$41,Assumptions!$B$36:$H$41),,-1)))*$D28</f>
        <v>393750</v>
      </c>
      <c r="AB28" s="64">
        <f t="array" ref="AB28">(1+(_xlfn.XLOOKUP(AB$11,Assumptions!$B$35:$H$35,_xlfn.XLOOKUP($C28,Assumptions!$B$36:$B$41,Assumptions!$B$36:$H$41),,-1)))*$D28</f>
        <v>393750</v>
      </c>
      <c r="AC28" s="64">
        <f t="array" ref="AC28">(1+(_xlfn.XLOOKUP(AC$11,Assumptions!$B$35:$H$35,_xlfn.XLOOKUP($C28,Assumptions!$B$36:$B$41,Assumptions!$B$36:$H$41),,-1)))*$D28</f>
        <v>393750</v>
      </c>
      <c r="AD28" s="64">
        <f t="array" ref="AD28">(1+(_xlfn.XLOOKUP(AD$11,Assumptions!$B$35:$H$35,_xlfn.XLOOKUP($C28,Assumptions!$B$36:$B$41,Assumptions!$B$36:$H$41),,-1)))*$D28</f>
        <v>393750</v>
      </c>
      <c r="AE28" s="64">
        <f t="array" ref="AE28">(1+(_xlfn.XLOOKUP(AE$11,Assumptions!$B$35:$H$35,_xlfn.XLOOKUP($C28,Assumptions!$B$36:$B$41,Assumptions!$B$36:$H$41),,-1)))*$D28</f>
        <v>393750</v>
      </c>
      <c r="AF28" s="64">
        <f t="array" ref="AF28">(1+(_xlfn.XLOOKUP(AF$11,Assumptions!$B$35:$H$35,_xlfn.XLOOKUP($C28,Assumptions!$B$36:$B$41,Assumptions!$B$36:$H$41),,-1)))*$D28</f>
        <v>393750</v>
      </c>
      <c r="AG28" s="64">
        <f t="array" ref="AG28">(1+(_xlfn.XLOOKUP(AG$11,Assumptions!$B$35:$H$35,_xlfn.XLOOKUP($C28,Assumptions!$B$36:$B$41,Assumptions!$B$36:$H$41),,-1)))*$D28</f>
        <v>393750</v>
      </c>
      <c r="AH28" s="64">
        <f t="array" ref="AH28">(1+(_xlfn.XLOOKUP(AH$11,Assumptions!$B$35:$H$35,_xlfn.XLOOKUP($C28,Assumptions!$B$36:$B$41,Assumptions!$B$36:$H$41),,-1)))*$D28</f>
        <v>393750</v>
      </c>
      <c r="AI28" s="64">
        <f t="array" ref="AI28">(1+(_xlfn.XLOOKUP(AI$11,Assumptions!$B$35:$H$35,_xlfn.XLOOKUP($C28,Assumptions!$B$36:$B$41,Assumptions!$B$36:$H$41),,-1)))*$D28</f>
        <v>393750</v>
      </c>
      <c r="AJ28" s="64">
        <f t="array" ref="AJ28">(1+(_xlfn.XLOOKUP(AJ$11,Assumptions!$B$35:$H$35,_xlfn.XLOOKUP($C28,Assumptions!$B$36:$B$41,Assumptions!$B$36:$H$41),,-1)))*$D28</f>
        <v>393750</v>
      </c>
      <c r="AK28" s="64">
        <f t="array" ref="AK28">(1+(_xlfn.XLOOKUP(AK$11,Assumptions!$B$35:$H$35,_xlfn.XLOOKUP($C28,Assumptions!$B$36:$B$41,Assumptions!$B$36:$H$41),,-1)))*$D28</f>
        <v>393750</v>
      </c>
      <c r="AL28" s="64">
        <f t="array" ref="AL28">(1+(_xlfn.XLOOKUP(AL$11,Assumptions!$B$35:$H$35,_xlfn.XLOOKUP($C28,Assumptions!$B$36:$B$41,Assumptions!$B$36:$H$41),,-1)))*$D28</f>
        <v>393750</v>
      </c>
      <c r="AM28" s="64">
        <f t="array" ref="AM28">(1+(_xlfn.XLOOKUP(AM$11,Assumptions!$B$35:$H$35,_xlfn.XLOOKUP($C28,Assumptions!$B$36:$B$41,Assumptions!$B$36:$H$41),,-1)))*$D28</f>
        <v>393750</v>
      </c>
      <c r="AN28" s="64">
        <f t="array" ref="AN28">(1+(_xlfn.XLOOKUP(AN$11,Assumptions!$B$35:$H$35,_xlfn.XLOOKUP($C28,Assumptions!$B$36:$B$41,Assumptions!$B$36:$H$41),,-1)))*$D28</f>
        <v>393750</v>
      </c>
      <c r="AO28" s="64">
        <f t="array" ref="AO28">(1+(_xlfn.XLOOKUP(AO$11,Assumptions!$B$35:$H$35,_xlfn.XLOOKUP($C28,Assumptions!$B$36:$B$41,Assumptions!$B$36:$H$41),,-1)))*$D28</f>
        <v>386250</v>
      </c>
      <c r="AP28" s="64">
        <f t="array" ref="AP28">(1+(_xlfn.XLOOKUP(AP$11,Assumptions!$B$35:$H$35,_xlfn.XLOOKUP($C28,Assumptions!$B$36:$B$41,Assumptions!$B$36:$H$41),,-1)))*$D28</f>
        <v>386250</v>
      </c>
      <c r="AQ28" s="64">
        <f t="array" ref="AQ28">(1+(_xlfn.XLOOKUP(AQ$11,Assumptions!$B$35:$H$35,_xlfn.XLOOKUP($C28,Assumptions!$B$36:$B$41,Assumptions!$B$36:$H$41),,-1)))*$D28</f>
        <v>386250</v>
      </c>
      <c r="AR28" s="64">
        <f t="array" ref="AR28">(1+(_xlfn.XLOOKUP(AR$11,Assumptions!$B$35:$H$35,_xlfn.XLOOKUP($C28,Assumptions!$B$36:$B$41,Assumptions!$B$36:$H$41),,-1)))*$D28</f>
        <v>386250</v>
      </c>
      <c r="AS28" s="64">
        <f t="array" ref="AS28">(1+(_xlfn.XLOOKUP(AS$11,Assumptions!$B$35:$H$35,_xlfn.XLOOKUP($C28,Assumptions!$B$36:$B$41,Assumptions!$B$36:$H$41),,-1)))*$D28</f>
        <v>386250</v>
      </c>
      <c r="AT28" s="64">
        <f t="array" ref="AT28">(1+(_xlfn.XLOOKUP(AT$11,Assumptions!$B$35:$H$35,_xlfn.XLOOKUP($C28,Assumptions!$B$36:$B$41,Assumptions!$B$36:$H$41),,-1)))*$D28</f>
        <v>386250</v>
      </c>
      <c r="AU28" s="64">
        <f t="array" ref="AU28">(1+(_xlfn.XLOOKUP(AU$11,Assumptions!$B$35:$H$35,_xlfn.XLOOKUP($C28,Assumptions!$B$36:$B$41,Assumptions!$B$36:$H$41),,-1)))*$D28</f>
        <v>386250</v>
      </c>
      <c r="AV28" s="64">
        <f t="array" ref="AV28">(1+(_xlfn.XLOOKUP(AV$11,Assumptions!$B$35:$H$35,_xlfn.XLOOKUP($C28,Assumptions!$B$36:$B$41,Assumptions!$B$36:$H$41),,-1)))*$D28</f>
        <v>386250</v>
      </c>
      <c r="AW28" s="64">
        <f t="array" ref="AW28">(1+(_xlfn.XLOOKUP(AW$11,Assumptions!$B$35:$H$35,_xlfn.XLOOKUP($C28,Assumptions!$B$36:$B$41,Assumptions!$B$36:$H$41),,-1)))*$D28</f>
        <v>386250</v>
      </c>
      <c r="AX28" s="64">
        <f t="array" ref="AX28">(1+(_xlfn.XLOOKUP(AX$11,Assumptions!$B$35:$H$35,_xlfn.XLOOKUP($C28,Assumptions!$B$36:$B$41,Assumptions!$B$36:$H$41),,-1)))*$D28</f>
        <v>386250</v>
      </c>
      <c r="AY28" s="64">
        <f t="array" ref="AY28">(1+(_xlfn.XLOOKUP(AY$11,Assumptions!$B$35:$H$35,_xlfn.XLOOKUP($C28,Assumptions!$B$36:$B$41,Assumptions!$B$36:$H$41),,-1)))*$D28</f>
        <v>386250</v>
      </c>
      <c r="AZ28" s="64">
        <f t="array" ref="AZ28">(1+(_xlfn.XLOOKUP(AZ$11,Assumptions!$B$35:$H$35,_xlfn.XLOOKUP($C28,Assumptions!$B$36:$B$41,Assumptions!$B$36:$H$41),,-1)))*$D28</f>
        <v>386250</v>
      </c>
      <c r="BA28" s="64">
        <f t="array" ref="BA28">(1+(_xlfn.XLOOKUP(BA$11,Assumptions!$B$35:$H$35,_xlfn.XLOOKUP($C28,Assumptions!$B$36:$B$41,Assumptions!$B$36:$H$41),,-1)))*$D28</f>
        <v>382500</v>
      </c>
      <c r="BB28" s="64">
        <f t="array" ref="BB28">(1+(_xlfn.XLOOKUP(BB$11,Assumptions!$B$35:$H$35,_xlfn.XLOOKUP($C28,Assumptions!$B$36:$B$41,Assumptions!$B$36:$H$41),,-1)))*$D28</f>
        <v>382500</v>
      </c>
      <c r="BC28" s="64">
        <f t="array" ref="BC28">(1+(_xlfn.XLOOKUP(BC$11,Assumptions!$B$35:$H$35,_xlfn.XLOOKUP($C28,Assumptions!$B$36:$B$41,Assumptions!$B$36:$H$41),,-1)))*$D28</f>
        <v>382500</v>
      </c>
      <c r="BD28" s="64">
        <f t="array" ref="BD28">(1+(_xlfn.XLOOKUP(BD$11,Assumptions!$B$35:$H$35,_xlfn.XLOOKUP($C28,Assumptions!$B$36:$B$41,Assumptions!$B$36:$H$41),,-1)))*$D28</f>
        <v>382500</v>
      </c>
      <c r="BE28" s="64">
        <f t="array" ref="BE28">(1+(_xlfn.XLOOKUP(BE$11,Assumptions!$B$35:$H$35,_xlfn.XLOOKUP($C28,Assumptions!$B$36:$B$41,Assumptions!$B$36:$H$41),,-1)))*$D28</f>
        <v>382500</v>
      </c>
      <c r="BF28" s="64">
        <f t="array" ref="BF28">(1+(_xlfn.XLOOKUP(BF$11,Assumptions!$B$35:$H$35,_xlfn.XLOOKUP($C28,Assumptions!$B$36:$B$41,Assumptions!$B$36:$H$41),,-1)))*$D28</f>
        <v>382500</v>
      </c>
      <c r="BG28" s="64">
        <f t="array" ref="BG28">(1+(_xlfn.XLOOKUP(BG$11,Assumptions!$B$35:$H$35,_xlfn.XLOOKUP($C28,Assumptions!$B$36:$B$41,Assumptions!$B$36:$H$41),,-1)))*$D28</f>
        <v>382500</v>
      </c>
      <c r="BH28" s="64">
        <f t="array" ref="BH28">(1+(_xlfn.XLOOKUP(BH$11,Assumptions!$B$35:$H$35,_xlfn.XLOOKUP($C28,Assumptions!$B$36:$B$41,Assumptions!$B$36:$H$41),,-1)))*$D28</f>
        <v>382500</v>
      </c>
      <c r="BI28" s="64">
        <f t="array" ref="BI28">(1+(_xlfn.XLOOKUP(BI$11,Assumptions!$B$35:$H$35,_xlfn.XLOOKUP($C28,Assumptions!$B$36:$B$41,Assumptions!$B$36:$H$41),,-1)))*$D28</f>
        <v>382500</v>
      </c>
      <c r="BJ28" s="64">
        <f t="array" ref="BJ28">(1+(_xlfn.XLOOKUP(BJ$11,Assumptions!$B$35:$H$35,_xlfn.XLOOKUP($C28,Assumptions!$B$36:$B$41,Assumptions!$B$36:$H$41),,-1)))*$D28</f>
        <v>382500</v>
      </c>
      <c r="BK28" s="64">
        <f t="array" ref="BK28">(1+(_xlfn.XLOOKUP(BK$11,Assumptions!$B$35:$H$35,_xlfn.XLOOKUP($C28,Assumptions!$B$36:$B$41,Assumptions!$B$36:$H$41),,-1)))*$D28</f>
        <v>382500</v>
      </c>
      <c r="BL28" s="64">
        <f t="array" ref="BL28">(1+(_xlfn.XLOOKUP(BL$11,Assumptions!$B$35:$H$35,_xlfn.XLOOKUP($C28,Assumptions!$B$36:$B$41,Assumptions!$B$36:$H$41),,-1)))*$D28</f>
        <v>382500</v>
      </c>
      <c r="BM28" s="64">
        <f t="array" ref="BM28">(1+(_xlfn.XLOOKUP(BM$11,Assumptions!$B$35:$H$35,_xlfn.XLOOKUP($C28,Assumptions!$B$36:$B$41,Assumptions!$B$36:$H$41),,-1)))*$D28</f>
        <v>382500</v>
      </c>
      <c r="BN28">
        <f t="array" ref="BN28">_xlfn.XLOOKUP(BN$11,Assumptions!$B$35:$H$35,_xlfn.XLOOKUP($C28,Assumptions!$B$36:$B$41,Assumptions!$B$36:$H$41))</f>
        <v>0</v>
      </c>
      <c r="BO28">
        <f t="array" ref="BO28">_xlfn.XLOOKUP(BO$11,Assumptions!$B$35:$H$35,_xlfn.XLOOKUP($C28,Assumptions!$B$36:$B$41,Assumptions!$B$36:$H$41))</f>
        <v>0</v>
      </c>
      <c r="BP28">
        <f t="array" ref="BP28">_xlfn.XLOOKUP(BP$11,Assumptions!$B$35:$H$35,_xlfn.XLOOKUP($C28,Assumptions!$B$36:$B$41,Assumptions!$B$36:$H$41))</f>
        <v>0</v>
      </c>
      <c r="BQ28">
        <f t="array" ref="BQ28">_xlfn.XLOOKUP(BQ$11,Assumptions!$B$35:$H$35,_xlfn.XLOOKUP($C28,Assumptions!$B$36:$B$41,Assumptions!$B$36:$H$41))</f>
        <v>0</v>
      </c>
      <c r="BR28">
        <f t="array" ref="BR28">_xlfn.XLOOKUP(BR$11,Assumptions!$B$35:$H$35,_xlfn.XLOOKUP($C28,Assumptions!$B$36:$B$41,Assumptions!$B$36:$H$41))</f>
        <v>0</v>
      </c>
      <c r="BS28">
        <f t="array" ref="BS28">_xlfn.XLOOKUP(BS$11,Assumptions!$B$35:$H$35,_xlfn.XLOOKUP($C28,Assumptions!$B$36:$B$41,Assumptions!$B$36:$H$41))</f>
        <v>0</v>
      </c>
      <c r="BT28">
        <f t="array" ref="BT28">_xlfn.XLOOKUP(BT$11,Assumptions!$B$35:$H$35,_xlfn.XLOOKUP($C28,Assumptions!$B$36:$B$41,Assumptions!$B$36:$H$41))</f>
        <v>0</v>
      </c>
      <c r="BU28">
        <f t="array" ref="BU28">_xlfn.XLOOKUP(BU$11,Assumptions!$B$35:$H$35,_xlfn.XLOOKUP($C28,Assumptions!$B$36:$B$41,Assumptions!$B$36:$H$41))</f>
        <v>0</v>
      </c>
      <c r="BV28">
        <f t="array" ref="BV28">_xlfn.XLOOKUP(BV$11,Assumptions!$B$35:$H$35,_xlfn.XLOOKUP($C28,Assumptions!$B$36:$B$41,Assumptions!$B$36:$H$41))</f>
        <v>0</v>
      </c>
      <c r="BW28">
        <f t="array" ref="BW28">_xlfn.XLOOKUP(BW$11,Assumptions!$B$35:$H$35,_xlfn.XLOOKUP($C28,Assumptions!$B$36:$B$41,Assumptions!$B$36:$H$41))</f>
        <v>0</v>
      </c>
      <c r="BX28">
        <f t="array" ref="BX28">_xlfn.XLOOKUP(BX$11,Assumptions!$B$35:$H$35,_xlfn.XLOOKUP($C28,Assumptions!$B$36:$B$41,Assumptions!$B$36:$H$41))</f>
        <v>0</v>
      </c>
      <c r="BY28">
        <f t="array" ref="BY28">_xlfn.XLOOKUP(BY$11,Assumptions!$B$35:$H$35,_xlfn.XLOOKUP($C28,Assumptions!$B$36:$B$41,Assumptions!$B$36:$H$41))</f>
        <v>0</v>
      </c>
      <c r="BZ28">
        <f t="array" ref="BZ28">_xlfn.XLOOKUP(BZ$11,Assumptions!$B$35:$H$35,_xlfn.XLOOKUP($C28,Assumptions!$B$36:$B$41,Assumptions!$B$36:$H$41))</f>
        <v>0</v>
      </c>
      <c r="CA28">
        <f t="array" ref="CA28">_xlfn.XLOOKUP(CA$11,Assumptions!$B$35:$H$35,_xlfn.XLOOKUP($C28,Assumptions!$B$36:$B$41,Assumptions!$B$36:$H$41))</f>
        <v>0</v>
      </c>
      <c r="CB28">
        <f t="array" ref="CB28">_xlfn.XLOOKUP(CB$11,Assumptions!$B$35:$H$35,_xlfn.XLOOKUP($C28,Assumptions!$B$36:$B$41,Assumptions!$B$36:$H$41))</f>
        <v>0</v>
      </c>
      <c r="CC28">
        <f t="array" ref="CC28">_xlfn.XLOOKUP(CC$11,Assumptions!$B$35:$H$35,_xlfn.XLOOKUP($C28,Assumptions!$B$36:$B$41,Assumptions!$B$36:$H$41))</f>
        <v>0</v>
      </c>
      <c r="CD28">
        <f t="array" ref="CD28">_xlfn.XLOOKUP(CD$11,Assumptions!$B$35:$H$35,_xlfn.XLOOKUP($C28,Assumptions!$B$36:$B$41,Assumptions!$B$36:$H$41))</f>
        <v>0</v>
      </c>
      <c r="CE28">
        <f t="array" ref="CE28">_xlfn.XLOOKUP(CE$11,Assumptions!$B$35:$H$35,_xlfn.XLOOKUP($C28,Assumptions!$B$36:$B$41,Assumptions!$B$36:$H$41))</f>
        <v>0</v>
      </c>
      <c r="CF28">
        <f t="array" ref="CF28">_xlfn.XLOOKUP(CF$11,Assumptions!$B$35:$H$35,_xlfn.XLOOKUP($C28,Assumptions!$B$36:$B$41,Assumptions!$B$36:$H$41))</f>
        <v>0</v>
      </c>
      <c r="CG28">
        <f t="array" ref="CG28">_xlfn.XLOOKUP(CG$11,Assumptions!$B$35:$H$35,_xlfn.XLOOKUP($C28,Assumptions!$B$36:$B$41,Assumptions!$B$36:$H$41))</f>
        <v>0</v>
      </c>
      <c r="CH28">
        <f t="array" ref="CH28">_xlfn.XLOOKUP(CH$11,Assumptions!$B$35:$H$35,_xlfn.XLOOKUP($C28,Assumptions!$B$36:$B$41,Assumptions!$B$36:$H$41))</f>
        <v>0</v>
      </c>
      <c r="CI28">
        <f t="array" ref="CI28">_xlfn.XLOOKUP(CI$11,Assumptions!$B$35:$H$35,_xlfn.XLOOKUP($C28,Assumptions!$B$36:$B$41,Assumptions!$B$36:$H$41))</f>
        <v>0</v>
      </c>
      <c r="CJ28">
        <f t="array" ref="CJ28">_xlfn.XLOOKUP(CJ$11,Assumptions!$B$35:$H$35,_xlfn.XLOOKUP($C28,Assumptions!$B$36:$B$41,Assumptions!$B$36:$H$41))</f>
        <v>0</v>
      </c>
      <c r="CK28">
        <f t="array" ref="CK28">_xlfn.XLOOKUP(CK$11,Assumptions!$B$35:$H$35,_xlfn.XLOOKUP($C28,Assumptions!$B$36:$B$41,Assumptions!$B$36:$H$41))</f>
        <v>0</v>
      </c>
      <c r="CL28">
        <f t="array" ref="CL28">_xlfn.XLOOKUP(CL$11,Assumptions!$B$35:$H$35,_xlfn.XLOOKUP($C28,Assumptions!$B$36:$B$41,Assumptions!$B$36:$H$41))</f>
        <v>0</v>
      </c>
      <c r="CM28">
        <f t="array" ref="CM28">_xlfn.XLOOKUP(CM$11,Assumptions!$B$35:$H$35,_xlfn.XLOOKUP($C28,Assumptions!$B$36:$B$41,Assumptions!$B$36:$H$41))</f>
        <v>0</v>
      </c>
      <c r="CN28">
        <f t="array" ref="CN28">_xlfn.XLOOKUP(CN$11,Assumptions!$B$35:$H$35,_xlfn.XLOOKUP($C28,Assumptions!$B$36:$B$41,Assumptions!$B$36:$H$41))</f>
        <v>0</v>
      </c>
      <c r="CO28">
        <f t="array" ref="CO28">_xlfn.XLOOKUP(CO$11,Assumptions!$B$35:$H$35,_xlfn.XLOOKUP($C28,Assumptions!$B$36:$B$41,Assumptions!$B$36:$H$41))</f>
        <v>0</v>
      </c>
      <c r="CP28">
        <f t="array" ref="CP28">_xlfn.XLOOKUP(CP$11,Assumptions!$B$35:$H$35,_xlfn.XLOOKUP($C28,Assumptions!$B$36:$B$41,Assumptions!$B$36:$H$41))</f>
        <v>0</v>
      </c>
      <c r="CQ28">
        <f t="array" ref="CQ28">_xlfn.XLOOKUP(CQ$11,Assumptions!$B$35:$H$35,_xlfn.XLOOKUP($C28,Assumptions!$B$36:$B$41,Assumptions!$B$36:$H$41))</f>
        <v>0</v>
      </c>
      <c r="CR28">
        <f t="array" ref="CR28">_xlfn.XLOOKUP(CR$11,Assumptions!$B$35:$H$35,_xlfn.XLOOKUP($C28,Assumptions!$B$36:$B$41,Assumptions!$B$36:$H$41))</f>
        <v>0</v>
      </c>
      <c r="CS28">
        <f t="array" ref="CS28">_xlfn.XLOOKUP(CS$11,Assumptions!$B$35:$H$35,_xlfn.XLOOKUP($C28,Assumptions!$B$36:$B$41,Assumptions!$B$36:$H$41))</f>
        <v>0</v>
      </c>
      <c r="CT28">
        <f t="array" ref="CT28">_xlfn.XLOOKUP(CT$11,Assumptions!$B$35:$H$35,_xlfn.XLOOKUP($C28,Assumptions!$B$36:$B$41,Assumptions!$B$36:$H$41))</f>
        <v>0</v>
      </c>
      <c r="CU28">
        <f t="array" ref="CU28">_xlfn.XLOOKUP(CU$11,Assumptions!$B$35:$H$35,_xlfn.XLOOKUP($C28,Assumptions!$B$36:$B$41,Assumptions!$B$36:$H$41))</f>
        <v>0</v>
      </c>
      <c r="CV28">
        <f t="array" ref="CV28">_xlfn.XLOOKUP(CV$11,Assumptions!$B$35:$H$35,_xlfn.XLOOKUP($C28,Assumptions!$B$36:$B$41,Assumptions!$B$36:$H$41))</f>
        <v>0</v>
      </c>
      <c r="CW28">
        <f t="array" ref="CW28">_xlfn.XLOOKUP(CW$11,Assumptions!$B$35:$H$35,_xlfn.XLOOKUP($C28,Assumptions!$B$36:$B$41,Assumptions!$B$36:$H$41))</f>
        <v>0</v>
      </c>
      <c r="CX28">
        <f t="array" ref="CX28">_xlfn.XLOOKUP(CX$11,Assumptions!$B$35:$H$35,_xlfn.XLOOKUP($C28,Assumptions!$B$36:$B$41,Assumptions!$B$36:$H$41))</f>
        <v>0</v>
      </c>
      <c r="CY28">
        <f t="array" ref="CY28">_xlfn.XLOOKUP(CY$11,Assumptions!$B$35:$H$35,_xlfn.XLOOKUP($C28,Assumptions!$B$36:$B$41,Assumptions!$B$36:$H$41))</f>
        <v>0</v>
      </c>
      <c r="CZ28">
        <f t="array" ref="CZ28">_xlfn.XLOOKUP(CZ$11,Assumptions!$B$35:$H$35,_xlfn.XLOOKUP($C28,Assumptions!$B$36:$B$41,Assumptions!$B$36:$H$41))</f>
        <v>0</v>
      </c>
      <c r="DA28">
        <f t="array" ref="DA28">_xlfn.XLOOKUP(DA$11,Assumptions!$B$35:$H$35,_xlfn.XLOOKUP($C28,Assumptions!$B$36:$B$41,Assumptions!$B$36:$H$41))</f>
        <v>0</v>
      </c>
      <c r="DB28">
        <f t="array" ref="DB28">_xlfn.XLOOKUP(DB$11,Assumptions!$B$35:$H$35,_xlfn.XLOOKUP($C28,Assumptions!$B$36:$B$41,Assumptions!$B$36:$H$41))</f>
        <v>0</v>
      </c>
      <c r="DC28">
        <f t="array" ref="DC28">_xlfn.XLOOKUP(DC$11,Assumptions!$B$35:$H$35,_xlfn.XLOOKUP($C28,Assumptions!$B$36:$B$41,Assumptions!$B$36:$H$41))</f>
        <v>0</v>
      </c>
      <c r="DD28">
        <f t="array" ref="DD28">_xlfn.XLOOKUP(DD$11,Assumptions!$B$35:$H$35,_xlfn.XLOOKUP($C28,Assumptions!$B$36:$B$41,Assumptions!$B$36:$H$41))</f>
        <v>0</v>
      </c>
      <c r="DE28">
        <f t="array" ref="DE28">_xlfn.XLOOKUP(DE$11,Assumptions!$B$35:$H$35,_xlfn.XLOOKUP($C28,Assumptions!$B$36:$B$41,Assumptions!$B$36:$H$41))</f>
        <v>0</v>
      </c>
      <c r="DF28">
        <f t="array" ref="DF28">_xlfn.XLOOKUP(DF$11,Assumptions!$B$35:$H$35,_xlfn.XLOOKUP($C28,Assumptions!$B$36:$B$41,Assumptions!$B$36:$H$41))</f>
        <v>0</v>
      </c>
      <c r="DG28">
        <f t="array" ref="DG28">_xlfn.XLOOKUP(DG$11,Assumptions!$B$35:$H$35,_xlfn.XLOOKUP($C28,Assumptions!$B$36:$B$41,Assumptions!$B$36:$H$41))</f>
        <v>0</v>
      </c>
      <c r="DH28">
        <f t="array" ref="DH28">_xlfn.XLOOKUP(DH$11,Assumptions!$B$35:$H$35,_xlfn.XLOOKUP($C28,Assumptions!$B$36:$B$41,Assumptions!$B$36:$H$41))</f>
        <v>0</v>
      </c>
      <c r="DI28">
        <f t="array" ref="DI28">_xlfn.XLOOKUP(DI$11,Assumptions!$B$35:$H$35,_xlfn.XLOOKUP($C28,Assumptions!$B$36:$B$41,Assumptions!$B$36:$H$41))</f>
        <v>0</v>
      </c>
      <c r="DJ28">
        <f t="array" ref="DJ28">_xlfn.XLOOKUP(DJ$11,Assumptions!$B$35:$H$35,_xlfn.XLOOKUP($C28,Assumptions!$B$36:$B$41,Assumptions!$B$36:$H$41))</f>
        <v>0</v>
      </c>
      <c r="DK28">
        <f t="array" ref="DK28">_xlfn.XLOOKUP(DK$11,Assumptions!$B$35:$H$35,_xlfn.XLOOKUP($C28,Assumptions!$B$36:$B$41,Assumptions!$B$36:$H$41))</f>
        <v>0</v>
      </c>
      <c r="DL28">
        <f t="array" ref="DL28">_xlfn.XLOOKUP(DL$11,Assumptions!$B$35:$H$35,_xlfn.XLOOKUP($C28,Assumptions!$B$36:$B$41,Assumptions!$B$36:$H$41))</f>
        <v>0</v>
      </c>
      <c r="DM28">
        <f t="array" ref="DM28">_xlfn.XLOOKUP(DM$11,Assumptions!$B$35:$H$35,_xlfn.XLOOKUP($C28,Assumptions!$B$36:$B$41,Assumptions!$B$36:$H$41))</f>
        <v>0</v>
      </c>
      <c r="DN28">
        <f t="array" ref="DN28">_xlfn.XLOOKUP(DN$11,Assumptions!$B$35:$H$35,_xlfn.XLOOKUP($C28,Assumptions!$B$36:$B$41,Assumptions!$B$36:$H$41))</f>
        <v>0</v>
      </c>
      <c r="DO28">
        <f t="array" ref="DO28">_xlfn.XLOOKUP(DO$11,Assumptions!$B$35:$H$35,_xlfn.XLOOKUP($C28,Assumptions!$B$36:$B$41,Assumptions!$B$36:$H$41))</f>
        <v>0</v>
      </c>
      <c r="DP28">
        <f t="array" ref="DP28">_xlfn.XLOOKUP(DP$11,Assumptions!$B$35:$H$35,_xlfn.XLOOKUP($C28,Assumptions!$B$36:$B$41,Assumptions!$B$36:$H$41))</f>
        <v>0</v>
      </c>
      <c r="DQ28">
        <f t="array" ref="DQ28">_xlfn.XLOOKUP(DQ$11,Assumptions!$B$35:$H$35,_xlfn.XLOOKUP($C28,Assumptions!$B$36:$B$41,Assumptions!$B$36:$H$41))</f>
        <v>0</v>
      </c>
      <c r="DR28">
        <f t="array" ref="DR28">_xlfn.XLOOKUP(DR$11,Assumptions!$B$35:$H$35,_xlfn.XLOOKUP($C28,Assumptions!$B$36:$B$41,Assumptions!$B$36:$H$41))</f>
        <v>0</v>
      </c>
      <c r="DS28">
        <f t="array" ref="DS28">_xlfn.XLOOKUP(DS$11,Assumptions!$B$35:$H$35,_xlfn.XLOOKUP($C28,Assumptions!$B$36:$B$41,Assumptions!$B$36:$H$41))</f>
        <v>0</v>
      </c>
      <c r="DT28">
        <f t="array" ref="DT28">_xlfn.XLOOKUP(DT$11,Assumptions!$B$35:$H$35,_xlfn.XLOOKUP($C28,Assumptions!$B$36:$B$41,Assumptions!$B$36:$H$41))</f>
        <v>0</v>
      </c>
      <c r="DU28">
        <f t="array" ref="DU28">_xlfn.XLOOKUP(DU$11,Assumptions!$B$35:$H$35,_xlfn.XLOOKUP($C28,Assumptions!$B$36:$B$41,Assumptions!$B$36:$H$41))</f>
        <v>0</v>
      </c>
      <c r="DV28">
        <f t="array" ref="DV28">_xlfn.XLOOKUP(DV$11,Assumptions!$B$35:$H$35,_xlfn.XLOOKUP($C28,Assumptions!$B$36:$B$41,Assumptions!$B$36:$H$41))</f>
        <v>0</v>
      </c>
      <c r="DW28">
        <f t="array" ref="DW28">_xlfn.XLOOKUP(DW$11,Assumptions!$B$35:$H$35,_xlfn.XLOOKUP($C28,Assumptions!$B$36:$B$41,Assumptions!$B$36:$H$41))</f>
        <v>0</v>
      </c>
      <c r="DX28">
        <f t="array" ref="DX28">_xlfn.XLOOKUP(DX$11,Assumptions!$B$35:$H$35,_xlfn.XLOOKUP($C28,Assumptions!$B$36:$B$41,Assumptions!$B$36:$H$41))</f>
        <v>0</v>
      </c>
      <c r="DY28">
        <f t="array" ref="DY28">_xlfn.XLOOKUP(DY$11,Assumptions!$B$35:$H$35,_xlfn.XLOOKUP($C28,Assumptions!$B$36:$B$41,Assumptions!$B$36:$H$41))</f>
        <v>0</v>
      </c>
      <c r="DZ28">
        <f t="array" ref="DZ28">_xlfn.XLOOKUP(DZ$11,Assumptions!$B$35:$H$35,_xlfn.XLOOKUP($C28,Assumptions!$B$36:$B$41,Assumptions!$B$36:$H$41))</f>
        <v>0</v>
      </c>
      <c r="EA28">
        <f t="array" ref="EA28">_xlfn.XLOOKUP(EA$11,Assumptions!$B$35:$H$35,_xlfn.XLOOKUP($C28,Assumptions!$B$36:$B$41,Assumptions!$B$36:$H$41))</f>
        <v>0</v>
      </c>
      <c r="EB28">
        <f t="array" ref="EB28">_xlfn.XLOOKUP(EB$11,Assumptions!$B$35:$H$35,_xlfn.XLOOKUP($C28,Assumptions!$B$36:$B$41,Assumptions!$B$36:$H$41))</f>
        <v>0</v>
      </c>
      <c r="EC28">
        <f t="array" ref="EC28">_xlfn.XLOOKUP(EC$11,Assumptions!$B$35:$H$35,_xlfn.XLOOKUP($C28,Assumptions!$B$36:$B$41,Assumptions!$B$36:$H$41))</f>
        <v>0</v>
      </c>
      <c r="ED28">
        <f t="array" ref="ED28">_xlfn.XLOOKUP(ED$11,Assumptions!$B$35:$H$35,_xlfn.XLOOKUP($C28,Assumptions!$B$36:$B$41,Assumptions!$B$36:$H$41))</f>
        <v>0</v>
      </c>
      <c r="EE28">
        <f t="array" ref="EE28">_xlfn.XLOOKUP(EE$11,Assumptions!$B$35:$H$35,_xlfn.XLOOKUP($C28,Assumptions!$B$36:$B$41,Assumptions!$B$36:$H$41))</f>
        <v>0</v>
      </c>
      <c r="EF28">
        <f t="array" ref="EF28">_xlfn.XLOOKUP(EF$11,Assumptions!$B$35:$H$35,_xlfn.XLOOKUP($C28,Assumptions!$B$36:$B$41,Assumptions!$B$36:$H$41))</f>
        <v>0</v>
      </c>
      <c r="EG28">
        <f t="array" ref="EG28">_xlfn.XLOOKUP(EG$11,Assumptions!$B$35:$H$35,_xlfn.XLOOKUP($C28,Assumptions!$B$36:$B$41,Assumptions!$B$36:$H$41))</f>
        <v>0</v>
      </c>
      <c r="EH28">
        <f t="array" ref="EH28">_xlfn.XLOOKUP(EH$11,Assumptions!$B$35:$H$35,_xlfn.XLOOKUP($C28,Assumptions!$B$36:$B$41,Assumptions!$B$36:$H$41))</f>
        <v>0</v>
      </c>
      <c r="EI28">
        <f t="array" ref="EI28">_xlfn.XLOOKUP(EI$11,Assumptions!$B$35:$H$35,_xlfn.XLOOKUP($C28,Assumptions!$B$36:$B$41,Assumptions!$B$36:$H$41))</f>
        <v>0</v>
      </c>
      <c r="EJ28">
        <f t="array" ref="EJ28">_xlfn.XLOOKUP(EJ$11,Assumptions!$B$35:$H$35,_xlfn.XLOOKUP($C28,Assumptions!$B$36:$B$41,Assumptions!$B$36:$H$41))</f>
        <v>0</v>
      </c>
      <c r="EK28">
        <f t="array" ref="EK28">_xlfn.XLOOKUP(EK$11,Assumptions!$B$35:$H$35,_xlfn.XLOOKUP($C28,Assumptions!$B$36:$B$41,Assumptions!$B$36:$H$41))</f>
        <v>0</v>
      </c>
      <c r="EL28">
        <f t="array" ref="EL28">_xlfn.XLOOKUP(EL$11,Assumptions!$B$35:$H$35,_xlfn.XLOOKUP($C28,Assumptions!$B$36:$B$41,Assumptions!$B$36:$H$41))</f>
        <v>0</v>
      </c>
      <c r="EM28">
        <f t="array" ref="EM28">_xlfn.XLOOKUP(EM$11,Assumptions!$B$35:$H$35,_xlfn.XLOOKUP($C28,Assumptions!$B$36:$B$41,Assumptions!$B$36:$H$41))</f>
        <v>0</v>
      </c>
      <c r="EN28">
        <f t="array" ref="EN28">_xlfn.XLOOKUP(EN$11,Assumptions!$B$35:$H$35,_xlfn.XLOOKUP($C28,Assumptions!$B$36:$B$41,Assumptions!$B$36:$H$41))</f>
        <v>0</v>
      </c>
      <c r="EO28">
        <f t="array" ref="EO28">_xlfn.XLOOKUP(EO$11,Assumptions!$B$35:$H$35,_xlfn.XLOOKUP($C28,Assumptions!$B$36:$B$41,Assumptions!$B$36:$H$41))</f>
        <v>0</v>
      </c>
      <c r="EP28">
        <f t="array" ref="EP28">_xlfn.XLOOKUP(EP$11,Assumptions!$B$35:$H$35,_xlfn.XLOOKUP($C28,Assumptions!$B$36:$B$41,Assumptions!$B$36:$H$41))</f>
        <v>0</v>
      </c>
      <c r="EQ28">
        <f t="array" ref="EQ28">_xlfn.XLOOKUP(EQ$11,Assumptions!$B$35:$H$35,_xlfn.XLOOKUP($C28,Assumptions!$B$36:$B$41,Assumptions!$B$36:$H$41))</f>
        <v>0</v>
      </c>
      <c r="ER28">
        <f t="array" ref="ER28">_xlfn.XLOOKUP(ER$11,Assumptions!$B$35:$H$35,_xlfn.XLOOKUP($C28,Assumptions!$B$36:$B$41,Assumptions!$B$36:$H$41))</f>
        <v>0</v>
      </c>
      <c r="ES28">
        <f t="array" ref="ES28">_xlfn.XLOOKUP(ES$11,Assumptions!$B$35:$H$35,_xlfn.XLOOKUP($C28,Assumptions!$B$36:$B$41,Assumptions!$B$36:$H$41))</f>
        <v>0</v>
      </c>
      <c r="ET28">
        <f t="array" ref="ET28">_xlfn.XLOOKUP(ET$11,Assumptions!$B$35:$H$35,_xlfn.XLOOKUP($C28,Assumptions!$B$36:$B$41,Assumptions!$B$36:$H$41))</f>
        <v>0</v>
      </c>
      <c r="EU28">
        <f t="array" ref="EU28">_xlfn.XLOOKUP(EU$11,Assumptions!$B$35:$H$35,_xlfn.XLOOKUP($C28,Assumptions!$B$36:$B$41,Assumptions!$B$36:$H$41))</f>
        <v>0</v>
      </c>
      <c r="EV28">
        <f t="array" ref="EV28">_xlfn.XLOOKUP(EV$11,Assumptions!$B$35:$H$35,_xlfn.XLOOKUP($C28,Assumptions!$B$36:$B$41,Assumptions!$B$36:$H$41))</f>
        <v>0</v>
      </c>
      <c r="EW28">
        <f t="array" ref="EW28">_xlfn.XLOOKUP(EW$11,Assumptions!$B$35:$H$35,_xlfn.XLOOKUP($C28,Assumptions!$B$36:$B$41,Assumptions!$B$36:$H$41))</f>
        <v>0</v>
      </c>
      <c r="EX28">
        <f t="array" ref="EX28">_xlfn.XLOOKUP(EX$11,Assumptions!$B$35:$H$35,_xlfn.XLOOKUP($C28,Assumptions!$B$36:$B$41,Assumptions!$B$36:$H$41))</f>
        <v>0</v>
      </c>
      <c r="EY28">
        <f t="array" ref="EY28">_xlfn.XLOOKUP(EY$11,Assumptions!$B$35:$H$35,_xlfn.XLOOKUP($C28,Assumptions!$B$36:$B$41,Assumptions!$B$36:$H$41))</f>
        <v>0</v>
      </c>
      <c r="EZ28">
        <f t="array" ref="EZ28">_xlfn.XLOOKUP(EZ$11,Assumptions!$B$35:$H$35,_xlfn.XLOOKUP($C28,Assumptions!$B$36:$B$41,Assumptions!$B$36:$H$41))</f>
        <v>0</v>
      </c>
      <c r="FA28">
        <f t="array" ref="FA28">_xlfn.XLOOKUP(FA$11,Assumptions!$B$35:$H$35,_xlfn.XLOOKUP($C28,Assumptions!$B$36:$B$41,Assumptions!$B$36:$H$41))</f>
        <v>0</v>
      </c>
      <c r="FB28">
        <f t="array" ref="FB28">_xlfn.XLOOKUP(FB$11,Assumptions!$B$35:$H$35,_xlfn.XLOOKUP($C28,Assumptions!$B$36:$B$41,Assumptions!$B$36:$H$41))</f>
        <v>0</v>
      </c>
      <c r="FC28">
        <f t="array" ref="FC28">_xlfn.XLOOKUP(FC$11,Assumptions!$B$35:$H$35,_xlfn.XLOOKUP($C28,Assumptions!$B$36:$B$41,Assumptions!$B$36:$H$41))</f>
        <v>0</v>
      </c>
      <c r="FD28">
        <f t="array" ref="FD28">_xlfn.XLOOKUP(FD$11,Assumptions!$B$35:$H$35,_xlfn.XLOOKUP($C28,Assumptions!$B$36:$B$41,Assumptions!$B$36:$H$41))</f>
        <v>0</v>
      </c>
      <c r="FE28">
        <f t="array" ref="FE28">_xlfn.XLOOKUP(FE$11,Assumptions!$B$35:$H$35,_xlfn.XLOOKUP($C28,Assumptions!$B$36:$B$41,Assumptions!$B$36:$H$41))</f>
        <v>0</v>
      </c>
      <c r="FF28">
        <f t="array" ref="FF28">_xlfn.XLOOKUP(FF$11,Assumptions!$B$35:$H$35,_xlfn.XLOOKUP($C28,Assumptions!$B$36:$B$41,Assumptions!$B$36:$H$41))</f>
        <v>0</v>
      </c>
      <c r="FG28">
        <f t="array" ref="FG28">_xlfn.XLOOKUP(FG$11,Assumptions!$B$35:$H$35,_xlfn.XLOOKUP($C28,Assumptions!$B$36:$B$41,Assumptions!$B$36:$H$41))</f>
        <v>0</v>
      </c>
      <c r="FH28">
        <f t="array" ref="FH28">_xlfn.XLOOKUP(FH$11,Assumptions!$B$35:$H$35,_xlfn.XLOOKUP($C28,Assumptions!$B$36:$B$41,Assumptions!$B$36:$H$41))</f>
        <v>0</v>
      </c>
      <c r="FI28">
        <f t="array" ref="FI28">_xlfn.XLOOKUP(FI$11,Assumptions!$B$35:$H$35,_xlfn.XLOOKUP($C28,Assumptions!$B$36:$B$41,Assumptions!$B$36:$H$41))</f>
        <v>0</v>
      </c>
      <c r="FJ28">
        <f t="array" ref="FJ28">_xlfn.XLOOKUP(FJ$11,Assumptions!$B$35:$H$35,_xlfn.XLOOKUP($C28,Assumptions!$B$36:$B$41,Assumptions!$B$36:$H$41))</f>
        <v>0</v>
      </c>
      <c r="FK28">
        <f t="array" ref="FK28">_xlfn.XLOOKUP(FK$11,Assumptions!$B$35:$H$35,_xlfn.XLOOKUP($C28,Assumptions!$B$36:$B$41,Assumptions!$B$36:$H$41))</f>
        <v>0</v>
      </c>
      <c r="FL28">
        <f t="array" ref="FL28">_xlfn.XLOOKUP(FL$11,Assumptions!$B$35:$H$35,_xlfn.XLOOKUP($C28,Assumptions!$B$36:$B$41,Assumptions!$B$36:$H$41))</f>
        <v>0</v>
      </c>
      <c r="FM28">
        <f t="array" ref="FM28">_xlfn.XLOOKUP(FM$11,Assumptions!$B$35:$H$35,_xlfn.XLOOKUP($C28,Assumptions!$B$36:$B$41,Assumptions!$B$36:$H$41))</f>
        <v>0</v>
      </c>
      <c r="FN28">
        <f t="array" ref="FN28">_xlfn.XLOOKUP(FN$11,Assumptions!$B$35:$H$35,_xlfn.XLOOKUP($C28,Assumptions!$B$36:$B$41,Assumptions!$B$36:$H$41))</f>
        <v>0</v>
      </c>
      <c r="FO28">
        <f t="array" ref="FO28">_xlfn.XLOOKUP(FO$11,Assumptions!$B$35:$H$35,_xlfn.XLOOKUP($C28,Assumptions!$B$36:$B$41,Assumptions!$B$36:$H$41))</f>
        <v>0</v>
      </c>
      <c r="FP28">
        <f t="array" ref="FP28">_xlfn.XLOOKUP(FP$11,Assumptions!$B$35:$H$35,_xlfn.XLOOKUP($C28,Assumptions!$B$36:$B$41,Assumptions!$B$36:$H$41))</f>
        <v>0</v>
      </c>
      <c r="FQ28">
        <f t="array" ref="FQ28">_xlfn.XLOOKUP(FQ$11,Assumptions!$B$35:$H$35,_xlfn.XLOOKUP($C28,Assumptions!$B$36:$B$41,Assumptions!$B$36:$H$41))</f>
        <v>0</v>
      </c>
      <c r="FR28">
        <f t="array" ref="FR28">_xlfn.XLOOKUP(FR$11,Assumptions!$B$35:$H$35,_xlfn.XLOOKUP($C28,Assumptions!$B$36:$B$41,Assumptions!$B$36:$H$41))</f>
        <v>0</v>
      </c>
      <c r="FS28">
        <f t="array" ref="FS28">_xlfn.XLOOKUP(FS$11,Assumptions!$B$35:$H$35,_xlfn.XLOOKUP($C28,Assumptions!$B$36:$B$41,Assumptions!$B$36:$H$41))</f>
        <v>0</v>
      </c>
      <c r="FT28">
        <f t="array" ref="FT28">_xlfn.XLOOKUP(FT$11,Assumptions!$B$35:$H$35,_xlfn.XLOOKUP($C28,Assumptions!$B$36:$B$41,Assumptions!$B$36:$H$41))</f>
        <v>0</v>
      </c>
      <c r="FU28">
        <f t="array" ref="FU28">_xlfn.XLOOKUP(FU$11,Assumptions!$B$35:$H$35,_xlfn.XLOOKUP($C28,Assumptions!$B$36:$B$41,Assumptions!$B$36:$H$41))</f>
        <v>0</v>
      </c>
      <c r="FV28">
        <f t="array" ref="FV28">_xlfn.XLOOKUP(FV$11,Assumptions!$B$35:$H$35,_xlfn.XLOOKUP($C28,Assumptions!$B$36:$B$41,Assumptions!$B$36:$H$41))</f>
        <v>0</v>
      </c>
      <c r="FW28">
        <f t="array" ref="FW28">_xlfn.XLOOKUP(FW$11,Assumptions!$B$35:$H$35,_xlfn.XLOOKUP($C28,Assumptions!$B$36:$B$41,Assumptions!$B$36:$H$41))</f>
        <v>0</v>
      </c>
      <c r="FX28">
        <f t="array" ref="FX28">_xlfn.XLOOKUP(FX$11,Assumptions!$B$35:$H$35,_xlfn.XLOOKUP($C28,Assumptions!$B$36:$B$41,Assumptions!$B$36:$H$41))</f>
        <v>0</v>
      </c>
      <c r="FY28">
        <f t="array" ref="FY28">_xlfn.XLOOKUP(FY$11,Assumptions!$B$35:$H$35,_xlfn.XLOOKUP($C28,Assumptions!$B$36:$B$41,Assumptions!$B$36:$H$41))</f>
        <v>0</v>
      </c>
      <c r="FZ28">
        <f t="array" ref="FZ28">_xlfn.XLOOKUP(FZ$11,Assumptions!$B$35:$H$35,_xlfn.XLOOKUP($C28,Assumptions!$B$36:$B$41,Assumptions!$B$36:$H$41))</f>
        <v>0</v>
      </c>
      <c r="GA28">
        <f t="array" ref="GA28">_xlfn.XLOOKUP(GA$11,Assumptions!$B$35:$H$35,_xlfn.XLOOKUP($C28,Assumptions!$B$36:$B$41,Assumptions!$B$36:$H$41))</f>
        <v>0</v>
      </c>
      <c r="GB28">
        <f t="array" ref="GB28">_xlfn.XLOOKUP(GB$11,Assumptions!$B$35:$H$35,_xlfn.XLOOKUP($C28,Assumptions!$B$36:$B$41,Assumptions!$B$36:$H$41))</f>
        <v>0</v>
      </c>
      <c r="GC28">
        <f t="array" ref="GC28">_xlfn.XLOOKUP(GC$11,Assumptions!$B$35:$H$35,_xlfn.XLOOKUP($C28,Assumptions!$B$36:$B$41,Assumptions!$B$36:$H$41))</f>
        <v>0</v>
      </c>
      <c r="GD28">
        <f t="array" ref="GD28">_xlfn.XLOOKUP(GD$11,Assumptions!$B$35:$H$35,_xlfn.XLOOKUP($C28,Assumptions!$B$36:$B$41,Assumptions!$B$36:$H$41))</f>
        <v>0</v>
      </c>
      <c r="GE28">
        <f t="array" ref="GE28">_xlfn.XLOOKUP(GE$11,Assumptions!$B$35:$H$35,_xlfn.XLOOKUP($C28,Assumptions!$B$36:$B$41,Assumptions!$B$36:$H$41))</f>
        <v>0</v>
      </c>
      <c r="GF28">
        <f t="array" ref="GF28">_xlfn.XLOOKUP(GF$11,Assumptions!$B$35:$H$35,_xlfn.XLOOKUP($C28,Assumptions!$B$36:$B$41,Assumptions!$B$36:$H$41))</f>
        <v>0</v>
      </c>
      <c r="GG28">
        <f t="array" ref="GG28">_xlfn.XLOOKUP(GG$11,Assumptions!$B$35:$H$35,_xlfn.XLOOKUP($C28,Assumptions!$B$36:$B$41,Assumptions!$B$36:$H$41))</f>
        <v>0</v>
      </c>
      <c r="GH28">
        <f t="array" ref="GH28">_xlfn.XLOOKUP(GH$11,Assumptions!$B$35:$H$35,_xlfn.XLOOKUP($C28,Assumptions!$B$36:$B$41,Assumptions!$B$36:$H$41))</f>
        <v>0</v>
      </c>
      <c r="GI28">
        <f t="array" ref="GI28">_xlfn.XLOOKUP(GI$11,Assumptions!$B$35:$H$35,_xlfn.XLOOKUP($C28,Assumptions!$B$36:$B$41,Assumptions!$B$36:$H$41))</f>
        <v>0</v>
      </c>
      <c r="GJ28">
        <f t="array" ref="GJ28">_xlfn.XLOOKUP(GJ$11,Assumptions!$B$35:$H$35,_xlfn.XLOOKUP($C28,Assumptions!$B$36:$B$41,Assumptions!$B$36:$H$41))</f>
        <v>0</v>
      </c>
      <c r="GK28">
        <f t="array" ref="GK28">_xlfn.XLOOKUP(GK$11,Assumptions!$B$35:$H$35,_xlfn.XLOOKUP($C28,Assumptions!$B$36:$B$41,Assumptions!$B$36:$H$41))</f>
        <v>0</v>
      </c>
      <c r="GL28">
        <f t="array" ref="GL28">_xlfn.XLOOKUP(GL$11,Assumptions!$B$35:$H$35,_xlfn.XLOOKUP($C28,Assumptions!$B$36:$B$41,Assumptions!$B$36:$H$41))</f>
        <v>0</v>
      </c>
      <c r="GM28">
        <f t="array" ref="GM28">_xlfn.XLOOKUP(GM$11,Assumptions!$B$35:$H$35,_xlfn.XLOOKUP($C28,Assumptions!$B$36:$B$41,Assumptions!$B$36:$H$41))</f>
        <v>0</v>
      </c>
      <c r="GN28">
        <f t="array" ref="GN28">_xlfn.XLOOKUP(GN$11,Assumptions!$B$35:$H$35,_xlfn.XLOOKUP($C28,Assumptions!$B$36:$B$41,Assumptions!$B$36:$H$41))</f>
        <v>0</v>
      </c>
      <c r="GO28">
        <f t="array" ref="GO28">_xlfn.XLOOKUP(GO$11,Assumptions!$B$35:$H$35,_xlfn.XLOOKUP($C28,Assumptions!$B$36:$B$41,Assumptions!$B$36:$H$41))</f>
        <v>0</v>
      </c>
      <c r="GP28">
        <f t="array" ref="GP28">_xlfn.XLOOKUP(GP$11,Assumptions!$B$35:$H$35,_xlfn.XLOOKUP($C28,Assumptions!$B$36:$B$41,Assumptions!$B$36:$H$41))</f>
        <v>0</v>
      </c>
      <c r="GQ28">
        <f t="array" ref="GQ28">_xlfn.XLOOKUP(GQ$11,Assumptions!$B$35:$H$35,_xlfn.XLOOKUP($C28,Assumptions!$B$36:$B$41,Assumptions!$B$36:$H$41))</f>
        <v>0</v>
      </c>
      <c r="GR28">
        <f t="array" ref="GR28">_xlfn.XLOOKUP(GR$11,Assumptions!$B$35:$H$35,_xlfn.XLOOKUP($C28,Assumptions!$B$36:$B$41,Assumptions!$B$36:$H$41))</f>
        <v>0</v>
      </c>
      <c r="GS28">
        <f t="array" ref="GS28">_xlfn.XLOOKUP(GS$11,Assumptions!$B$35:$H$35,_xlfn.XLOOKUP($C28,Assumptions!$B$36:$B$41,Assumptions!$B$36:$H$41))</f>
        <v>0</v>
      </c>
      <c r="GT28">
        <f t="array" ref="GT28">_xlfn.XLOOKUP(GT$11,Assumptions!$B$35:$H$35,_xlfn.XLOOKUP($C28,Assumptions!$B$36:$B$41,Assumptions!$B$36:$H$41))</f>
        <v>0</v>
      </c>
      <c r="GU28">
        <f t="array" ref="GU28">_xlfn.XLOOKUP(GU$11,Assumptions!$B$35:$H$35,_xlfn.XLOOKUP($C28,Assumptions!$B$36:$B$41,Assumptions!$B$36:$H$41))</f>
        <v>0</v>
      </c>
      <c r="GV28">
        <f t="array" ref="GV28">_xlfn.XLOOKUP(GV$11,Assumptions!$B$35:$H$35,_xlfn.XLOOKUP($C28,Assumptions!$B$36:$B$41,Assumptions!$B$36:$H$41))</f>
        <v>0</v>
      </c>
      <c r="GW28">
        <f t="array" ref="GW28">_xlfn.XLOOKUP(GW$11,Assumptions!$B$35:$H$35,_xlfn.XLOOKUP($C28,Assumptions!$B$36:$B$41,Assumptions!$B$36:$H$41))</f>
        <v>0</v>
      </c>
      <c r="GX28">
        <f t="array" ref="GX28">_xlfn.XLOOKUP(GX$11,Assumptions!$B$35:$H$35,_xlfn.XLOOKUP($C28,Assumptions!$B$36:$B$41,Assumptions!$B$36:$H$41))</f>
        <v>0</v>
      </c>
      <c r="GY28">
        <f t="array" ref="GY28">_xlfn.XLOOKUP(GY$11,Assumptions!$B$35:$H$35,_xlfn.XLOOKUP($C28,Assumptions!$B$36:$B$41,Assumptions!$B$36:$H$41))</f>
        <v>0</v>
      </c>
      <c r="GZ28">
        <f t="array" ref="GZ28">_xlfn.XLOOKUP(GZ$11,Assumptions!$B$35:$H$35,_xlfn.XLOOKUP($C28,Assumptions!$B$36:$B$41,Assumptions!$B$36:$H$41))</f>
        <v>0</v>
      </c>
      <c r="HA28">
        <f t="array" ref="HA28">_xlfn.XLOOKUP(HA$11,Assumptions!$B$35:$H$35,_xlfn.XLOOKUP($C28,Assumptions!$B$36:$B$41,Assumptions!$B$36:$H$41))</f>
        <v>0</v>
      </c>
      <c r="HB28">
        <f t="array" ref="HB28">_xlfn.XLOOKUP(HB$11,Assumptions!$B$35:$H$35,_xlfn.XLOOKUP($C28,Assumptions!$B$36:$B$41,Assumptions!$B$36:$H$41))</f>
        <v>0</v>
      </c>
      <c r="HC28">
        <f t="array" ref="HC28">_xlfn.XLOOKUP(HC$11,Assumptions!$B$35:$H$35,_xlfn.XLOOKUP($C28,Assumptions!$B$36:$B$41,Assumptions!$B$36:$H$41))</f>
        <v>0</v>
      </c>
      <c r="HD28">
        <f t="array" ref="HD28">_xlfn.XLOOKUP(HD$11,Assumptions!$B$35:$H$35,_xlfn.XLOOKUP($C28,Assumptions!$B$36:$B$41,Assumptions!$B$36:$H$41))</f>
        <v>0</v>
      </c>
      <c r="HE28">
        <f t="array" ref="HE28">_xlfn.XLOOKUP(HE$11,Assumptions!$B$35:$H$35,_xlfn.XLOOKUP($C28,Assumptions!$B$36:$B$41,Assumptions!$B$36:$H$41))</f>
        <v>0</v>
      </c>
      <c r="HF28">
        <f t="array" ref="HF28">_xlfn.XLOOKUP(HF$11,Assumptions!$B$35:$H$35,_xlfn.XLOOKUP($C28,Assumptions!$B$36:$B$41,Assumptions!$B$36:$H$41))</f>
        <v>0</v>
      </c>
      <c r="HG28">
        <f t="array" ref="HG28">_xlfn.XLOOKUP(HG$11,Assumptions!$B$35:$H$35,_xlfn.XLOOKUP($C28,Assumptions!$B$36:$B$41,Assumptions!$B$36:$H$41))</f>
        <v>0</v>
      </c>
      <c r="HH28">
        <f t="array" ref="HH28">_xlfn.XLOOKUP(HH$11,Assumptions!$B$35:$H$35,_xlfn.XLOOKUP($C28,Assumptions!$B$36:$B$41,Assumptions!$B$36:$H$41))</f>
        <v>0</v>
      </c>
      <c r="HI28">
        <f t="array" ref="HI28">_xlfn.XLOOKUP(HI$11,Assumptions!$B$35:$H$35,_xlfn.XLOOKUP($C28,Assumptions!$B$36:$B$41,Assumptions!$B$36:$H$41))</f>
        <v>0</v>
      </c>
      <c r="HJ28">
        <f t="array" ref="HJ28">_xlfn.XLOOKUP(HJ$11,Assumptions!$B$35:$H$35,_xlfn.XLOOKUP($C28,Assumptions!$B$36:$B$41,Assumptions!$B$36:$H$41))</f>
        <v>0</v>
      </c>
      <c r="HK28">
        <f t="array" ref="HK28">_xlfn.XLOOKUP(HK$11,Assumptions!$B$35:$H$35,_xlfn.XLOOKUP($C28,Assumptions!$B$36:$B$41,Assumptions!$B$36:$H$41))</f>
        <v>0</v>
      </c>
      <c r="HL28">
        <f t="array" ref="HL28">_xlfn.XLOOKUP(HL$11,Assumptions!$B$35:$H$35,_xlfn.XLOOKUP($C28,Assumptions!$B$36:$B$41,Assumptions!$B$36:$H$41))</f>
        <v>0</v>
      </c>
      <c r="HM28">
        <f t="array" ref="HM28">_xlfn.XLOOKUP(HM$11,Assumptions!$B$35:$H$35,_xlfn.XLOOKUP($C28,Assumptions!$B$36:$B$41,Assumptions!$B$36:$H$41))</f>
        <v>0</v>
      </c>
      <c r="HN28">
        <f t="array" ref="HN28">_xlfn.XLOOKUP(HN$11,Assumptions!$B$35:$H$35,_xlfn.XLOOKUP($C28,Assumptions!$B$36:$B$41,Assumptions!$B$36:$H$41))</f>
        <v>0</v>
      </c>
      <c r="HO28">
        <f t="array" ref="HO28">_xlfn.XLOOKUP(HO$11,Assumptions!$B$35:$H$35,_xlfn.XLOOKUP($C28,Assumptions!$B$36:$B$41,Assumptions!$B$36:$H$41))</f>
        <v>0</v>
      </c>
      <c r="HP28">
        <f t="array" ref="HP28">_xlfn.XLOOKUP(HP$11,Assumptions!$B$35:$H$35,_xlfn.XLOOKUP($C28,Assumptions!$B$36:$B$41,Assumptions!$B$36:$H$41))</f>
        <v>0</v>
      </c>
      <c r="HQ28">
        <f t="array" ref="HQ28">_xlfn.XLOOKUP(HQ$11,Assumptions!$B$35:$H$35,_xlfn.XLOOKUP($C28,Assumptions!$B$36:$B$41,Assumptions!$B$36:$H$41))</f>
        <v>0</v>
      </c>
      <c r="HR28">
        <f t="array" ref="HR28">_xlfn.XLOOKUP(HR$11,Assumptions!$B$35:$H$35,_xlfn.XLOOKUP($C28,Assumptions!$B$36:$B$41,Assumptions!$B$36:$H$41))</f>
        <v>0</v>
      </c>
      <c r="HS28">
        <f t="array" ref="HS28">_xlfn.XLOOKUP(HS$11,Assumptions!$B$35:$H$35,_xlfn.XLOOKUP($C28,Assumptions!$B$36:$B$41,Assumptions!$B$36:$H$41))</f>
        <v>0</v>
      </c>
      <c r="HT28">
        <f t="array" ref="HT28">_xlfn.XLOOKUP(HT$11,Assumptions!$B$35:$H$35,_xlfn.XLOOKUP($C28,Assumptions!$B$36:$B$41,Assumptions!$B$36:$H$41))</f>
        <v>0</v>
      </c>
      <c r="HU28">
        <f t="array" ref="HU28">_xlfn.XLOOKUP(HU$11,Assumptions!$B$35:$H$35,_xlfn.XLOOKUP($C28,Assumptions!$B$36:$B$41,Assumptions!$B$36:$H$41))</f>
        <v>0</v>
      </c>
      <c r="HV28">
        <f t="array" ref="HV28">_xlfn.XLOOKUP(HV$11,Assumptions!$B$35:$H$35,_xlfn.XLOOKUP($C28,Assumptions!$B$36:$B$41,Assumptions!$B$36:$H$41))</f>
        <v>0</v>
      </c>
      <c r="HW28">
        <f t="array" ref="HW28">_xlfn.XLOOKUP(HW$11,Assumptions!$B$35:$H$35,_xlfn.XLOOKUP($C28,Assumptions!$B$36:$B$41,Assumptions!$B$36:$H$41))</f>
        <v>0</v>
      </c>
      <c r="HX28">
        <f t="array" ref="HX28">_xlfn.XLOOKUP(HX$11,Assumptions!$B$35:$H$35,_xlfn.XLOOKUP($C28,Assumptions!$B$36:$B$41,Assumptions!$B$36:$H$41))</f>
        <v>0</v>
      </c>
      <c r="HY28">
        <f t="array" ref="HY28">_xlfn.XLOOKUP(HY$11,Assumptions!$B$35:$H$35,_xlfn.XLOOKUP($C28,Assumptions!$B$36:$B$41,Assumptions!$B$36:$H$41))</f>
        <v>0</v>
      </c>
      <c r="HZ28">
        <f t="array" ref="HZ28">_xlfn.XLOOKUP(HZ$11,Assumptions!$B$35:$H$35,_xlfn.XLOOKUP($C28,Assumptions!$B$36:$B$41,Assumptions!$B$36:$H$41))</f>
        <v>0</v>
      </c>
      <c r="IA28">
        <f t="array" ref="IA28">_xlfn.XLOOKUP(IA$11,Assumptions!$B$35:$H$35,_xlfn.XLOOKUP($C28,Assumptions!$B$36:$B$41,Assumptions!$B$36:$H$41))</f>
        <v>0</v>
      </c>
      <c r="IB28">
        <f t="array" ref="IB28">_xlfn.XLOOKUP(IB$11,Assumptions!$B$35:$H$35,_xlfn.XLOOKUP($C28,Assumptions!$B$36:$B$41,Assumptions!$B$36:$H$41))</f>
        <v>0</v>
      </c>
      <c r="IC28">
        <f t="array" ref="IC28">_xlfn.XLOOKUP(IC$11,Assumptions!$B$35:$H$35,_xlfn.XLOOKUP($C28,Assumptions!$B$36:$B$41,Assumptions!$B$36:$H$41))</f>
        <v>0</v>
      </c>
      <c r="ID28">
        <f t="array" ref="ID28">_xlfn.XLOOKUP(ID$11,Assumptions!$B$35:$H$35,_xlfn.XLOOKUP($C28,Assumptions!$B$36:$B$41,Assumptions!$B$36:$H$41))</f>
        <v>0</v>
      </c>
      <c r="IE28">
        <f t="array" ref="IE28">_xlfn.XLOOKUP(IE$11,Assumptions!$B$35:$H$35,_xlfn.XLOOKUP($C28,Assumptions!$B$36:$B$41,Assumptions!$B$36:$H$41))</f>
        <v>0</v>
      </c>
      <c r="IF28">
        <f t="array" ref="IF28">_xlfn.XLOOKUP(IF$11,Assumptions!$B$35:$H$35,_xlfn.XLOOKUP($C28,Assumptions!$B$36:$B$41,Assumptions!$B$36:$H$41))</f>
        <v>0</v>
      </c>
      <c r="IG28">
        <f t="array" ref="IG28">_xlfn.XLOOKUP(IG$11,Assumptions!$B$35:$H$35,_xlfn.XLOOKUP($C28,Assumptions!$B$36:$B$41,Assumptions!$B$36:$H$41))</f>
        <v>0</v>
      </c>
      <c r="IH28">
        <f t="array" ref="IH28">_xlfn.XLOOKUP(IH$11,Assumptions!$B$35:$H$35,_xlfn.XLOOKUP($C28,Assumptions!$B$36:$B$41,Assumptions!$B$36:$H$41))</f>
        <v>0</v>
      </c>
      <c r="II28">
        <f t="array" ref="II28">_xlfn.XLOOKUP(II$11,Assumptions!$B$35:$H$35,_xlfn.XLOOKUP($C28,Assumptions!$B$36:$B$41,Assumptions!$B$36:$H$41))</f>
        <v>0</v>
      </c>
      <c r="IJ28">
        <f t="array" ref="IJ28">_xlfn.XLOOKUP(IJ$11,Assumptions!$B$35:$H$35,_xlfn.XLOOKUP($C28,Assumptions!$B$36:$B$41,Assumptions!$B$36:$H$41))</f>
        <v>0</v>
      </c>
      <c r="IK28">
        <f t="array" ref="IK28">_xlfn.XLOOKUP(IK$11,Assumptions!$B$35:$H$35,_xlfn.XLOOKUP($C28,Assumptions!$B$36:$B$41,Assumptions!$B$36:$H$41))</f>
        <v>0</v>
      </c>
      <c r="IL28">
        <f t="array" ref="IL28">_xlfn.XLOOKUP(IL$11,Assumptions!$B$35:$H$35,_xlfn.XLOOKUP($C28,Assumptions!$B$36:$B$41,Assumptions!$B$36:$H$41))</f>
        <v>0</v>
      </c>
      <c r="IM28">
        <f t="array" ref="IM28">_xlfn.XLOOKUP(IM$11,Assumptions!$B$35:$H$35,_xlfn.XLOOKUP($C28,Assumptions!$B$36:$B$41,Assumptions!$B$36:$H$41))</f>
        <v>0</v>
      </c>
      <c r="IN28">
        <f t="array" ref="IN28">_xlfn.XLOOKUP(IN$11,Assumptions!$B$35:$H$35,_xlfn.XLOOKUP($C28,Assumptions!$B$36:$B$41,Assumptions!$B$36:$H$41))</f>
        <v>0</v>
      </c>
      <c r="IO28">
        <f t="array" ref="IO28">_xlfn.XLOOKUP(IO$11,Assumptions!$B$35:$H$35,_xlfn.XLOOKUP($C28,Assumptions!$B$36:$B$41,Assumptions!$B$36:$H$41))</f>
        <v>0</v>
      </c>
      <c r="IP28">
        <f t="array" ref="IP28">_xlfn.XLOOKUP(IP$11,Assumptions!$B$35:$H$35,_xlfn.XLOOKUP($C28,Assumptions!$B$36:$B$41,Assumptions!$B$36:$H$41))</f>
        <v>0</v>
      </c>
      <c r="IQ28">
        <f t="array" ref="IQ28">_xlfn.XLOOKUP(IQ$11,Assumptions!$B$35:$H$35,_xlfn.XLOOKUP($C28,Assumptions!$B$36:$B$41,Assumptions!$B$36:$H$41))</f>
        <v>0</v>
      </c>
      <c r="IR28">
        <f t="array" ref="IR28">_xlfn.XLOOKUP(IR$11,Assumptions!$B$35:$H$35,_xlfn.XLOOKUP($C28,Assumptions!$B$36:$B$41,Assumptions!$B$36:$H$41))</f>
        <v>0</v>
      </c>
      <c r="IS28">
        <f t="array" ref="IS28">_xlfn.XLOOKUP(IS$11,Assumptions!$B$35:$H$35,_xlfn.XLOOKUP($C28,Assumptions!$B$36:$B$41,Assumptions!$B$36:$H$41))</f>
        <v>0</v>
      </c>
      <c r="IT28">
        <f t="array" ref="IT28">_xlfn.XLOOKUP(IT$11,Assumptions!$B$35:$H$35,_xlfn.XLOOKUP($C28,Assumptions!$B$36:$B$41,Assumptions!$B$36:$H$41))</f>
        <v>0</v>
      </c>
      <c r="IU28">
        <f t="array" ref="IU28">_xlfn.XLOOKUP(IU$11,Assumptions!$B$35:$H$35,_xlfn.XLOOKUP($C28,Assumptions!$B$36:$B$41,Assumptions!$B$36:$H$41))</f>
        <v>0</v>
      </c>
      <c r="IV28">
        <f t="array" ref="IV28">_xlfn.XLOOKUP(IV$11,Assumptions!$B$35:$H$35,_xlfn.XLOOKUP($C28,Assumptions!$B$36:$B$41,Assumptions!$B$36:$H$41))</f>
        <v>0</v>
      </c>
      <c r="IW28">
        <f t="array" ref="IW28">_xlfn.XLOOKUP(IW$11,Assumptions!$B$35:$H$35,_xlfn.XLOOKUP($C28,Assumptions!$B$36:$B$41,Assumptions!$B$36:$H$41))</f>
        <v>0</v>
      </c>
      <c r="IX28">
        <f t="array" ref="IX28">_xlfn.XLOOKUP(IX$11,Assumptions!$B$35:$H$35,_xlfn.XLOOKUP($C28,Assumptions!$B$36:$B$41,Assumptions!$B$36:$H$41))</f>
        <v>0</v>
      </c>
      <c r="IY28">
        <f t="array" ref="IY28">_xlfn.XLOOKUP(IY$11,Assumptions!$B$35:$H$35,_xlfn.XLOOKUP($C28,Assumptions!$B$36:$B$41,Assumptions!$B$36:$H$41))</f>
        <v>0</v>
      </c>
      <c r="IZ28">
        <f t="array" ref="IZ28">_xlfn.XLOOKUP(IZ$11,Assumptions!$B$35:$H$35,_xlfn.XLOOKUP($C28,Assumptions!$B$36:$B$41,Assumptions!$B$36:$H$41))</f>
        <v>0</v>
      </c>
      <c r="JA28">
        <f t="array" ref="JA28">_xlfn.XLOOKUP(JA$11,Assumptions!$B$35:$H$35,_xlfn.XLOOKUP($C28,Assumptions!$B$36:$B$41,Assumptions!$B$36:$H$41))</f>
        <v>0</v>
      </c>
      <c r="JB28">
        <f t="array" ref="JB28">_xlfn.XLOOKUP(JB$11,Assumptions!$B$35:$H$35,_xlfn.XLOOKUP($C28,Assumptions!$B$36:$B$41,Assumptions!$B$36:$H$41))</f>
        <v>0</v>
      </c>
      <c r="JC28">
        <f t="array" ref="JC28">_xlfn.XLOOKUP(JC$11,Assumptions!$B$35:$H$35,_xlfn.XLOOKUP($C28,Assumptions!$B$36:$B$41,Assumptions!$B$36:$H$41))</f>
        <v>0</v>
      </c>
      <c r="JD28">
        <f t="array" ref="JD28">_xlfn.XLOOKUP(JD$11,Assumptions!$B$35:$H$35,_xlfn.XLOOKUP($C28,Assumptions!$B$36:$B$41,Assumptions!$B$36:$H$41))</f>
        <v>0</v>
      </c>
      <c r="JE28">
        <f t="array" ref="JE28">_xlfn.XLOOKUP(JE$11,Assumptions!$B$35:$H$35,_xlfn.XLOOKUP($C28,Assumptions!$B$36:$B$41,Assumptions!$B$36:$H$41))</f>
        <v>0</v>
      </c>
      <c r="JF28">
        <f t="array" ref="JF28">_xlfn.XLOOKUP(JF$11,Assumptions!$B$35:$H$35,_xlfn.XLOOKUP($C28,Assumptions!$B$36:$B$41,Assumptions!$B$36:$H$41))</f>
        <v>0</v>
      </c>
      <c r="JG28">
        <f t="array" ref="JG28">_xlfn.XLOOKUP(JG$11,Assumptions!$B$35:$H$35,_xlfn.XLOOKUP($C28,Assumptions!$B$36:$B$41,Assumptions!$B$36:$H$41))</f>
        <v>0</v>
      </c>
      <c r="JH28">
        <f t="array" ref="JH28">_xlfn.XLOOKUP(JH$11,Assumptions!$B$35:$H$35,_xlfn.XLOOKUP($C28,Assumptions!$B$36:$B$41,Assumptions!$B$36:$H$41))</f>
        <v>0</v>
      </c>
      <c r="JI28">
        <f t="array" ref="JI28">_xlfn.XLOOKUP(JI$11,Assumptions!$B$35:$H$35,_xlfn.XLOOKUP($C28,Assumptions!$B$36:$B$41,Assumptions!$B$36:$H$41))</f>
        <v>0</v>
      </c>
      <c r="JJ28">
        <f t="array" ref="JJ28">_xlfn.XLOOKUP(JJ$11,Assumptions!$B$35:$H$35,_xlfn.XLOOKUP($C28,Assumptions!$B$36:$B$41,Assumptions!$B$36:$H$41))</f>
        <v>0</v>
      </c>
      <c r="JK28">
        <f t="array" ref="JK28">_xlfn.XLOOKUP(JK$11,Assumptions!$B$35:$H$35,_xlfn.XLOOKUP($C28,Assumptions!$B$36:$B$41,Assumptions!$B$36:$H$41))</f>
        <v>0</v>
      </c>
      <c r="JL28">
        <f t="array" ref="JL28">_xlfn.XLOOKUP(JL$11,Assumptions!$B$35:$H$35,_xlfn.XLOOKUP($C28,Assumptions!$B$36:$B$41,Assumptions!$B$36:$H$41))</f>
        <v>0</v>
      </c>
      <c r="JM28">
        <f t="array" ref="JM28">_xlfn.XLOOKUP(JM$11,Assumptions!$B$35:$H$35,_xlfn.XLOOKUP($C28,Assumptions!$B$36:$B$41,Assumptions!$B$36:$H$41))</f>
        <v>0</v>
      </c>
      <c r="JN28">
        <f t="array" ref="JN28">_xlfn.XLOOKUP(JN$11,Assumptions!$B$35:$H$35,_xlfn.XLOOKUP($C28,Assumptions!$B$36:$B$41,Assumptions!$B$36:$H$41))</f>
        <v>0</v>
      </c>
      <c r="JO28">
        <f t="array" ref="JO28">_xlfn.XLOOKUP(JO$11,Assumptions!$B$35:$H$35,_xlfn.XLOOKUP($C28,Assumptions!$B$36:$B$41,Assumptions!$B$36:$H$41))</f>
        <v>0</v>
      </c>
      <c r="JP28">
        <f t="array" ref="JP28">_xlfn.XLOOKUP(JP$11,Assumptions!$B$35:$H$35,_xlfn.XLOOKUP($C28,Assumptions!$B$36:$B$41,Assumptions!$B$36:$H$41))</f>
        <v>0</v>
      </c>
      <c r="JQ28">
        <f t="array" ref="JQ28">_xlfn.XLOOKUP(JQ$11,Assumptions!$B$35:$H$35,_xlfn.XLOOKUP($C28,Assumptions!$B$36:$B$41,Assumptions!$B$36:$H$41))</f>
        <v>0</v>
      </c>
      <c r="JR28">
        <f t="array" ref="JR28">_xlfn.XLOOKUP(JR$11,Assumptions!$B$35:$H$35,_xlfn.XLOOKUP($C28,Assumptions!$B$36:$B$41,Assumptions!$B$36:$H$41))</f>
        <v>0</v>
      </c>
      <c r="JS28">
        <f t="array" ref="JS28">_xlfn.XLOOKUP(JS$11,Assumptions!$B$35:$H$35,_xlfn.XLOOKUP($C28,Assumptions!$B$36:$B$41,Assumptions!$B$36:$H$41))</f>
        <v>0</v>
      </c>
      <c r="JT28">
        <f t="array" ref="JT28">_xlfn.XLOOKUP(JT$11,Assumptions!$B$35:$H$35,_xlfn.XLOOKUP($C28,Assumptions!$B$36:$B$41,Assumptions!$B$36:$H$41))</f>
        <v>0</v>
      </c>
      <c r="JU28">
        <f t="array" ref="JU28">_xlfn.XLOOKUP(JU$11,Assumptions!$B$35:$H$35,_xlfn.XLOOKUP($C28,Assumptions!$B$36:$B$41,Assumptions!$B$36:$H$41))</f>
        <v>0</v>
      </c>
      <c r="JV28">
        <f t="array" ref="JV28">_xlfn.XLOOKUP(JV$11,Assumptions!$B$35:$H$35,_xlfn.XLOOKUP($C28,Assumptions!$B$36:$B$41,Assumptions!$B$36:$H$41))</f>
        <v>0</v>
      </c>
      <c r="JW28">
        <f t="array" ref="JW28">_xlfn.XLOOKUP(JW$11,Assumptions!$B$35:$H$35,_xlfn.XLOOKUP($C28,Assumptions!$B$36:$B$41,Assumptions!$B$36:$H$41))</f>
        <v>0</v>
      </c>
      <c r="JX28">
        <f t="array" ref="JX28">_xlfn.XLOOKUP(JX$11,Assumptions!$B$35:$H$35,_xlfn.XLOOKUP($C28,Assumptions!$B$36:$B$41,Assumptions!$B$36:$H$41))</f>
        <v>0</v>
      </c>
      <c r="JY28">
        <f t="array" ref="JY28">_xlfn.XLOOKUP(JY$11,Assumptions!$B$35:$H$35,_xlfn.XLOOKUP($C28,Assumptions!$B$36:$B$41,Assumptions!$B$36:$H$41))</f>
        <v>0</v>
      </c>
      <c r="JZ28">
        <f t="array" ref="JZ28">_xlfn.XLOOKUP(JZ$11,Assumptions!$B$35:$H$35,_xlfn.XLOOKUP($C28,Assumptions!$B$36:$B$41,Assumptions!$B$36:$H$41))</f>
        <v>0</v>
      </c>
      <c r="KA28">
        <f t="array" ref="KA28">_xlfn.XLOOKUP(KA$11,Assumptions!$B$35:$H$35,_xlfn.XLOOKUP($C28,Assumptions!$B$36:$B$41,Assumptions!$B$36:$H$41))</f>
        <v>0</v>
      </c>
      <c r="KB28">
        <f t="array" ref="KB28">_xlfn.XLOOKUP(KB$11,Assumptions!$B$35:$H$35,_xlfn.XLOOKUP($C28,Assumptions!$B$36:$B$41,Assumptions!$B$36:$H$41))</f>
        <v>0</v>
      </c>
      <c r="KC28">
        <f t="array" ref="KC28">_xlfn.XLOOKUP(KC$11,Assumptions!$B$35:$H$35,_xlfn.XLOOKUP($C28,Assumptions!$B$36:$B$41,Assumptions!$B$36:$H$41))</f>
        <v>0</v>
      </c>
      <c r="KD28">
        <f t="array" ref="KD28">_xlfn.XLOOKUP(KD$11,Assumptions!$B$35:$H$35,_xlfn.XLOOKUP($C28,Assumptions!$B$36:$B$41,Assumptions!$B$36:$H$41))</f>
        <v>0</v>
      </c>
      <c r="KE28">
        <f t="array" ref="KE28">_xlfn.XLOOKUP(KE$11,Assumptions!$B$35:$H$35,_xlfn.XLOOKUP($C28,Assumptions!$B$36:$B$41,Assumptions!$B$36:$H$41))</f>
        <v>0</v>
      </c>
      <c r="KF28">
        <f t="array" ref="KF28">_xlfn.XLOOKUP(KF$11,Assumptions!$B$35:$H$35,_xlfn.XLOOKUP($C28,Assumptions!$B$36:$B$41,Assumptions!$B$36:$H$41))</f>
        <v>0</v>
      </c>
      <c r="KG28">
        <f t="array" ref="KG28">_xlfn.XLOOKUP(KG$11,Assumptions!$B$35:$H$35,_xlfn.XLOOKUP($C28,Assumptions!$B$36:$B$41,Assumptions!$B$36:$H$41))</f>
        <v>0</v>
      </c>
      <c r="KH28">
        <f t="array" ref="KH28">_xlfn.XLOOKUP(KH$11,Assumptions!$B$35:$H$35,_xlfn.XLOOKUP($C28,Assumptions!$B$36:$B$41,Assumptions!$B$36:$H$41))</f>
        <v>0</v>
      </c>
      <c r="KI28">
        <f t="array" ref="KI28">_xlfn.XLOOKUP(KI$11,Assumptions!$B$35:$H$35,_xlfn.XLOOKUP($C28,Assumptions!$B$36:$B$41,Assumptions!$B$36:$H$41))</f>
        <v>0</v>
      </c>
      <c r="KJ28">
        <f t="array" ref="KJ28">_xlfn.XLOOKUP(KJ$11,Assumptions!$B$35:$H$35,_xlfn.XLOOKUP($C28,Assumptions!$B$36:$B$41,Assumptions!$B$36:$H$41))</f>
        <v>0</v>
      </c>
      <c r="KK28">
        <f t="array" ref="KK28">_xlfn.XLOOKUP(KK$11,Assumptions!$B$35:$H$35,_xlfn.XLOOKUP($C28,Assumptions!$B$36:$B$41,Assumptions!$B$36:$H$41))</f>
        <v>0</v>
      </c>
      <c r="KL28">
        <f t="array" ref="KL28">_xlfn.XLOOKUP(KL$11,Assumptions!$B$35:$H$35,_xlfn.XLOOKUP($C28,Assumptions!$B$36:$B$41,Assumptions!$B$36:$H$41))</f>
        <v>0</v>
      </c>
      <c r="KM28">
        <f t="array" ref="KM28">_xlfn.XLOOKUP(KM$11,Assumptions!$B$35:$H$35,_xlfn.XLOOKUP($C28,Assumptions!$B$36:$B$41,Assumptions!$B$36:$H$41))</f>
        <v>0</v>
      </c>
      <c r="KN28">
        <f t="array" ref="KN28">_xlfn.XLOOKUP(KN$11,Assumptions!$B$35:$H$35,_xlfn.XLOOKUP($C28,Assumptions!$B$36:$B$41,Assumptions!$B$36:$H$41))</f>
        <v>0</v>
      </c>
      <c r="KO28">
        <f t="array" ref="KO28">_xlfn.XLOOKUP(KO$11,Assumptions!$B$35:$H$35,_xlfn.XLOOKUP($C28,Assumptions!$B$36:$B$41,Assumptions!$B$36:$H$41))</f>
        <v>0</v>
      </c>
      <c r="KP28">
        <f t="array" ref="KP28">_xlfn.XLOOKUP(KP$11,Assumptions!$B$35:$H$35,_xlfn.XLOOKUP($C28,Assumptions!$B$36:$B$41,Assumptions!$B$36:$H$41))</f>
        <v>0</v>
      </c>
      <c r="KQ28">
        <f t="array" ref="KQ28">_xlfn.XLOOKUP(KQ$11,Assumptions!$B$35:$H$35,_xlfn.XLOOKUP($C28,Assumptions!$B$36:$B$41,Assumptions!$B$36:$H$41))</f>
        <v>0</v>
      </c>
      <c r="KR28">
        <f t="array" ref="KR28">_xlfn.XLOOKUP(KR$11,Assumptions!$B$35:$H$35,_xlfn.XLOOKUP($C28,Assumptions!$B$36:$B$41,Assumptions!$B$36:$H$41))</f>
        <v>0</v>
      </c>
      <c r="KS28">
        <f t="array" ref="KS28">_xlfn.XLOOKUP(KS$11,Assumptions!$B$35:$H$35,_xlfn.XLOOKUP($C28,Assumptions!$B$36:$B$41,Assumptions!$B$36:$H$41))</f>
        <v>0</v>
      </c>
      <c r="KT28">
        <f t="array" ref="KT28">_xlfn.XLOOKUP(KT$11,Assumptions!$B$35:$H$35,_xlfn.XLOOKUP($C28,Assumptions!$B$36:$B$41,Assumptions!$B$36:$H$41))</f>
        <v>0</v>
      </c>
      <c r="KU28">
        <f t="array" ref="KU28">_xlfn.XLOOKUP(KU$11,Assumptions!$B$35:$H$35,_xlfn.XLOOKUP($C28,Assumptions!$B$36:$B$41,Assumptions!$B$36:$H$41))</f>
        <v>0</v>
      </c>
      <c r="KV28">
        <f t="array" ref="KV28">_xlfn.XLOOKUP(KV$11,Assumptions!$B$35:$H$35,_xlfn.XLOOKUP($C28,Assumptions!$B$36:$B$41,Assumptions!$B$36:$H$41))</f>
        <v>0</v>
      </c>
      <c r="KW28">
        <f t="array" ref="KW28">_xlfn.XLOOKUP(KW$11,Assumptions!$B$35:$H$35,_xlfn.XLOOKUP($C28,Assumptions!$B$36:$B$41,Assumptions!$B$36:$H$41))</f>
        <v>0</v>
      </c>
      <c r="KX28">
        <f t="array" ref="KX28">_xlfn.XLOOKUP(KX$11,Assumptions!$B$35:$H$35,_xlfn.XLOOKUP($C28,Assumptions!$B$36:$B$41,Assumptions!$B$36:$H$41))</f>
        <v>0</v>
      </c>
      <c r="KY28">
        <f t="array" ref="KY28">_xlfn.XLOOKUP(KY$11,Assumptions!$B$35:$H$35,_xlfn.XLOOKUP($C28,Assumptions!$B$36:$B$41,Assumptions!$B$36:$H$41))</f>
        <v>0</v>
      </c>
      <c r="KZ28">
        <f t="array" ref="KZ28">_xlfn.XLOOKUP(KZ$11,Assumptions!$B$35:$H$35,_xlfn.XLOOKUP($C28,Assumptions!$B$36:$B$41,Assumptions!$B$36:$H$41))</f>
        <v>0</v>
      </c>
      <c r="LA28">
        <f t="array" ref="LA28">_xlfn.XLOOKUP(LA$11,Assumptions!$B$35:$H$35,_xlfn.XLOOKUP($C28,Assumptions!$B$36:$B$41,Assumptions!$B$36:$H$41))</f>
        <v>0</v>
      </c>
      <c r="LB28">
        <f t="array" ref="LB28">_xlfn.XLOOKUP(LB$11,Assumptions!$B$35:$H$35,_xlfn.XLOOKUP($C28,Assumptions!$B$36:$B$41,Assumptions!$B$36:$H$41))</f>
        <v>0</v>
      </c>
      <c r="LC28">
        <f t="array" ref="LC28">_xlfn.XLOOKUP(LC$11,Assumptions!$B$35:$H$35,_xlfn.XLOOKUP($C28,Assumptions!$B$36:$B$41,Assumptions!$B$36:$H$41))</f>
        <v>0</v>
      </c>
      <c r="LD28">
        <f t="array" ref="LD28">_xlfn.XLOOKUP(LD$11,Assumptions!$B$35:$H$35,_xlfn.XLOOKUP($C28,Assumptions!$B$36:$B$41,Assumptions!$B$36:$H$41))</f>
        <v>0</v>
      </c>
      <c r="LE28">
        <f t="array" ref="LE28">_xlfn.XLOOKUP(LE$11,Assumptions!$B$35:$H$35,_xlfn.XLOOKUP($C28,Assumptions!$B$36:$B$41,Assumptions!$B$36:$H$41))</f>
        <v>0</v>
      </c>
      <c r="LF28">
        <f t="array" ref="LF28">_xlfn.XLOOKUP(LF$11,Assumptions!$B$35:$H$35,_xlfn.XLOOKUP($C28,Assumptions!$B$36:$B$41,Assumptions!$B$36:$H$41))</f>
        <v>0</v>
      </c>
      <c r="LG28">
        <f t="array" ref="LG28">_xlfn.XLOOKUP(LG$11,Assumptions!$B$35:$H$35,_xlfn.XLOOKUP($C28,Assumptions!$B$36:$B$41,Assumptions!$B$36:$H$41))</f>
        <v>0</v>
      </c>
      <c r="LH28">
        <f t="array" ref="LH28">_xlfn.XLOOKUP(LH$11,Assumptions!$B$35:$H$35,_xlfn.XLOOKUP($C28,Assumptions!$B$36:$B$41,Assumptions!$B$36:$H$41))</f>
        <v>0</v>
      </c>
      <c r="LI28">
        <f t="array" ref="LI28">_xlfn.XLOOKUP(LI$11,Assumptions!$B$35:$H$35,_xlfn.XLOOKUP($C28,Assumptions!$B$36:$B$41,Assumptions!$B$36:$H$41))</f>
        <v>0</v>
      </c>
      <c r="LJ28">
        <f t="array" ref="LJ28">_xlfn.XLOOKUP(LJ$11,Assumptions!$B$35:$H$35,_xlfn.XLOOKUP($C28,Assumptions!$B$36:$B$41,Assumptions!$B$36:$H$41))</f>
        <v>0</v>
      </c>
      <c r="LK28">
        <f t="array" ref="LK28">_xlfn.XLOOKUP(LK$11,Assumptions!$B$35:$H$35,_xlfn.XLOOKUP($C28,Assumptions!$B$36:$B$41,Assumptions!$B$36:$H$41))</f>
        <v>0</v>
      </c>
      <c r="LL28">
        <f t="array" ref="LL28">_xlfn.XLOOKUP(LL$11,Assumptions!$B$35:$H$35,_xlfn.XLOOKUP($C28,Assumptions!$B$36:$B$41,Assumptions!$B$36:$H$41))</f>
        <v>0</v>
      </c>
      <c r="LM28">
        <f t="array" ref="LM28">_xlfn.XLOOKUP(LM$11,Assumptions!$B$35:$H$35,_xlfn.XLOOKUP($C28,Assumptions!$B$36:$B$41,Assumptions!$B$36:$H$41))</f>
        <v>0</v>
      </c>
      <c r="LN28">
        <f t="array" ref="LN28">_xlfn.XLOOKUP(LN$11,Assumptions!$B$35:$H$35,_xlfn.XLOOKUP($C28,Assumptions!$B$36:$B$41,Assumptions!$B$36:$H$41))</f>
        <v>0</v>
      </c>
      <c r="LO28">
        <f t="array" ref="LO28">_xlfn.XLOOKUP(LO$11,Assumptions!$B$35:$H$35,_xlfn.XLOOKUP($C28,Assumptions!$B$36:$B$41,Assumptions!$B$36:$H$41))</f>
        <v>0</v>
      </c>
      <c r="LP28">
        <f t="array" ref="LP28">_xlfn.XLOOKUP(LP$11,Assumptions!$B$35:$H$35,_xlfn.XLOOKUP($C28,Assumptions!$B$36:$B$41,Assumptions!$B$36:$H$41))</f>
        <v>0</v>
      </c>
      <c r="LQ28">
        <f t="array" ref="LQ28">_xlfn.XLOOKUP(LQ$11,Assumptions!$B$35:$H$35,_xlfn.XLOOKUP($C28,Assumptions!$B$36:$B$41,Assumptions!$B$36:$H$41))</f>
        <v>0</v>
      </c>
      <c r="LR28">
        <f t="array" ref="LR28">_xlfn.XLOOKUP(LR$11,Assumptions!$B$35:$H$35,_xlfn.XLOOKUP($C28,Assumptions!$B$36:$B$41,Assumptions!$B$36:$H$41))</f>
        <v>0</v>
      </c>
      <c r="LS28">
        <f t="array" ref="LS28">_xlfn.XLOOKUP(LS$11,Assumptions!$B$35:$H$35,_xlfn.XLOOKUP($C28,Assumptions!$B$36:$B$41,Assumptions!$B$36:$H$41))</f>
        <v>0</v>
      </c>
      <c r="LT28">
        <f t="array" ref="LT28">_xlfn.XLOOKUP(LT$11,Assumptions!$B$35:$H$35,_xlfn.XLOOKUP($C28,Assumptions!$B$36:$B$41,Assumptions!$B$36:$H$41))</f>
        <v>0</v>
      </c>
      <c r="LU28">
        <f t="array" ref="LU28">_xlfn.XLOOKUP(LU$11,Assumptions!$B$35:$H$35,_xlfn.XLOOKUP($C28,Assumptions!$B$36:$B$41,Assumptions!$B$36:$H$41))</f>
        <v>0</v>
      </c>
      <c r="LV28">
        <f t="array" ref="LV28">_xlfn.XLOOKUP(LV$11,Assumptions!$B$35:$H$35,_xlfn.XLOOKUP($C28,Assumptions!$B$36:$B$41,Assumptions!$B$36:$H$41))</f>
        <v>0</v>
      </c>
      <c r="LW28">
        <f t="array" ref="LW28">_xlfn.XLOOKUP(LW$11,Assumptions!$B$35:$H$35,_xlfn.XLOOKUP($C28,Assumptions!$B$36:$B$41,Assumptions!$B$36:$H$41))</f>
        <v>0</v>
      </c>
      <c r="LX28">
        <f t="array" ref="LX28">_xlfn.XLOOKUP(LX$11,Assumptions!$B$35:$H$35,_xlfn.XLOOKUP($C28,Assumptions!$B$36:$B$41,Assumptions!$B$36:$H$41))</f>
        <v>0</v>
      </c>
      <c r="LY28">
        <f t="array" ref="LY28">_xlfn.XLOOKUP(LY$11,Assumptions!$B$35:$H$35,_xlfn.XLOOKUP($C28,Assumptions!$B$36:$B$41,Assumptions!$B$36:$H$41))</f>
        <v>0</v>
      </c>
      <c r="LZ28">
        <f t="array" ref="LZ28">_xlfn.XLOOKUP(LZ$11,Assumptions!$B$35:$H$35,_xlfn.XLOOKUP($C28,Assumptions!$B$36:$B$41,Assumptions!$B$36:$H$41))</f>
        <v>0</v>
      </c>
      <c r="MA28">
        <f t="array" ref="MA28">_xlfn.XLOOKUP(MA$11,Assumptions!$B$35:$H$35,_xlfn.XLOOKUP($C28,Assumptions!$B$36:$B$41,Assumptions!$B$36:$H$41))</f>
        <v>0</v>
      </c>
      <c r="MB28">
        <f t="array" ref="MB28">_xlfn.XLOOKUP(MB$11,Assumptions!$B$35:$H$35,_xlfn.XLOOKUP($C28,Assumptions!$B$36:$B$41,Assumptions!$B$36:$H$41))</f>
        <v>0</v>
      </c>
      <c r="MC28">
        <f t="array" ref="MC28">_xlfn.XLOOKUP(MC$11,Assumptions!$B$35:$H$35,_xlfn.XLOOKUP($C28,Assumptions!$B$36:$B$41,Assumptions!$B$36:$H$41))</f>
        <v>0</v>
      </c>
      <c r="MD28">
        <f t="array" ref="MD28">_xlfn.XLOOKUP(MD$11,Assumptions!$B$35:$H$35,_xlfn.XLOOKUP($C28,Assumptions!$B$36:$B$41,Assumptions!$B$36:$H$41))</f>
        <v>0</v>
      </c>
      <c r="ME28">
        <f t="array" ref="ME28">_xlfn.XLOOKUP(ME$11,Assumptions!$B$35:$H$35,_xlfn.XLOOKUP($C28,Assumptions!$B$36:$B$41,Assumptions!$B$36:$H$41))</f>
        <v>0</v>
      </c>
      <c r="MF28">
        <f t="array" ref="MF28">_xlfn.XLOOKUP(MF$11,Assumptions!$B$35:$H$35,_xlfn.XLOOKUP($C28,Assumptions!$B$36:$B$41,Assumptions!$B$36:$H$41))</f>
        <v>0</v>
      </c>
      <c r="MG28">
        <f t="array" ref="MG28">_xlfn.XLOOKUP(MG$11,Assumptions!$B$35:$H$35,_xlfn.XLOOKUP($C28,Assumptions!$B$36:$B$41,Assumptions!$B$36:$H$41))</f>
        <v>0</v>
      </c>
      <c r="MH28">
        <f t="array" ref="MH28">_xlfn.XLOOKUP(MH$11,Assumptions!$B$35:$H$35,_xlfn.XLOOKUP($C28,Assumptions!$B$36:$B$41,Assumptions!$B$36:$H$41))</f>
        <v>0</v>
      </c>
      <c r="MI28">
        <f t="array" ref="MI28">_xlfn.XLOOKUP(MI$11,Assumptions!$B$35:$H$35,_xlfn.XLOOKUP($C28,Assumptions!$B$36:$B$41,Assumptions!$B$36:$H$41))</f>
        <v>0</v>
      </c>
      <c r="MJ28">
        <f t="array" ref="MJ28">_xlfn.XLOOKUP(MJ$11,Assumptions!$B$35:$H$35,_xlfn.XLOOKUP($C28,Assumptions!$B$36:$B$41,Assumptions!$B$36:$H$41))</f>
        <v>0</v>
      </c>
      <c r="MK28">
        <f t="array" ref="MK28">_xlfn.XLOOKUP(MK$11,Assumptions!$B$35:$H$35,_xlfn.XLOOKUP($C28,Assumptions!$B$36:$B$41,Assumptions!$B$36:$H$41))</f>
        <v>0</v>
      </c>
      <c r="ML28">
        <f t="array" ref="ML28">_xlfn.XLOOKUP(ML$11,Assumptions!$B$35:$H$35,_xlfn.XLOOKUP($C28,Assumptions!$B$36:$B$41,Assumptions!$B$36:$H$41))</f>
        <v>0</v>
      </c>
      <c r="MM28">
        <f t="array" ref="MM28">_xlfn.XLOOKUP(MM$11,Assumptions!$B$35:$H$35,_xlfn.XLOOKUP($C28,Assumptions!$B$36:$B$41,Assumptions!$B$36:$H$41))</f>
        <v>0</v>
      </c>
      <c r="MN28">
        <f t="array" ref="MN28">_xlfn.XLOOKUP(MN$11,Assumptions!$B$35:$H$35,_xlfn.XLOOKUP($C28,Assumptions!$B$36:$B$41,Assumptions!$B$36:$H$41))</f>
        <v>0</v>
      </c>
      <c r="MO28">
        <f t="array" ref="MO28">_xlfn.XLOOKUP(MO$11,Assumptions!$B$35:$H$35,_xlfn.XLOOKUP($C28,Assumptions!$B$36:$B$41,Assumptions!$B$36:$H$41))</f>
        <v>0</v>
      </c>
      <c r="MP28">
        <f t="array" ref="MP28">_xlfn.XLOOKUP(MP$11,Assumptions!$B$35:$H$35,_xlfn.XLOOKUP($C28,Assumptions!$B$36:$B$41,Assumptions!$B$36:$H$41))</f>
        <v>0</v>
      </c>
      <c r="MQ28">
        <f t="array" ref="MQ28">_xlfn.XLOOKUP(MQ$11,Assumptions!$B$35:$H$35,_xlfn.XLOOKUP($C28,Assumptions!$B$36:$B$41,Assumptions!$B$36:$H$41))</f>
        <v>0</v>
      </c>
      <c r="MR28">
        <f t="array" ref="MR28">_xlfn.XLOOKUP(MR$11,Assumptions!$B$35:$H$35,_xlfn.XLOOKUP($C28,Assumptions!$B$36:$B$41,Assumptions!$B$36:$H$41))</f>
        <v>0</v>
      </c>
      <c r="MS28">
        <f t="array" ref="MS28">_xlfn.XLOOKUP(MS$11,Assumptions!$B$35:$H$35,_xlfn.XLOOKUP($C28,Assumptions!$B$36:$B$41,Assumptions!$B$36:$H$41))</f>
        <v>0</v>
      </c>
      <c r="MT28">
        <f t="array" ref="MT28">_xlfn.XLOOKUP(MT$11,Assumptions!$B$35:$H$35,_xlfn.XLOOKUP($C28,Assumptions!$B$36:$B$41,Assumptions!$B$36:$H$41))</f>
        <v>0</v>
      </c>
      <c r="MU28">
        <f t="array" ref="MU28">_xlfn.XLOOKUP(MU$11,Assumptions!$B$35:$H$35,_xlfn.XLOOKUP($C28,Assumptions!$B$36:$B$41,Assumptions!$B$36:$H$41))</f>
        <v>0</v>
      </c>
      <c r="MV28">
        <f t="array" ref="MV28">_xlfn.XLOOKUP(MV$11,Assumptions!$B$35:$H$35,_xlfn.XLOOKUP($C28,Assumptions!$B$36:$B$41,Assumptions!$B$36:$H$41))</f>
        <v>0</v>
      </c>
      <c r="MW28">
        <f t="array" ref="MW28">_xlfn.XLOOKUP(MW$11,Assumptions!$B$35:$H$35,_xlfn.XLOOKUP($C28,Assumptions!$B$36:$B$41,Assumptions!$B$36:$H$41))</f>
        <v>0</v>
      </c>
      <c r="MX28">
        <f t="array" ref="MX28">_xlfn.XLOOKUP(MX$11,Assumptions!$B$35:$H$35,_xlfn.XLOOKUP($C28,Assumptions!$B$36:$B$41,Assumptions!$B$36:$H$41))</f>
        <v>0</v>
      </c>
      <c r="MY28">
        <f t="array" ref="MY28">_xlfn.XLOOKUP(MY$11,Assumptions!$B$35:$H$35,_xlfn.XLOOKUP($C28,Assumptions!$B$36:$B$41,Assumptions!$B$36:$H$41))</f>
        <v>0</v>
      </c>
      <c r="MZ28">
        <f t="array" ref="MZ28">_xlfn.XLOOKUP(MZ$11,Assumptions!$B$35:$H$35,_xlfn.XLOOKUP($C28,Assumptions!$B$36:$B$41,Assumptions!$B$36:$H$41))</f>
        <v>0</v>
      </c>
      <c r="NA28">
        <f t="array" ref="NA28">_xlfn.XLOOKUP(NA$11,Assumptions!$B$35:$H$35,_xlfn.XLOOKUP($C28,Assumptions!$B$36:$B$41,Assumptions!$B$36:$H$41))</f>
        <v>0</v>
      </c>
      <c r="NB28">
        <f t="array" ref="NB28">_xlfn.XLOOKUP(NB$11,Assumptions!$B$35:$H$35,_xlfn.XLOOKUP($C28,Assumptions!$B$36:$B$41,Assumptions!$B$36:$H$41))</f>
        <v>0</v>
      </c>
      <c r="NC28">
        <f t="array" ref="NC28">_xlfn.XLOOKUP(NC$11,Assumptions!$B$35:$H$35,_xlfn.XLOOKUP($C28,Assumptions!$B$36:$B$41,Assumptions!$B$36:$H$41))</f>
        <v>0</v>
      </c>
      <c r="ND28">
        <f t="array" ref="ND28">_xlfn.XLOOKUP(ND$11,Assumptions!$B$35:$H$35,_xlfn.XLOOKUP($C28,Assumptions!$B$36:$B$41,Assumptions!$B$36:$H$41))</f>
        <v>0</v>
      </c>
      <c r="NE28">
        <f t="array" ref="NE28">_xlfn.XLOOKUP(NE$11,Assumptions!$B$35:$H$35,_xlfn.XLOOKUP($C28,Assumptions!$B$36:$B$41,Assumptions!$B$36:$H$41))</f>
        <v>0</v>
      </c>
      <c r="NF28">
        <f t="array" ref="NF28">_xlfn.XLOOKUP(NF$11,Assumptions!$B$35:$H$35,_xlfn.XLOOKUP($C28,Assumptions!$B$36:$B$41,Assumptions!$B$36:$H$41))</f>
        <v>0</v>
      </c>
      <c r="NG28">
        <f t="array" ref="NG28">_xlfn.XLOOKUP(NG$11,Assumptions!$B$35:$H$35,_xlfn.XLOOKUP($C28,Assumptions!$B$36:$B$41,Assumptions!$B$36:$H$41))</f>
        <v>0</v>
      </c>
      <c r="NH28">
        <f t="array" ref="NH28">_xlfn.XLOOKUP(NH$11,Assumptions!$B$35:$H$35,_xlfn.XLOOKUP($C28,Assumptions!$B$36:$B$41,Assumptions!$B$36:$H$41))</f>
        <v>0</v>
      </c>
      <c r="NI28">
        <f t="array" ref="NI28">_xlfn.XLOOKUP(NI$11,Assumptions!$B$35:$H$35,_xlfn.XLOOKUP($C28,Assumptions!$B$36:$B$41,Assumptions!$B$36:$H$41))</f>
        <v>0</v>
      </c>
      <c r="NJ28">
        <f t="array" ref="NJ28">_xlfn.XLOOKUP(NJ$11,Assumptions!$B$35:$H$35,_xlfn.XLOOKUP($C28,Assumptions!$B$36:$B$41,Assumptions!$B$36:$H$41))</f>
        <v>0</v>
      </c>
      <c r="NK28">
        <f t="array" ref="NK28">_xlfn.XLOOKUP(NK$11,Assumptions!$B$35:$H$35,_xlfn.XLOOKUP($C28,Assumptions!$B$36:$B$41,Assumptions!$B$36:$H$41))</f>
        <v>0</v>
      </c>
      <c r="NL28">
        <f t="array" ref="NL28">_xlfn.XLOOKUP(NL$11,Assumptions!$B$35:$H$35,_xlfn.XLOOKUP($C28,Assumptions!$B$36:$B$41,Assumptions!$B$36:$H$41))</f>
        <v>0</v>
      </c>
      <c r="NM28">
        <f t="array" ref="NM28">_xlfn.XLOOKUP(NM$11,Assumptions!$B$35:$H$35,_xlfn.XLOOKUP($C28,Assumptions!$B$36:$B$41,Assumptions!$B$36:$H$41))</f>
        <v>0</v>
      </c>
      <c r="NN28">
        <f t="array" ref="NN28">_xlfn.XLOOKUP(NN$11,Assumptions!$B$35:$H$35,_xlfn.XLOOKUP($C28,Assumptions!$B$36:$B$41,Assumptions!$B$36:$H$41))</f>
        <v>0</v>
      </c>
      <c r="NO28">
        <f t="array" ref="NO28">_xlfn.XLOOKUP(NO$11,Assumptions!$B$35:$H$35,_xlfn.XLOOKUP($C28,Assumptions!$B$36:$B$41,Assumptions!$B$36:$H$41))</f>
        <v>0</v>
      </c>
      <c r="NP28">
        <f t="array" ref="NP28">_xlfn.XLOOKUP(NP$11,Assumptions!$B$35:$H$35,_xlfn.XLOOKUP($C28,Assumptions!$B$36:$B$41,Assumptions!$B$36:$H$41))</f>
        <v>0</v>
      </c>
      <c r="NQ28">
        <f t="array" ref="NQ28">_xlfn.XLOOKUP(NQ$11,Assumptions!$B$35:$H$35,_xlfn.XLOOKUP($C28,Assumptions!$B$36:$B$41,Assumptions!$B$36:$H$41))</f>
        <v>0</v>
      </c>
      <c r="NR28">
        <f t="array" ref="NR28">_xlfn.XLOOKUP(NR$11,Assumptions!$B$35:$H$35,_xlfn.XLOOKUP($C28,Assumptions!$B$36:$B$41,Assumptions!$B$36:$H$41))</f>
        <v>0</v>
      </c>
      <c r="NS28">
        <f t="array" ref="NS28">_xlfn.XLOOKUP(NS$11,Assumptions!$B$35:$H$35,_xlfn.XLOOKUP($C28,Assumptions!$B$36:$B$41,Assumptions!$B$36:$H$41))</f>
        <v>0</v>
      </c>
      <c r="NT28">
        <f t="array" ref="NT28">_xlfn.XLOOKUP(NT$11,Assumptions!$B$35:$H$35,_xlfn.XLOOKUP($C28,Assumptions!$B$36:$B$41,Assumptions!$B$36:$H$41))</f>
        <v>0</v>
      </c>
      <c r="NU28">
        <f t="array" ref="NU28">_xlfn.XLOOKUP(NU$11,Assumptions!$B$35:$H$35,_xlfn.XLOOKUP($C28,Assumptions!$B$36:$B$41,Assumptions!$B$36:$H$41))</f>
        <v>0</v>
      </c>
      <c r="NV28">
        <f t="array" ref="NV28">_xlfn.XLOOKUP(NV$11,Assumptions!$B$35:$H$35,_xlfn.XLOOKUP($C28,Assumptions!$B$36:$B$41,Assumptions!$B$36:$H$41))</f>
        <v>0</v>
      </c>
      <c r="NW28">
        <f t="array" ref="NW28">_xlfn.XLOOKUP(NW$11,Assumptions!$B$35:$H$35,_xlfn.XLOOKUP($C28,Assumptions!$B$36:$B$41,Assumptions!$B$36:$H$41))</f>
        <v>0</v>
      </c>
      <c r="NX28">
        <f t="array" ref="NX28">_xlfn.XLOOKUP(NX$11,Assumptions!$B$35:$H$35,_xlfn.XLOOKUP($C28,Assumptions!$B$36:$B$41,Assumptions!$B$36:$H$41))</f>
        <v>0</v>
      </c>
      <c r="NY28">
        <f t="array" ref="NY28">_xlfn.XLOOKUP(NY$11,Assumptions!$B$35:$H$35,_xlfn.XLOOKUP($C28,Assumptions!$B$36:$B$41,Assumptions!$B$36:$H$41))</f>
        <v>0</v>
      </c>
      <c r="NZ28">
        <f t="array" ref="NZ28">_xlfn.XLOOKUP(NZ$11,Assumptions!$B$35:$H$35,_xlfn.XLOOKUP($C28,Assumptions!$B$36:$B$41,Assumptions!$B$36:$H$41))</f>
        <v>0</v>
      </c>
      <c r="OA28">
        <f t="array" ref="OA28">_xlfn.XLOOKUP(OA$11,Assumptions!$B$35:$H$35,_xlfn.XLOOKUP($C28,Assumptions!$B$36:$B$41,Assumptions!$B$36:$H$41))</f>
        <v>0</v>
      </c>
      <c r="OB28">
        <f t="array" ref="OB28">_xlfn.XLOOKUP(OB$11,Assumptions!$B$35:$H$35,_xlfn.XLOOKUP($C28,Assumptions!$B$36:$B$41,Assumptions!$B$36:$H$41))</f>
        <v>0</v>
      </c>
      <c r="OC28">
        <f t="array" ref="OC28">_xlfn.XLOOKUP(OC$11,Assumptions!$B$35:$H$35,_xlfn.XLOOKUP($C28,Assumptions!$B$36:$B$41,Assumptions!$B$36:$H$41))</f>
        <v>0</v>
      </c>
      <c r="OD28">
        <f t="array" ref="OD28">_xlfn.XLOOKUP(OD$11,Assumptions!$B$35:$H$35,_xlfn.XLOOKUP($C28,Assumptions!$B$36:$B$41,Assumptions!$B$36:$H$41))</f>
        <v>0</v>
      </c>
      <c r="OE28">
        <f t="array" ref="OE28">_xlfn.XLOOKUP(OE$11,Assumptions!$B$35:$H$35,_xlfn.XLOOKUP($C28,Assumptions!$B$36:$B$41,Assumptions!$B$36:$H$41))</f>
        <v>0</v>
      </c>
      <c r="OF28">
        <f t="array" ref="OF28">_xlfn.XLOOKUP(OF$11,Assumptions!$B$35:$H$35,_xlfn.XLOOKUP($C28,Assumptions!$B$36:$B$41,Assumptions!$B$36:$H$41))</f>
        <v>0</v>
      </c>
      <c r="OG28">
        <f t="array" ref="OG28">_xlfn.XLOOKUP(OG$11,Assumptions!$B$35:$H$35,_xlfn.XLOOKUP($C28,Assumptions!$B$36:$B$41,Assumptions!$B$36:$H$41))</f>
        <v>0</v>
      </c>
      <c r="OH28">
        <f t="array" ref="OH28">_xlfn.XLOOKUP(OH$11,Assumptions!$B$35:$H$35,_xlfn.XLOOKUP($C28,Assumptions!$B$36:$B$41,Assumptions!$B$36:$H$41))</f>
        <v>0</v>
      </c>
      <c r="OI28">
        <f t="array" ref="OI28">_xlfn.XLOOKUP(OI$11,Assumptions!$B$35:$H$35,_xlfn.XLOOKUP($C28,Assumptions!$B$36:$B$41,Assumptions!$B$36:$H$41))</f>
        <v>0</v>
      </c>
      <c r="OJ28">
        <f t="array" ref="OJ28">_xlfn.XLOOKUP(OJ$11,Assumptions!$B$35:$H$35,_xlfn.XLOOKUP($C28,Assumptions!$B$36:$B$41,Assumptions!$B$36:$H$41))</f>
        <v>0</v>
      </c>
      <c r="OK28">
        <f t="array" ref="OK28">_xlfn.XLOOKUP(OK$11,Assumptions!$B$35:$H$35,_xlfn.XLOOKUP($C28,Assumptions!$B$36:$B$41,Assumptions!$B$36:$H$41))</f>
        <v>0</v>
      </c>
      <c r="OL28">
        <f t="array" ref="OL28">_xlfn.XLOOKUP(OL$11,Assumptions!$B$35:$H$35,_xlfn.XLOOKUP($C28,Assumptions!$B$36:$B$41,Assumptions!$B$36:$H$41))</f>
        <v>0</v>
      </c>
      <c r="OM28">
        <f t="array" ref="OM28">_xlfn.XLOOKUP(OM$11,Assumptions!$B$35:$H$35,_xlfn.XLOOKUP($C28,Assumptions!$B$36:$B$41,Assumptions!$B$36:$H$41))</f>
        <v>0</v>
      </c>
      <c r="ON28">
        <f t="array" ref="ON28">_xlfn.XLOOKUP(ON$11,Assumptions!$B$35:$H$35,_xlfn.XLOOKUP($C28,Assumptions!$B$36:$B$41,Assumptions!$B$36:$H$41))</f>
        <v>0</v>
      </c>
      <c r="OO28">
        <f t="array" ref="OO28">_xlfn.XLOOKUP(OO$11,Assumptions!$B$35:$H$35,_xlfn.XLOOKUP($C28,Assumptions!$B$36:$B$41,Assumptions!$B$36:$H$41))</f>
        <v>0</v>
      </c>
      <c r="OP28">
        <f t="array" ref="OP28">_xlfn.XLOOKUP(OP$11,Assumptions!$B$35:$H$35,_xlfn.XLOOKUP($C28,Assumptions!$B$36:$B$41,Assumptions!$B$36:$H$41))</f>
        <v>0</v>
      </c>
      <c r="OQ28">
        <f t="array" ref="OQ28">_xlfn.XLOOKUP(OQ$11,Assumptions!$B$35:$H$35,_xlfn.XLOOKUP($C28,Assumptions!$B$36:$B$41,Assumptions!$B$36:$H$41))</f>
        <v>0</v>
      </c>
      <c r="OR28">
        <f t="array" ref="OR28">_xlfn.XLOOKUP(OR$11,Assumptions!$B$35:$H$35,_xlfn.XLOOKUP($C28,Assumptions!$B$36:$B$41,Assumptions!$B$36:$H$41))</f>
        <v>0</v>
      </c>
      <c r="OS28">
        <f t="array" ref="OS28">_xlfn.XLOOKUP(OS$11,Assumptions!$B$35:$H$35,_xlfn.XLOOKUP($C28,Assumptions!$B$36:$B$41,Assumptions!$B$36:$H$41))</f>
        <v>0</v>
      </c>
      <c r="OT28">
        <f t="array" ref="OT28">_xlfn.XLOOKUP(OT$11,Assumptions!$B$35:$H$35,_xlfn.XLOOKUP($C28,Assumptions!$B$36:$B$41,Assumptions!$B$36:$H$41))</f>
        <v>0</v>
      </c>
      <c r="OU28">
        <f t="array" ref="OU28">_xlfn.XLOOKUP(OU$11,Assumptions!$B$35:$H$35,_xlfn.XLOOKUP($C28,Assumptions!$B$36:$B$41,Assumptions!$B$36:$H$41))</f>
        <v>0</v>
      </c>
      <c r="OV28">
        <f t="array" ref="OV28">_xlfn.XLOOKUP(OV$11,Assumptions!$B$35:$H$35,_xlfn.XLOOKUP($C28,Assumptions!$B$36:$B$41,Assumptions!$B$36:$H$41))</f>
        <v>0</v>
      </c>
      <c r="OW28">
        <f t="array" ref="OW28">_xlfn.XLOOKUP(OW$11,Assumptions!$B$35:$H$35,_xlfn.XLOOKUP($C28,Assumptions!$B$36:$B$41,Assumptions!$B$36:$H$41))</f>
        <v>0</v>
      </c>
      <c r="OX28">
        <f t="array" ref="OX28">_xlfn.XLOOKUP(OX$11,Assumptions!$B$35:$H$35,_xlfn.XLOOKUP($C28,Assumptions!$B$36:$B$41,Assumptions!$B$36:$H$41))</f>
        <v>0</v>
      </c>
      <c r="OY28">
        <f t="array" ref="OY28">_xlfn.XLOOKUP(OY$11,Assumptions!$B$35:$H$35,_xlfn.XLOOKUP($C28,Assumptions!$B$36:$B$41,Assumptions!$B$36:$H$41))</f>
        <v>0</v>
      </c>
      <c r="OZ28">
        <f t="array" ref="OZ28">_xlfn.XLOOKUP(OZ$11,Assumptions!$B$35:$H$35,_xlfn.XLOOKUP($C28,Assumptions!$B$36:$B$41,Assumptions!$B$36:$H$41))</f>
        <v>0</v>
      </c>
      <c r="PA28">
        <f t="array" ref="PA28">_xlfn.XLOOKUP(PA$11,Assumptions!$B$35:$H$35,_xlfn.XLOOKUP($C28,Assumptions!$B$36:$B$41,Assumptions!$B$36:$H$41))</f>
        <v>0</v>
      </c>
      <c r="PB28">
        <f t="array" ref="PB28">_xlfn.XLOOKUP(PB$11,Assumptions!$B$35:$H$35,_xlfn.XLOOKUP($C28,Assumptions!$B$36:$B$41,Assumptions!$B$36:$H$41))</f>
        <v>0</v>
      </c>
      <c r="PC28">
        <f t="array" ref="PC28">_xlfn.XLOOKUP(PC$11,Assumptions!$B$35:$H$35,_xlfn.XLOOKUP($C28,Assumptions!$B$36:$B$41,Assumptions!$B$36:$H$41))</f>
        <v>0</v>
      </c>
      <c r="PD28">
        <f t="array" ref="PD28">_xlfn.XLOOKUP(PD$11,Assumptions!$B$35:$H$35,_xlfn.XLOOKUP($C28,Assumptions!$B$36:$B$41,Assumptions!$B$36:$H$41))</f>
        <v>0</v>
      </c>
      <c r="PE28">
        <f t="array" ref="PE28">_xlfn.XLOOKUP(PE$11,Assumptions!$B$35:$H$35,_xlfn.XLOOKUP($C28,Assumptions!$B$36:$B$41,Assumptions!$B$36:$H$41))</f>
        <v>0</v>
      </c>
      <c r="PF28">
        <f t="array" ref="PF28">_xlfn.XLOOKUP(PF$11,Assumptions!$B$35:$H$35,_xlfn.XLOOKUP($C28,Assumptions!$B$36:$B$41,Assumptions!$B$36:$H$41))</f>
        <v>0</v>
      </c>
      <c r="PG28">
        <f t="array" ref="PG28">_xlfn.XLOOKUP(PG$11,Assumptions!$B$35:$H$35,_xlfn.XLOOKUP($C28,Assumptions!$B$36:$B$41,Assumptions!$B$36:$H$41))</f>
        <v>0</v>
      </c>
      <c r="PH28">
        <f t="array" ref="PH28">_xlfn.XLOOKUP(PH$11,Assumptions!$B$35:$H$35,_xlfn.XLOOKUP($C28,Assumptions!$B$36:$B$41,Assumptions!$B$36:$H$41))</f>
        <v>0</v>
      </c>
      <c r="PI28">
        <f t="array" ref="PI28">_xlfn.XLOOKUP(PI$11,Assumptions!$B$35:$H$35,_xlfn.XLOOKUP($C28,Assumptions!$B$36:$B$41,Assumptions!$B$36:$H$41))</f>
        <v>0</v>
      </c>
      <c r="PJ28">
        <f t="array" ref="PJ28">_xlfn.XLOOKUP(PJ$11,Assumptions!$B$35:$H$35,_xlfn.XLOOKUP($C28,Assumptions!$B$36:$B$41,Assumptions!$B$36:$H$41))</f>
        <v>0</v>
      </c>
      <c r="PK28">
        <f t="array" ref="PK28">_xlfn.XLOOKUP(PK$11,Assumptions!$B$35:$H$35,_xlfn.XLOOKUP($C28,Assumptions!$B$36:$B$41,Assumptions!$B$36:$H$41))</f>
        <v>0</v>
      </c>
      <c r="PL28">
        <f t="array" ref="PL28">_xlfn.XLOOKUP(PL$11,Assumptions!$B$35:$H$35,_xlfn.XLOOKUP($C28,Assumptions!$B$36:$B$41,Assumptions!$B$36:$H$41))</f>
        <v>0</v>
      </c>
      <c r="PM28">
        <f t="array" ref="PM28">_xlfn.XLOOKUP(PM$11,Assumptions!$B$35:$H$35,_xlfn.XLOOKUP($C28,Assumptions!$B$36:$B$41,Assumptions!$B$36:$H$41))</f>
        <v>0</v>
      </c>
      <c r="PN28">
        <f t="array" ref="PN28">_xlfn.XLOOKUP(PN$11,Assumptions!$B$35:$H$35,_xlfn.XLOOKUP($C28,Assumptions!$B$36:$B$41,Assumptions!$B$36:$H$41))</f>
        <v>0</v>
      </c>
      <c r="PO28">
        <f t="array" ref="PO28">_xlfn.XLOOKUP(PO$11,Assumptions!$B$35:$H$35,_xlfn.XLOOKUP($C28,Assumptions!$B$36:$B$41,Assumptions!$B$36:$H$41))</f>
        <v>0</v>
      </c>
      <c r="PP28">
        <f t="array" ref="PP28">_xlfn.XLOOKUP(PP$11,Assumptions!$B$35:$H$35,_xlfn.XLOOKUP($C28,Assumptions!$B$36:$B$41,Assumptions!$B$36:$H$41))</f>
        <v>0</v>
      </c>
      <c r="PQ28">
        <f t="array" ref="PQ28">_xlfn.XLOOKUP(PQ$11,Assumptions!$B$35:$H$35,_xlfn.XLOOKUP($C28,Assumptions!$B$36:$B$41,Assumptions!$B$36:$H$41))</f>
        <v>0</v>
      </c>
      <c r="PR28">
        <f t="array" ref="PR28">_xlfn.XLOOKUP(PR$11,Assumptions!$B$35:$H$35,_xlfn.XLOOKUP($C28,Assumptions!$B$36:$B$41,Assumptions!$B$36:$H$41))</f>
        <v>0</v>
      </c>
      <c r="PS28">
        <f t="array" ref="PS28">_xlfn.XLOOKUP(PS$11,Assumptions!$B$35:$H$35,_xlfn.XLOOKUP($C28,Assumptions!$B$36:$B$41,Assumptions!$B$36:$H$41))</f>
        <v>0</v>
      </c>
      <c r="PT28">
        <f t="array" ref="PT28">_xlfn.XLOOKUP(PT$11,Assumptions!$B$35:$H$35,_xlfn.XLOOKUP($C28,Assumptions!$B$36:$B$41,Assumptions!$B$36:$H$41))</f>
        <v>0</v>
      </c>
      <c r="PU28">
        <f t="array" ref="PU28">_xlfn.XLOOKUP(PU$11,Assumptions!$B$35:$H$35,_xlfn.XLOOKUP($C28,Assumptions!$B$36:$B$41,Assumptions!$B$36:$H$41))</f>
        <v>0</v>
      </c>
      <c r="PV28">
        <f t="array" ref="PV28">_xlfn.XLOOKUP(PV$11,Assumptions!$B$35:$H$35,_xlfn.XLOOKUP($C28,Assumptions!$B$36:$B$41,Assumptions!$B$36:$H$41))</f>
        <v>0</v>
      </c>
      <c r="PW28">
        <f t="array" ref="PW28">_xlfn.XLOOKUP(PW$11,Assumptions!$B$35:$H$35,_xlfn.XLOOKUP($C28,Assumptions!$B$36:$B$41,Assumptions!$B$36:$H$41))</f>
        <v>0</v>
      </c>
      <c r="PX28">
        <f t="array" ref="PX28">_xlfn.XLOOKUP(PX$11,Assumptions!$B$35:$H$35,_xlfn.XLOOKUP($C28,Assumptions!$B$36:$B$41,Assumptions!$B$36:$H$41))</f>
        <v>0</v>
      </c>
      <c r="PY28">
        <f t="array" ref="PY28">_xlfn.XLOOKUP(PY$11,Assumptions!$B$35:$H$35,_xlfn.XLOOKUP($C28,Assumptions!$B$36:$B$41,Assumptions!$B$36:$H$41))</f>
        <v>0</v>
      </c>
      <c r="PZ28">
        <f t="array" ref="PZ28">_xlfn.XLOOKUP(PZ$11,Assumptions!$B$35:$H$35,_xlfn.XLOOKUP($C28,Assumptions!$B$36:$B$41,Assumptions!$B$36:$H$41))</f>
        <v>0</v>
      </c>
      <c r="QA28">
        <f t="array" ref="QA28">_xlfn.XLOOKUP(QA$11,Assumptions!$B$35:$H$35,_xlfn.XLOOKUP($C28,Assumptions!$B$36:$B$41,Assumptions!$B$36:$H$41))</f>
        <v>0</v>
      </c>
      <c r="QB28">
        <f t="array" ref="QB28">_xlfn.XLOOKUP(QB$11,Assumptions!$B$35:$H$35,_xlfn.XLOOKUP($C28,Assumptions!$B$36:$B$41,Assumptions!$B$36:$H$41))</f>
        <v>0</v>
      </c>
      <c r="QC28">
        <f t="array" ref="QC28">_xlfn.XLOOKUP(QC$11,Assumptions!$B$35:$H$35,_xlfn.XLOOKUP($C28,Assumptions!$B$36:$B$41,Assumptions!$B$36:$H$41))</f>
        <v>0</v>
      </c>
      <c r="QD28">
        <f t="array" ref="QD28">_xlfn.XLOOKUP(QD$11,Assumptions!$B$35:$H$35,_xlfn.XLOOKUP($C28,Assumptions!$B$36:$B$41,Assumptions!$B$36:$H$41))</f>
        <v>0</v>
      </c>
      <c r="QE28">
        <f t="array" ref="QE28">_xlfn.XLOOKUP(QE$11,Assumptions!$B$35:$H$35,_xlfn.XLOOKUP($C28,Assumptions!$B$36:$B$41,Assumptions!$B$36:$H$41))</f>
        <v>0</v>
      </c>
      <c r="QF28">
        <f t="array" ref="QF28">_xlfn.XLOOKUP(QF$11,Assumptions!$B$35:$H$35,_xlfn.XLOOKUP($C28,Assumptions!$B$36:$B$41,Assumptions!$B$36:$H$41))</f>
        <v>0</v>
      </c>
      <c r="QG28">
        <f t="array" ref="QG28">_xlfn.XLOOKUP(QG$11,Assumptions!$B$35:$H$35,_xlfn.XLOOKUP($C28,Assumptions!$B$36:$B$41,Assumptions!$B$36:$H$41))</f>
        <v>0</v>
      </c>
      <c r="QH28">
        <f t="array" ref="QH28">_xlfn.XLOOKUP(QH$11,Assumptions!$B$35:$H$35,_xlfn.XLOOKUP($C28,Assumptions!$B$36:$B$41,Assumptions!$B$36:$H$41))</f>
        <v>0</v>
      </c>
      <c r="QI28">
        <f t="array" ref="QI28">_xlfn.XLOOKUP(QI$11,Assumptions!$B$35:$H$35,_xlfn.XLOOKUP($C28,Assumptions!$B$36:$B$41,Assumptions!$B$36:$H$41))</f>
        <v>0</v>
      </c>
      <c r="QJ28">
        <f t="array" ref="QJ28">_xlfn.XLOOKUP(QJ$11,Assumptions!$B$35:$H$35,_xlfn.XLOOKUP($C28,Assumptions!$B$36:$B$41,Assumptions!$B$36:$H$41))</f>
        <v>0</v>
      </c>
      <c r="QK28">
        <f t="array" ref="QK28">_xlfn.XLOOKUP(QK$11,Assumptions!$B$35:$H$35,_xlfn.XLOOKUP($C28,Assumptions!$B$36:$B$41,Assumptions!$B$36:$H$41))</f>
        <v>0</v>
      </c>
      <c r="QL28">
        <f t="array" ref="QL28">_xlfn.XLOOKUP(QL$11,Assumptions!$B$35:$H$35,_xlfn.XLOOKUP($C28,Assumptions!$B$36:$B$41,Assumptions!$B$36:$H$41))</f>
        <v>0</v>
      </c>
      <c r="QM28">
        <f t="array" ref="QM28">_xlfn.XLOOKUP(QM$11,Assumptions!$B$35:$H$35,_xlfn.XLOOKUP($C28,Assumptions!$B$36:$B$41,Assumptions!$B$36:$H$41))</f>
        <v>0</v>
      </c>
      <c r="QN28">
        <f t="array" ref="QN28">_xlfn.XLOOKUP(QN$11,Assumptions!$B$35:$H$35,_xlfn.XLOOKUP($C28,Assumptions!$B$36:$B$41,Assumptions!$B$36:$H$41))</f>
        <v>0</v>
      </c>
      <c r="QO28">
        <f t="array" ref="QO28">_xlfn.XLOOKUP(QO$11,Assumptions!$B$35:$H$35,_xlfn.XLOOKUP($C28,Assumptions!$B$36:$B$41,Assumptions!$B$36:$H$41))</f>
        <v>0</v>
      </c>
      <c r="QP28">
        <f t="array" ref="QP28">_xlfn.XLOOKUP(QP$11,Assumptions!$B$35:$H$35,_xlfn.XLOOKUP($C28,Assumptions!$B$36:$B$41,Assumptions!$B$36:$H$41))</f>
        <v>0</v>
      </c>
      <c r="QQ28">
        <f t="array" ref="QQ28">_xlfn.XLOOKUP(QQ$11,Assumptions!$B$35:$H$35,_xlfn.XLOOKUP($C28,Assumptions!$B$36:$B$41,Assumptions!$B$36:$H$41))</f>
        <v>0</v>
      </c>
      <c r="QR28">
        <f t="array" ref="QR28">_xlfn.XLOOKUP(QR$11,Assumptions!$B$35:$H$35,_xlfn.XLOOKUP($C28,Assumptions!$B$36:$B$41,Assumptions!$B$36:$H$41))</f>
        <v>0</v>
      </c>
      <c r="QS28">
        <f t="array" ref="QS28">_xlfn.XLOOKUP(QS$11,Assumptions!$B$35:$H$35,_xlfn.XLOOKUP($C28,Assumptions!$B$36:$B$41,Assumptions!$B$36:$H$41))</f>
        <v>0</v>
      </c>
      <c r="QT28">
        <f t="array" ref="QT28">_xlfn.XLOOKUP(QT$11,Assumptions!$B$35:$H$35,_xlfn.XLOOKUP($C28,Assumptions!$B$36:$B$41,Assumptions!$B$36:$H$41))</f>
        <v>0</v>
      </c>
      <c r="QU28">
        <f t="array" ref="QU28">_xlfn.XLOOKUP(QU$11,Assumptions!$B$35:$H$35,_xlfn.XLOOKUP($C28,Assumptions!$B$36:$B$41,Assumptions!$B$36:$H$41))</f>
        <v>0</v>
      </c>
      <c r="QV28">
        <f t="array" ref="QV28">_xlfn.XLOOKUP(QV$11,Assumptions!$B$35:$H$35,_xlfn.XLOOKUP($C28,Assumptions!$B$36:$B$41,Assumptions!$B$36:$H$41))</f>
        <v>0</v>
      </c>
      <c r="QW28">
        <f t="array" ref="QW28">_xlfn.XLOOKUP(QW$11,Assumptions!$B$35:$H$35,_xlfn.XLOOKUP($C28,Assumptions!$B$36:$B$41,Assumptions!$B$36:$H$41))</f>
        <v>0</v>
      </c>
      <c r="QX28">
        <f t="array" ref="QX28">_xlfn.XLOOKUP(QX$11,Assumptions!$B$35:$H$35,_xlfn.XLOOKUP($C28,Assumptions!$B$36:$B$41,Assumptions!$B$36:$H$41))</f>
        <v>0</v>
      </c>
      <c r="QY28">
        <f t="array" ref="QY28">_xlfn.XLOOKUP(QY$11,Assumptions!$B$35:$H$35,_xlfn.XLOOKUP($C28,Assumptions!$B$36:$B$41,Assumptions!$B$36:$H$41))</f>
        <v>0</v>
      </c>
      <c r="QZ28">
        <f t="array" ref="QZ28">_xlfn.XLOOKUP(QZ$11,Assumptions!$B$35:$H$35,_xlfn.XLOOKUP($C28,Assumptions!$B$36:$B$41,Assumptions!$B$36:$H$41))</f>
        <v>0</v>
      </c>
      <c r="RA28">
        <f t="array" ref="RA28">_xlfn.XLOOKUP(RA$11,Assumptions!$B$35:$H$35,_xlfn.XLOOKUP($C28,Assumptions!$B$36:$B$41,Assumptions!$B$36:$H$41))</f>
        <v>0</v>
      </c>
      <c r="RB28">
        <f t="array" ref="RB28">_xlfn.XLOOKUP(RB$11,Assumptions!$B$35:$H$35,_xlfn.XLOOKUP($C28,Assumptions!$B$36:$B$41,Assumptions!$B$36:$H$41))</f>
        <v>0</v>
      </c>
      <c r="RC28">
        <f t="array" ref="RC28">_xlfn.XLOOKUP(RC$11,Assumptions!$B$35:$H$35,_xlfn.XLOOKUP($C28,Assumptions!$B$36:$B$41,Assumptions!$B$36:$H$41))</f>
        <v>0</v>
      </c>
      <c r="RD28">
        <f t="array" ref="RD28">_xlfn.XLOOKUP(RD$11,Assumptions!$B$35:$H$35,_xlfn.XLOOKUP($C28,Assumptions!$B$36:$B$41,Assumptions!$B$36:$H$41))</f>
        <v>0</v>
      </c>
      <c r="RE28">
        <f t="array" ref="RE28">_xlfn.XLOOKUP(RE$11,Assumptions!$B$35:$H$35,_xlfn.XLOOKUP($C28,Assumptions!$B$36:$B$41,Assumptions!$B$36:$H$41))</f>
        <v>0</v>
      </c>
      <c r="RF28">
        <f t="array" ref="RF28">_xlfn.XLOOKUP(RF$11,Assumptions!$B$35:$H$35,_xlfn.XLOOKUP($C28,Assumptions!$B$36:$B$41,Assumptions!$B$36:$H$41))</f>
        <v>0</v>
      </c>
      <c r="RG28">
        <f t="array" ref="RG28">_xlfn.XLOOKUP(RG$11,Assumptions!$B$35:$H$35,_xlfn.XLOOKUP($C28,Assumptions!$B$36:$B$41,Assumptions!$B$36:$H$41))</f>
        <v>0</v>
      </c>
      <c r="RH28">
        <f t="array" ref="RH28">_xlfn.XLOOKUP(RH$11,Assumptions!$B$35:$H$35,_xlfn.XLOOKUP($C28,Assumptions!$B$36:$B$41,Assumptions!$B$36:$H$41))</f>
        <v>0</v>
      </c>
      <c r="RI28">
        <f t="array" ref="RI28">_xlfn.XLOOKUP(RI$11,Assumptions!$B$35:$H$35,_xlfn.XLOOKUP($C28,Assumptions!$B$36:$B$41,Assumptions!$B$36:$H$41))</f>
        <v>0</v>
      </c>
      <c r="RJ28">
        <f t="array" ref="RJ28">_xlfn.XLOOKUP(RJ$11,Assumptions!$B$35:$H$35,_xlfn.XLOOKUP($C28,Assumptions!$B$36:$B$41,Assumptions!$B$36:$H$41))</f>
        <v>0</v>
      </c>
      <c r="RK28">
        <f t="array" ref="RK28">_xlfn.XLOOKUP(RK$11,Assumptions!$B$35:$H$35,_xlfn.XLOOKUP($C28,Assumptions!$B$36:$B$41,Assumptions!$B$36:$H$41))</f>
        <v>0</v>
      </c>
      <c r="RL28">
        <f t="array" ref="RL28">_xlfn.XLOOKUP(RL$11,Assumptions!$B$35:$H$35,_xlfn.XLOOKUP($C28,Assumptions!$B$36:$B$41,Assumptions!$B$36:$H$41))</f>
        <v>0</v>
      </c>
      <c r="RM28">
        <f t="array" ref="RM28">_xlfn.XLOOKUP(RM$11,Assumptions!$B$35:$H$35,_xlfn.XLOOKUP($C28,Assumptions!$B$36:$B$41,Assumptions!$B$36:$H$41))</f>
        <v>0</v>
      </c>
      <c r="RN28">
        <f t="array" ref="RN28">_xlfn.XLOOKUP(RN$11,Assumptions!$B$35:$H$35,_xlfn.XLOOKUP($C28,Assumptions!$B$36:$B$41,Assumptions!$B$36:$H$41))</f>
        <v>0</v>
      </c>
      <c r="RO28">
        <f t="array" ref="RO28">_xlfn.XLOOKUP(RO$11,Assumptions!$B$35:$H$35,_xlfn.XLOOKUP($C28,Assumptions!$B$36:$B$41,Assumptions!$B$36:$H$41))</f>
        <v>0</v>
      </c>
      <c r="RP28">
        <f t="array" ref="RP28">_xlfn.XLOOKUP(RP$11,Assumptions!$B$35:$H$35,_xlfn.XLOOKUP($C28,Assumptions!$B$36:$B$41,Assumptions!$B$36:$H$41))</f>
        <v>0</v>
      </c>
      <c r="RQ28">
        <f t="array" ref="RQ28">_xlfn.XLOOKUP(RQ$11,Assumptions!$B$35:$H$35,_xlfn.XLOOKUP($C28,Assumptions!$B$36:$B$41,Assumptions!$B$36:$H$41))</f>
        <v>0</v>
      </c>
      <c r="RR28">
        <f t="array" ref="RR28">_xlfn.XLOOKUP(RR$11,Assumptions!$B$35:$H$35,_xlfn.XLOOKUP($C28,Assumptions!$B$36:$B$41,Assumptions!$B$36:$H$41))</f>
        <v>0</v>
      </c>
      <c r="RS28">
        <f t="array" ref="RS28">_xlfn.XLOOKUP(RS$11,Assumptions!$B$35:$H$35,_xlfn.XLOOKUP($C28,Assumptions!$B$36:$B$41,Assumptions!$B$36:$H$41))</f>
        <v>0</v>
      </c>
      <c r="RT28">
        <f t="array" ref="RT28">_xlfn.XLOOKUP(RT$11,Assumptions!$B$35:$H$35,_xlfn.XLOOKUP($C28,Assumptions!$B$36:$B$41,Assumptions!$B$36:$H$41))</f>
        <v>0</v>
      </c>
      <c r="RU28">
        <f t="array" ref="RU28">_xlfn.XLOOKUP(RU$11,Assumptions!$B$35:$H$35,_xlfn.XLOOKUP($C28,Assumptions!$B$36:$B$41,Assumptions!$B$36:$H$41))</f>
        <v>0</v>
      </c>
      <c r="RV28">
        <f t="array" ref="RV28">_xlfn.XLOOKUP(RV$11,Assumptions!$B$35:$H$35,_xlfn.XLOOKUP($C28,Assumptions!$B$36:$B$41,Assumptions!$B$36:$H$41))</f>
        <v>0</v>
      </c>
      <c r="RW28">
        <f t="array" ref="RW28">_xlfn.XLOOKUP(RW$11,Assumptions!$B$35:$H$35,_xlfn.XLOOKUP($C28,Assumptions!$B$36:$B$41,Assumptions!$B$36:$H$41))</f>
        <v>0</v>
      </c>
      <c r="RX28">
        <f t="array" ref="RX28">_xlfn.XLOOKUP(RX$11,Assumptions!$B$35:$H$35,_xlfn.XLOOKUP($C28,Assumptions!$B$36:$B$41,Assumptions!$B$36:$H$41))</f>
        <v>0</v>
      </c>
      <c r="RY28">
        <f t="array" ref="RY28">_xlfn.XLOOKUP(RY$11,Assumptions!$B$35:$H$35,_xlfn.XLOOKUP($C28,Assumptions!$B$36:$B$41,Assumptions!$B$36:$H$41))</f>
        <v>0</v>
      </c>
      <c r="RZ28">
        <f t="array" ref="RZ28">_xlfn.XLOOKUP(RZ$11,Assumptions!$B$35:$H$35,_xlfn.XLOOKUP($C28,Assumptions!$B$36:$B$41,Assumptions!$B$36:$H$41))</f>
        <v>0</v>
      </c>
      <c r="SA28">
        <f t="array" ref="SA28">_xlfn.XLOOKUP(SA$11,Assumptions!$B$35:$H$35,_xlfn.XLOOKUP($C28,Assumptions!$B$36:$B$41,Assumptions!$B$36:$H$41))</f>
        <v>0</v>
      </c>
      <c r="SB28">
        <f t="array" ref="SB28">_xlfn.XLOOKUP(SB$11,Assumptions!$B$35:$H$35,_xlfn.XLOOKUP($C28,Assumptions!$B$36:$B$41,Assumptions!$B$36:$H$41))</f>
        <v>0</v>
      </c>
      <c r="SC28">
        <f t="array" ref="SC28">_xlfn.XLOOKUP(SC$11,Assumptions!$B$35:$H$35,_xlfn.XLOOKUP($C28,Assumptions!$B$36:$B$41,Assumptions!$B$36:$H$41))</f>
        <v>0</v>
      </c>
      <c r="SD28">
        <f t="array" ref="SD28">_xlfn.XLOOKUP(SD$11,Assumptions!$B$35:$H$35,_xlfn.XLOOKUP($C28,Assumptions!$B$36:$B$41,Assumptions!$B$36:$H$41))</f>
        <v>0</v>
      </c>
      <c r="SE28">
        <f t="array" ref="SE28">_xlfn.XLOOKUP(SE$11,Assumptions!$B$35:$H$35,_xlfn.XLOOKUP($C28,Assumptions!$B$36:$B$41,Assumptions!$B$36:$H$41))</f>
        <v>0</v>
      </c>
      <c r="SF28">
        <f t="array" ref="SF28">_xlfn.XLOOKUP(SF$11,Assumptions!$B$35:$H$35,_xlfn.XLOOKUP($C28,Assumptions!$B$36:$B$41,Assumptions!$B$36:$H$41))</f>
        <v>0</v>
      </c>
      <c r="SG28">
        <f t="array" ref="SG28">_xlfn.XLOOKUP(SG$11,Assumptions!$B$35:$H$35,_xlfn.XLOOKUP($C28,Assumptions!$B$36:$B$41,Assumptions!$B$36:$H$41))</f>
        <v>0</v>
      </c>
      <c r="SH28">
        <f t="array" ref="SH28">_xlfn.XLOOKUP(SH$11,Assumptions!$B$35:$H$35,_xlfn.XLOOKUP($C28,Assumptions!$B$36:$B$41,Assumptions!$B$36:$H$41))</f>
        <v>0</v>
      </c>
      <c r="SI28">
        <f t="array" ref="SI28">_xlfn.XLOOKUP(SI$11,Assumptions!$B$35:$H$35,_xlfn.XLOOKUP($C28,Assumptions!$B$36:$B$41,Assumptions!$B$36:$H$41))</f>
        <v>0</v>
      </c>
      <c r="SJ28">
        <f t="array" ref="SJ28">_xlfn.XLOOKUP(SJ$11,Assumptions!$B$35:$H$35,_xlfn.XLOOKUP($C28,Assumptions!$B$36:$B$41,Assumptions!$B$36:$H$41))</f>
        <v>0</v>
      </c>
      <c r="SK28">
        <f t="array" ref="SK28">_xlfn.XLOOKUP(SK$11,Assumptions!$B$35:$H$35,_xlfn.XLOOKUP($C28,Assumptions!$B$36:$B$41,Assumptions!$B$36:$H$41))</f>
        <v>0</v>
      </c>
      <c r="SL28">
        <f t="array" ref="SL28">_xlfn.XLOOKUP(SL$11,Assumptions!$B$35:$H$35,_xlfn.XLOOKUP($C28,Assumptions!$B$36:$B$41,Assumptions!$B$36:$H$41))</f>
        <v>0</v>
      </c>
      <c r="SM28">
        <f t="array" ref="SM28">_xlfn.XLOOKUP(SM$11,Assumptions!$B$35:$H$35,_xlfn.XLOOKUP($C28,Assumptions!$B$36:$B$41,Assumptions!$B$36:$H$41))</f>
        <v>0</v>
      </c>
      <c r="SN28">
        <f t="array" ref="SN28">_xlfn.XLOOKUP(SN$11,Assumptions!$B$35:$H$35,_xlfn.XLOOKUP($C28,Assumptions!$B$36:$B$41,Assumptions!$B$36:$H$41))</f>
        <v>0</v>
      </c>
      <c r="SO28">
        <f t="array" ref="SO28">_xlfn.XLOOKUP(SO$11,Assumptions!$B$35:$H$35,_xlfn.XLOOKUP($C28,Assumptions!$B$36:$B$41,Assumptions!$B$36:$H$41))</f>
        <v>0</v>
      </c>
      <c r="SP28">
        <f t="array" ref="SP28">_xlfn.XLOOKUP(SP$11,Assumptions!$B$35:$H$35,_xlfn.XLOOKUP($C28,Assumptions!$B$36:$B$41,Assumptions!$B$36:$H$41))</f>
        <v>0</v>
      </c>
      <c r="SQ28">
        <f t="array" ref="SQ28">_xlfn.XLOOKUP(SQ$11,Assumptions!$B$35:$H$35,_xlfn.XLOOKUP($C28,Assumptions!$B$36:$B$41,Assumptions!$B$36:$H$41))</f>
        <v>0</v>
      </c>
      <c r="SR28">
        <f t="array" ref="SR28">_xlfn.XLOOKUP(SR$11,Assumptions!$B$35:$H$35,_xlfn.XLOOKUP($C28,Assumptions!$B$36:$B$41,Assumptions!$B$36:$H$41))</f>
        <v>0</v>
      </c>
      <c r="SS28">
        <f t="array" ref="SS28">_xlfn.XLOOKUP(SS$11,Assumptions!$B$35:$H$35,_xlfn.XLOOKUP($C28,Assumptions!$B$36:$B$41,Assumptions!$B$36:$H$41))</f>
        <v>0</v>
      </c>
      <c r="ST28">
        <f t="array" ref="ST28">_xlfn.XLOOKUP(ST$11,Assumptions!$B$35:$H$35,_xlfn.XLOOKUP($C28,Assumptions!$B$36:$B$41,Assumptions!$B$36:$H$41))</f>
        <v>0</v>
      </c>
      <c r="SU28">
        <f t="array" ref="SU28">_xlfn.XLOOKUP(SU$11,Assumptions!$B$35:$H$35,_xlfn.XLOOKUP($C28,Assumptions!$B$36:$B$41,Assumptions!$B$36:$H$41))</f>
        <v>0</v>
      </c>
      <c r="SV28">
        <f t="array" ref="SV28">_xlfn.XLOOKUP(SV$11,Assumptions!$B$35:$H$35,_xlfn.XLOOKUP($C28,Assumptions!$B$36:$B$41,Assumptions!$B$36:$H$41))</f>
        <v>0</v>
      </c>
      <c r="SW28">
        <f t="array" ref="SW28">_xlfn.XLOOKUP(SW$11,Assumptions!$B$35:$H$35,_xlfn.XLOOKUP($C28,Assumptions!$B$36:$B$41,Assumptions!$B$36:$H$41))</f>
        <v>0</v>
      </c>
      <c r="SX28">
        <f t="array" ref="SX28">_xlfn.XLOOKUP(SX$11,Assumptions!$B$35:$H$35,_xlfn.XLOOKUP($C28,Assumptions!$B$36:$B$41,Assumptions!$B$36:$H$41))</f>
        <v>0</v>
      </c>
      <c r="SY28">
        <f t="array" ref="SY28">_xlfn.XLOOKUP(SY$11,Assumptions!$B$35:$H$35,_xlfn.XLOOKUP($C28,Assumptions!$B$36:$B$41,Assumptions!$B$36:$H$41))</f>
        <v>0</v>
      </c>
      <c r="SZ28">
        <f t="array" ref="SZ28">_xlfn.XLOOKUP(SZ$11,Assumptions!$B$35:$H$35,_xlfn.XLOOKUP($C28,Assumptions!$B$36:$B$41,Assumptions!$B$36:$H$41))</f>
        <v>0</v>
      </c>
      <c r="TA28">
        <f t="array" ref="TA28">_xlfn.XLOOKUP(TA$11,Assumptions!$B$35:$H$35,_xlfn.XLOOKUP($C28,Assumptions!$B$36:$B$41,Assumptions!$B$36:$H$41))</f>
        <v>0</v>
      </c>
      <c r="TB28">
        <f t="array" ref="TB28">_xlfn.XLOOKUP(TB$11,Assumptions!$B$35:$H$35,_xlfn.XLOOKUP($C28,Assumptions!$B$36:$B$41,Assumptions!$B$36:$H$41))</f>
        <v>0</v>
      </c>
      <c r="TC28">
        <f t="array" ref="TC28">_xlfn.XLOOKUP(TC$11,Assumptions!$B$35:$H$35,_xlfn.XLOOKUP($C28,Assumptions!$B$36:$B$41,Assumptions!$B$36:$H$41))</f>
        <v>0</v>
      </c>
      <c r="TD28">
        <f t="array" ref="TD28">_xlfn.XLOOKUP(TD$11,Assumptions!$B$35:$H$35,_xlfn.XLOOKUP($C28,Assumptions!$B$36:$B$41,Assumptions!$B$36:$H$41))</f>
        <v>0</v>
      </c>
      <c r="TE28">
        <f t="array" ref="TE28">_xlfn.XLOOKUP(TE$11,Assumptions!$B$35:$H$35,_xlfn.XLOOKUP($C28,Assumptions!$B$36:$B$41,Assumptions!$B$36:$H$41))</f>
        <v>0</v>
      </c>
      <c r="TF28">
        <f t="array" ref="TF28">_xlfn.XLOOKUP(TF$11,Assumptions!$B$35:$H$35,_xlfn.XLOOKUP($C28,Assumptions!$B$36:$B$41,Assumptions!$B$36:$H$41))</f>
        <v>0</v>
      </c>
      <c r="TG28">
        <f t="array" ref="TG28">_xlfn.XLOOKUP(TG$11,Assumptions!$B$35:$H$35,_xlfn.XLOOKUP($C28,Assumptions!$B$36:$B$41,Assumptions!$B$36:$H$41))</f>
        <v>0</v>
      </c>
      <c r="TH28">
        <f t="array" ref="TH28">_xlfn.XLOOKUP(TH$11,Assumptions!$B$35:$H$35,_xlfn.XLOOKUP($C28,Assumptions!$B$36:$B$41,Assumptions!$B$36:$H$41))</f>
        <v>0</v>
      </c>
      <c r="TI28">
        <f t="array" ref="TI28">_xlfn.XLOOKUP(TI$11,Assumptions!$B$35:$H$35,_xlfn.XLOOKUP($C28,Assumptions!$B$36:$B$41,Assumptions!$B$36:$H$41))</f>
        <v>0</v>
      </c>
      <c r="TJ28">
        <f t="array" ref="TJ28">_xlfn.XLOOKUP(TJ$11,Assumptions!$B$35:$H$35,_xlfn.XLOOKUP($C28,Assumptions!$B$36:$B$41,Assumptions!$B$36:$H$41))</f>
        <v>0</v>
      </c>
      <c r="TK28">
        <f t="array" ref="TK28">_xlfn.XLOOKUP(TK$11,Assumptions!$B$35:$H$35,_xlfn.XLOOKUP($C28,Assumptions!$B$36:$B$41,Assumptions!$B$36:$H$41))</f>
        <v>0</v>
      </c>
      <c r="TL28">
        <f t="array" ref="TL28">_xlfn.XLOOKUP(TL$11,Assumptions!$B$35:$H$35,_xlfn.XLOOKUP($C28,Assumptions!$B$36:$B$41,Assumptions!$B$36:$H$41))</f>
        <v>0</v>
      </c>
      <c r="TM28">
        <f t="array" ref="TM28">_xlfn.XLOOKUP(TM$11,Assumptions!$B$35:$H$35,_xlfn.XLOOKUP($C28,Assumptions!$B$36:$B$41,Assumptions!$B$36:$H$41))</f>
        <v>0</v>
      </c>
      <c r="TN28">
        <f t="array" ref="TN28">_xlfn.XLOOKUP(TN$11,Assumptions!$B$35:$H$35,_xlfn.XLOOKUP($C28,Assumptions!$B$36:$B$41,Assumptions!$B$36:$H$41))</f>
        <v>0</v>
      </c>
      <c r="TO28">
        <f t="array" ref="TO28">_xlfn.XLOOKUP(TO$11,Assumptions!$B$35:$H$35,_xlfn.XLOOKUP($C28,Assumptions!$B$36:$B$41,Assumptions!$B$36:$H$41))</f>
        <v>0</v>
      </c>
      <c r="TP28">
        <f t="array" ref="TP28">_xlfn.XLOOKUP(TP$11,Assumptions!$B$35:$H$35,_xlfn.XLOOKUP($C28,Assumptions!$B$36:$B$41,Assumptions!$B$36:$H$41))</f>
        <v>0</v>
      </c>
      <c r="TQ28">
        <f t="array" ref="TQ28">_xlfn.XLOOKUP(TQ$11,Assumptions!$B$35:$H$35,_xlfn.XLOOKUP($C28,Assumptions!$B$36:$B$41,Assumptions!$B$36:$H$41))</f>
        <v>0</v>
      </c>
      <c r="TR28">
        <f t="array" ref="TR28">_xlfn.XLOOKUP(TR$11,Assumptions!$B$35:$H$35,_xlfn.XLOOKUP($C28,Assumptions!$B$36:$B$41,Assumptions!$B$36:$H$41))</f>
        <v>0</v>
      </c>
      <c r="TS28">
        <f t="array" ref="TS28">_xlfn.XLOOKUP(TS$11,Assumptions!$B$35:$H$35,_xlfn.XLOOKUP($C28,Assumptions!$B$36:$B$41,Assumptions!$B$36:$H$41))</f>
        <v>0</v>
      </c>
      <c r="TT28">
        <f t="array" ref="TT28">_xlfn.XLOOKUP(TT$11,Assumptions!$B$35:$H$35,_xlfn.XLOOKUP($C28,Assumptions!$B$36:$B$41,Assumptions!$B$36:$H$41))</f>
        <v>0</v>
      </c>
      <c r="TU28">
        <f t="array" ref="TU28">_xlfn.XLOOKUP(TU$11,Assumptions!$B$35:$H$35,_xlfn.XLOOKUP($C28,Assumptions!$B$36:$B$41,Assumptions!$B$36:$H$41))</f>
        <v>0</v>
      </c>
      <c r="TV28">
        <f t="array" ref="TV28">_xlfn.XLOOKUP(TV$11,Assumptions!$B$35:$H$35,_xlfn.XLOOKUP($C28,Assumptions!$B$36:$B$41,Assumptions!$B$36:$H$41))</f>
        <v>0</v>
      </c>
      <c r="TW28">
        <f t="array" ref="TW28">_xlfn.XLOOKUP(TW$11,Assumptions!$B$35:$H$35,_xlfn.XLOOKUP($C28,Assumptions!$B$36:$B$41,Assumptions!$B$36:$H$41))</f>
        <v>0</v>
      </c>
      <c r="TX28">
        <f t="array" ref="TX28">_xlfn.XLOOKUP(TX$11,Assumptions!$B$35:$H$35,_xlfn.XLOOKUP($C28,Assumptions!$B$36:$B$41,Assumptions!$B$36:$H$41))</f>
        <v>0</v>
      </c>
      <c r="TY28">
        <f t="array" ref="TY28">_xlfn.XLOOKUP(TY$11,Assumptions!$B$35:$H$35,_xlfn.XLOOKUP($C28,Assumptions!$B$36:$B$41,Assumptions!$B$36:$H$41))</f>
        <v>0</v>
      </c>
      <c r="TZ28">
        <f t="array" ref="TZ28">_xlfn.XLOOKUP(TZ$11,Assumptions!$B$35:$H$35,_xlfn.XLOOKUP($C28,Assumptions!$B$36:$B$41,Assumptions!$B$36:$H$41))</f>
        <v>0</v>
      </c>
      <c r="UA28">
        <f t="array" ref="UA28">_xlfn.XLOOKUP(UA$11,Assumptions!$B$35:$H$35,_xlfn.XLOOKUP($C28,Assumptions!$B$36:$B$41,Assumptions!$B$36:$H$41))</f>
        <v>0</v>
      </c>
      <c r="UB28">
        <f t="array" ref="UB28">_xlfn.XLOOKUP(UB$11,Assumptions!$B$35:$H$35,_xlfn.XLOOKUP($C28,Assumptions!$B$36:$B$41,Assumptions!$B$36:$H$41))</f>
        <v>0</v>
      </c>
      <c r="UC28">
        <f t="array" ref="UC28">_xlfn.XLOOKUP(UC$11,Assumptions!$B$35:$H$35,_xlfn.XLOOKUP($C28,Assumptions!$B$36:$B$41,Assumptions!$B$36:$H$41))</f>
        <v>0</v>
      </c>
      <c r="UD28">
        <f t="array" ref="UD28">_xlfn.XLOOKUP(UD$11,Assumptions!$B$35:$H$35,_xlfn.XLOOKUP($C28,Assumptions!$B$36:$B$41,Assumptions!$B$36:$H$41))</f>
        <v>0</v>
      </c>
      <c r="UE28">
        <f t="array" ref="UE28">_xlfn.XLOOKUP(UE$11,Assumptions!$B$35:$H$35,_xlfn.XLOOKUP($C28,Assumptions!$B$36:$B$41,Assumptions!$B$36:$H$41))</f>
        <v>0</v>
      </c>
      <c r="UF28">
        <f t="array" ref="UF28">_xlfn.XLOOKUP(UF$11,Assumptions!$B$35:$H$35,_xlfn.XLOOKUP($C28,Assumptions!$B$36:$B$41,Assumptions!$B$36:$H$41))</f>
        <v>0</v>
      </c>
      <c r="UG28">
        <f t="array" ref="UG28">_xlfn.XLOOKUP(UG$11,Assumptions!$B$35:$H$35,_xlfn.XLOOKUP($C28,Assumptions!$B$36:$B$41,Assumptions!$B$36:$H$41))</f>
        <v>0</v>
      </c>
      <c r="UH28">
        <f t="array" ref="UH28">_xlfn.XLOOKUP(UH$11,Assumptions!$B$35:$H$35,_xlfn.XLOOKUP($C28,Assumptions!$B$36:$B$41,Assumptions!$B$36:$H$41))</f>
        <v>0</v>
      </c>
      <c r="UI28">
        <f t="array" ref="UI28">_xlfn.XLOOKUP(UI$11,Assumptions!$B$35:$H$35,_xlfn.XLOOKUP($C28,Assumptions!$B$36:$B$41,Assumptions!$B$36:$H$41))</f>
        <v>0</v>
      </c>
      <c r="UJ28">
        <f t="array" ref="UJ28">_xlfn.XLOOKUP(UJ$11,Assumptions!$B$35:$H$35,_xlfn.XLOOKUP($C28,Assumptions!$B$36:$B$41,Assumptions!$B$36:$H$41))</f>
        <v>0</v>
      </c>
      <c r="UK28">
        <f t="array" ref="UK28">_xlfn.XLOOKUP(UK$11,Assumptions!$B$35:$H$35,_xlfn.XLOOKUP($C28,Assumptions!$B$36:$B$41,Assumptions!$B$36:$H$41))</f>
        <v>0</v>
      </c>
      <c r="UL28">
        <f t="array" ref="UL28">_xlfn.XLOOKUP(UL$11,Assumptions!$B$35:$H$35,_xlfn.XLOOKUP($C28,Assumptions!$B$36:$B$41,Assumptions!$B$36:$H$41))</f>
        <v>0</v>
      </c>
      <c r="UM28">
        <f t="array" ref="UM28">_xlfn.XLOOKUP(UM$11,Assumptions!$B$35:$H$35,_xlfn.XLOOKUP($C28,Assumptions!$B$36:$B$41,Assumptions!$B$36:$H$41))</f>
        <v>0</v>
      </c>
      <c r="UN28">
        <f t="array" ref="UN28">_xlfn.XLOOKUP(UN$11,Assumptions!$B$35:$H$35,_xlfn.XLOOKUP($C28,Assumptions!$B$36:$B$41,Assumptions!$B$36:$H$41))</f>
        <v>0</v>
      </c>
      <c r="UO28">
        <f t="array" ref="UO28">_xlfn.XLOOKUP(UO$11,Assumptions!$B$35:$H$35,_xlfn.XLOOKUP($C28,Assumptions!$B$36:$B$41,Assumptions!$B$36:$H$41))</f>
        <v>0</v>
      </c>
      <c r="UP28">
        <f t="array" ref="UP28">_xlfn.XLOOKUP(UP$11,Assumptions!$B$35:$H$35,_xlfn.XLOOKUP($C28,Assumptions!$B$36:$B$41,Assumptions!$B$36:$H$41))</f>
        <v>0</v>
      </c>
      <c r="UQ28">
        <f t="array" ref="UQ28">_xlfn.XLOOKUP(UQ$11,Assumptions!$B$35:$H$35,_xlfn.XLOOKUP($C28,Assumptions!$B$36:$B$41,Assumptions!$B$36:$H$41))</f>
        <v>0</v>
      </c>
      <c r="UR28">
        <f t="array" ref="UR28">_xlfn.XLOOKUP(UR$11,Assumptions!$B$35:$H$35,_xlfn.XLOOKUP($C28,Assumptions!$B$36:$B$41,Assumptions!$B$36:$H$41))</f>
        <v>0</v>
      </c>
      <c r="US28">
        <f t="array" ref="US28">_xlfn.XLOOKUP(US$11,Assumptions!$B$35:$H$35,_xlfn.XLOOKUP($C28,Assumptions!$B$36:$B$41,Assumptions!$B$36:$H$41))</f>
        <v>0</v>
      </c>
      <c r="UT28">
        <f t="array" ref="UT28">_xlfn.XLOOKUP(UT$11,Assumptions!$B$35:$H$35,_xlfn.XLOOKUP($C28,Assumptions!$B$36:$B$41,Assumptions!$B$36:$H$41))</f>
        <v>0</v>
      </c>
      <c r="UU28">
        <f t="array" ref="UU28">_xlfn.XLOOKUP(UU$11,Assumptions!$B$35:$H$35,_xlfn.XLOOKUP($C28,Assumptions!$B$36:$B$41,Assumptions!$B$36:$H$41))</f>
        <v>0</v>
      </c>
      <c r="UV28">
        <f t="array" ref="UV28">_xlfn.XLOOKUP(UV$11,Assumptions!$B$35:$H$35,_xlfn.XLOOKUP($C28,Assumptions!$B$36:$B$41,Assumptions!$B$36:$H$41))</f>
        <v>0</v>
      </c>
      <c r="UW28">
        <f t="array" ref="UW28">_xlfn.XLOOKUP(UW$11,Assumptions!$B$35:$H$35,_xlfn.XLOOKUP($C28,Assumptions!$B$36:$B$41,Assumptions!$B$36:$H$41))</f>
        <v>0</v>
      </c>
      <c r="UX28">
        <f t="array" ref="UX28">_xlfn.XLOOKUP(UX$11,Assumptions!$B$35:$H$35,_xlfn.XLOOKUP($C28,Assumptions!$B$36:$B$41,Assumptions!$B$36:$H$41))</f>
        <v>0</v>
      </c>
      <c r="UY28">
        <f t="array" ref="UY28">_xlfn.XLOOKUP(UY$11,Assumptions!$B$35:$H$35,_xlfn.XLOOKUP($C28,Assumptions!$B$36:$B$41,Assumptions!$B$36:$H$41))</f>
        <v>0</v>
      </c>
      <c r="UZ28">
        <f t="array" ref="UZ28">_xlfn.XLOOKUP(UZ$11,Assumptions!$B$35:$H$35,_xlfn.XLOOKUP($C28,Assumptions!$B$36:$B$41,Assumptions!$B$36:$H$41))</f>
        <v>0</v>
      </c>
      <c r="VA28">
        <f t="array" ref="VA28">_xlfn.XLOOKUP(VA$11,Assumptions!$B$35:$H$35,_xlfn.XLOOKUP($C28,Assumptions!$B$36:$B$41,Assumptions!$B$36:$H$41))</f>
        <v>0</v>
      </c>
      <c r="VB28">
        <f t="array" ref="VB28">_xlfn.XLOOKUP(VB$11,Assumptions!$B$35:$H$35,_xlfn.XLOOKUP($C28,Assumptions!$B$36:$B$41,Assumptions!$B$36:$H$41))</f>
        <v>0</v>
      </c>
      <c r="VC28">
        <f t="array" ref="VC28">_xlfn.XLOOKUP(VC$11,Assumptions!$B$35:$H$35,_xlfn.XLOOKUP($C28,Assumptions!$B$36:$B$41,Assumptions!$B$36:$H$41))</f>
        <v>0</v>
      </c>
      <c r="VD28">
        <f t="array" ref="VD28">_xlfn.XLOOKUP(VD$11,Assumptions!$B$35:$H$35,_xlfn.XLOOKUP($C28,Assumptions!$B$36:$B$41,Assumptions!$B$36:$H$41))</f>
        <v>0</v>
      </c>
      <c r="VE28">
        <f t="array" ref="VE28">_xlfn.XLOOKUP(VE$11,Assumptions!$B$35:$H$35,_xlfn.XLOOKUP($C28,Assumptions!$B$36:$B$41,Assumptions!$B$36:$H$41))</f>
        <v>0</v>
      </c>
      <c r="VF28">
        <f t="array" ref="VF28">_xlfn.XLOOKUP(VF$11,Assumptions!$B$35:$H$35,_xlfn.XLOOKUP($C28,Assumptions!$B$36:$B$41,Assumptions!$B$36:$H$41))</f>
        <v>0</v>
      </c>
      <c r="VG28">
        <f t="array" ref="VG28">_xlfn.XLOOKUP(VG$11,Assumptions!$B$35:$H$35,_xlfn.XLOOKUP($C28,Assumptions!$B$36:$B$41,Assumptions!$B$36:$H$41))</f>
        <v>0</v>
      </c>
      <c r="VH28">
        <f t="array" ref="VH28">_xlfn.XLOOKUP(VH$11,Assumptions!$B$35:$H$35,_xlfn.XLOOKUP($C28,Assumptions!$B$36:$B$41,Assumptions!$B$36:$H$41))</f>
        <v>0</v>
      </c>
      <c r="VI28">
        <f t="array" ref="VI28">_xlfn.XLOOKUP(VI$11,Assumptions!$B$35:$H$35,_xlfn.XLOOKUP($C28,Assumptions!$B$36:$B$41,Assumptions!$B$36:$H$41))</f>
        <v>0</v>
      </c>
      <c r="VJ28">
        <f t="array" ref="VJ28">_xlfn.XLOOKUP(VJ$11,Assumptions!$B$35:$H$35,_xlfn.XLOOKUP($C28,Assumptions!$B$36:$B$41,Assumptions!$B$36:$H$41))</f>
        <v>0</v>
      </c>
      <c r="VK28">
        <f t="array" ref="VK28">_xlfn.XLOOKUP(VK$11,Assumptions!$B$35:$H$35,_xlfn.XLOOKUP($C28,Assumptions!$B$36:$B$41,Assumptions!$B$36:$H$41))</f>
        <v>0</v>
      </c>
      <c r="VL28">
        <f t="array" ref="VL28">_xlfn.XLOOKUP(VL$11,Assumptions!$B$35:$H$35,_xlfn.XLOOKUP($C28,Assumptions!$B$36:$B$41,Assumptions!$B$36:$H$41))</f>
        <v>0</v>
      </c>
      <c r="VM28">
        <f t="array" ref="VM28">_xlfn.XLOOKUP(VM$11,Assumptions!$B$35:$H$35,_xlfn.XLOOKUP($C28,Assumptions!$B$36:$B$41,Assumptions!$B$36:$H$41))</f>
        <v>0</v>
      </c>
      <c r="VN28">
        <f t="array" ref="VN28">_xlfn.XLOOKUP(VN$11,Assumptions!$B$35:$H$35,_xlfn.XLOOKUP($C28,Assumptions!$B$36:$B$41,Assumptions!$B$36:$H$41))</f>
        <v>0</v>
      </c>
      <c r="VO28">
        <f t="array" ref="VO28">_xlfn.XLOOKUP(VO$11,Assumptions!$B$35:$H$35,_xlfn.XLOOKUP($C28,Assumptions!$B$36:$B$41,Assumptions!$B$36:$H$41))</f>
        <v>0</v>
      </c>
      <c r="VP28">
        <f t="array" ref="VP28">_xlfn.XLOOKUP(VP$11,Assumptions!$B$35:$H$35,_xlfn.XLOOKUP($C28,Assumptions!$B$36:$B$41,Assumptions!$B$36:$H$41))</f>
        <v>0</v>
      </c>
      <c r="VQ28">
        <f t="array" ref="VQ28">_xlfn.XLOOKUP(VQ$11,Assumptions!$B$35:$H$35,_xlfn.XLOOKUP($C28,Assumptions!$B$36:$B$41,Assumptions!$B$36:$H$41))</f>
        <v>0</v>
      </c>
      <c r="VR28">
        <f t="array" ref="VR28">_xlfn.XLOOKUP(VR$11,Assumptions!$B$35:$H$35,_xlfn.XLOOKUP($C28,Assumptions!$B$36:$B$41,Assumptions!$B$36:$H$41))</f>
        <v>0</v>
      </c>
      <c r="VS28">
        <f t="array" ref="VS28">_xlfn.XLOOKUP(VS$11,Assumptions!$B$35:$H$35,_xlfn.XLOOKUP($C28,Assumptions!$B$36:$B$41,Assumptions!$B$36:$H$41))</f>
        <v>0</v>
      </c>
      <c r="VT28">
        <f t="array" ref="VT28">_xlfn.XLOOKUP(VT$11,Assumptions!$B$35:$H$35,_xlfn.XLOOKUP($C28,Assumptions!$B$36:$B$41,Assumptions!$B$36:$H$41))</f>
        <v>0</v>
      </c>
      <c r="VU28">
        <f t="array" ref="VU28">_xlfn.XLOOKUP(VU$11,Assumptions!$B$35:$H$35,_xlfn.XLOOKUP($C28,Assumptions!$B$36:$B$41,Assumptions!$B$36:$H$41))</f>
        <v>0</v>
      </c>
      <c r="VV28">
        <f t="array" ref="VV28">_xlfn.XLOOKUP(VV$11,Assumptions!$B$35:$H$35,_xlfn.XLOOKUP($C28,Assumptions!$B$36:$B$41,Assumptions!$B$36:$H$41))</f>
        <v>0</v>
      </c>
      <c r="VW28">
        <f t="array" ref="VW28">_xlfn.XLOOKUP(VW$11,Assumptions!$B$35:$H$35,_xlfn.XLOOKUP($C28,Assumptions!$B$36:$B$41,Assumptions!$B$36:$H$41))</f>
        <v>0</v>
      </c>
      <c r="VX28">
        <f t="array" ref="VX28">_xlfn.XLOOKUP(VX$11,Assumptions!$B$35:$H$35,_xlfn.XLOOKUP($C28,Assumptions!$B$36:$B$41,Assumptions!$B$36:$H$41))</f>
        <v>0</v>
      </c>
      <c r="VY28">
        <f t="array" ref="VY28">_xlfn.XLOOKUP(VY$11,Assumptions!$B$35:$H$35,_xlfn.XLOOKUP($C28,Assumptions!$B$36:$B$41,Assumptions!$B$36:$H$41))</f>
        <v>0</v>
      </c>
      <c r="VZ28">
        <f t="array" ref="VZ28">_xlfn.XLOOKUP(VZ$11,Assumptions!$B$35:$H$35,_xlfn.XLOOKUP($C28,Assumptions!$B$36:$B$41,Assumptions!$B$36:$H$41))</f>
        <v>0</v>
      </c>
      <c r="WA28">
        <f t="array" ref="WA28">_xlfn.XLOOKUP(WA$11,Assumptions!$B$35:$H$35,_xlfn.XLOOKUP($C28,Assumptions!$B$36:$B$41,Assumptions!$B$36:$H$41))</f>
        <v>0</v>
      </c>
      <c r="WB28">
        <f t="array" ref="WB28">_xlfn.XLOOKUP(WB$11,Assumptions!$B$35:$H$35,_xlfn.XLOOKUP($C28,Assumptions!$B$36:$B$41,Assumptions!$B$36:$H$41))</f>
        <v>0</v>
      </c>
      <c r="WC28">
        <f t="array" ref="WC28">_xlfn.XLOOKUP(WC$11,Assumptions!$B$35:$H$35,_xlfn.XLOOKUP($C28,Assumptions!$B$36:$B$41,Assumptions!$B$36:$H$41))</f>
        <v>0</v>
      </c>
      <c r="WD28">
        <f t="array" ref="WD28">_xlfn.XLOOKUP(WD$11,Assumptions!$B$35:$H$35,_xlfn.XLOOKUP($C28,Assumptions!$B$36:$B$41,Assumptions!$B$36:$H$41))</f>
        <v>0</v>
      </c>
      <c r="WE28">
        <f t="array" ref="WE28">_xlfn.XLOOKUP(WE$11,Assumptions!$B$35:$H$35,_xlfn.XLOOKUP($C28,Assumptions!$B$36:$B$41,Assumptions!$B$36:$H$41))</f>
        <v>0</v>
      </c>
      <c r="WF28">
        <f t="array" ref="WF28">_xlfn.XLOOKUP(WF$11,Assumptions!$B$35:$H$35,_xlfn.XLOOKUP($C28,Assumptions!$B$36:$B$41,Assumptions!$B$36:$H$41))</f>
        <v>0</v>
      </c>
      <c r="WG28">
        <f t="array" ref="WG28">_xlfn.XLOOKUP(WG$11,Assumptions!$B$35:$H$35,_xlfn.XLOOKUP($C28,Assumptions!$B$36:$B$41,Assumptions!$B$36:$H$41))</f>
        <v>0</v>
      </c>
      <c r="WH28">
        <f t="array" ref="WH28">_xlfn.XLOOKUP(WH$11,Assumptions!$B$35:$H$35,_xlfn.XLOOKUP($C28,Assumptions!$B$36:$B$41,Assumptions!$B$36:$H$41))</f>
        <v>0</v>
      </c>
      <c r="WI28">
        <f t="array" ref="WI28">_xlfn.XLOOKUP(WI$11,Assumptions!$B$35:$H$35,_xlfn.XLOOKUP($C28,Assumptions!$B$36:$B$41,Assumptions!$B$36:$H$41))</f>
        <v>0</v>
      </c>
      <c r="WJ28">
        <f t="array" ref="WJ28">_xlfn.XLOOKUP(WJ$11,Assumptions!$B$35:$H$35,_xlfn.XLOOKUP($C28,Assumptions!$B$36:$B$41,Assumptions!$B$36:$H$41))</f>
        <v>0</v>
      </c>
      <c r="WK28">
        <f t="array" ref="WK28">_xlfn.XLOOKUP(WK$11,Assumptions!$B$35:$H$35,_xlfn.XLOOKUP($C28,Assumptions!$B$36:$B$41,Assumptions!$B$36:$H$41))</f>
        <v>0</v>
      </c>
      <c r="WL28">
        <f t="array" ref="WL28">_xlfn.XLOOKUP(WL$11,Assumptions!$B$35:$H$35,_xlfn.XLOOKUP($C28,Assumptions!$B$36:$B$41,Assumptions!$B$36:$H$41))</f>
        <v>0</v>
      </c>
      <c r="WM28">
        <f t="array" ref="WM28">_xlfn.XLOOKUP(WM$11,Assumptions!$B$35:$H$35,_xlfn.XLOOKUP($C28,Assumptions!$B$36:$B$41,Assumptions!$B$36:$H$41))</f>
        <v>0</v>
      </c>
      <c r="WN28">
        <f t="array" ref="WN28">_xlfn.XLOOKUP(WN$11,Assumptions!$B$35:$H$35,_xlfn.XLOOKUP($C28,Assumptions!$B$36:$B$41,Assumptions!$B$36:$H$41))</f>
        <v>0</v>
      </c>
      <c r="WO28">
        <f t="array" ref="WO28">_xlfn.XLOOKUP(WO$11,Assumptions!$B$35:$H$35,_xlfn.XLOOKUP($C28,Assumptions!$B$36:$B$41,Assumptions!$B$36:$H$41))</f>
        <v>0</v>
      </c>
      <c r="WP28">
        <f t="array" ref="WP28">_xlfn.XLOOKUP(WP$11,Assumptions!$B$35:$H$35,_xlfn.XLOOKUP($C28,Assumptions!$B$36:$B$41,Assumptions!$B$36:$H$41))</f>
        <v>0</v>
      </c>
      <c r="WQ28">
        <f t="array" ref="WQ28">_xlfn.XLOOKUP(WQ$11,Assumptions!$B$35:$H$35,_xlfn.XLOOKUP($C28,Assumptions!$B$36:$B$41,Assumptions!$B$36:$H$41))</f>
        <v>0</v>
      </c>
      <c r="WR28">
        <f t="array" ref="WR28">_xlfn.XLOOKUP(WR$11,Assumptions!$B$35:$H$35,_xlfn.XLOOKUP($C28,Assumptions!$B$36:$B$41,Assumptions!$B$36:$H$41))</f>
        <v>0</v>
      </c>
      <c r="WS28">
        <f t="array" ref="WS28">_xlfn.XLOOKUP(WS$11,Assumptions!$B$35:$H$35,_xlfn.XLOOKUP($C28,Assumptions!$B$36:$B$41,Assumptions!$B$36:$H$41))</f>
        <v>0</v>
      </c>
      <c r="WT28">
        <f t="array" ref="WT28">_xlfn.XLOOKUP(WT$11,Assumptions!$B$35:$H$35,_xlfn.XLOOKUP($C28,Assumptions!$B$36:$B$41,Assumptions!$B$36:$H$41))</f>
        <v>0</v>
      </c>
      <c r="WU28">
        <f t="array" ref="WU28">_xlfn.XLOOKUP(WU$11,Assumptions!$B$35:$H$35,_xlfn.XLOOKUP($C28,Assumptions!$B$36:$B$41,Assumptions!$B$36:$H$41))</f>
        <v>0</v>
      </c>
      <c r="WV28">
        <f t="array" ref="WV28">_xlfn.XLOOKUP(WV$11,Assumptions!$B$35:$H$35,_xlfn.XLOOKUP($C28,Assumptions!$B$36:$B$41,Assumptions!$B$36:$H$41))</f>
        <v>0</v>
      </c>
      <c r="WW28">
        <f t="array" ref="WW28">_xlfn.XLOOKUP(WW$11,Assumptions!$B$35:$H$35,_xlfn.XLOOKUP($C28,Assumptions!$B$36:$B$41,Assumptions!$B$36:$H$41))</f>
        <v>0</v>
      </c>
      <c r="WX28">
        <f t="array" ref="WX28">_xlfn.XLOOKUP(WX$11,Assumptions!$B$35:$H$35,_xlfn.XLOOKUP($C28,Assumptions!$B$36:$B$41,Assumptions!$B$36:$H$41))</f>
        <v>0</v>
      </c>
      <c r="WY28">
        <f t="array" ref="WY28">_xlfn.XLOOKUP(WY$11,Assumptions!$B$35:$H$35,_xlfn.XLOOKUP($C28,Assumptions!$B$36:$B$41,Assumptions!$B$36:$H$41))</f>
        <v>0</v>
      </c>
      <c r="WZ28">
        <f t="array" ref="WZ28">_xlfn.XLOOKUP(WZ$11,Assumptions!$B$35:$H$35,_xlfn.XLOOKUP($C28,Assumptions!$B$36:$B$41,Assumptions!$B$36:$H$41))</f>
        <v>0</v>
      </c>
      <c r="XA28">
        <f t="array" ref="XA28">_xlfn.XLOOKUP(XA$11,Assumptions!$B$35:$H$35,_xlfn.XLOOKUP($C28,Assumptions!$B$36:$B$41,Assumptions!$B$36:$H$41))</f>
        <v>0</v>
      </c>
      <c r="XB28">
        <f t="array" ref="XB28">_xlfn.XLOOKUP(XB$11,Assumptions!$B$35:$H$35,_xlfn.XLOOKUP($C28,Assumptions!$B$36:$B$41,Assumptions!$B$36:$H$41))</f>
        <v>0</v>
      </c>
      <c r="XC28">
        <f t="array" ref="XC28">_xlfn.XLOOKUP(XC$11,Assumptions!$B$35:$H$35,_xlfn.XLOOKUP($C28,Assumptions!$B$36:$B$41,Assumptions!$B$36:$H$41))</f>
        <v>0</v>
      </c>
      <c r="XD28">
        <f t="array" ref="XD28">_xlfn.XLOOKUP(XD$11,Assumptions!$B$35:$H$35,_xlfn.XLOOKUP($C28,Assumptions!$B$36:$B$41,Assumptions!$B$36:$H$41))</f>
        <v>0</v>
      </c>
      <c r="XE28">
        <f t="array" ref="XE28">_xlfn.XLOOKUP(XE$11,Assumptions!$B$35:$H$35,_xlfn.XLOOKUP($C28,Assumptions!$B$36:$B$41,Assumptions!$B$36:$H$41))</f>
        <v>0</v>
      </c>
      <c r="XF28">
        <f t="array" ref="XF28">_xlfn.XLOOKUP(XF$11,Assumptions!$B$35:$H$35,_xlfn.XLOOKUP($C28,Assumptions!$B$36:$B$41,Assumptions!$B$36:$H$41))</f>
        <v>0</v>
      </c>
      <c r="XG28">
        <f t="array" ref="XG28">_xlfn.XLOOKUP(XG$11,Assumptions!$B$35:$H$35,_xlfn.XLOOKUP($C28,Assumptions!$B$36:$B$41,Assumptions!$B$36:$H$41))</f>
        <v>0</v>
      </c>
      <c r="XH28">
        <f t="array" ref="XH28">_xlfn.XLOOKUP(XH$11,Assumptions!$B$35:$H$35,_xlfn.XLOOKUP($C28,Assumptions!$B$36:$B$41,Assumptions!$B$36:$H$41))</f>
        <v>0</v>
      </c>
      <c r="XI28">
        <f t="array" ref="XI28">_xlfn.XLOOKUP(XI$11,Assumptions!$B$35:$H$35,_xlfn.XLOOKUP($C28,Assumptions!$B$36:$B$41,Assumptions!$B$36:$H$41))</f>
        <v>0</v>
      </c>
      <c r="XJ28">
        <f t="array" ref="XJ28">_xlfn.XLOOKUP(XJ$11,Assumptions!$B$35:$H$35,_xlfn.XLOOKUP($C28,Assumptions!$B$36:$B$41,Assumptions!$B$36:$H$41))</f>
        <v>0</v>
      </c>
      <c r="XK28">
        <f t="array" ref="XK28">_xlfn.XLOOKUP(XK$11,Assumptions!$B$35:$H$35,_xlfn.XLOOKUP($C28,Assumptions!$B$36:$B$41,Assumptions!$B$36:$H$41))</f>
        <v>0</v>
      </c>
      <c r="XL28">
        <f t="array" ref="XL28">_xlfn.XLOOKUP(XL$11,Assumptions!$B$35:$H$35,_xlfn.XLOOKUP($C28,Assumptions!$B$36:$B$41,Assumptions!$B$36:$H$41))</f>
        <v>0</v>
      </c>
      <c r="XM28">
        <f t="array" ref="XM28">_xlfn.XLOOKUP(XM$11,Assumptions!$B$35:$H$35,_xlfn.XLOOKUP($C28,Assumptions!$B$36:$B$41,Assumptions!$B$36:$H$41))</f>
        <v>0</v>
      </c>
      <c r="XN28">
        <f t="array" ref="XN28">_xlfn.XLOOKUP(XN$11,Assumptions!$B$35:$H$35,_xlfn.XLOOKUP($C28,Assumptions!$B$36:$B$41,Assumptions!$B$36:$H$41))</f>
        <v>0</v>
      </c>
      <c r="XO28">
        <f t="array" ref="XO28">_xlfn.XLOOKUP(XO$11,Assumptions!$B$35:$H$35,_xlfn.XLOOKUP($C28,Assumptions!$B$36:$B$41,Assumptions!$B$36:$H$41))</f>
        <v>0</v>
      </c>
      <c r="XP28">
        <f t="array" ref="XP28">_xlfn.XLOOKUP(XP$11,Assumptions!$B$35:$H$35,_xlfn.XLOOKUP($C28,Assumptions!$B$36:$B$41,Assumptions!$B$36:$H$41))</f>
        <v>0</v>
      </c>
      <c r="XQ28">
        <f t="array" ref="XQ28">_xlfn.XLOOKUP(XQ$11,Assumptions!$B$35:$H$35,_xlfn.XLOOKUP($C28,Assumptions!$B$36:$B$41,Assumptions!$B$36:$H$41))</f>
        <v>0</v>
      </c>
      <c r="XR28">
        <f t="array" ref="XR28">_xlfn.XLOOKUP(XR$11,Assumptions!$B$35:$H$35,_xlfn.XLOOKUP($C28,Assumptions!$B$36:$B$41,Assumptions!$B$36:$H$41))</f>
        <v>0</v>
      </c>
      <c r="XS28">
        <f t="array" ref="XS28">_xlfn.XLOOKUP(XS$11,Assumptions!$B$35:$H$35,_xlfn.XLOOKUP($C28,Assumptions!$B$36:$B$41,Assumptions!$B$36:$H$41))</f>
        <v>0</v>
      </c>
      <c r="XT28">
        <f t="array" ref="XT28">_xlfn.XLOOKUP(XT$11,Assumptions!$B$35:$H$35,_xlfn.XLOOKUP($C28,Assumptions!$B$36:$B$41,Assumptions!$B$36:$H$41))</f>
        <v>0</v>
      </c>
      <c r="XU28">
        <f t="array" ref="XU28">_xlfn.XLOOKUP(XU$11,Assumptions!$B$35:$H$35,_xlfn.XLOOKUP($C28,Assumptions!$B$36:$B$41,Assumptions!$B$36:$H$41))</f>
        <v>0</v>
      </c>
      <c r="XV28">
        <f t="array" ref="XV28">_xlfn.XLOOKUP(XV$11,Assumptions!$B$35:$H$35,_xlfn.XLOOKUP($C28,Assumptions!$B$36:$B$41,Assumptions!$B$36:$H$41))</f>
        <v>0</v>
      </c>
      <c r="XW28">
        <f t="array" ref="XW28">_xlfn.XLOOKUP(XW$11,Assumptions!$B$35:$H$35,_xlfn.XLOOKUP($C28,Assumptions!$B$36:$B$41,Assumptions!$B$36:$H$41))</f>
        <v>0</v>
      </c>
      <c r="XX28">
        <f t="array" ref="XX28">_xlfn.XLOOKUP(XX$11,Assumptions!$B$35:$H$35,_xlfn.XLOOKUP($C28,Assumptions!$B$36:$B$41,Assumptions!$B$36:$H$41))</f>
        <v>0</v>
      </c>
      <c r="XY28">
        <f t="array" ref="XY28">_xlfn.XLOOKUP(XY$11,Assumptions!$B$35:$H$35,_xlfn.XLOOKUP($C28,Assumptions!$B$36:$B$41,Assumptions!$B$36:$H$41))</f>
        <v>0</v>
      </c>
      <c r="XZ28">
        <f t="array" ref="XZ28">_xlfn.XLOOKUP(XZ$11,Assumptions!$B$35:$H$35,_xlfn.XLOOKUP($C28,Assumptions!$B$36:$B$41,Assumptions!$B$36:$H$41))</f>
        <v>0</v>
      </c>
      <c r="YA28">
        <f t="array" ref="YA28">_xlfn.XLOOKUP(YA$11,Assumptions!$B$35:$H$35,_xlfn.XLOOKUP($C28,Assumptions!$B$36:$B$41,Assumptions!$B$36:$H$41))</f>
        <v>0</v>
      </c>
      <c r="YB28">
        <f t="array" ref="YB28">_xlfn.XLOOKUP(YB$11,Assumptions!$B$35:$H$35,_xlfn.XLOOKUP($C28,Assumptions!$B$36:$B$41,Assumptions!$B$36:$H$41))</f>
        <v>0</v>
      </c>
      <c r="YC28">
        <f t="array" ref="YC28">_xlfn.XLOOKUP(YC$11,Assumptions!$B$35:$H$35,_xlfn.XLOOKUP($C28,Assumptions!$B$36:$B$41,Assumptions!$B$36:$H$41))</f>
        <v>0</v>
      </c>
      <c r="YD28">
        <f t="array" ref="YD28">_xlfn.XLOOKUP(YD$11,Assumptions!$B$35:$H$35,_xlfn.XLOOKUP($C28,Assumptions!$B$36:$B$41,Assumptions!$B$36:$H$41))</f>
        <v>0</v>
      </c>
      <c r="YE28">
        <f t="array" ref="YE28">_xlfn.XLOOKUP(YE$11,Assumptions!$B$35:$H$35,_xlfn.XLOOKUP($C28,Assumptions!$B$36:$B$41,Assumptions!$B$36:$H$41))</f>
        <v>0</v>
      </c>
      <c r="YF28">
        <f t="array" ref="YF28">_xlfn.XLOOKUP(YF$11,Assumptions!$B$35:$H$35,_xlfn.XLOOKUP($C28,Assumptions!$B$36:$B$41,Assumptions!$B$36:$H$41))</f>
        <v>0</v>
      </c>
      <c r="YG28">
        <f t="array" ref="YG28">_xlfn.XLOOKUP(YG$11,Assumptions!$B$35:$H$35,_xlfn.XLOOKUP($C28,Assumptions!$B$36:$B$41,Assumptions!$B$36:$H$41))</f>
        <v>0</v>
      </c>
      <c r="YH28">
        <f t="array" ref="YH28">_xlfn.XLOOKUP(YH$11,Assumptions!$B$35:$H$35,_xlfn.XLOOKUP($C28,Assumptions!$B$36:$B$41,Assumptions!$B$36:$H$41))</f>
        <v>0</v>
      </c>
      <c r="YI28">
        <f t="array" ref="YI28">_xlfn.XLOOKUP(YI$11,Assumptions!$B$35:$H$35,_xlfn.XLOOKUP($C28,Assumptions!$B$36:$B$41,Assumptions!$B$36:$H$41))</f>
        <v>0</v>
      </c>
      <c r="YJ28">
        <f t="array" ref="YJ28">_xlfn.XLOOKUP(YJ$11,Assumptions!$B$35:$H$35,_xlfn.XLOOKUP($C28,Assumptions!$B$36:$B$41,Assumptions!$B$36:$H$41))</f>
        <v>0</v>
      </c>
      <c r="YK28">
        <f t="array" ref="YK28">_xlfn.XLOOKUP(YK$11,Assumptions!$B$35:$H$35,_xlfn.XLOOKUP($C28,Assumptions!$B$36:$B$41,Assumptions!$B$36:$H$41))</f>
        <v>0</v>
      </c>
      <c r="YL28">
        <f t="array" ref="YL28">_xlfn.XLOOKUP(YL$11,Assumptions!$B$35:$H$35,_xlfn.XLOOKUP($C28,Assumptions!$B$36:$B$41,Assumptions!$B$36:$H$41))</f>
        <v>0</v>
      </c>
      <c r="YM28">
        <f t="array" ref="YM28">_xlfn.XLOOKUP(YM$11,Assumptions!$B$35:$H$35,_xlfn.XLOOKUP($C28,Assumptions!$B$36:$B$41,Assumptions!$B$36:$H$41))</f>
        <v>0</v>
      </c>
      <c r="YN28">
        <f t="array" ref="YN28">_xlfn.XLOOKUP(YN$11,Assumptions!$B$35:$H$35,_xlfn.XLOOKUP($C28,Assumptions!$B$36:$B$41,Assumptions!$B$36:$H$41))</f>
        <v>0</v>
      </c>
      <c r="YO28">
        <f t="array" ref="YO28">_xlfn.XLOOKUP(YO$11,Assumptions!$B$35:$H$35,_xlfn.XLOOKUP($C28,Assumptions!$B$36:$B$41,Assumptions!$B$36:$H$41))</f>
        <v>0</v>
      </c>
      <c r="YP28">
        <f t="array" ref="YP28">_xlfn.XLOOKUP(YP$11,Assumptions!$B$35:$H$35,_xlfn.XLOOKUP($C28,Assumptions!$B$36:$B$41,Assumptions!$B$36:$H$41))</f>
        <v>0</v>
      </c>
      <c r="YQ28">
        <f t="array" ref="YQ28">_xlfn.XLOOKUP(YQ$11,Assumptions!$B$35:$H$35,_xlfn.XLOOKUP($C28,Assumptions!$B$36:$B$41,Assumptions!$B$36:$H$41))</f>
        <v>0</v>
      </c>
      <c r="YR28">
        <f t="array" ref="YR28">_xlfn.XLOOKUP(YR$11,Assumptions!$B$35:$H$35,_xlfn.XLOOKUP($C28,Assumptions!$B$36:$B$41,Assumptions!$B$36:$H$41))</f>
        <v>0</v>
      </c>
      <c r="YS28">
        <f t="array" ref="YS28">_xlfn.XLOOKUP(YS$11,Assumptions!$B$35:$H$35,_xlfn.XLOOKUP($C28,Assumptions!$B$36:$B$41,Assumptions!$B$36:$H$41))</f>
        <v>0</v>
      </c>
      <c r="YT28">
        <f t="array" ref="YT28">_xlfn.XLOOKUP(YT$11,Assumptions!$B$35:$H$35,_xlfn.XLOOKUP($C28,Assumptions!$B$36:$B$41,Assumptions!$B$36:$H$41))</f>
        <v>0</v>
      </c>
      <c r="YU28">
        <f t="array" ref="YU28">_xlfn.XLOOKUP(YU$11,Assumptions!$B$35:$H$35,_xlfn.XLOOKUP($C28,Assumptions!$B$36:$B$41,Assumptions!$B$36:$H$41))</f>
        <v>0</v>
      </c>
      <c r="YV28">
        <f t="array" ref="YV28">_xlfn.XLOOKUP(YV$11,Assumptions!$B$35:$H$35,_xlfn.XLOOKUP($C28,Assumptions!$B$36:$B$41,Assumptions!$B$36:$H$41))</f>
        <v>0</v>
      </c>
      <c r="YW28">
        <f t="array" ref="YW28">_xlfn.XLOOKUP(YW$11,Assumptions!$B$35:$H$35,_xlfn.XLOOKUP($C28,Assumptions!$B$36:$B$41,Assumptions!$B$36:$H$41))</f>
        <v>0</v>
      </c>
      <c r="YX28">
        <f t="array" ref="YX28">_xlfn.XLOOKUP(YX$11,Assumptions!$B$35:$H$35,_xlfn.XLOOKUP($C28,Assumptions!$B$36:$B$41,Assumptions!$B$36:$H$41))</f>
        <v>0</v>
      </c>
      <c r="YY28">
        <f t="array" ref="YY28">_xlfn.XLOOKUP(YY$11,Assumptions!$B$35:$H$35,_xlfn.XLOOKUP($C28,Assumptions!$B$36:$B$41,Assumptions!$B$36:$H$41))</f>
        <v>0</v>
      </c>
      <c r="YZ28">
        <f t="array" ref="YZ28">_xlfn.XLOOKUP(YZ$11,Assumptions!$B$35:$H$35,_xlfn.XLOOKUP($C28,Assumptions!$B$36:$B$41,Assumptions!$B$36:$H$41))</f>
        <v>0</v>
      </c>
      <c r="ZA28">
        <f t="array" ref="ZA28">_xlfn.XLOOKUP(ZA$11,Assumptions!$B$35:$H$35,_xlfn.XLOOKUP($C28,Assumptions!$B$36:$B$41,Assumptions!$B$36:$H$41))</f>
        <v>0</v>
      </c>
      <c r="ZB28">
        <f t="array" ref="ZB28">_xlfn.XLOOKUP(ZB$11,Assumptions!$B$35:$H$35,_xlfn.XLOOKUP($C28,Assumptions!$B$36:$B$41,Assumptions!$B$36:$H$41))</f>
        <v>0</v>
      </c>
      <c r="ZC28">
        <f t="array" ref="ZC28">_xlfn.XLOOKUP(ZC$11,Assumptions!$B$35:$H$35,_xlfn.XLOOKUP($C28,Assumptions!$B$36:$B$41,Assumptions!$B$36:$H$41))</f>
        <v>0</v>
      </c>
      <c r="ZD28">
        <f t="array" ref="ZD28">_xlfn.XLOOKUP(ZD$11,Assumptions!$B$35:$H$35,_xlfn.XLOOKUP($C28,Assumptions!$B$36:$B$41,Assumptions!$B$36:$H$41))</f>
        <v>0</v>
      </c>
      <c r="ZE28">
        <f t="array" ref="ZE28">_xlfn.XLOOKUP(ZE$11,Assumptions!$B$35:$H$35,_xlfn.XLOOKUP($C28,Assumptions!$B$36:$B$41,Assumptions!$B$36:$H$41))</f>
        <v>0</v>
      </c>
      <c r="ZF28">
        <f t="array" ref="ZF28">_xlfn.XLOOKUP(ZF$11,Assumptions!$B$35:$H$35,_xlfn.XLOOKUP($C28,Assumptions!$B$36:$B$41,Assumptions!$B$36:$H$41))</f>
        <v>0</v>
      </c>
      <c r="ZG28">
        <f t="array" ref="ZG28">_xlfn.XLOOKUP(ZG$11,Assumptions!$B$35:$H$35,_xlfn.XLOOKUP($C28,Assumptions!$B$36:$B$41,Assumptions!$B$36:$H$41))</f>
        <v>0</v>
      </c>
      <c r="ZH28">
        <f t="array" ref="ZH28">_xlfn.XLOOKUP(ZH$11,Assumptions!$B$35:$H$35,_xlfn.XLOOKUP($C28,Assumptions!$B$36:$B$41,Assumptions!$B$36:$H$41))</f>
        <v>0</v>
      </c>
      <c r="ZI28">
        <f t="array" ref="ZI28">_xlfn.XLOOKUP(ZI$11,Assumptions!$B$35:$H$35,_xlfn.XLOOKUP($C28,Assumptions!$B$36:$B$41,Assumptions!$B$36:$H$41))</f>
        <v>0</v>
      </c>
      <c r="ZJ28">
        <f t="array" ref="ZJ28">_xlfn.XLOOKUP(ZJ$11,Assumptions!$B$35:$H$35,_xlfn.XLOOKUP($C28,Assumptions!$B$36:$B$41,Assumptions!$B$36:$H$41))</f>
        <v>0</v>
      </c>
      <c r="ZK28">
        <f t="array" ref="ZK28">_xlfn.XLOOKUP(ZK$11,Assumptions!$B$35:$H$35,_xlfn.XLOOKUP($C28,Assumptions!$B$36:$B$41,Assumptions!$B$36:$H$41))</f>
        <v>0</v>
      </c>
      <c r="ZL28">
        <f t="array" ref="ZL28">_xlfn.XLOOKUP(ZL$11,Assumptions!$B$35:$H$35,_xlfn.XLOOKUP($C28,Assumptions!$B$36:$B$41,Assumptions!$B$36:$H$41))</f>
        <v>0</v>
      </c>
      <c r="ZM28">
        <f t="array" ref="ZM28">_xlfn.XLOOKUP(ZM$11,Assumptions!$B$35:$H$35,_xlfn.XLOOKUP($C28,Assumptions!$B$36:$B$41,Assumptions!$B$36:$H$41))</f>
        <v>0</v>
      </c>
      <c r="ZN28">
        <f t="array" ref="ZN28">_xlfn.XLOOKUP(ZN$11,Assumptions!$B$35:$H$35,_xlfn.XLOOKUP($C28,Assumptions!$B$36:$B$41,Assumptions!$B$36:$H$41))</f>
        <v>0</v>
      </c>
      <c r="ZO28">
        <f t="array" ref="ZO28">_xlfn.XLOOKUP(ZO$11,Assumptions!$B$35:$H$35,_xlfn.XLOOKUP($C28,Assumptions!$B$36:$B$41,Assumptions!$B$36:$H$41))</f>
        <v>0</v>
      </c>
      <c r="ZP28">
        <f t="array" ref="ZP28">_xlfn.XLOOKUP(ZP$11,Assumptions!$B$35:$H$35,_xlfn.XLOOKUP($C28,Assumptions!$B$36:$B$41,Assumptions!$B$36:$H$41))</f>
        <v>0</v>
      </c>
      <c r="ZQ28">
        <f t="array" ref="ZQ28">_xlfn.XLOOKUP(ZQ$11,Assumptions!$B$35:$H$35,_xlfn.XLOOKUP($C28,Assumptions!$B$36:$B$41,Assumptions!$B$36:$H$41))</f>
        <v>0</v>
      </c>
      <c r="ZR28">
        <f t="array" ref="ZR28">_xlfn.XLOOKUP(ZR$11,Assumptions!$B$35:$H$35,_xlfn.XLOOKUP($C28,Assumptions!$B$36:$B$41,Assumptions!$B$36:$H$41))</f>
        <v>0</v>
      </c>
      <c r="ZS28">
        <f t="array" ref="ZS28">_xlfn.XLOOKUP(ZS$11,Assumptions!$B$35:$H$35,_xlfn.XLOOKUP($C28,Assumptions!$B$36:$B$41,Assumptions!$B$36:$H$41))</f>
        <v>0</v>
      </c>
      <c r="ZT28">
        <f t="array" ref="ZT28">_xlfn.XLOOKUP(ZT$11,Assumptions!$B$35:$H$35,_xlfn.XLOOKUP($C28,Assumptions!$B$36:$B$41,Assumptions!$B$36:$H$41))</f>
        <v>0</v>
      </c>
      <c r="ZU28">
        <f t="array" ref="ZU28">_xlfn.XLOOKUP(ZU$11,Assumptions!$B$35:$H$35,_xlfn.XLOOKUP($C28,Assumptions!$B$36:$B$41,Assumptions!$B$36:$H$41))</f>
        <v>0</v>
      </c>
      <c r="ZV28">
        <f t="array" ref="ZV28">_xlfn.XLOOKUP(ZV$11,Assumptions!$B$35:$H$35,_xlfn.XLOOKUP($C28,Assumptions!$B$36:$B$41,Assumptions!$B$36:$H$41))</f>
        <v>0</v>
      </c>
      <c r="ZW28">
        <f t="array" ref="ZW28">_xlfn.XLOOKUP(ZW$11,Assumptions!$B$35:$H$35,_xlfn.XLOOKUP($C28,Assumptions!$B$36:$B$41,Assumptions!$B$36:$H$41))</f>
        <v>0</v>
      </c>
      <c r="ZX28">
        <f t="array" ref="ZX28">_xlfn.XLOOKUP(ZX$11,Assumptions!$B$35:$H$35,_xlfn.XLOOKUP($C28,Assumptions!$B$36:$B$41,Assumptions!$B$36:$H$41))</f>
        <v>0</v>
      </c>
      <c r="ZY28">
        <f t="array" ref="ZY28">_xlfn.XLOOKUP(ZY$11,Assumptions!$B$35:$H$35,_xlfn.XLOOKUP($C28,Assumptions!$B$36:$B$41,Assumptions!$B$36:$H$41))</f>
        <v>0</v>
      </c>
      <c r="ZZ28">
        <f t="array" ref="ZZ28">_xlfn.XLOOKUP(ZZ$11,Assumptions!$B$35:$H$35,_xlfn.XLOOKUP($C28,Assumptions!$B$36:$B$41,Assumptions!$B$36:$H$41))</f>
        <v>0</v>
      </c>
      <c r="AAA28">
        <f t="array" ref="AAA28">_xlfn.XLOOKUP(AAA$11,Assumptions!$B$35:$H$35,_xlfn.XLOOKUP($C28,Assumptions!$B$36:$B$41,Assumptions!$B$36:$H$41))</f>
        <v>0</v>
      </c>
      <c r="AAB28">
        <f t="array" ref="AAB28">_xlfn.XLOOKUP(AAB$11,Assumptions!$B$35:$H$35,_xlfn.XLOOKUP($C28,Assumptions!$B$36:$B$41,Assumptions!$B$36:$H$41))</f>
        <v>0</v>
      </c>
      <c r="AAC28">
        <f t="array" ref="AAC28">_xlfn.XLOOKUP(AAC$11,Assumptions!$B$35:$H$35,_xlfn.XLOOKUP($C28,Assumptions!$B$36:$B$41,Assumptions!$B$36:$H$41))</f>
        <v>0</v>
      </c>
      <c r="AAD28">
        <f t="array" ref="AAD28">_xlfn.XLOOKUP(AAD$11,Assumptions!$B$35:$H$35,_xlfn.XLOOKUP($C28,Assumptions!$B$36:$B$41,Assumptions!$B$36:$H$41))</f>
        <v>0</v>
      </c>
      <c r="AAE28">
        <f t="array" ref="AAE28">_xlfn.XLOOKUP(AAE$11,Assumptions!$B$35:$H$35,_xlfn.XLOOKUP($C28,Assumptions!$B$36:$B$41,Assumptions!$B$36:$H$41))</f>
        <v>0</v>
      </c>
      <c r="AAF28">
        <f t="array" ref="AAF28">_xlfn.XLOOKUP(AAF$11,Assumptions!$B$35:$H$35,_xlfn.XLOOKUP($C28,Assumptions!$B$36:$B$41,Assumptions!$B$36:$H$41))</f>
        <v>0</v>
      </c>
      <c r="AAG28">
        <f t="array" ref="AAG28">_xlfn.XLOOKUP(AAG$11,Assumptions!$B$35:$H$35,_xlfn.XLOOKUP($C28,Assumptions!$B$36:$B$41,Assumptions!$B$36:$H$41))</f>
        <v>0</v>
      </c>
      <c r="AAH28">
        <f t="array" ref="AAH28">_xlfn.XLOOKUP(AAH$11,Assumptions!$B$35:$H$35,_xlfn.XLOOKUP($C28,Assumptions!$B$36:$B$41,Assumptions!$B$36:$H$41))</f>
        <v>0</v>
      </c>
      <c r="AAI28">
        <f t="array" ref="AAI28">_xlfn.XLOOKUP(AAI$11,Assumptions!$B$35:$H$35,_xlfn.XLOOKUP($C28,Assumptions!$B$36:$B$41,Assumptions!$B$36:$H$41))</f>
        <v>0</v>
      </c>
      <c r="AAJ28">
        <f t="array" ref="AAJ28">_xlfn.XLOOKUP(AAJ$11,Assumptions!$B$35:$H$35,_xlfn.XLOOKUP($C28,Assumptions!$B$36:$B$41,Assumptions!$B$36:$H$41))</f>
        <v>0</v>
      </c>
      <c r="AAK28">
        <f t="array" ref="AAK28">_xlfn.XLOOKUP(AAK$11,Assumptions!$B$35:$H$35,_xlfn.XLOOKUP($C28,Assumptions!$B$36:$B$41,Assumptions!$B$36:$H$41))</f>
        <v>0</v>
      </c>
      <c r="AAL28">
        <f t="array" ref="AAL28">_xlfn.XLOOKUP(AAL$11,Assumptions!$B$35:$H$35,_xlfn.XLOOKUP($C28,Assumptions!$B$36:$B$41,Assumptions!$B$36:$H$41))</f>
        <v>0</v>
      </c>
      <c r="AAM28">
        <f t="array" ref="AAM28">_xlfn.XLOOKUP(AAM$11,Assumptions!$B$35:$H$35,_xlfn.XLOOKUP($C28,Assumptions!$B$36:$B$41,Assumptions!$B$36:$H$41))</f>
        <v>0</v>
      </c>
      <c r="AAN28">
        <f t="array" ref="AAN28">_xlfn.XLOOKUP(AAN$11,Assumptions!$B$35:$H$35,_xlfn.XLOOKUP($C28,Assumptions!$B$36:$B$41,Assumptions!$B$36:$H$41))</f>
        <v>0</v>
      </c>
      <c r="AAO28">
        <f t="array" ref="AAO28">_xlfn.XLOOKUP(AAO$11,Assumptions!$B$35:$H$35,_xlfn.XLOOKUP($C28,Assumptions!$B$36:$B$41,Assumptions!$B$36:$H$41))</f>
        <v>0</v>
      </c>
      <c r="AAP28">
        <f t="array" ref="AAP28">_xlfn.XLOOKUP(AAP$11,Assumptions!$B$35:$H$35,_xlfn.XLOOKUP($C28,Assumptions!$B$36:$B$41,Assumptions!$B$36:$H$41))</f>
        <v>0</v>
      </c>
      <c r="AAQ28">
        <f t="array" ref="AAQ28">_xlfn.XLOOKUP(AAQ$11,Assumptions!$B$35:$H$35,_xlfn.XLOOKUP($C28,Assumptions!$B$36:$B$41,Assumptions!$B$36:$H$41))</f>
        <v>0</v>
      </c>
      <c r="AAR28">
        <f t="array" ref="AAR28">_xlfn.XLOOKUP(AAR$11,Assumptions!$B$35:$H$35,_xlfn.XLOOKUP($C28,Assumptions!$B$36:$B$41,Assumptions!$B$36:$H$41))</f>
        <v>0</v>
      </c>
      <c r="AAS28">
        <f t="array" ref="AAS28">_xlfn.XLOOKUP(AAS$11,Assumptions!$B$35:$H$35,_xlfn.XLOOKUP($C28,Assumptions!$B$36:$B$41,Assumptions!$B$36:$H$41))</f>
        <v>0</v>
      </c>
      <c r="AAT28">
        <f t="array" ref="AAT28">_xlfn.XLOOKUP(AAT$11,Assumptions!$B$35:$H$35,_xlfn.XLOOKUP($C28,Assumptions!$B$36:$B$41,Assumptions!$B$36:$H$41))</f>
        <v>0</v>
      </c>
      <c r="AAU28">
        <f t="array" ref="AAU28">_xlfn.XLOOKUP(AAU$11,Assumptions!$B$35:$H$35,_xlfn.XLOOKUP($C28,Assumptions!$B$36:$B$41,Assumptions!$B$36:$H$41))</f>
        <v>0</v>
      </c>
      <c r="AAV28">
        <f t="array" ref="AAV28">_xlfn.XLOOKUP(AAV$11,Assumptions!$B$35:$H$35,_xlfn.XLOOKUP($C28,Assumptions!$B$36:$B$41,Assumptions!$B$36:$H$41))</f>
        <v>0</v>
      </c>
      <c r="AAW28">
        <f t="array" ref="AAW28">_xlfn.XLOOKUP(AAW$11,Assumptions!$B$35:$H$35,_xlfn.XLOOKUP($C28,Assumptions!$B$36:$B$41,Assumptions!$B$36:$H$41))</f>
        <v>0</v>
      </c>
      <c r="AAX28">
        <f t="array" ref="AAX28">_xlfn.XLOOKUP(AAX$11,Assumptions!$B$35:$H$35,_xlfn.XLOOKUP($C28,Assumptions!$B$36:$B$41,Assumptions!$B$36:$H$41))</f>
        <v>0</v>
      </c>
      <c r="AAY28">
        <f t="array" ref="AAY28">_xlfn.XLOOKUP(AAY$11,Assumptions!$B$35:$H$35,_xlfn.XLOOKUP($C28,Assumptions!$B$36:$B$41,Assumptions!$B$36:$H$41))</f>
        <v>0</v>
      </c>
      <c r="AAZ28">
        <f t="array" ref="AAZ28">_xlfn.XLOOKUP(AAZ$11,Assumptions!$B$35:$H$35,_xlfn.XLOOKUP($C28,Assumptions!$B$36:$B$41,Assumptions!$B$36:$H$41))</f>
        <v>0</v>
      </c>
      <c r="ABA28">
        <f t="array" ref="ABA28">_xlfn.XLOOKUP(ABA$11,Assumptions!$B$35:$H$35,_xlfn.XLOOKUP($C28,Assumptions!$B$36:$B$41,Assumptions!$B$36:$H$41))</f>
        <v>0</v>
      </c>
      <c r="ABB28">
        <f t="array" ref="ABB28">_xlfn.XLOOKUP(ABB$11,Assumptions!$B$35:$H$35,_xlfn.XLOOKUP($C28,Assumptions!$B$36:$B$41,Assumptions!$B$36:$H$41))</f>
        <v>0</v>
      </c>
      <c r="ABC28">
        <f t="array" ref="ABC28">_xlfn.XLOOKUP(ABC$11,Assumptions!$B$35:$H$35,_xlfn.XLOOKUP($C28,Assumptions!$B$36:$B$41,Assumptions!$B$36:$H$41))</f>
        <v>0</v>
      </c>
      <c r="ABD28">
        <f t="array" ref="ABD28">_xlfn.XLOOKUP(ABD$11,Assumptions!$B$35:$H$35,_xlfn.XLOOKUP($C28,Assumptions!$B$36:$B$41,Assumptions!$B$36:$H$41))</f>
        <v>0</v>
      </c>
      <c r="ABE28">
        <f t="array" ref="ABE28">_xlfn.XLOOKUP(ABE$11,Assumptions!$B$35:$H$35,_xlfn.XLOOKUP($C28,Assumptions!$B$36:$B$41,Assumptions!$B$36:$H$41))</f>
        <v>0</v>
      </c>
      <c r="ABF28">
        <f t="array" ref="ABF28">_xlfn.XLOOKUP(ABF$11,Assumptions!$B$35:$H$35,_xlfn.XLOOKUP($C28,Assumptions!$B$36:$B$41,Assumptions!$B$36:$H$41))</f>
        <v>0</v>
      </c>
      <c r="ABG28">
        <f t="array" ref="ABG28">_xlfn.XLOOKUP(ABG$11,Assumptions!$B$35:$H$35,_xlfn.XLOOKUP($C28,Assumptions!$B$36:$B$41,Assumptions!$B$36:$H$41))</f>
        <v>0</v>
      </c>
      <c r="ABH28">
        <f t="array" ref="ABH28">_xlfn.XLOOKUP(ABH$11,Assumptions!$B$35:$H$35,_xlfn.XLOOKUP($C28,Assumptions!$B$36:$B$41,Assumptions!$B$36:$H$41))</f>
        <v>0</v>
      </c>
      <c r="ABI28">
        <f t="array" ref="ABI28">_xlfn.XLOOKUP(ABI$11,Assumptions!$B$35:$H$35,_xlfn.XLOOKUP($C28,Assumptions!$B$36:$B$41,Assumptions!$B$36:$H$41))</f>
        <v>0</v>
      </c>
      <c r="ABJ28">
        <f t="array" ref="ABJ28">_xlfn.XLOOKUP(ABJ$11,Assumptions!$B$35:$H$35,_xlfn.XLOOKUP($C28,Assumptions!$B$36:$B$41,Assumptions!$B$36:$H$41))</f>
        <v>0</v>
      </c>
      <c r="ABK28">
        <f t="array" ref="ABK28">_xlfn.XLOOKUP(ABK$11,Assumptions!$B$35:$H$35,_xlfn.XLOOKUP($C28,Assumptions!$B$36:$B$41,Assumptions!$B$36:$H$41))</f>
        <v>0</v>
      </c>
      <c r="ABL28">
        <f t="array" ref="ABL28">_xlfn.XLOOKUP(ABL$11,Assumptions!$B$35:$H$35,_xlfn.XLOOKUP($C28,Assumptions!$B$36:$B$41,Assumptions!$B$36:$H$41))</f>
        <v>0</v>
      </c>
      <c r="ABM28">
        <f t="array" ref="ABM28">_xlfn.XLOOKUP(ABM$11,Assumptions!$B$35:$H$35,_xlfn.XLOOKUP($C28,Assumptions!$B$36:$B$41,Assumptions!$B$36:$H$41))</f>
        <v>0</v>
      </c>
      <c r="ABN28">
        <f t="array" ref="ABN28">_xlfn.XLOOKUP(ABN$11,Assumptions!$B$35:$H$35,_xlfn.XLOOKUP($C28,Assumptions!$B$36:$B$41,Assumptions!$B$36:$H$41))</f>
        <v>0</v>
      </c>
      <c r="ABO28">
        <f t="array" ref="ABO28">_xlfn.XLOOKUP(ABO$11,Assumptions!$B$35:$H$35,_xlfn.XLOOKUP($C28,Assumptions!$B$36:$B$41,Assumptions!$B$36:$H$41))</f>
        <v>0</v>
      </c>
      <c r="ABP28">
        <f t="array" ref="ABP28">_xlfn.XLOOKUP(ABP$11,Assumptions!$B$35:$H$35,_xlfn.XLOOKUP($C28,Assumptions!$B$36:$B$41,Assumptions!$B$36:$H$41))</f>
        <v>0</v>
      </c>
      <c r="ABQ28">
        <f t="array" ref="ABQ28">_xlfn.XLOOKUP(ABQ$11,Assumptions!$B$35:$H$35,_xlfn.XLOOKUP($C28,Assumptions!$B$36:$B$41,Assumptions!$B$36:$H$41))</f>
        <v>0</v>
      </c>
      <c r="ABR28">
        <f t="array" ref="ABR28">_xlfn.XLOOKUP(ABR$11,Assumptions!$B$35:$H$35,_xlfn.XLOOKUP($C28,Assumptions!$B$36:$B$41,Assumptions!$B$36:$H$41))</f>
        <v>0</v>
      </c>
      <c r="ABS28">
        <f t="array" ref="ABS28">_xlfn.XLOOKUP(ABS$11,Assumptions!$B$35:$H$35,_xlfn.XLOOKUP($C28,Assumptions!$B$36:$B$41,Assumptions!$B$36:$H$41))</f>
        <v>0</v>
      </c>
      <c r="ABT28">
        <f t="array" ref="ABT28">_xlfn.XLOOKUP(ABT$11,Assumptions!$B$35:$H$35,_xlfn.XLOOKUP($C28,Assumptions!$B$36:$B$41,Assumptions!$B$36:$H$41))</f>
        <v>0</v>
      </c>
      <c r="ABU28">
        <f t="array" ref="ABU28">_xlfn.XLOOKUP(ABU$11,Assumptions!$B$35:$H$35,_xlfn.XLOOKUP($C28,Assumptions!$B$36:$B$41,Assumptions!$B$36:$H$41))</f>
        <v>0</v>
      </c>
      <c r="ABV28">
        <f t="array" ref="ABV28">_xlfn.XLOOKUP(ABV$11,Assumptions!$B$35:$H$35,_xlfn.XLOOKUP($C28,Assumptions!$B$36:$B$41,Assumptions!$B$36:$H$41))</f>
        <v>0</v>
      </c>
      <c r="ABW28">
        <f t="array" ref="ABW28">_xlfn.XLOOKUP(ABW$11,Assumptions!$B$35:$H$35,_xlfn.XLOOKUP($C28,Assumptions!$B$36:$B$41,Assumptions!$B$36:$H$41))</f>
        <v>0</v>
      </c>
      <c r="ABX28">
        <f t="array" ref="ABX28">_xlfn.XLOOKUP(ABX$11,Assumptions!$B$35:$H$35,_xlfn.XLOOKUP($C28,Assumptions!$B$36:$B$41,Assumptions!$B$36:$H$41))</f>
        <v>0</v>
      </c>
      <c r="ABY28">
        <f t="array" ref="ABY28">_xlfn.XLOOKUP(ABY$11,Assumptions!$B$35:$H$35,_xlfn.XLOOKUP($C28,Assumptions!$B$36:$B$41,Assumptions!$B$36:$H$41))</f>
        <v>0</v>
      </c>
      <c r="ABZ28">
        <f t="array" ref="ABZ28">_xlfn.XLOOKUP(ABZ$11,Assumptions!$B$35:$H$35,_xlfn.XLOOKUP($C28,Assumptions!$B$36:$B$41,Assumptions!$B$36:$H$41))</f>
        <v>0</v>
      </c>
      <c r="ACA28">
        <f t="array" ref="ACA28">_xlfn.XLOOKUP(ACA$11,Assumptions!$B$35:$H$35,_xlfn.XLOOKUP($C28,Assumptions!$B$36:$B$41,Assumptions!$B$36:$H$41))</f>
        <v>0</v>
      </c>
      <c r="ACB28">
        <f t="array" ref="ACB28">_xlfn.XLOOKUP(ACB$11,Assumptions!$B$35:$H$35,_xlfn.XLOOKUP($C28,Assumptions!$B$36:$B$41,Assumptions!$B$36:$H$41))</f>
        <v>0</v>
      </c>
      <c r="ACC28">
        <f t="array" ref="ACC28">_xlfn.XLOOKUP(ACC$11,Assumptions!$B$35:$H$35,_xlfn.XLOOKUP($C28,Assumptions!$B$36:$B$41,Assumptions!$B$36:$H$41))</f>
        <v>0</v>
      </c>
      <c r="ACD28">
        <f t="array" ref="ACD28">_xlfn.XLOOKUP(ACD$11,Assumptions!$B$35:$H$35,_xlfn.XLOOKUP($C28,Assumptions!$B$36:$B$41,Assumptions!$B$36:$H$41))</f>
        <v>0</v>
      </c>
      <c r="ACE28">
        <f t="array" ref="ACE28">_xlfn.XLOOKUP(ACE$11,Assumptions!$B$35:$H$35,_xlfn.XLOOKUP($C28,Assumptions!$B$36:$B$41,Assumptions!$B$36:$H$41))</f>
        <v>0</v>
      </c>
      <c r="ACF28">
        <f t="array" ref="ACF28">_xlfn.XLOOKUP(ACF$11,Assumptions!$B$35:$H$35,_xlfn.XLOOKUP($C28,Assumptions!$B$36:$B$41,Assumptions!$B$36:$H$41))</f>
        <v>0</v>
      </c>
      <c r="ACG28">
        <f t="array" ref="ACG28">_xlfn.XLOOKUP(ACG$11,Assumptions!$B$35:$H$35,_xlfn.XLOOKUP($C28,Assumptions!$B$36:$B$41,Assumptions!$B$36:$H$41))</f>
        <v>0</v>
      </c>
      <c r="ACH28">
        <f t="array" ref="ACH28">_xlfn.XLOOKUP(ACH$11,Assumptions!$B$35:$H$35,_xlfn.XLOOKUP($C28,Assumptions!$B$36:$B$41,Assumptions!$B$36:$H$41))</f>
        <v>0</v>
      </c>
      <c r="ACI28">
        <f t="array" ref="ACI28">_xlfn.XLOOKUP(ACI$11,Assumptions!$B$35:$H$35,_xlfn.XLOOKUP($C28,Assumptions!$B$36:$B$41,Assumptions!$B$36:$H$41))</f>
        <v>0</v>
      </c>
      <c r="ACJ28">
        <f t="array" ref="ACJ28">_xlfn.XLOOKUP(ACJ$11,Assumptions!$B$35:$H$35,_xlfn.XLOOKUP($C28,Assumptions!$B$36:$B$41,Assumptions!$B$36:$H$41))</f>
        <v>0</v>
      </c>
      <c r="ACK28">
        <f t="array" ref="ACK28">_xlfn.XLOOKUP(ACK$11,Assumptions!$B$35:$H$35,_xlfn.XLOOKUP($C28,Assumptions!$B$36:$B$41,Assumptions!$B$36:$H$41))</f>
        <v>0</v>
      </c>
      <c r="ACL28">
        <f t="array" ref="ACL28">_xlfn.XLOOKUP(ACL$11,Assumptions!$B$35:$H$35,_xlfn.XLOOKUP($C28,Assumptions!$B$36:$B$41,Assumptions!$B$36:$H$41))</f>
        <v>0</v>
      </c>
      <c r="ACM28">
        <f t="array" ref="ACM28">_xlfn.XLOOKUP(ACM$11,Assumptions!$B$35:$H$35,_xlfn.XLOOKUP($C28,Assumptions!$B$36:$B$41,Assumptions!$B$36:$H$41))</f>
        <v>0</v>
      </c>
      <c r="ACN28">
        <f t="array" ref="ACN28">_xlfn.XLOOKUP(ACN$11,Assumptions!$B$35:$H$35,_xlfn.XLOOKUP($C28,Assumptions!$B$36:$B$41,Assumptions!$B$36:$H$41))</f>
        <v>0</v>
      </c>
      <c r="ACO28">
        <f t="array" ref="ACO28">_xlfn.XLOOKUP(ACO$11,Assumptions!$B$35:$H$35,_xlfn.XLOOKUP($C28,Assumptions!$B$36:$B$41,Assumptions!$B$36:$H$41))</f>
        <v>0</v>
      </c>
      <c r="ACP28">
        <f t="array" ref="ACP28">_xlfn.XLOOKUP(ACP$11,Assumptions!$B$35:$H$35,_xlfn.XLOOKUP($C28,Assumptions!$B$36:$B$41,Assumptions!$B$36:$H$41))</f>
        <v>0</v>
      </c>
      <c r="ACQ28">
        <f t="array" ref="ACQ28">_xlfn.XLOOKUP(ACQ$11,Assumptions!$B$35:$H$35,_xlfn.XLOOKUP($C28,Assumptions!$B$36:$B$41,Assumptions!$B$36:$H$41))</f>
        <v>0</v>
      </c>
      <c r="ACR28">
        <f t="array" ref="ACR28">_xlfn.XLOOKUP(ACR$11,Assumptions!$B$35:$H$35,_xlfn.XLOOKUP($C28,Assumptions!$B$36:$B$41,Assumptions!$B$36:$H$41))</f>
        <v>0</v>
      </c>
      <c r="ACS28">
        <f t="array" ref="ACS28">_xlfn.XLOOKUP(ACS$11,Assumptions!$B$35:$H$35,_xlfn.XLOOKUP($C28,Assumptions!$B$36:$B$41,Assumptions!$B$36:$H$41))</f>
        <v>0</v>
      </c>
      <c r="ACT28">
        <f t="array" ref="ACT28">_xlfn.XLOOKUP(ACT$11,Assumptions!$B$35:$H$35,_xlfn.XLOOKUP($C28,Assumptions!$B$36:$B$41,Assumptions!$B$36:$H$41))</f>
        <v>0</v>
      </c>
      <c r="ACU28">
        <f t="array" ref="ACU28">_xlfn.XLOOKUP(ACU$11,Assumptions!$B$35:$H$35,_xlfn.XLOOKUP($C28,Assumptions!$B$36:$B$41,Assumptions!$B$36:$H$41))</f>
        <v>0</v>
      </c>
      <c r="ACV28">
        <f t="array" ref="ACV28">_xlfn.XLOOKUP(ACV$11,Assumptions!$B$35:$H$35,_xlfn.XLOOKUP($C28,Assumptions!$B$36:$B$41,Assumptions!$B$36:$H$41))</f>
        <v>0</v>
      </c>
      <c r="ACW28">
        <f t="array" ref="ACW28">_xlfn.XLOOKUP(ACW$11,Assumptions!$B$35:$H$35,_xlfn.XLOOKUP($C28,Assumptions!$B$36:$B$41,Assumptions!$B$36:$H$41))</f>
        <v>0</v>
      </c>
      <c r="ACX28">
        <f t="array" ref="ACX28">_xlfn.XLOOKUP(ACX$11,Assumptions!$B$35:$H$35,_xlfn.XLOOKUP($C28,Assumptions!$B$36:$B$41,Assumptions!$B$36:$H$41))</f>
        <v>0</v>
      </c>
      <c r="ACY28">
        <f t="array" ref="ACY28">_xlfn.XLOOKUP(ACY$11,Assumptions!$B$35:$H$35,_xlfn.XLOOKUP($C28,Assumptions!$B$36:$B$41,Assumptions!$B$36:$H$41))</f>
        <v>0</v>
      </c>
      <c r="ACZ28">
        <f t="array" ref="ACZ28">_xlfn.XLOOKUP(ACZ$11,Assumptions!$B$35:$H$35,_xlfn.XLOOKUP($C28,Assumptions!$B$36:$B$41,Assumptions!$B$36:$H$41))</f>
        <v>0</v>
      </c>
      <c r="ADA28">
        <f t="array" ref="ADA28">_xlfn.XLOOKUP(ADA$11,Assumptions!$B$35:$H$35,_xlfn.XLOOKUP($C28,Assumptions!$B$36:$B$41,Assumptions!$B$36:$H$41))</f>
        <v>0</v>
      </c>
      <c r="ADB28">
        <f t="array" ref="ADB28">_xlfn.XLOOKUP(ADB$11,Assumptions!$B$35:$H$35,_xlfn.XLOOKUP($C28,Assumptions!$B$36:$B$41,Assumptions!$B$36:$H$41))</f>
        <v>0</v>
      </c>
      <c r="ADC28">
        <f t="array" ref="ADC28">_xlfn.XLOOKUP(ADC$11,Assumptions!$B$35:$H$35,_xlfn.XLOOKUP($C28,Assumptions!$B$36:$B$41,Assumptions!$B$36:$H$41))</f>
        <v>0</v>
      </c>
      <c r="ADD28">
        <f t="array" ref="ADD28">_xlfn.XLOOKUP(ADD$11,Assumptions!$B$35:$H$35,_xlfn.XLOOKUP($C28,Assumptions!$B$36:$B$41,Assumptions!$B$36:$H$41))</f>
        <v>0</v>
      </c>
      <c r="ADE28">
        <f t="array" ref="ADE28">_xlfn.XLOOKUP(ADE$11,Assumptions!$B$35:$H$35,_xlfn.XLOOKUP($C28,Assumptions!$B$36:$B$41,Assumptions!$B$36:$H$41))</f>
        <v>0</v>
      </c>
      <c r="ADF28">
        <f t="array" ref="ADF28">_xlfn.XLOOKUP(ADF$11,Assumptions!$B$35:$H$35,_xlfn.XLOOKUP($C28,Assumptions!$B$36:$B$41,Assumptions!$B$36:$H$41))</f>
        <v>0</v>
      </c>
      <c r="ADG28">
        <f t="array" ref="ADG28">_xlfn.XLOOKUP(ADG$11,Assumptions!$B$35:$H$35,_xlfn.XLOOKUP($C28,Assumptions!$B$36:$B$41,Assumptions!$B$36:$H$41))</f>
        <v>0</v>
      </c>
      <c r="ADH28">
        <f t="array" ref="ADH28">_xlfn.XLOOKUP(ADH$11,Assumptions!$B$35:$H$35,_xlfn.XLOOKUP($C28,Assumptions!$B$36:$B$41,Assumptions!$B$36:$H$41))</f>
        <v>0</v>
      </c>
      <c r="ADI28">
        <f t="array" ref="ADI28">_xlfn.XLOOKUP(ADI$11,Assumptions!$B$35:$H$35,_xlfn.XLOOKUP($C28,Assumptions!$B$36:$B$41,Assumptions!$B$36:$H$41))</f>
        <v>0</v>
      </c>
      <c r="ADJ28">
        <f t="array" ref="ADJ28">_xlfn.XLOOKUP(ADJ$11,Assumptions!$B$35:$H$35,_xlfn.XLOOKUP($C28,Assumptions!$B$36:$B$41,Assumptions!$B$36:$H$41))</f>
        <v>0</v>
      </c>
      <c r="ADK28">
        <f t="array" ref="ADK28">_xlfn.XLOOKUP(ADK$11,Assumptions!$B$35:$H$35,_xlfn.XLOOKUP($C28,Assumptions!$B$36:$B$41,Assumptions!$B$36:$H$41))</f>
        <v>0</v>
      </c>
      <c r="ADL28">
        <f t="array" ref="ADL28">_xlfn.XLOOKUP(ADL$11,Assumptions!$B$35:$H$35,_xlfn.XLOOKUP($C28,Assumptions!$B$36:$B$41,Assumptions!$B$36:$H$41))</f>
        <v>0</v>
      </c>
      <c r="ADM28">
        <f t="array" ref="ADM28">_xlfn.XLOOKUP(ADM$11,Assumptions!$B$35:$H$35,_xlfn.XLOOKUP($C28,Assumptions!$B$36:$B$41,Assumptions!$B$36:$H$41))</f>
        <v>0</v>
      </c>
      <c r="ADN28">
        <f t="array" ref="ADN28">_xlfn.XLOOKUP(ADN$11,Assumptions!$B$35:$H$35,_xlfn.XLOOKUP($C28,Assumptions!$B$36:$B$41,Assumptions!$B$36:$H$41))</f>
        <v>0</v>
      </c>
      <c r="ADO28">
        <f t="array" ref="ADO28">_xlfn.XLOOKUP(ADO$11,Assumptions!$B$35:$H$35,_xlfn.XLOOKUP($C28,Assumptions!$B$36:$B$41,Assumptions!$B$36:$H$41))</f>
        <v>0</v>
      </c>
      <c r="ADP28">
        <f t="array" ref="ADP28">_xlfn.XLOOKUP(ADP$11,Assumptions!$B$35:$H$35,_xlfn.XLOOKUP($C28,Assumptions!$B$36:$B$41,Assumptions!$B$36:$H$41))</f>
        <v>0</v>
      </c>
      <c r="ADQ28">
        <f t="array" ref="ADQ28">_xlfn.XLOOKUP(ADQ$11,Assumptions!$B$35:$H$35,_xlfn.XLOOKUP($C28,Assumptions!$B$36:$B$41,Assumptions!$B$36:$H$41))</f>
        <v>0</v>
      </c>
      <c r="ADR28">
        <f t="array" ref="ADR28">_xlfn.XLOOKUP(ADR$11,Assumptions!$B$35:$H$35,_xlfn.XLOOKUP($C28,Assumptions!$B$36:$B$41,Assumptions!$B$36:$H$41))</f>
        <v>0</v>
      </c>
      <c r="ADS28">
        <f t="array" ref="ADS28">_xlfn.XLOOKUP(ADS$11,Assumptions!$B$35:$H$35,_xlfn.XLOOKUP($C28,Assumptions!$B$36:$B$41,Assumptions!$B$36:$H$41))</f>
        <v>0</v>
      </c>
      <c r="ADT28">
        <f t="array" ref="ADT28">_xlfn.XLOOKUP(ADT$11,Assumptions!$B$35:$H$35,_xlfn.XLOOKUP($C28,Assumptions!$B$36:$B$41,Assumptions!$B$36:$H$41))</f>
        <v>0</v>
      </c>
      <c r="ADU28">
        <f t="array" ref="ADU28">_xlfn.XLOOKUP(ADU$11,Assumptions!$B$35:$H$35,_xlfn.XLOOKUP($C28,Assumptions!$B$36:$B$41,Assumptions!$B$36:$H$41))</f>
        <v>0</v>
      </c>
      <c r="ADV28">
        <f t="array" ref="ADV28">_xlfn.XLOOKUP(ADV$11,Assumptions!$B$35:$H$35,_xlfn.XLOOKUP($C28,Assumptions!$B$36:$B$41,Assumptions!$B$36:$H$41))</f>
        <v>0</v>
      </c>
      <c r="ADW28">
        <f t="array" ref="ADW28">_xlfn.XLOOKUP(ADW$11,Assumptions!$B$35:$H$35,_xlfn.XLOOKUP($C28,Assumptions!$B$36:$B$41,Assumptions!$B$36:$H$41))</f>
        <v>0</v>
      </c>
      <c r="ADX28">
        <f t="array" ref="ADX28">_xlfn.XLOOKUP(ADX$11,Assumptions!$B$35:$H$35,_xlfn.XLOOKUP($C28,Assumptions!$B$36:$B$41,Assumptions!$B$36:$H$41))</f>
        <v>0</v>
      </c>
      <c r="ADY28">
        <f t="array" ref="ADY28">_xlfn.XLOOKUP(ADY$11,Assumptions!$B$35:$H$35,_xlfn.XLOOKUP($C28,Assumptions!$B$36:$B$41,Assumptions!$B$36:$H$41))</f>
        <v>0</v>
      </c>
      <c r="ADZ28">
        <f t="array" ref="ADZ28">_xlfn.XLOOKUP(ADZ$11,Assumptions!$B$35:$H$35,_xlfn.XLOOKUP($C28,Assumptions!$B$36:$B$41,Assumptions!$B$36:$H$41))</f>
        <v>0</v>
      </c>
      <c r="AEA28">
        <f t="array" ref="AEA28">_xlfn.XLOOKUP(AEA$11,Assumptions!$B$35:$H$35,_xlfn.XLOOKUP($C28,Assumptions!$B$36:$B$41,Assumptions!$B$36:$H$41))</f>
        <v>0</v>
      </c>
      <c r="AEB28">
        <f t="array" ref="AEB28">_xlfn.XLOOKUP(AEB$11,Assumptions!$B$35:$H$35,_xlfn.XLOOKUP($C28,Assumptions!$B$36:$B$41,Assumptions!$B$36:$H$41))</f>
        <v>0</v>
      </c>
      <c r="AEC28">
        <f t="array" ref="AEC28">_xlfn.XLOOKUP(AEC$11,Assumptions!$B$35:$H$35,_xlfn.XLOOKUP($C28,Assumptions!$B$36:$B$41,Assumptions!$B$36:$H$41))</f>
        <v>0</v>
      </c>
      <c r="AED28">
        <f t="array" ref="AED28">_xlfn.XLOOKUP(AED$11,Assumptions!$B$35:$H$35,_xlfn.XLOOKUP($C28,Assumptions!$B$36:$B$41,Assumptions!$B$36:$H$41))</f>
        <v>0</v>
      </c>
      <c r="AEE28">
        <f t="array" ref="AEE28">_xlfn.XLOOKUP(AEE$11,Assumptions!$B$35:$H$35,_xlfn.XLOOKUP($C28,Assumptions!$B$36:$B$41,Assumptions!$B$36:$H$41))</f>
        <v>0</v>
      </c>
      <c r="AEF28">
        <f t="array" ref="AEF28">_xlfn.XLOOKUP(AEF$11,Assumptions!$B$35:$H$35,_xlfn.XLOOKUP($C28,Assumptions!$B$36:$B$41,Assumptions!$B$36:$H$41))</f>
        <v>0</v>
      </c>
      <c r="AEG28">
        <f t="array" ref="AEG28">_xlfn.XLOOKUP(AEG$11,Assumptions!$B$35:$H$35,_xlfn.XLOOKUP($C28,Assumptions!$B$36:$B$41,Assumptions!$B$36:$H$41))</f>
        <v>0</v>
      </c>
      <c r="AEH28">
        <f t="array" ref="AEH28">_xlfn.XLOOKUP(AEH$11,Assumptions!$B$35:$H$35,_xlfn.XLOOKUP($C28,Assumptions!$B$36:$B$41,Assumptions!$B$36:$H$41))</f>
        <v>0</v>
      </c>
      <c r="AEI28">
        <f t="array" ref="AEI28">_xlfn.XLOOKUP(AEI$11,Assumptions!$B$35:$H$35,_xlfn.XLOOKUP($C28,Assumptions!$B$36:$B$41,Assumptions!$B$36:$H$41))</f>
        <v>0</v>
      </c>
      <c r="AEJ28">
        <f t="array" ref="AEJ28">_xlfn.XLOOKUP(AEJ$11,Assumptions!$B$35:$H$35,_xlfn.XLOOKUP($C28,Assumptions!$B$36:$B$41,Assumptions!$B$36:$H$41))</f>
        <v>0</v>
      </c>
      <c r="AEK28">
        <f t="array" ref="AEK28">_xlfn.XLOOKUP(AEK$11,Assumptions!$B$35:$H$35,_xlfn.XLOOKUP($C28,Assumptions!$B$36:$B$41,Assumptions!$B$36:$H$41))</f>
        <v>0</v>
      </c>
      <c r="AEL28">
        <f t="array" ref="AEL28">_xlfn.XLOOKUP(AEL$11,Assumptions!$B$35:$H$35,_xlfn.XLOOKUP($C28,Assumptions!$B$36:$B$41,Assumptions!$B$36:$H$41))</f>
        <v>0</v>
      </c>
      <c r="AEM28">
        <f t="array" ref="AEM28">_xlfn.XLOOKUP(AEM$11,Assumptions!$B$35:$H$35,_xlfn.XLOOKUP($C28,Assumptions!$B$36:$B$41,Assumptions!$B$36:$H$41))</f>
        <v>0</v>
      </c>
      <c r="AEN28">
        <f t="array" ref="AEN28">_xlfn.XLOOKUP(AEN$11,Assumptions!$B$35:$H$35,_xlfn.XLOOKUP($C28,Assumptions!$B$36:$B$41,Assumptions!$B$36:$H$41))</f>
        <v>0</v>
      </c>
      <c r="AEO28">
        <f t="array" ref="AEO28">_xlfn.XLOOKUP(AEO$11,Assumptions!$B$35:$H$35,_xlfn.XLOOKUP($C28,Assumptions!$B$36:$B$41,Assumptions!$B$36:$H$41))</f>
        <v>0</v>
      </c>
      <c r="AEP28">
        <f t="array" ref="AEP28">_xlfn.XLOOKUP(AEP$11,Assumptions!$B$35:$H$35,_xlfn.XLOOKUP($C28,Assumptions!$B$36:$B$41,Assumptions!$B$36:$H$41))</f>
        <v>0</v>
      </c>
      <c r="AEQ28">
        <f t="array" ref="AEQ28">_xlfn.XLOOKUP(AEQ$11,Assumptions!$B$35:$H$35,_xlfn.XLOOKUP($C28,Assumptions!$B$36:$B$41,Assumptions!$B$36:$H$41))</f>
        <v>0</v>
      </c>
      <c r="AER28">
        <f t="array" ref="AER28">_xlfn.XLOOKUP(AER$11,Assumptions!$B$35:$H$35,_xlfn.XLOOKUP($C28,Assumptions!$B$36:$B$41,Assumptions!$B$36:$H$41))</f>
        <v>0</v>
      </c>
      <c r="AES28">
        <f t="array" ref="AES28">_xlfn.XLOOKUP(AES$11,Assumptions!$B$35:$H$35,_xlfn.XLOOKUP($C28,Assumptions!$B$36:$B$41,Assumptions!$B$36:$H$41))</f>
        <v>0</v>
      </c>
      <c r="AET28">
        <f t="array" ref="AET28">_xlfn.XLOOKUP(AET$11,Assumptions!$B$35:$H$35,_xlfn.XLOOKUP($C28,Assumptions!$B$36:$B$41,Assumptions!$B$36:$H$41))</f>
        <v>0</v>
      </c>
      <c r="AEU28">
        <f t="array" ref="AEU28">_xlfn.XLOOKUP(AEU$11,Assumptions!$B$35:$H$35,_xlfn.XLOOKUP($C28,Assumptions!$B$36:$B$41,Assumptions!$B$36:$H$41))</f>
        <v>0</v>
      </c>
      <c r="AEV28">
        <f t="array" ref="AEV28">_xlfn.XLOOKUP(AEV$11,Assumptions!$B$35:$H$35,_xlfn.XLOOKUP($C28,Assumptions!$B$36:$B$41,Assumptions!$B$36:$H$41))</f>
        <v>0</v>
      </c>
      <c r="AEW28">
        <f t="array" ref="AEW28">_xlfn.XLOOKUP(AEW$11,Assumptions!$B$35:$H$35,_xlfn.XLOOKUP($C28,Assumptions!$B$36:$B$41,Assumptions!$B$36:$H$41))</f>
        <v>0</v>
      </c>
      <c r="AEX28">
        <f t="array" ref="AEX28">_xlfn.XLOOKUP(AEX$11,Assumptions!$B$35:$H$35,_xlfn.XLOOKUP($C28,Assumptions!$B$36:$B$41,Assumptions!$B$36:$H$41))</f>
        <v>0</v>
      </c>
      <c r="AEY28">
        <f t="array" ref="AEY28">_xlfn.XLOOKUP(AEY$11,Assumptions!$B$35:$H$35,_xlfn.XLOOKUP($C28,Assumptions!$B$36:$B$41,Assumptions!$B$36:$H$41))</f>
        <v>0</v>
      </c>
      <c r="AEZ28">
        <f t="array" ref="AEZ28">_xlfn.XLOOKUP(AEZ$11,Assumptions!$B$35:$H$35,_xlfn.XLOOKUP($C28,Assumptions!$B$36:$B$41,Assumptions!$B$36:$H$41))</f>
        <v>0</v>
      </c>
      <c r="AFA28">
        <f t="array" ref="AFA28">_xlfn.XLOOKUP(AFA$11,Assumptions!$B$35:$H$35,_xlfn.XLOOKUP($C28,Assumptions!$B$36:$B$41,Assumptions!$B$36:$H$41))</f>
        <v>0</v>
      </c>
      <c r="AFB28">
        <f t="array" ref="AFB28">_xlfn.XLOOKUP(AFB$11,Assumptions!$B$35:$H$35,_xlfn.XLOOKUP($C28,Assumptions!$B$36:$B$41,Assumptions!$B$36:$H$41))</f>
        <v>0</v>
      </c>
      <c r="AFC28">
        <f t="array" ref="AFC28">_xlfn.XLOOKUP(AFC$11,Assumptions!$B$35:$H$35,_xlfn.XLOOKUP($C28,Assumptions!$B$36:$B$41,Assumptions!$B$36:$H$41))</f>
        <v>0</v>
      </c>
      <c r="AFD28">
        <f t="array" ref="AFD28">_xlfn.XLOOKUP(AFD$11,Assumptions!$B$35:$H$35,_xlfn.XLOOKUP($C28,Assumptions!$B$36:$B$41,Assumptions!$B$36:$H$41))</f>
        <v>0</v>
      </c>
      <c r="AFE28">
        <f t="array" ref="AFE28">_xlfn.XLOOKUP(AFE$11,Assumptions!$B$35:$H$35,_xlfn.XLOOKUP($C28,Assumptions!$B$36:$B$41,Assumptions!$B$36:$H$41))</f>
        <v>0</v>
      </c>
      <c r="AFF28">
        <f t="array" ref="AFF28">_xlfn.XLOOKUP(AFF$11,Assumptions!$B$35:$H$35,_xlfn.XLOOKUP($C28,Assumptions!$B$36:$B$41,Assumptions!$B$36:$H$41))</f>
        <v>0</v>
      </c>
      <c r="AFG28">
        <f t="array" ref="AFG28">_xlfn.XLOOKUP(AFG$11,Assumptions!$B$35:$H$35,_xlfn.XLOOKUP($C28,Assumptions!$B$36:$B$41,Assumptions!$B$36:$H$41))</f>
        <v>0</v>
      </c>
      <c r="AFH28">
        <f t="array" ref="AFH28">_xlfn.XLOOKUP(AFH$11,Assumptions!$B$35:$H$35,_xlfn.XLOOKUP($C28,Assumptions!$B$36:$B$41,Assumptions!$B$36:$H$41))</f>
        <v>0</v>
      </c>
      <c r="AFI28">
        <f t="array" ref="AFI28">_xlfn.XLOOKUP(AFI$11,Assumptions!$B$35:$H$35,_xlfn.XLOOKUP($C28,Assumptions!$B$36:$B$41,Assumptions!$B$36:$H$41))</f>
        <v>0</v>
      </c>
      <c r="AFJ28">
        <f t="array" ref="AFJ28">_xlfn.XLOOKUP(AFJ$11,Assumptions!$B$35:$H$35,_xlfn.XLOOKUP($C28,Assumptions!$B$36:$B$41,Assumptions!$B$36:$H$41))</f>
        <v>0</v>
      </c>
      <c r="AFK28">
        <f t="array" ref="AFK28">_xlfn.XLOOKUP(AFK$11,Assumptions!$B$35:$H$35,_xlfn.XLOOKUP($C28,Assumptions!$B$36:$B$41,Assumptions!$B$36:$H$41))</f>
        <v>0</v>
      </c>
      <c r="AFL28">
        <f t="array" ref="AFL28">_xlfn.XLOOKUP(AFL$11,Assumptions!$B$35:$H$35,_xlfn.XLOOKUP($C28,Assumptions!$B$36:$B$41,Assumptions!$B$36:$H$41))</f>
        <v>0</v>
      </c>
      <c r="AFM28">
        <f t="array" ref="AFM28">_xlfn.XLOOKUP(AFM$11,Assumptions!$B$35:$H$35,_xlfn.XLOOKUP($C28,Assumptions!$B$36:$B$41,Assumptions!$B$36:$H$41))</f>
        <v>0</v>
      </c>
      <c r="AFN28">
        <f t="array" ref="AFN28">_xlfn.XLOOKUP(AFN$11,Assumptions!$B$35:$H$35,_xlfn.XLOOKUP($C28,Assumptions!$B$36:$B$41,Assumptions!$B$36:$H$41))</f>
        <v>0</v>
      </c>
      <c r="AFO28">
        <f t="array" ref="AFO28">_xlfn.XLOOKUP(AFO$11,Assumptions!$B$35:$H$35,_xlfn.XLOOKUP($C28,Assumptions!$B$36:$B$41,Assumptions!$B$36:$H$41))</f>
        <v>0</v>
      </c>
      <c r="AFP28">
        <f t="array" ref="AFP28">_xlfn.XLOOKUP(AFP$11,Assumptions!$B$35:$H$35,_xlfn.XLOOKUP($C28,Assumptions!$B$36:$B$41,Assumptions!$B$36:$H$41))</f>
        <v>0</v>
      </c>
      <c r="AFQ28">
        <f t="array" ref="AFQ28">_xlfn.XLOOKUP(AFQ$11,Assumptions!$B$35:$H$35,_xlfn.XLOOKUP($C28,Assumptions!$B$36:$B$41,Assumptions!$B$36:$H$41))</f>
        <v>0</v>
      </c>
      <c r="AFR28">
        <f t="array" ref="AFR28">_xlfn.XLOOKUP(AFR$11,Assumptions!$B$35:$H$35,_xlfn.XLOOKUP($C28,Assumptions!$B$36:$B$41,Assumptions!$B$36:$H$41))</f>
        <v>0</v>
      </c>
      <c r="AFS28">
        <f t="array" ref="AFS28">_xlfn.XLOOKUP(AFS$11,Assumptions!$B$35:$H$35,_xlfn.XLOOKUP($C28,Assumptions!$B$36:$B$41,Assumptions!$B$36:$H$41))</f>
        <v>0</v>
      </c>
      <c r="AFT28">
        <f t="array" ref="AFT28">_xlfn.XLOOKUP(AFT$11,Assumptions!$B$35:$H$35,_xlfn.XLOOKUP($C28,Assumptions!$B$36:$B$41,Assumptions!$B$36:$H$41))</f>
        <v>0</v>
      </c>
      <c r="AFU28">
        <f t="array" ref="AFU28">_xlfn.XLOOKUP(AFU$11,Assumptions!$B$35:$H$35,_xlfn.XLOOKUP($C28,Assumptions!$B$36:$B$41,Assumptions!$B$36:$H$41))</f>
        <v>0</v>
      </c>
      <c r="AFV28">
        <f t="array" ref="AFV28">_xlfn.XLOOKUP(AFV$11,Assumptions!$B$35:$H$35,_xlfn.XLOOKUP($C28,Assumptions!$B$36:$B$41,Assumptions!$B$36:$H$41))</f>
        <v>0</v>
      </c>
      <c r="AFW28">
        <f t="array" ref="AFW28">_xlfn.XLOOKUP(AFW$11,Assumptions!$B$35:$H$35,_xlfn.XLOOKUP($C28,Assumptions!$B$36:$B$41,Assumptions!$B$36:$H$41))</f>
        <v>0</v>
      </c>
      <c r="AFX28">
        <f t="array" ref="AFX28">_xlfn.XLOOKUP(AFX$11,Assumptions!$B$35:$H$35,_xlfn.XLOOKUP($C28,Assumptions!$B$36:$B$41,Assumptions!$B$36:$H$41))</f>
        <v>0</v>
      </c>
      <c r="AFY28">
        <f t="array" ref="AFY28">_xlfn.XLOOKUP(AFY$11,Assumptions!$B$35:$H$35,_xlfn.XLOOKUP($C28,Assumptions!$B$36:$B$41,Assumptions!$B$36:$H$41))</f>
        <v>0</v>
      </c>
      <c r="AFZ28">
        <f t="array" ref="AFZ28">_xlfn.XLOOKUP(AFZ$11,Assumptions!$B$35:$H$35,_xlfn.XLOOKUP($C28,Assumptions!$B$36:$B$41,Assumptions!$B$36:$H$41))</f>
        <v>0</v>
      </c>
      <c r="AGA28">
        <f t="array" ref="AGA28">_xlfn.XLOOKUP(AGA$11,Assumptions!$B$35:$H$35,_xlfn.XLOOKUP($C28,Assumptions!$B$36:$B$41,Assumptions!$B$36:$H$41))</f>
        <v>0</v>
      </c>
      <c r="AGB28">
        <f t="array" ref="AGB28">_xlfn.XLOOKUP(AGB$11,Assumptions!$B$35:$H$35,_xlfn.XLOOKUP($C28,Assumptions!$B$36:$B$41,Assumptions!$B$36:$H$41))</f>
        <v>0</v>
      </c>
      <c r="AGC28">
        <f t="array" ref="AGC28">_xlfn.XLOOKUP(AGC$11,Assumptions!$B$35:$H$35,_xlfn.XLOOKUP($C28,Assumptions!$B$36:$B$41,Assumptions!$B$36:$H$41))</f>
        <v>0</v>
      </c>
      <c r="AGD28">
        <f t="array" ref="AGD28">_xlfn.XLOOKUP(AGD$11,Assumptions!$B$35:$H$35,_xlfn.XLOOKUP($C28,Assumptions!$B$36:$B$41,Assumptions!$B$36:$H$41))</f>
        <v>0</v>
      </c>
      <c r="AGE28">
        <f t="array" ref="AGE28">_xlfn.XLOOKUP(AGE$11,Assumptions!$B$35:$H$35,_xlfn.XLOOKUP($C28,Assumptions!$B$36:$B$41,Assumptions!$B$36:$H$41))</f>
        <v>0</v>
      </c>
      <c r="AGF28">
        <f t="array" ref="AGF28">_xlfn.XLOOKUP(AGF$11,Assumptions!$B$35:$H$35,_xlfn.XLOOKUP($C28,Assumptions!$B$36:$B$41,Assumptions!$B$36:$H$41))</f>
        <v>0</v>
      </c>
      <c r="AGG28">
        <f t="array" ref="AGG28">_xlfn.XLOOKUP(AGG$11,Assumptions!$B$35:$H$35,_xlfn.XLOOKUP($C28,Assumptions!$B$36:$B$41,Assumptions!$B$36:$H$41))</f>
        <v>0</v>
      </c>
      <c r="AGH28">
        <f t="array" ref="AGH28">_xlfn.XLOOKUP(AGH$11,Assumptions!$B$35:$H$35,_xlfn.XLOOKUP($C28,Assumptions!$B$36:$B$41,Assumptions!$B$36:$H$41))</f>
        <v>0</v>
      </c>
      <c r="AGI28">
        <f t="array" ref="AGI28">_xlfn.XLOOKUP(AGI$11,Assumptions!$B$35:$H$35,_xlfn.XLOOKUP($C28,Assumptions!$B$36:$B$41,Assumptions!$B$36:$H$41))</f>
        <v>0</v>
      </c>
      <c r="AGJ28">
        <f t="array" ref="AGJ28">_xlfn.XLOOKUP(AGJ$11,Assumptions!$B$35:$H$35,_xlfn.XLOOKUP($C28,Assumptions!$B$36:$B$41,Assumptions!$B$36:$H$41))</f>
        <v>0</v>
      </c>
      <c r="AGK28">
        <f t="array" ref="AGK28">_xlfn.XLOOKUP(AGK$11,Assumptions!$B$35:$H$35,_xlfn.XLOOKUP($C28,Assumptions!$B$36:$B$41,Assumptions!$B$36:$H$41))</f>
        <v>0</v>
      </c>
      <c r="AGL28">
        <f t="array" ref="AGL28">_xlfn.XLOOKUP(AGL$11,Assumptions!$B$35:$H$35,_xlfn.XLOOKUP($C28,Assumptions!$B$36:$B$41,Assumptions!$B$36:$H$41))</f>
        <v>0</v>
      </c>
      <c r="AGM28">
        <f t="array" ref="AGM28">_xlfn.XLOOKUP(AGM$11,Assumptions!$B$35:$H$35,_xlfn.XLOOKUP($C28,Assumptions!$B$36:$B$41,Assumptions!$B$36:$H$41))</f>
        <v>0</v>
      </c>
      <c r="AGN28">
        <f t="array" ref="AGN28">_xlfn.XLOOKUP(AGN$11,Assumptions!$B$35:$H$35,_xlfn.XLOOKUP($C28,Assumptions!$B$36:$B$41,Assumptions!$B$36:$H$41))</f>
        <v>0</v>
      </c>
      <c r="AGO28">
        <f t="array" ref="AGO28">_xlfn.XLOOKUP(AGO$11,Assumptions!$B$35:$H$35,_xlfn.XLOOKUP($C28,Assumptions!$B$36:$B$41,Assumptions!$B$36:$H$41))</f>
        <v>0</v>
      </c>
      <c r="AGP28">
        <f t="array" ref="AGP28">_xlfn.XLOOKUP(AGP$11,Assumptions!$B$35:$H$35,_xlfn.XLOOKUP($C28,Assumptions!$B$36:$B$41,Assumptions!$B$36:$H$41))</f>
        <v>0</v>
      </c>
      <c r="AGQ28">
        <f t="array" ref="AGQ28">_xlfn.XLOOKUP(AGQ$11,Assumptions!$B$35:$H$35,_xlfn.XLOOKUP($C28,Assumptions!$B$36:$B$41,Assumptions!$B$36:$H$41))</f>
        <v>0</v>
      </c>
      <c r="AGR28">
        <f t="array" ref="AGR28">_xlfn.XLOOKUP(AGR$11,Assumptions!$B$35:$H$35,_xlfn.XLOOKUP($C28,Assumptions!$B$36:$B$41,Assumptions!$B$36:$H$41))</f>
        <v>0</v>
      </c>
      <c r="AGS28">
        <f t="array" ref="AGS28">_xlfn.XLOOKUP(AGS$11,Assumptions!$B$35:$H$35,_xlfn.XLOOKUP($C28,Assumptions!$B$36:$B$41,Assumptions!$B$36:$H$41))</f>
        <v>0</v>
      </c>
      <c r="AGT28">
        <f t="array" ref="AGT28">_xlfn.XLOOKUP(AGT$11,Assumptions!$B$35:$H$35,_xlfn.XLOOKUP($C28,Assumptions!$B$36:$B$41,Assumptions!$B$36:$H$41))</f>
        <v>0</v>
      </c>
      <c r="AGU28">
        <f t="array" ref="AGU28">_xlfn.XLOOKUP(AGU$11,Assumptions!$B$35:$H$35,_xlfn.XLOOKUP($C28,Assumptions!$B$36:$B$41,Assumptions!$B$36:$H$41))</f>
        <v>0</v>
      </c>
      <c r="AGV28">
        <f t="array" ref="AGV28">_xlfn.XLOOKUP(AGV$11,Assumptions!$B$35:$H$35,_xlfn.XLOOKUP($C28,Assumptions!$B$36:$B$41,Assumptions!$B$36:$H$41))</f>
        <v>0</v>
      </c>
      <c r="AGW28">
        <f t="array" ref="AGW28">_xlfn.XLOOKUP(AGW$11,Assumptions!$B$35:$H$35,_xlfn.XLOOKUP($C28,Assumptions!$B$36:$B$41,Assumptions!$B$36:$H$41))</f>
        <v>0</v>
      </c>
      <c r="AGX28">
        <f t="array" ref="AGX28">_xlfn.XLOOKUP(AGX$11,Assumptions!$B$35:$H$35,_xlfn.XLOOKUP($C28,Assumptions!$B$36:$B$41,Assumptions!$B$36:$H$41))</f>
        <v>0</v>
      </c>
      <c r="AGY28">
        <f t="array" ref="AGY28">_xlfn.XLOOKUP(AGY$11,Assumptions!$B$35:$H$35,_xlfn.XLOOKUP($C28,Assumptions!$B$36:$B$41,Assumptions!$B$36:$H$41))</f>
        <v>0</v>
      </c>
      <c r="AGZ28">
        <f t="array" ref="AGZ28">_xlfn.XLOOKUP(AGZ$11,Assumptions!$B$35:$H$35,_xlfn.XLOOKUP($C28,Assumptions!$B$36:$B$41,Assumptions!$B$36:$H$41))</f>
        <v>0</v>
      </c>
      <c r="AHA28">
        <f t="array" ref="AHA28">_xlfn.XLOOKUP(AHA$11,Assumptions!$B$35:$H$35,_xlfn.XLOOKUP($C28,Assumptions!$B$36:$B$41,Assumptions!$B$36:$H$41))</f>
        <v>0</v>
      </c>
      <c r="AHB28">
        <f t="array" ref="AHB28">_xlfn.XLOOKUP(AHB$11,Assumptions!$B$35:$H$35,_xlfn.XLOOKUP($C28,Assumptions!$B$36:$B$41,Assumptions!$B$36:$H$41))</f>
        <v>0</v>
      </c>
      <c r="AHC28">
        <f t="array" ref="AHC28">_xlfn.XLOOKUP(AHC$11,Assumptions!$B$35:$H$35,_xlfn.XLOOKUP($C28,Assumptions!$B$36:$B$41,Assumptions!$B$36:$H$41))</f>
        <v>0</v>
      </c>
      <c r="AHD28">
        <f t="array" ref="AHD28">_xlfn.XLOOKUP(AHD$11,Assumptions!$B$35:$H$35,_xlfn.XLOOKUP($C28,Assumptions!$B$36:$B$41,Assumptions!$B$36:$H$41))</f>
        <v>0</v>
      </c>
      <c r="AHE28">
        <f t="array" ref="AHE28">_xlfn.XLOOKUP(AHE$11,Assumptions!$B$35:$H$35,_xlfn.XLOOKUP($C28,Assumptions!$B$36:$B$41,Assumptions!$B$36:$H$41))</f>
        <v>0</v>
      </c>
      <c r="AHF28">
        <f t="array" ref="AHF28">_xlfn.XLOOKUP(AHF$11,Assumptions!$B$35:$H$35,_xlfn.XLOOKUP($C28,Assumptions!$B$36:$B$41,Assumptions!$B$36:$H$41))</f>
        <v>0</v>
      </c>
      <c r="AHG28">
        <f t="array" ref="AHG28">_xlfn.XLOOKUP(AHG$11,Assumptions!$B$35:$H$35,_xlfn.XLOOKUP($C28,Assumptions!$B$36:$B$41,Assumptions!$B$36:$H$41))</f>
        <v>0</v>
      </c>
      <c r="AHH28">
        <f t="array" ref="AHH28">_xlfn.XLOOKUP(AHH$11,Assumptions!$B$35:$H$35,_xlfn.XLOOKUP($C28,Assumptions!$B$36:$B$41,Assumptions!$B$36:$H$41))</f>
        <v>0</v>
      </c>
      <c r="AHI28">
        <f t="array" ref="AHI28">_xlfn.XLOOKUP(AHI$11,Assumptions!$B$35:$H$35,_xlfn.XLOOKUP($C28,Assumptions!$B$36:$B$41,Assumptions!$B$36:$H$41))</f>
        <v>0</v>
      </c>
      <c r="AHJ28">
        <f t="array" ref="AHJ28">_xlfn.XLOOKUP(AHJ$11,Assumptions!$B$35:$H$35,_xlfn.XLOOKUP($C28,Assumptions!$B$36:$B$41,Assumptions!$B$36:$H$41))</f>
        <v>0</v>
      </c>
      <c r="AHK28">
        <f t="array" ref="AHK28">_xlfn.XLOOKUP(AHK$11,Assumptions!$B$35:$H$35,_xlfn.XLOOKUP($C28,Assumptions!$B$36:$B$41,Assumptions!$B$36:$H$41))</f>
        <v>0</v>
      </c>
      <c r="AHL28">
        <f t="array" ref="AHL28">_xlfn.XLOOKUP(AHL$11,Assumptions!$B$35:$H$35,_xlfn.XLOOKUP($C28,Assumptions!$B$36:$B$41,Assumptions!$B$36:$H$41))</f>
        <v>0</v>
      </c>
      <c r="AHM28">
        <f t="array" ref="AHM28">_xlfn.XLOOKUP(AHM$11,Assumptions!$B$35:$H$35,_xlfn.XLOOKUP($C28,Assumptions!$B$36:$B$41,Assumptions!$B$36:$H$41))</f>
        <v>0</v>
      </c>
      <c r="AHN28">
        <f t="array" ref="AHN28">_xlfn.XLOOKUP(AHN$11,Assumptions!$B$35:$H$35,_xlfn.XLOOKUP($C28,Assumptions!$B$36:$B$41,Assumptions!$B$36:$H$41))</f>
        <v>0</v>
      </c>
      <c r="AHO28">
        <f t="array" ref="AHO28">_xlfn.XLOOKUP(AHO$11,Assumptions!$B$35:$H$35,_xlfn.XLOOKUP($C28,Assumptions!$B$36:$B$41,Assumptions!$B$36:$H$41))</f>
        <v>0</v>
      </c>
      <c r="AHP28">
        <f t="array" ref="AHP28">_xlfn.XLOOKUP(AHP$11,Assumptions!$B$35:$H$35,_xlfn.XLOOKUP($C28,Assumptions!$B$36:$B$41,Assumptions!$B$36:$H$41))</f>
        <v>0</v>
      </c>
      <c r="AHQ28">
        <f t="array" ref="AHQ28">_xlfn.XLOOKUP(AHQ$11,Assumptions!$B$35:$H$35,_xlfn.XLOOKUP($C28,Assumptions!$B$36:$B$41,Assumptions!$B$36:$H$41))</f>
        <v>0</v>
      </c>
      <c r="AHR28">
        <f t="array" ref="AHR28">_xlfn.XLOOKUP(AHR$11,Assumptions!$B$35:$H$35,_xlfn.XLOOKUP($C28,Assumptions!$B$36:$B$41,Assumptions!$B$36:$H$41))</f>
        <v>0</v>
      </c>
      <c r="AHS28">
        <f t="array" ref="AHS28">_xlfn.XLOOKUP(AHS$11,Assumptions!$B$35:$H$35,_xlfn.XLOOKUP($C28,Assumptions!$B$36:$B$41,Assumptions!$B$36:$H$41))</f>
        <v>0</v>
      </c>
      <c r="AHT28">
        <f t="array" ref="AHT28">_xlfn.XLOOKUP(AHT$11,Assumptions!$B$35:$H$35,_xlfn.XLOOKUP($C28,Assumptions!$B$36:$B$41,Assumptions!$B$36:$H$41))</f>
        <v>0</v>
      </c>
      <c r="AHU28">
        <f t="array" ref="AHU28">_xlfn.XLOOKUP(AHU$11,Assumptions!$B$35:$H$35,_xlfn.XLOOKUP($C28,Assumptions!$B$36:$B$41,Assumptions!$B$36:$H$41))</f>
        <v>0</v>
      </c>
      <c r="AHV28">
        <f t="array" ref="AHV28">_xlfn.XLOOKUP(AHV$11,Assumptions!$B$35:$H$35,_xlfn.XLOOKUP($C28,Assumptions!$B$36:$B$41,Assumptions!$B$36:$H$41))</f>
        <v>0</v>
      </c>
      <c r="AHW28">
        <f t="array" ref="AHW28">_xlfn.XLOOKUP(AHW$11,Assumptions!$B$35:$H$35,_xlfn.XLOOKUP($C28,Assumptions!$B$36:$B$41,Assumptions!$B$36:$H$41))</f>
        <v>0</v>
      </c>
      <c r="AHX28">
        <f t="array" ref="AHX28">_xlfn.XLOOKUP(AHX$11,Assumptions!$B$35:$H$35,_xlfn.XLOOKUP($C28,Assumptions!$B$36:$B$41,Assumptions!$B$36:$H$41))</f>
        <v>0</v>
      </c>
      <c r="AHY28">
        <f t="array" ref="AHY28">_xlfn.XLOOKUP(AHY$11,Assumptions!$B$35:$H$35,_xlfn.XLOOKUP($C28,Assumptions!$B$36:$B$41,Assumptions!$B$36:$H$41))</f>
        <v>0</v>
      </c>
      <c r="AHZ28">
        <f t="array" ref="AHZ28">_xlfn.XLOOKUP(AHZ$11,Assumptions!$B$35:$H$35,_xlfn.XLOOKUP($C28,Assumptions!$B$36:$B$41,Assumptions!$B$36:$H$41))</f>
        <v>0</v>
      </c>
      <c r="AIA28">
        <f t="array" ref="AIA28">_xlfn.XLOOKUP(AIA$11,Assumptions!$B$35:$H$35,_xlfn.XLOOKUP($C28,Assumptions!$B$36:$B$41,Assumptions!$B$36:$H$41))</f>
        <v>0</v>
      </c>
      <c r="AIB28">
        <f t="array" ref="AIB28">_xlfn.XLOOKUP(AIB$11,Assumptions!$B$35:$H$35,_xlfn.XLOOKUP($C28,Assumptions!$B$36:$B$41,Assumptions!$B$36:$H$41))</f>
        <v>0</v>
      </c>
      <c r="AIC28">
        <f t="array" ref="AIC28">_xlfn.XLOOKUP(AIC$11,Assumptions!$B$35:$H$35,_xlfn.XLOOKUP($C28,Assumptions!$B$36:$B$41,Assumptions!$B$36:$H$41))</f>
        <v>0</v>
      </c>
      <c r="AID28">
        <f t="array" ref="AID28">_xlfn.XLOOKUP(AID$11,Assumptions!$B$35:$H$35,_xlfn.XLOOKUP($C28,Assumptions!$B$36:$B$41,Assumptions!$B$36:$H$41))</f>
        <v>0</v>
      </c>
      <c r="AIE28">
        <f t="array" ref="AIE28">_xlfn.XLOOKUP(AIE$11,Assumptions!$B$35:$H$35,_xlfn.XLOOKUP($C28,Assumptions!$B$36:$B$41,Assumptions!$B$36:$H$41))</f>
        <v>0</v>
      </c>
      <c r="AIF28">
        <f t="array" ref="AIF28">_xlfn.XLOOKUP(AIF$11,Assumptions!$B$35:$H$35,_xlfn.XLOOKUP($C28,Assumptions!$B$36:$B$41,Assumptions!$B$36:$H$41))</f>
        <v>0</v>
      </c>
      <c r="AIG28">
        <f t="array" ref="AIG28">_xlfn.XLOOKUP(AIG$11,Assumptions!$B$35:$H$35,_xlfn.XLOOKUP($C28,Assumptions!$B$36:$B$41,Assumptions!$B$36:$H$41))</f>
        <v>0</v>
      </c>
      <c r="AIH28">
        <f t="array" ref="AIH28">_xlfn.XLOOKUP(AIH$11,Assumptions!$B$35:$H$35,_xlfn.XLOOKUP($C28,Assumptions!$B$36:$B$41,Assumptions!$B$36:$H$41))</f>
        <v>0</v>
      </c>
      <c r="AII28">
        <f t="array" ref="AII28">_xlfn.XLOOKUP(AII$11,Assumptions!$B$35:$H$35,_xlfn.XLOOKUP($C28,Assumptions!$B$36:$B$41,Assumptions!$B$36:$H$41))</f>
        <v>0</v>
      </c>
      <c r="AIJ28">
        <f t="array" ref="AIJ28">_xlfn.XLOOKUP(AIJ$11,Assumptions!$B$35:$H$35,_xlfn.XLOOKUP($C28,Assumptions!$B$36:$B$41,Assumptions!$B$36:$H$41))</f>
        <v>0</v>
      </c>
      <c r="AIK28">
        <f t="array" ref="AIK28">_xlfn.XLOOKUP(AIK$11,Assumptions!$B$35:$H$35,_xlfn.XLOOKUP($C28,Assumptions!$B$36:$B$41,Assumptions!$B$36:$H$41))</f>
        <v>0</v>
      </c>
      <c r="AIL28">
        <f t="array" ref="AIL28">_xlfn.XLOOKUP(AIL$11,Assumptions!$B$35:$H$35,_xlfn.XLOOKUP($C28,Assumptions!$B$36:$B$41,Assumptions!$B$36:$H$41))</f>
        <v>0</v>
      </c>
      <c r="AIM28">
        <f t="array" ref="AIM28">_xlfn.XLOOKUP(AIM$11,Assumptions!$B$35:$H$35,_xlfn.XLOOKUP($C28,Assumptions!$B$36:$B$41,Assumptions!$B$36:$H$41))</f>
        <v>0</v>
      </c>
      <c r="AIN28">
        <f t="array" ref="AIN28">_xlfn.XLOOKUP(AIN$11,Assumptions!$B$35:$H$35,_xlfn.XLOOKUP($C28,Assumptions!$B$36:$B$41,Assumptions!$B$36:$H$41))</f>
        <v>0</v>
      </c>
      <c r="AIO28">
        <f t="array" ref="AIO28">_xlfn.XLOOKUP(AIO$11,Assumptions!$B$35:$H$35,_xlfn.XLOOKUP($C28,Assumptions!$B$36:$B$41,Assumptions!$B$36:$H$41))</f>
        <v>0</v>
      </c>
      <c r="AIP28">
        <f t="array" ref="AIP28">_xlfn.XLOOKUP(AIP$11,Assumptions!$B$35:$H$35,_xlfn.XLOOKUP($C28,Assumptions!$B$36:$B$41,Assumptions!$B$36:$H$41))</f>
        <v>0</v>
      </c>
      <c r="AIQ28">
        <f t="array" ref="AIQ28">_xlfn.XLOOKUP(AIQ$11,Assumptions!$B$35:$H$35,_xlfn.XLOOKUP($C28,Assumptions!$B$36:$B$41,Assumptions!$B$36:$H$41))</f>
        <v>0</v>
      </c>
      <c r="AIR28">
        <f t="array" ref="AIR28">_xlfn.XLOOKUP(AIR$11,Assumptions!$B$35:$H$35,_xlfn.XLOOKUP($C28,Assumptions!$B$36:$B$41,Assumptions!$B$36:$H$41))</f>
        <v>0</v>
      </c>
      <c r="AIS28">
        <f t="array" ref="AIS28">_xlfn.XLOOKUP(AIS$11,Assumptions!$B$35:$H$35,_xlfn.XLOOKUP($C28,Assumptions!$B$36:$B$41,Assumptions!$B$36:$H$41))</f>
        <v>0</v>
      </c>
      <c r="AIT28">
        <f t="array" ref="AIT28">_xlfn.XLOOKUP(AIT$11,Assumptions!$B$35:$H$35,_xlfn.XLOOKUP($C28,Assumptions!$B$36:$B$41,Assumptions!$B$36:$H$41))</f>
        <v>0</v>
      </c>
      <c r="AIU28">
        <f t="array" ref="AIU28">_xlfn.XLOOKUP(AIU$11,Assumptions!$B$35:$H$35,_xlfn.XLOOKUP($C28,Assumptions!$B$36:$B$41,Assumptions!$B$36:$H$41))</f>
        <v>0</v>
      </c>
      <c r="AIV28">
        <f t="array" ref="AIV28">_xlfn.XLOOKUP(AIV$11,Assumptions!$B$35:$H$35,_xlfn.XLOOKUP($C28,Assumptions!$B$36:$B$41,Assumptions!$B$36:$H$41))</f>
        <v>0</v>
      </c>
      <c r="AIW28">
        <f t="array" ref="AIW28">_xlfn.XLOOKUP(AIW$11,Assumptions!$B$35:$H$35,_xlfn.XLOOKUP($C28,Assumptions!$B$36:$B$41,Assumptions!$B$36:$H$41))</f>
        <v>0</v>
      </c>
      <c r="AIX28">
        <f t="array" ref="AIX28">_xlfn.XLOOKUP(AIX$11,Assumptions!$B$35:$H$35,_xlfn.XLOOKUP($C28,Assumptions!$B$36:$B$41,Assumptions!$B$36:$H$41))</f>
        <v>0</v>
      </c>
      <c r="AIY28">
        <f t="array" ref="AIY28">_xlfn.XLOOKUP(AIY$11,Assumptions!$B$35:$H$35,_xlfn.XLOOKUP($C28,Assumptions!$B$36:$B$41,Assumptions!$B$36:$H$41))</f>
        <v>0</v>
      </c>
      <c r="AIZ28">
        <f t="array" ref="AIZ28">_xlfn.XLOOKUP(AIZ$11,Assumptions!$B$35:$H$35,_xlfn.XLOOKUP($C28,Assumptions!$B$36:$B$41,Assumptions!$B$36:$H$41))</f>
        <v>0</v>
      </c>
      <c r="AJA28">
        <f t="array" ref="AJA28">_xlfn.XLOOKUP(AJA$11,Assumptions!$B$35:$H$35,_xlfn.XLOOKUP($C28,Assumptions!$B$36:$B$41,Assumptions!$B$36:$H$41))</f>
        <v>0</v>
      </c>
      <c r="AJB28">
        <f t="array" ref="AJB28">_xlfn.XLOOKUP(AJB$11,Assumptions!$B$35:$H$35,_xlfn.XLOOKUP($C28,Assumptions!$B$36:$B$41,Assumptions!$B$36:$H$41))</f>
        <v>0</v>
      </c>
      <c r="AJC28">
        <f t="array" ref="AJC28">_xlfn.XLOOKUP(AJC$11,Assumptions!$B$35:$H$35,_xlfn.XLOOKUP($C28,Assumptions!$B$36:$B$41,Assumptions!$B$36:$H$41))</f>
        <v>0</v>
      </c>
      <c r="AJD28">
        <f t="array" ref="AJD28">_xlfn.XLOOKUP(AJD$11,Assumptions!$B$35:$H$35,_xlfn.XLOOKUP($C28,Assumptions!$B$36:$B$41,Assumptions!$B$36:$H$41))</f>
        <v>0</v>
      </c>
      <c r="AJE28">
        <f t="array" ref="AJE28">_xlfn.XLOOKUP(AJE$11,Assumptions!$B$35:$H$35,_xlfn.XLOOKUP($C28,Assumptions!$B$36:$B$41,Assumptions!$B$36:$H$41))</f>
        <v>0</v>
      </c>
      <c r="AJF28">
        <f t="array" ref="AJF28">_xlfn.XLOOKUP(AJF$11,Assumptions!$B$35:$H$35,_xlfn.XLOOKUP($C28,Assumptions!$B$36:$B$41,Assumptions!$B$36:$H$41))</f>
        <v>0</v>
      </c>
      <c r="AJG28">
        <f t="array" ref="AJG28">_xlfn.XLOOKUP(AJG$11,Assumptions!$B$35:$H$35,_xlfn.XLOOKUP($C28,Assumptions!$B$36:$B$41,Assumptions!$B$36:$H$41))</f>
        <v>0</v>
      </c>
      <c r="AJH28">
        <f t="array" ref="AJH28">_xlfn.XLOOKUP(AJH$11,Assumptions!$B$35:$H$35,_xlfn.XLOOKUP($C28,Assumptions!$B$36:$B$41,Assumptions!$B$36:$H$41))</f>
        <v>0</v>
      </c>
      <c r="AJI28">
        <f t="array" ref="AJI28">_xlfn.XLOOKUP(AJI$11,Assumptions!$B$35:$H$35,_xlfn.XLOOKUP($C28,Assumptions!$B$36:$B$41,Assumptions!$B$36:$H$41))</f>
        <v>0</v>
      </c>
      <c r="AJJ28">
        <f t="array" ref="AJJ28">_xlfn.XLOOKUP(AJJ$11,Assumptions!$B$35:$H$35,_xlfn.XLOOKUP($C28,Assumptions!$B$36:$B$41,Assumptions!$B$36:$H$41))</f>
        <v>0</v>
      </c>
      <c r="AJK28">
        <f t="array" ref="AJK28">_xlfn.XLOOKUP(AJK$11,Assumptions!$B$35:$H$35,_xlfn.XLOOKUP($C28,Assumptions!$B$36:$B$41,Assumptions!$B$36:$H$41))</f>
        <v>0</v>
      </c>
      <c r="AJL28">
        <f t="array" ref="AJL28">_xlfn.XLOOKUP(AJL$11,Assumptions!$B$35:$H$35,_xlfn.XLOOKUP($C28,Assumptions!$B$36:$B$41,Assumptions!$B$36:$H$41))</f>
        <v>0</v>
      </c>
      <c r="AJM28">
        <f t="array" ref="AJM28">_xlfn.XLOOKUP(AJM$11,Assumptions!$B$35:$H$35,_xlfn.XLOOKUP($C28,Assumptions!$B$36:$B$41,Assumptions!$B$36:$H$41))</f>
        <v>0</v>
      </c>
      <c r="AJN28">
        <f t="array" ref="AJN28">_xlfn.XLOOKUP(AJN$11,Assumptions!$B$35:$H$35,_xlfn.XLOOKUP($C28,Assumptions!$B$36:$B$41,Assumptions!$B$36:$H$41))</f>
        <v>0</v>
      </c>
      <c r="AJO28">
        <f t="array" ref="AJO28">_xlfn.XLOOKUP(AJO$11,Assumptions!$B$35:$H$35,_xlfn.XLOOKUP($C28,Assumptions!$B$36:$B$41,Assumptions!$B$36:$H$41))</f>
        <v>0</v>
      </c>
      <c r="AJP28">
        <f t="array" ref="AJP28">_xlfn.XLOOKUP(AJP$11,Assumptions!$B$35:$H$35,_xlfn.XLOOKUP($C28,Assumptions!$B$36:$B$41,Assumptions!$B$36:$H$41))</f>
        <v>0</v>
      </c>
      <c r="AJQ28">
        <f t="array" ref="AJQ28">_xlfn.XLOOKUP(AJQ$11,Assumptions!$B$35:$H$35,_xlfn.XLOOKUP($C28,Assumptions!$B$36:$B$41,Assumptions!$B$36:$H$41))</f>
        <v>0</v>
      </c>
      <c r="AJR28">
        <f t="array" ref="AJR28">_xlfn.XLOOKUP(AJR$11,Assumptions!$B$35:$H$35,_xlfn.XLOOKUP($C28,Assumptions!$B$36:$B$41,Assumptions!$B$36:$H$41))</f>
        <v>0</v>
      </c>
      <c r="AJS28">
        <f t="array" ref="AJS28">_xlfn.XLOOKUP(AJS$11,Assumptions!$B$35:$H$35,_xlfn.XLOOKUP($C28,Assumptions!$B$36:$B$41,Assumptions!$B$36:$H$41))</f>
        <v>0</v>
      </c>
      <c r="AJT28">
        <f t="array" ref="AJT28">_xlfn.XLOOKUP(AJT$11,Assumptions!$B$35:$H$35,_xlfn.XLOOKUP($C28,Assumptions!$B$36:$B$41,Assumptions!$B$36:$H$41))</f>
        <v>0</v>
      </c>
      <c r="AJU28">
        <f t="array" ref="AJU28">_xlfn.XLOOKUP(AJU$11,Assumptions!$B$35:$H$35,_xlfn.XLOOKUP($C28,Assumptions!$B$36:$B$41,Assumptions!$B$36:$H$41))</f>
        <v>0</v>
      </c>
      <c r="AJV28">
        <f t="array" ref="AJV28">_xlfn.XLOOKUP(AJV$11,Assumptions!$B$35:$H$35,_xlfn.XLOOKUP($C28,Assumptions!$B$36:$B$41,Assumptions!$B$36:$H$41))</f>
        <v>0</v>
      </c>
      <c r="AJW28">
        <f t="array" ref="AJW28">_xlfn.XLOOKUP(AJW$11,Assumptions!$B$35:$H$35,_xlfn.XLOOKUP($C28,Assumptions!$B$36:$B$41,Assumptions!$B$36:$H$41))</f>
        <v>0</v>
      </c>
      <c r="AJX28">
        <f t="array" ref="AJX28">_xlfn.XLOOKUP(AJX$11,Assumptions!$B$35:$H$35,_xlfn.XLOOKUP($C28,Assumptions!$B$36:$B$41,Assumptions!$B$36:$H$41))</f>
        <v>0</v>
      </c>
      <c r="AJY28">
        <f t="array" ref="AJY28">_xlfn.XLOOKUP(AJY$11,Assumptions!$B$35:$H$35,_xlfn.XLOOKUP($C28,Assumptions!$B$36:$B$41,Assumptions!$B$36:$H$41))</f>
        <v>0</v>
      </c>
      <c r="AJZ28">
        <f t="array" ref="AJZ28">_xlfn.XLOOKUP(AJZ$11,Assumptions!$B$35:$H$35,_xlfn.XLOOKUP($C28,Assumptions!$B$36:$B$41,Assumptions!$B$36:$H$41))</f>
        <v>0</v>
      </c>
      <c r="AKA28">
        <f t="array" ref="AKA28">_xlfn.XLOOKUP(AKA$11,Assumptions!$B$35:$H$35,_xlfn.XLOOKUP($C28,Assumptions!$B$36:$B$41,Assumptions!$B$36:$H$41))</f>
        <v>0</v>
      </c>
      <c r="AKB28">
        <f t="array" ref="AKB28">_xlfn.XLOOKUP(AKB$11,Assumptions!$B$35:$H$35,_xlfn.XLOOKUP($C28,Assumptions!$B$36:$B$41,Assumptions!$B$36:$H$41))</f>
        <v>0</v>
      </c>
      <c r="AKC28">
        <f t="array" ref="AKC28">_xlfn.XLOOKUP(AKC$11,Assumptions!$B$35:$H$35,_xlfn.XLOOKUP($C28,Assumptions!$B$36:$B$41,Assumptions!$B$36:$H$41))</f>
        <v>0</v>
      </c>
      <c r="AKD28">
        <f t="array" ref="AKD28">_xlfn.XLOOKUP(AKD$11,Assumptions!$B$35:$H$35,_xlfn.XLOOKUP($C28,Assumptions!$B$36:$B$41,Assumptions!$B$36:$H$41))</f>
        <v>0</v>
      </c>
      <c r="AKE28">
        <f t="array" ref="AKE28">_xlfn.XLOOKUP(AKE$11,Assumptions!$B$35:$H$35,_xlfn.XLOOKUP($C28,Assumptions!$B$36:$B$41,Assumptions!$B$36:$H$41))</f>
        <v>0</v>
      </c>
      <c r="AKF28">
        <f t="array" ref="AKF28">_xlfn.XLOOKUP(AKF$11,Assumptions!$B$35:$H$35,_xlfn.XLOOKUP($C28,Assumptions!$B$36:$B$41,Assumptions!$B$36:$H$41))</f>
        <v>0</v>
      </c>
      <c r="AKG28">
        <f t="array" ref="AKG28">_xlfn.XLOOKUP(AKG$11,Assumptions!$B$35:$H$35,_xlfn.XLOOKUP($C28,Assumptions!$B$36:$B$41,Assumptions!$B$36:$H$41))</f>
        <v>0</v>
      </c>
      <c r="AKH28">
        <f t="array" ref="AKH28">_xlfn.XLOOKUP(AKH$11,Assumptions!$B$35:$H$35,_xlfn.XLOOKUP($C28,Assumptions!$B$36:$B$41,Assumptions!$B$36:$H$41))</f>
        <v>0</v>
      </c>
      <c r="AKI28">
        <f t="array" ref="AKI28">_xlfn.XLOOKUP(AKI$11,Assumptions!$B$35:$H$35,_xlfn.XLOOKUP($C28,Assumptions!$B$36:$B$41,Assumptions!$B$36:$H$41))</f>
        <v>0</v>
      </c>
      <c r="AKJ28">
        <f t="array" ref="AKJ28">_xlfn.XLOOKUP(AKJ$11,Assumptions!$B$35:$H$35,_xlfn.XLOOKUP($C28,Assumptions!$B$36:$B$41,Assumptions!$B$36:$H$41))</f>
        <v>0</v>
      </c>
      <c r="AKK28">
        <f t="array" ref="AKK28">_xlfn.XLOOKUP(AKK$11,Assumptions!$B$35:$H$35,_xlfn.XLOOKUP($C28,Assumptions!$B$36:$B$41,Assumptions!$B$36:$H$41))</f>
        <v>0</v>
      </c>
      <c r="AKL28">
        <f t="array" ref="AKL28">_xlfn.XLOOKUP(AKL$11,Assumptions!$B$35:$H$35,_xlfn.XLOOKUP($C28,Assumptions!$B$36:$B$41,Assumptions!$B$36:$H$41))</f>
        <v>0</v>
      </c>
      <c r="AKM28">
        <f t="array" ref="AKM28">_xlfn.XLOOKUP(AKM$11,Assumptions!$B$35:$H$35,_xlfn.XLOOKUP($C28,Assumptions!$B$36:$B$41,Assumptions!$B$36:$H$41))</f>
        <v>0</v>
      </c>
      <c r="AKN28">
        <f t="array" ref="AKN28">_xlfn.XLOOKUP(AKN$11,Assumptions!$B$35:$H$35,_xlfn.XLOOKUP($C28,Assumptions!$B$36:$B$41,Assumptions!$B$36:$H$41))</f>
        <v>0</v>
      </c>
      <c r="AKO28">
        <f t="array" ref="AKO28">_xlfn.XLOOKUP(AKO$11,Assumptions!$B$35:$H$35,_xlfn.XLOOKUP($C28,Assumptions!$B$36:$B$41,Assumptions!$B$36:$H$41))</f>
        <v>0</v>
      </c>
      <c r="AKP28">
        <f t="array" ref="AKP28">_xlfn.XLOOKUP(AKP$11,Assumptions!$B$35:$H$35,_xlfn.XLOOKUP($C28,Assumptions!$B$36:$B$41,Assumptions!$B$36:$H$41))</f>
        <v>0</v>
      </c>
      <c r="AKQ28">
        <f t="array" ref="AKQ28">_xlfn.XLOOKUP(AKQ$11,Assumptions!$B$35:$H$35,_xlfn.XLOOKUP($C28,Assumptions!$B$36:$B$41,Assumptions!$B$36:$H$41))</f>
        <v>0</v>
      </c>
      <c r="AKR28">
        <f t="array" ref="AKR28">_xlfn.XLOOKUP(AKR$11,Assumptions!$B$35:$H$35,_xlfn.XLOOKUP($C28,Assumptions!$B$36:$B$41,Assumptions!$B$36:$H$41))</f>
        <v>0</v>
      </c>
      <c r="AKS28">
        <f t="array" ref="AKS28">_xlfn.XLOOKUP(AKS$11,Assumptions!$B$35:$H$35,_xlfn.XLOOKUP($C28,Assumptions!$B$36:$B$41,Assumptions!$B$36:$H$41))</f>
        <v>0</v>
      </c>
      <c r="AKT28">
        <f t="array" ref="AKT28">_xlfn.XLOOKUP(AKT$11,Assumptions!$B$35:$H$35,_xlfn.XLOOKUP($C28,Assumptions!$B$36:$B$41,Assumptions!$B$36:$H$41))</f>
        <v>0</v>
      </c>
      <c r="AKU28">
        <f t="array" ref="AKU28">_xlfn.XLOOKUP(AKU$11,Assumptions!$B$35:$H$35,_xlfn.XLOOKUP($C28,Assumptions!$B$36:$B$41,Assumptions!$B$36:$H$41))</f>
        <v>0</v>
      </c>
      <c r="AKV28">
        <f t="array" ref="AKV28">_xlfn.XLOOKUP(AKV$11,Assumptions!$B$35:$H$35,_xlfn.XLOOKUP($C28,Assumptions!$B$36:$B$41,Assumptions!$B$36:$H$41))</f>
        <v>0</v>
      </c>
      <c r="AKW28">
        <f t="array" ref="AKW28">_xlfn.XLOOKUP(AKW$11,Assumptions!$B$35:$H$35,_xlfn.XLOOKUP($C28,Assumptions!$B$36:$B$41,Assumptions!$B$36:$H$41))</f>
        <v>0</v>
      </c>
      <c r="AKX28">
        <f t="array" ref="AKX28">_xlfn.XLOOKUP(AKX$11,Assumptions!$B$35:$H$35,_xlfn.XLOOKUP($C28,Assumptions!$B$36:$B$41,Assumptions!$B$36:$H$41))</f>
        <v>0</v>
      </c>
      <c r="AKY28">
        <f t="array" ref="AKY28">_xlfn.XLOOKUP(AKY$11,Assumptions!$B$35:$H$35,_xlfn.XLOOKUP($C28,Assumptions!$B$36:$B$41,Assumptions!$B$36:$H$41))</f>
        <v>0</v>
      </c>
      <c r="AKZ28">
        <f t="array" ref="AKZ28">_xlfn.XLOOKUP(AKZ$11,Assumptions!$B$35:$H$35,_xlfn.XLOOKUP($C28,Assumptions!$B$36:$B$41,Assumptions!$B$36:$H$41))</f>
        <v>0</v>
      </c>
      <c r="ALA28">
        <f t="array" ref="ALA28">_xlfn.XLOOKUP(ALA$11,Assumptions!$B$35:$H$35,_xlfn.XLOOKUP($C28,Assumptions!$B$36:$B$41,Assumptions!$B$36:$H$41))</f>
        <v>0</v>
      </c>
      <c r="ALB28">
        <f t="array" ref="ALB28">_xlfn.XLOOKUP(ALB$11,Assumptions!$B$35:$H$35,_xlfn.XLOOKUP($C28,Assumptions!$B$36:$B$41,Assumptions!$B$36:$H$41))</f>
        <v>0</v>
      </c>
      <c r="ALC28">
        <f t="array" ref="ALC28">_xlfn.XLOOKUP(ALC$11,Assumptions!$B$35:$H$35,_xlfn.XLOOKUP($C28,Assumptions!$B$36:$B$41,Assumptions!$B$36:$H$41))</f>
        <v>0</v>
      </c>
      <c r="ALD28">
        <f t="array" ref="ALD28">_xlfn.XLOOKUP(ALD$11,Assumptions!$B$35:$H$35,_xlfn.XLOOKUP($C28,Assumptions!$B$36:$B$41,Assumptions!$B$36:$H$41))</f>
        <v>0</v>
      </c>
      <c r="ALE28">
        <f t="array" ref="ALE28">_xlfn.XLOOKUP(ALE$11,Assumptions!$B$35:$H$35,_xlfn.XLOOKUP($C28,Assumptions!$B$36:$B$41,Assumptions!$B$36:$H$41))</f>
        <v>0</v>
      </c>
      <c r="ALF28">
        <f t="array" ref="ALF28">_xlfn.XLOOKUP(ALF$11,Assumptions!$B$35:$H$35,_xlfn.XLOOKUP($C28,Assumptions!$B$36:$B$41,Assumptions!$B$36:$H$41))</f>
        <v>0</v>
      </c>
      <c r="ALG28">
        <f t="array" ref="ALG28">_xlfn.XLOOKUP(ALG$11,Assumptions!$B$35:$H$35,_xlfn.XLOOKUP($C28,Assumptions!$B$36:$B$41,Assumptions!$B$36:$H$41))</f>
        <v>0</v>
      </c>
      <c r="ALH28">
        <f t="array" ref="ALH28">_xlfn.XLOOKUP(ALH$11,Assumptions!$B$35:$H$35,_xlfn.XLOOKUP($C28,Assumptions!$B$36:$B$41,Assumptions!$B$36:$H$41))</f>
        <v>0</v>
      </c>
      <c r="ALI28">
        <f t="array" ref="ALI28">_xlfn.XLOOKUP(ALI$11,Assumptions!$B$35:$H$35,_xlfn.XLOOKUP($C28,Assumptions!$B$36:$B$41,Assumptions!$B$36:$H$41))</f>
        <v>0</v>
      </c>
      <c r="ALJ28">
        <f t="array" ref="ALJ28">_xlfn.XLOOKUP(ALJ$11,Assumptions!$B$35:$H$35,_xlfn.XLOOKUP($C28,Assumptions!$B$36:$B$41,Assumptions!$B$36:$H$41))</f>
        <v>0</v>
      </c>
      <c r="ALK28">
        <f t="array" ref="ALK28">_xlfn.XLOOKUP(ALK$11,Assumptions!$B$35:$H$35,_xlfn.XLOOKUP($C28,Assumptions!$B$36:$B$41,Assumptions!$B$36:$H$41))</f>
        <v>0</v>
      </c>
      <c r="ALL28">
        <f t="array" ref="ALL28">_xlfn.XLOOKUP(ALL$11,Assumptions!$B$35:$H$35,_xlfn.XLOOKUP($C28,Assumptions!$B$36:$B$41,Assumptions!$B$36:$H$41))</f>
        <v>0</v>
      </c>
      <c r="ALM28">
        <f t="array" ref="ALM28">_xlfn.XLOOKUP(ALM$11,Assumptions!$B$35:$H$35,_xlfn.XLOOKUP($C28,Assumptions!$B$36:$B$41,Assumptions!$B$36:$H$41))</f>
        <v>0</v>
      </c>
      <c r="ALN28">
        <f t="array" ref="ALN28">_xlfn.XLOOKUP(ALN$11,Assumptions!$B$35:$H$35,_xlfn.XLOOKUP($C28,Assumptions!$B$36:$B$41,Assumptions!$B$36:$H$41))</f>
        <v>0</v>
      </c>
      <c r="ALO28">
        <f t="array" ref="ALO28">_xlfn.XLOOKUP(ALO$11,Assumptions!$B$35:$H$35,_xlfn.XLOOKUP($C28,Assumptions!$B$36:$B$41,Assumptions!$B$36:$H$41))</f>
        <v>0</v>
      </c>
      <c r="ALP28">
        <f t="array" ref="ALP28">_xlfn.XLOOKUP(ALP$11,Assumptions!$B$35:$H$35,_xlfn.XLOOKUP($C28,Assumptions!$B$36:$B$41,Assumptions!$B$36:$H$41))</f>
        <v>0</v>
      </c>
      <c r="ALQ28">
        <f t="array" ref="ALQ28">_xlfn.XLOOKUP(ALQ$11,Assumptions!$B$35:$H$35,_xlfn.XLOOKUP($C28,Assumptions!$B$36:$B$41,Assumptions!$B$36:$H$41))</f>
        <v>0</v>
      </c>
      <c r="ALR28">
        <f t="array" ref="ALR28">_xlfn.XLOOKUP(ALR$11,Assumptions!$B$35:$H$35,_xlfn.XLOOKUP($C28,Assumptions!$B$36:$B$41,Assumptions!$B$36:$H$41))</f>
        <v>0</v>
      </c>
      <c r="ALS28">
        <f t="array" ref="ALS28">_xlfn.XLOOKUP(ALS$11,Assumptions!$B$35:$H$35,_xlfn.XLOOKUP($C28,Assumptions!$B$36:$B$41,Assumptions!$B$36:$H$41))</f>
        <v>0</v>
      </c>
      <c r="ALT28">
        <f t="array" ref="ALT28">_xlfn.XLOOKUP(ALT$11,Assumptions!$B$35:$H$35,_xlfn.XLOOKUP($C28,Assumptions!$B$36:$B$41,Assumptions!$B$36:$H$41))</f>
        <v>0</v>
      </c>
      <c r="ALU28">
        <f t="array" ref="ALU28">_xlfn.XLOOKUP(ALU$11,Assumptions!$B$35:$H$35,_xlfn.XLOOKUP($C28,Assumptions!$B$36:$B$41,Assumptions!$B$36:$H$41))</f>
        <v>0</v>
      </c>
      <c r="ALV28">
        <f t="array" ref="ALV28">_xlfn.XLOOKUP(ALV$11,Assumptions!$B$35:$H$35,_xlfn.XLOOKUP($C28,Assumptions!$B$36:$B$41,Assumptions!$B$36:$H$41))</f>
        <v>0</v>
      </c>
      <c r="ALW28">
        <f t="array" ref="ALW28">_xlfn.XLOOKUP(ALW$11,Assumptions!$B$35:$H$35,_xlfn.XLOOKUP($C28,Assumptions!$B$36:$B$41,Assumptions!$B$36:$H$41))</f>
        <v>0</v>
      </c>
      <c r="ALX28">
        <f t="array" ref="ALX28">_xlfn.XLOOKUP(ALX$11,Assumptions!$B$35:$H$35,_xlfn.XLOOKUP($C28,Assumptions!$B$36:$B$41,Assumptions!$B$36:$H$41))</f>
        <v>0</v>
      </c>
      <c r="ALY28">
        <f t="array" ref="ALY28">_xlfn.XLOOKUP(ALY$11,Assumptions!$B$35:$H$35,_xlfn.XLOOKUP($C28,Assumptions!$B$36:$B$41,Assumptions!$B$36:$H$41))</f>
        <v>0</v>
      </c>
      <c r="ALZ28">
        <f t="array" ref="ALZ28">_xlfn.XLOOKUP(ALZ$11,Assumptions!$B$35:$H$35,_xlfn.XLOOKUP($C28,Assumptions!$B$36:$B$41,Assumptions!$B$36:$H$41))</f>
        <v>0</v>
      </c>
      <c r="AMA28">
        <f t="array" ref="AMA28">_xlfn.XLOOKUP(AMA$11,Assumptions!$B$35:$H$35,_xlfn.XLOOKUP($C28,Assumptions!$B$36:$B$41,Assumptions!$B$36:$H$41))</f>
        <v>0</v>
      </c>
      <c r="AMB28">
        <f t="array" ref="AMB28">_xlfn.XLOOKUP(AMB$11,Assumptions!$B$35:$H$35,_xlfn.XLOOKUP($C28,Assumptions!$B$36:$B$41,Assumptions!$B$36:$H$41))</f>
        <v>0</v>
      </c>
      <c r="AMC28">
        <f t="array" ref="AMC28">_xlfn.XLOOKUP(AMC$11,Assumptions!$B$35:$H$35,_xlfn.XLOOKUP($C28,Assumptions!$B$36:$B$41,Assumptions!$B$36:$H$41))</f>
        <v>0</v>
      </c>
      <c r="AMD28">
        <f t="array" ref="AMD28">_xlfn.XLOOKUP(AMD$11,Assumptions!$B$35:$H$35,_xlfn.XLOOKUP($C28,Assumptions!$B$36:$B$41,Assumptions!$B$36:$H$41))</f>
        <v>0</v>
      </c>
      <c r="AME28">
        <f t="array" ref="AME28">_xlfn.XLOOKUP(AME$11,Assumptions!$B$35:$H$35,_xlfn.XLOOKUP($C28,Assumptions!$B$36:$B$41,Assumptions!$B$36:$H$41))</f>
        <v>0</v>
      </c>
      <c r="AMF28">
        <f t="array" ref="AMF28">_xlfn.XLOOKUP(AMF$11,Assumptions!$B$35:$H$35,_xlfn.XLOOKUP($C28,Assumptions!$B$36:$B$41,Assumptions!$B$36:$H$41))</f>
        <v>0</v>
      </c>
      <c r="AMG28">
        <f t="array" ref="AMG28">_xlfn.XLOOKUP(AMG$11,Assumptions!$B$35:$H$35,_xlfn.XLOOKUP($C28,Assumptions!$B$36:$B$41,Assumptions!$B$36:$H$41))</f>
        <v>0</v>
      </c>
      <c r="AMH28">
        <f t="array" ref="AMH28">_xlfn.XLOOKUP(AMH$11,Assumptions!$B$35:$H$35,_xlfn.XLOOKUP($C28,Assumptions!$B$36:$B$41,Assumptions!$B$36:$H$41))</f>
        <v>0</v>
      </c>
      <c r="AMI28">
        <f t="array" ref="AMI28">_xlfn.XLOOKUP(AMI$11,Assumptions!$B$35:$H$35,_xlfn.XLOOKUP($C28,Assumptions!$B$36:$B$41,Assumptions!$B$36:$H$41))</f>
        <v>0</v>
      </c>
      <c r="AMJ28">
        <f t="array" ref="AMJ28">_xlfn.XLOOKUP(AMJ$11,Assumptions!$B$35:$H$35,_xlfn.XLOOKUP($C28,Assumptions!$B$36:$B$41,Assumptions!$B$36:$H$41))</f>
        <v>0</v>
      </c>
      <c r="AMK28">
        <f t="array" ref="AMK28">_xlfn.XLOOKUP(AMK$11,Assumptions!$B$35:$H$35,_xlfn.XLOOKUP($C28,Assumptions!$B$36:$B$41,Assumptions!$B$36:$H$41))</f>
        <v>0</v>
      </c>
      <c r="AML28">
        <f t="array" ref="AML28">_xlfn.XLOOKUP(AML$11,Assumptions!$B$35:$H$35,_xlfn.XLOOKUP($C28,Assumptions!$B$36:$B$41,Assumptions!$B$36:$H$41))</f>
        <v>0</v>
      </c>
      <c r="AMM28">
        <f t="array" ref="AMM28">_xlfn.XLOOKUP(AMM$11,Assumptions!$B$35:$H$35,_xlfn.XLOOKUP($C28,Assumptions!$B$36:$B$41,Assumptions!$B$36:$H$41))</f>
        <v>0</v>
      </c>
      <c r="AMN28">
        <f t="array" ref="AMN28">_xlfn.XLOOKUP(AMN$11,Assumptions!$B$35:$H$35,_xlfn.XLOOKUP($C28,Assumptions!$B$36:$B$41,Assumptions!$B$36:$H$41))</f>
        <v>0</v>
      </c>
      <c r="AMO28">
        <f t="array" ref="AMO28">_xlfn.XLOOKUP(AMO$11,Assumptions!$B$35:$H$35,_xlfn.XLOOKUP($C28,Assumptions!$B$36:$B$41,Assumptions!$B$36:$H$41))</f>
        <v>0</v>
      </c>
      <c r="AMP28">
        <f t="array" ref="AMP28">_xlfn.XLOOKUP(AMP$11,Assumptions!$B$35:$H$35,_xlfn.XLOOKUP($C28,Assumptions!$B$36:$B$41,Assumptions!$B$36:$H$41))</f>
        <v>0</v>
      </c>
      <c r="AMQ28">
        <f t="array" ref="AMQ28">_xlfn.XLOOKUP(AMQ$11,Assumptions!$B$35:$H$35,_xlfn.XLOOKUP($C28,Assumptions!$B$36:$B$41,Assumptions!$B$36:$H$41))</f>
        <v>0</v>
      </c>
      <c r="AMR28">
        <f t="array" ref="AMR28">_xlfn.XLOOKUP(AMR$11,Assumptions!$B$35:$H$35,_xlfn.XLOOKUP($C28,Assumptions!$B$36:$B$41,Assumptions!$B$36:$H$41))</f>
        <v>0</v>
      </c>
      <c r="AMS28">
        <f t="array" ref="AMS28">_xlfn.XLOOKUP(AMS$11,Assumptions!$B$35:$H$35,_xlfn.XLOOKUP($C28,Assumptions!$B$36:$B$41,Assumptions!$B$36:$H$41))</f>
        <v>0</v>
      </c>
      <c r="AMT28">
        <f t="array" ref="AMT28">_xlfn.XLOOKUP(AMT$11,Assumptions!$B$35:$H$35,_xlfn.XLOOKUP($C28,Assumptions!$B$36:$B$41,Assumptions!$B$36:$H$41))</f>
        <v>0</v>
      </c>
      <c r="AMU28">
        <f t="array" ref="AMU28">_xlfn.XLOOKUP(AMU$11,Assumptions!$B$35:$H$35,_xlfn.XLOOKUP($C28,Assumptions!$B$36:$B$41,Assumptions!$B$36:$H$41))</f>
        <v>0</v>
      </c>
      <c r="AMV28">
        <f t="array" ref="AMV28">_xlfn.XLOOKUP(AMV$11,Assumptions!$B$35:$H$35,_xlfn.XLOOKUP($C28,Assumptions!$B$36:$B$41,Assumptions!$B$36:$H$41))</f>
        <v>0</v>
      </c>
      <c r="AMW28">
        <f t="array" ref="AMW28">_xlfn.XLOOKUP(AMW$11,Assumptions!$B$35:$H$35,_xlfn.XLOOKUP($C28,Assumptions!$B$36:$B$41,Assumptions!$B$36:$H$41))</f>
        <v>0</v>
      </c>
      <c r="AMX28">
        <f t="array" ref="AMX28">_xlfn.XLOOKUP(AMX$11,Assumptions!$B$35:$H$35,_xlfn.XLOOKUP($C28,Assumptions!$B$36:$B$41,Assumptions!$B$36:$H$41))</f>
        <v>0</v>
      </c>
      <c r="AMY28">
        <f t="array" ref="AMY28">_xlfn.XLOOKUP(AMY$11,Assumptions!$B$35:$H$35,_xlfn.XLOOKUP($C28,Assumptions!$B$36:$B$41,Assumptions!$B$36:$H$41))</f>
        <v>0</v>
      </c>
      <c r="AMZ28">
        <f t="array" ref="AMZ28">_xlfn.XLOOKUP(AMZ$11,Assumptions!$B$35:$H$35,_xlfn.XLOOKUP($C28,Assumptions!$B$36:$B$41,Assumptions!$B$36:$H$41))</f>
        <v>0</v>
      </c>
      <c r="ANA28">
        <f t="array" ref="ANA28">_xlfn.XLOOKUP(ANA$11,Assumptions!$B$35:$H$35,_xlfn.XLOOKUP($C28,Assumptions!$B$36:$B$41,Assumptions!$B$36:$H$41))</f>
        <v>0</v>
      </c>
      <c r="ANB28">
        <f t="array" ref="ANB28">_xlfn.XLOOKUP(ANB$11,Assumptions!$B$35:$H$35,_xlfn.XLOOKUP($C28,Assumptions!$B$36:$B$41,Assumptions!$B$36:$H$41))</f>
        <v>0</v>
      </c>
      <c r="ANC28">
        <f t="array" ref="ANC28">_xlfn.XLOOKUP(ANC$11,Assumptions!$B$35:$H$35,_xlfn.XLOOKUP($C28,Assumptions!$B$36:$B$41,Assumptions!$B$36:$H$41))</f>
        <v>0</v>
      </c>
      <c r="AND28">
        <f t="array" ref="AND28">_xlfn.XLOOKUP(AND$11,Assumptions!$B$35:$H$35,_xlfn.XLOOKUP($C28,Assumptions!$B$36:$B$41,Assumptions!$B$36:$H$41))</f>
        <v>0</v>
      </c>
      <c r="ANE28">
        <f t="array" ref="ANE28">_xlfn.XLOOKUP(ANE$11,Assumptions!$B$35:$H$35,_xlfn.XLOOKUP($C28,Assumptions!$B$36:$B$41,Assumptions!$B$36:$H$41))</f>
        <v>0</v>
      </c>
      <c r="ANF28">
        <f t="array" ref="ANF28">_xlfn.XLOOKUP(ANF$11,Assumptions!$B$35:$H$35,_xlfn.XLOOKUP($C28,Assumptions!$B$36:$B$41,Assumptions!$B$36:$H$41))</f>
        <v>0</v>
      </c>
      <c r="ANG28">
        <f t="array" ref="ANG28">_xlfn.XLOOKUP(ANG$11,Assumptions!$B$35:$H$35,_xlfn.XLOOKUP($C28,Assumptions!$B$36:$B$41,Assumptions!$B$36:$H$41))</f>
        <v>0</v>
      </c>
      <c r="ANH28">
        <f t="array" ref="ANH28">_xlfn.XLOOKUP(ANH$11,Assumptions!$B$35:$H$35,_xlfn.XLOOKUP($C28,Assumptions!$B$36:$B$41,Assumptions!$B$36:$H$41))</f>
        <v>0</v>
      </c>
      <c r="ANI28">
        <f t="array" ref="ANI28">_xlfn.XLOOKUP(ANI$11,Assumptions!$B$35:$H$35,_xlfn.XLOOKUP($C28,Assumptions!$B$36:$B$41,Assumptions!$B$36:$H$41))</f>
        <v>0</v>
      </c>
      <c r="ANJ28">
        <f t="array" ref="ANJ28">_xlfn.XLOOKUP(ANJ$11,Assumptions!$B$35:$H$35,_xlfn.XLOOKUP($C28,Assumptions!$B$36:$B$41,Assumptions!$B$36:$H$41))</f>
        <v>0</v>
      </c>
      <c r="ANK28">
        <f t="array" ref="ANK28">_xlfn.XLOOKUP(ANK$11,Assumptions!$B$35:$H$35,_xlfn.XLOOKUP($C28,Assumptions!$B$36:$B$41,Assumptions!$B$36:$H$41))</f>
        <v>0</v>
      </c>
      <c r="ANL28">
        <f t="array" ref="ANL28">_xlfn.XLOOKUP(ANL$11,Assumptions!$B$35:$H$35,_xlfn.XLOOKUP($C28,Assumptions!$B$36:$B$41,Assumptions!$B$36:$H$41))</f>
        <v>0</v>
      </c>
      <c r="ANM28">
        <f t="array" ref="ANM28">_xlfn.XLOOKUP(ANM$11,Assumptions!$B$35:$H$35,_xlfn.XLOOKUP($C28,Assumptions!$B$36:$B$41,Assumptions!$B$36:$H$41))</f>
        <v>0</v>
      </c>
      <c r="ANN28">
        <f t="array" ref="ANN28">_xlfn.XLOOKUP(ANN$11,Assumptions!$B$35:$H$35,_xlfn.XLOOKUP($C28,Assumptions!$B$36:$B$41,Assumptions!$B$36:$H$41))</f>
        <v>0</v>
      </c>
      <c r="ANO28">
        <f t="array" ref="ANO28">_xlfn.XLOOKUP(ANO$11,Assumptions!$B$35:$H$35,_xlfn.XLOOKUP($C28,Assumptions!$B$36:$B$41,Assumptions!$B$36:$H$41))</f>
        <v>0</v>
      </c>
      <c r="ANP28">
        <f t="array" ref="ANP28">_xlfn.XLOOKUP(ANP$11,Assumptions!$B$35:$H$35,_xlfn.XLOOKUP($C28,Assumptions!$B$36:$B$41,Assumptions!$B$36:$H$41))</f>
        <v>0</v>
      </c>
      <c r="ANQ28">
        <f t="array" ref="ANQ28">_xlfn.XLOOKUP(ANQ$11,Assumptions!$B$35:$H$35,_xlfn.XLOOKUP($C28,Assumptions!$B$36:$B$41,Assumptions!$B$36:$H$41))</f>
        <v>0</v>
      </c>
      <c r="ANR28">
        <f t="array" ref="ANR28">_xlfn.XLOOKUP(ANR$11,Assumptions!$B$35:$H$35,_xlfn.XLOOKUP($C28,Assumptions!$B$36:$B$41,Assumptions!$B$36:$H$41))</f>
        <v>0</v>
      </c>
      <c r="ANS28">
        <f t="array" ref="ANS28">_xlfn.XLOOKUP(ANS$11,Assumptions!$B$35:$H$35,_xlfn.XLOOKUP($C28,Assumptions!$B$36:$B$41,Assumptions!$B$36:$H$41))</f>
        <v>0</v>
      </c>
      <c r="ANT28">
        <f t="array" ref="ANT28">_xlfn.XLOOKUP(ANT$11,Assumptions!$B$35:$H$35,_xlfn.XLOOKUP($C28,Assumptions!$B$36:$B$41,Assumptions!$B$36:$H$41))</f>
        <v>0</v>
      </c>
      <c r="ANU28">
        <f t="array" ref="ANU28">_xlfn.XLOOKUP(ANU$11,Assumptions!$B$35:$H$35,_xlfn.XLOOKUP($C28,Assumptions!$B$36:$B$41,Assumptions!$B$36:$H$41))</f>
        <v>0</v>
      </c>
      <c r="ANV28">
        <f t="array" ref="ANV28">_xlfn.XLOOKUP(ANV$11,Assumptions!$B$35:$H$35,_xlfn.XLOOKUP($C28,Assumptions!$B$36:$B$41,Assumptions!$B$36:$H$41))</f>
        <v>0</v>
      </c>
      <c r="ANW28">
        <f t="array" ref="ANW28">_xlfn.XLOOKUP(ANW$11,Assumptions!$B$35:$H$35,_xlfn.XLOOKUP($C28,Assumptions!$B$36:$B$41,Assumptions!$B$36:$H$41))</f>
        <v>0</v>
      </c>
      <c r="ANX28">
        <f t="array" ref="ANX28">_xlfn.XLOOKUP(ANX$11,Assumptions!$B$35:$H$35,_xlfn.XLOOKUP($C28,Assumptions!$B$36:$B$41,Assumptions!$B$36:$H$41))</f>
        <v>0</v>
      </c>
      <c r="ANY28">
        <f t="array" ref="ANY28">_xlfn.XLOOKUP(ANY$11,Assumptions!$B$35:$H$35,_xlfn.XLOOKUP($C28,Assumptions!$B$36:$B$41,Assumptions!$B$36:$H$41))</f>
        <v>0</v>
      </c>
      <c r="ANZ28">
        <f t="array" ref="ANZ28">_xlfn.XLOOKUP(ANZ$11,Assumptions!$B$35:$H$35,_xlfn.XLOOKUP($C28,Assumptions!$B$36:$B$41,Assumptions!$B$36:$H$41))</f>
        <v>0</v>
      </c>
      <c r="AOA28">
        <f t="array" ref="AOA28">_xlfn.XLOOKUP(AOA$11,Assumptions!$B$35:$H$35,_xlfn.XLOOKUP($C28,Assumptions!$B$36:$B$41,Assumptions!$B$36:$H$41))</f>
        <v>0</v>
      </c>
      <c r="AOB28">
        <f t="array" ref="AOB28">_xlfn.XLOOKUP(AOB$11,Assumptions!$B$35:$H$35,_xlfn.XLOOKUP($C28,Assumptions!$B$36:$B$41,Assumptions!$B$36:$H$41))</f>
        <v>0</v>
      </c>
      <c r="AOC28">
        <f t="array" ref="AOC28">_xlfn.XLOOKUP(AOC$11,Assumptions!$B$35:$H$35,_xlfn.XLOOKUP($C28,Assumptions!$B$36:$B$41,Assumptions!$B$36:$H$41))</f>
        <v>0</v>
      </c>
      <c r="AOD28">
        <f t="array" ref="AOD28">_xlfn.XLOOKUP(AOD$11,Assumptions!$B$35:$H$35,_xlfn.XLOOKUP($C28,Assumptions!$B$36:$B$41,Assumptions!$B$36:$H$41))</f>
        <v>0</v>
      </c>
      <c r="AOE28">
        <f t="array" ref="AOE28">_xlfn.XLOOKUP(AOE$11,Assumptions!$B$35:$H$35,_xlfn.XLOOKUP($C28,Assumptions!$B$36:$B$41,Assumptions!$B$36:$H$41))</f>
        <v>0</v>
      </c>
      <c r="AOF28">
        <f t="array" ref="AOF28">_xlfn.XLOOKUP(AOF$11,Assumptions!$B$35:$H$35,_xlfn.XLOOKUP($C28,Assumptions!$B$36:$B$41,Assumptions!$B$36:$H$41))</f>
        <v>0</v>
      </c>
      <c r="AOG28">
        <f t="array" ref="AOG28">_xlfn.XLOOKUP(AOG$11,Assumptions!$B$35:$H$35,_xlfn.XLOOKUP($C28,Assumptions!$B$36:$B$41,Assumptions!$B$36:$H$41))</f>
        <v>0</v>
      </c>
      <c r="AOH28">
        <f t="array" ref="AOH28">_xlfn.XLOOKUP(AOH$11,Assumptions!$B$35:$H$35,_xlfn.XLOOKUP($C28,Assumptions!$B$36:$B$41,Assumptions!$B$36:$H$41))</f>
        <v>0</v>
      </c>
      <c r="AOI28">
        <f t="array" ref="AOI28">_xlfn.XLOOKUP(AOI$11,Assumptions!$B$35:$H$35,_xlfn.XLOOKUP($C28,Assumptions!$B$36:$B$41,Assumptions!$B$36:$H$41))</f>
        <v>0</v>
      </c>
      <c r="AOJ28">
        <f t="array" ref="AOJ28">_xlfn.XLOOKUP(AOJ$11,Assumptions!$B$35:$H$35,_xlfn.XLOOKUP($C28,Assumptions!$B$36:$B$41,Assumptions!$B$36:$H$41))</f>
        <v>0</v>
      </c>
      <c r="AOK28">
        <f t="array" ref="AOK28">_xlfn.XLOOKUP(AOK$11,Assumptions!$B$35:$H$35,_xlfn.XLOOKUP($C28,Assumptions!$B$36:$B$41,Assumptions!$B$36:$H$41))</f>
        <v>0</v>
      </c>
      <c r="AOL28">
        <f t="array" ref="AOL28">_xlfn.XLOOKUP(AOL$11,Assumptions!$B$35:$H$35,_xlfn.XLOOKUP($C28,Assumptions!$B$36:$B$41,Assumptions!$B$36:$H$41))</f>
        <v>0</v>
      </c>
      <c r="AOM28">
        <f t="array" ref="AOM28">_xlfn.XLOOKUP(AOM$11,Assumptions!$B$35:$H$35,_xlfn.XLOOKUP($C28,Assumptions!$B$36:$B$41,Assumptions!$B$36:$H$41))</f>
        <v>0</v>
      </c>
      <c r="AON28">
        <f t="array" ref="AON28">_xlfn.XLOOKUP(AON$11,Assumptions!$B$35:$H$35,_xlfn.XLOOKUP($C28,Assumptions!$B$36:$B$41,Assumptions!$B$36:$H$41))</f>
        <v>0</v>
      </c>
      <c r="AOO28">
        <f t="array" ref="AOO28">_xlfn.XLOOKUP(AOO$11,Assumptions!$B$35:$H$35,_xlfn.XLOOKUP($C28,Assumptions!$B$36:$B$41,Assumptions!$B$36:$H$41))</f>
        <v>0</v>
      </c>
      <c r="AOP28">
        <f t="array" ref="AOP28">_xlfn.XLOOKUP(AOP$11,Assumptions!$B$35:$H$35,_xlfn.XLOOKUP($C28,Assumptions!$B$36:$B$41,Assumptions!$B$36:$H$41))</f>
        <v>0</v>
      </c>
      <c r="AOQ28">
        <f t="array" ref="AOQ28">_xlfn.XLOOKUP(AOQ$11,Assumptions!$B$35:$H$35,_xlfn.XLOOKUP($C28,Assumptions!$B$36:$B$41,Assumptions!$B$36:$H$41))</f>
        <v>0</v>
      </c>
      <c r="AOR28">
        <f t="array" ref="AOR28">_xlfn.XLOOKUP(AOR$11,Assumptions!$B$35:$H$35,_xlfn.XLOOKUP($C28,Assumptions!$B$36:$B$41,Assumptions!$B$36:$H$41))</f>
        <v>0</v>
      </c>
      <c r="AOS28">
        <f t="array" ref="AOS28">_xlfn.XLOOKUP(AOS$11,Assumptions!$B$35:$H$35,_xlfn.XLOOKUP($C28,Assumptions!$B$36:$B$41,Assumptions!$B$36:$H$41))</f>
        <v>0</v>
      </c>
      <c r="AOT28">
        <f t="array" ref="AOT28">_xlfn.XLOOKUP(AOT$11,Assumptions!$B$35:$H$35,_xlfn.XLOOKUP($C28,Assumptions!$B$36:$B$41,Assumptions!$B$36:$H$41))</f>
        <v>0</v>
      </c>
      <c r="AOU28">
        <f t="array" ref="AOU28">_xlfn.XLOOKUP(AOU$11,Assumptions!$B$35:$H$35,_xlfn.XLOOKUP($C28,Assumptions!$B$36:$B$41,Assumptions!$B$36:$H$41))</f>
        <v>0</v>
      </c>
      <c r="AOV28">
        <f t="array" ref="AOV28">_xlfn.XLOOKUP(AOV$11,Assumptions!$B$35:$H$35,_xlfn.XLOOKUP($C28,Assumptions!$B$36:$B$41,Assumptions!$B$36:$H$41))</f>
        <v>0</v>
      </c>
      <c r="AOW28">
        <f t="array" ref="AOW28">_xlfn.XLOOKUP(AOW$11,Assumptions!$B$35:$H$35,_xlfn.XLOOKUP($C28,Assumptions!$B$36:$B$41,Assumptions!$B$36:$H$41))</f>
        <v>0</v>
      </c>
      <c r="AOX28">
        <f t="array" ref="AOX28">_xlfn.XLOOKUP(AOX$11,Assumptions!$B$35:$H$35,_xlfn.XLOOKUP($C28,Assumptions!$B$36:$B$41,Assumptions!$B$36:$H$41))</f>
        <v>0</v>
      </c>
      <c r="AOY28">
        <f t="array" ref="AOY28">_xlfn.XLOOKUP(AOY$11,Assumptions!$B$35:$H$35,_xlfn.XLOOKUP($C28,Assumptions!$B$36:$B$41,Assumptions!$B$36:$H$41))</f>
        <v>0</v>
      </c>
      <c r="AOZ28">
        <f t="array" ref="AOZ28">_xlfn.XLOOKUP(AOZ$11,Assumptions!$B$35:$H$35,_xlfn.XLOOKUP($C28,Assumptions!$B$36:$B$41,Assumptions!$B$36:$H$41))</f>
        <v>0</v>
      </c>
      <c r="APA28">
        <f t="array" ref="APA28">_xlfn.XLOOKUP(APA$11,Assumptions!$B$35:$H$35,_xlfn.XLOOKUP($C28,Assumptions!$B$36:$B$41,Assumptions!$B$36:$H$41))</f>
        <v>0</v>
      </c>
      <c r="APB28">
        <f t="array" ref="APB28">_xlfn.XLOOKUP(APB$11,Assumptions!$B$35:$H$35,_xlfn.XLOOKUP($C28,Assumptions!$B$36:$B$41,Assumptions!$B$36:$H$41))</f>
        <v>0</v>
      </c>
      <c r="APC28">
        <f t="array" ref="APC28">_xlfn.XLOOKUP(APC$11,Assumptions!$B$35:$H$35,_xlfn.XLOOKUP($C28,Assumptions!$B$36:$B$41,Assumptions!$B$36:$H$41))</f>
        <v>0</v>
      </c>
      <c r="APD28">
        <f t="array" ref="APD28">_xlfn.XLOOKUP(APD$11,Assumptions!$B$35:$H$35,_xlfn.XLOOKUP($C28,Assumptions!$B$36:$B$41,Assumptions!$B$36:$H$41))</f>
        <v>0</v>
      </c>
      <c r="APE28">
        <f t="array" ref="APE28">_xlfn.XLOOKUP(APE$11,Assumptions!$B$35:$H$35,_xlfn.XLOOKUP($C28,Assumptions!$B$36:$B$41,Assumptions!$B$36:$H$41))</f>
        <v>0</v>
      </c>
      <c r="APF28">
        <f t="array" ref="APF28">_xlfn.XLOOKUP(APF$11,Assumptions!$B$35:$H$35,_xlfn.XLOOKUP($C28,Assumptions!$B$36:$B$41,Assumptions!$B$36:$H$41))</f>
        <v>0</v>
      </c>
      <c r="APG28">
        <f t="array" ref="APG28">_xlfn.XLOOKUP(APG$11,Assumptions!$B$35:$H$35,_xlfn.XLOOKUP($C28,Assumptions!$B$36:$B$41,Assumptions!$B$36:$H$41))</f>
        <v>0</v>
      </c>
      <c r="APH28">
        <f t="array" ref="APH28">_xlfn.XLOOKUP(APH$11,Assumptions!$B$35:$H$35,_xlfn.XLOOKUP($C28,Assumptions!$B$36:$B$41,Assumptions!$B$36:$H$41))</f>
        <v>0</v>
      </c>
      <c r="API28">
        <f t="array" ref="API28">_xlfn.XLOOKUP(API$11,Assumptions!$B$35:$H$35,_xlfn.XLOOKUP($C28,Assumptions!$B$36:$B$41,Assumptions!$B$36:$H$41))</f>
        <v>0</v>
      </c>
      <c r="APJ28">
        <f t="array" ref="APJ28">_xlfn.XLOOKUP(APJ$11,Assumptions!$B$35:$H$35,_xlfn.XLOOKUP($C28,Assumptions!$B$36:$B$41,Assumptions!$B$36:$H$41))</f>
        <v>0</v>
      </c>
      <c r="APK28">
        <f t="array" ref="APK28">_xlfn.XLOOKUP(APK$11,Assumptions!$B$35:$H$35,_xlfn.XLOOKUP($C28,Assumptions!$B$36:$B$41,Assumptions!$B$36:$H$41))</f>
        <v>0</v>
      </c>
      <c r="APL28">
        <f t="array" ref="APL28">_xlfn.XLOOKUP(APL$11,Assumptions!$B$35:$H$35,_xlfn.XLOOKUP($C28,Assumptions!$B$36:$B$41,Assumptions!$B$36:$H$41))</f>
        <v>0</v>
      </c>
      <c r="APM28">
        <f t="array" ref="APM28">_xlfn.XLOOKUP(APM$11,Assumptions!$B$35:$H$35,_xlfn.XLOOKUP($C28,Assumptions!$B$36:$B$41,Assumptions!$B$36:$H$41))</f>
        <v>0</v>
      </c>
      <c r="APN28">
        <f t="array" ref="APN28">_xlfn.XLOOKUP(APN$11,Assumptions!$B$35:$H$35,_xlfn.XLOOKUP($C28,Assumptions!$B$36:$B$41,Assumptions!$B$36:$H$41))</f>
        <v>0</v>
      </c>
      <c r="APO28">
        <f t="array" ref="APO28">_xlfn.XLOOKUP(APO$11,Assumptions!$B$35:$H$35,_xlfn.XLOOKUP($C28,Assumptions!$B$36:$B$41,Assumptions!$B$36:$H$41))</f>
        <v>0</v>
      </c>
      <c r="APP28">
        <f t="array" ref="APP28">_xlfn.XLOOKUP(APP$11,Assumptions!$B$35:$H$35,_xlfn.XLOOKUP($C28,Assumptions!$B$36:$B$41,Assumptions!$B$36:$H$41))</f>
        <v>0</v>
      </c>
      <c r="APQ28">
        <f t="array" ref="APQ28">_xlfn.XLOOKUP(APQ$11,Assumptions!$B$35:$H$35,_xlfn.XLOOKUP($C28,Assumptions!$B$36:$B$41,Assumptions!$B$36:$H$41))</f>
        <v>0</v>
      </c>
      <c r="APR28">
        <f t="array" ref="APR28">_xlfn.XLOOKUP(APR$11,Assumptions!$B$35:$H$35,_xlfn.XLOOKUP($C28,Assumptions!$B$36:$B$41,Assumptions!$B$36:$H$41))</f>
        <v>0</v>
      </c>
      <c r="APS28">
        <f t="array" ref="APS28">_xlfn.XLOOKUP(APS$11,Assumptions!$B$35:$H$35,_xlfn.XLOOKUP($C28,Assumptions!$B$36:$B$41,Assumptions!$B$36:$H$41))</f>
        <v>0</v>
      </c>
      <c r="APT28">
        <f t="array" ref="APT28">_xlfn.XLOOKUP(APT$11,Assumptions!$B$35:$H$35,_xlfn.XLOOKUP($C28,Assumptions!$B$36:$B$41,Assumptions!$B$36:$H$41))</f>
        <v>0</v>
      </c>
      <c r="APU28">
        <f t="array" ref="APU28">_xlfn.XLOOKUP(APU$11,Assumptions!$B$35:$H$35,_xlfn.XLOOKUP($C28,Assumptions!$B$36:$B$41,Assumptions!$B$36:$H$41))</f>
        <v>0</v>
      </c>
      <c r="APV28">
        <f t="array" ref="APV28">_xlfn.XLOOKUP(APV$11,Assumptions!$B$35:$H$35,_xlfn.XLOOKUP($C28,Assumptions!$B$36:$B$41,Assumptions!$B$36:$H$41))</f>
        <v>0</v>
      </c>
      <c r="APW28">
        <f t="array" ref="APW28">_xlfn.XLOOKUP(APW$11,Assumptions!$B$35:$H$35,_xlfn.XLOOKUP($C28,Assumptions!$B$36:$B$41,Assumptions!$B$36:$H$41))</f>
        <v>0</v>
      </c>
      <c r="APX28">
        <f t="array" ref="APX28">_xlfn.XLOOKUP(APX$11,Assumptions!$B$35:$H$35,_xlfn.XLOOKUP($C28,Assumptions!$B$36:$B$41,Assumptions!$B$36:$H$41))</f>
        <v>0</v>
      </c>
      <c r="APY28">
        <f t="array" ref="APY28">_xlfn.XLOOKUP(APY$11,Assumptions!$B$35:$H$35,_xlfn.XLOOKUP($C28,Assumptions!$B$36:$B$41,Assumptions!$B$36:$H$41))</f>
        <v>0</v>
      </c>
      <c r="APZ28">
        <f t="array" ref="APZ28">_xlfn.XLOOKUP(APZ$11,Assumptions!$B$35:$H$35,_xlfn.XLOOKUP($C28,Assumptions!$B$36:$B$41,Assumptions!$B$36:$H$41))</f>
        <v>0</v>
      </c>
      <c r="AQA28">
        <f t="array" ref="AQA28">_xlfn.XLOOKUP(AQA$11,Assumptions!$B$35:$H$35,_xlfn.XLOOKUP($C28,Assumptions!$B$36:$B$41,Assumptions!$B$36:$H$41))</f>
        <v>0</v>
      </c>
      <c r="AQB28">
        <f t="array" ref="AQB28">_xlfn.XLOOKUP(AQB$11,Assumptions!$B$35:$H$35,_xlfn.XLOOKUP($C28,Assumptions!$B$36:$B$41,Assumptions!$B$36:$H$41))</f>
        <v>0</v>
      </c>
      <c r="AQC28">
        <f t="array" ref="AQC28">_xlfn.XLOOKUP(AQC$11,Assumptions!$B$35:$H$35,_xlfn.XLOOKUP($C28,Assumptions!$B$36:$B$41,Assumptions!$B$36:$H$41))</f>
        <v>0</v>
      </c>
      <c r="AQD28">
        <f t="array" ref="AQD28">_xlfn.XLOOKUP(AQD$11,Assumptions!$B$35:$H$35,_xlfn.XLOOKUP($C28,Assumptions!$B$36:$B$41,Assumptions!$B$36:$H$41))</f>
        <v>0</v>
      </c>
      <c r="AQE28">
        <f t="array" ref="AQE28">_xlfn.XLOOKUP(AQE$11,Assumptions!$B$35:$H$35,_xlfn.XLOOKUP($C28,Assumptions!$B$36:$B$41,Assumptions!$B$36:$H$41))</f>
        <v>0</v>
      </c>
      <c r="AQF28">
        <f t="array" ref="AQF28">_xlfn.XLOOKUP(AQF$11,Assumptions!$B$35:$H$35,_xlfn.XLOOKUP($C28,Assumptions!$B$36:$B$41,Assumptions!$B$36:$H$41))</f>
        <v>0</v>
      </c>
      <c r="AQG28">
        <f t="array" ref="AQG28">_xlfn.XLOOKUP(AQG$11,Assumptions!$B$35:$H$35,_xlfn.XLOOKUP($C28,Assumptions!$B$36:$B$41,Assumptions!$B$36:$H$41))</f>
        <v>0</v>
      </c>
      <c r="AQH28">
        <f t="array" ref="AQH28">_xlfn.XLOOKUP(AQH$11,Assumptions!$B$35:$H$35,_xlfn.XLOOKUP($C28,Assumptions!$B$36:$B$41,Assumptions!$B$36:$H$41))</f>
        <v>0</v>
      </c>
      <c r="AQI28">
        <f t="array" ref="AQI28">_xlfn.XLOOKUP(AQI$11,Assumptions!$B$35:$H$35,_xlfn.XLOOKUP($C28,Assumptions!$B$36:$B$41,Assumptions!$B$36:$H$41))</f>
        <v>0</v>
      </c>
      <c r="AQJ28">
        <f t="array" ref="AQJ28">_xlfn.XLOOKUP(AQJ$11,Assumptions!$B$35:$H$35,_xlfn.XLOOKUP($C28,Assumptions!$B$36:$B$41,Assumptions!$B$36:$H$41))</f>
        <v>0</v>
      </c>
      <c r="AQK28">
        <f t="array" ref="AQK28">_xlfn.XLOOKUP(AQK$11,Assumptions!$B$35:$H$35,_xlfn.XLOOKUP($C28,Assumptions!$B$36:$B$41,Assumptions!$B$36:$H$41))</f>
        <v>0</v>
      </c>
      <c r="AQL28">
        <f t="array" ref="AQL28">_xlfn.XLOOKUP(AQL$11,Assumptions!$B$35:$H$35,_xlfn.XLOOKUP($C28,Assumptions!$B$36:$B$41,Assumptions!$B$36:$H$41))</f>
        <v>0</v>
      </c>
      <c r="AQM28">
        <f t="array" ref="AQM28">_xlfn.XLOOKUP(AQM$11,Assumptions!$B$35:$H$35,_xlfn.XLOOKUP($C28,Assumptions!$B$36:$B$41,Assumptions!$B$36:$H$41))</f>
        <v>0</v>
      </c>
      <c r="AQN28">
        <f t="array" ref="AQN28">_xlfn.XLOOKUP(AQN$11,Assumptions!$B$35:$H$35,_xlfn.XLOOKUP($C28,Assumptions!$B$36:$B$41,Assumptions!$B$36:$H$41))</f>
        <v>0</v>
      </c>
      <c r="AQO28">
        <f t="array" ref="AQO28">_xlfn.XLOOKUP(AQO$11,Assumptions!$B$35:$H$35,_xlfn.XLOOKUP($C28,Assumptions!$B$36:$B$41,Assumptions!$B$36:$H$41))</f>
        <v>0</v>
      </c>
      <c r="AQP28">
        <f t="array" ref="AQP28">_xlfn.XLOOKUP(AQP$11,Assumptions!$B$35:$H$35,_xlfn.XLOOKUP($C28,Assumptions!$B$36:$B$41,Assumptions!$B$36:$H$41))</f>
        <v>0</v>
      </c>
      <c r="AQQ28">
        <f t="array" ref="AQQ28">_xlfn.XLOOKUP(AQQ$11,Assumptions!$B$35:$H$35,_xlfn.XLOOKUP($C28,Assumptions!$B$36:$B$41,Assumptions!$B$36:$H$41))</f>
        <v>0</v>
      </c>
      <c r="AQR28">
        <f t="array" ref="AQR28">_xlfn.XLOOKUP(AQR$11,Assumptions!$B$35:$H$35,_xlfn.XLOOKUP($C28,Assumptions!$B$36:$B$41,Assumptions!$B$36:$H$41))</f>
        <v>0</v>
      </c>
      <c r="AQS28">
        <f t="array" ref="AQS28">_xlfn.XLOOKUP(AQS$11,Assumptions!$B$35:$H$35,_xlfn.XLOOKUP($C28,Assumptions!$B$36:$B$41,Assumptions!$B$36:$H$41))</f>
        <v>0</v>
      </c>
      <c r="AQT28">
        <f t="array" ref="AQT28">_xlfn.XLOOKUP(AQT$11,Assumptions!$B$35:$H$35,_xlfn.XLOOKUP($C28,Assumptions!$B$36:$B$41,Assumptions!$B$36:$H$41))</f>
        <v>0</v>
      </c>
      <c r="AQU28">
        <f t="array" ref="AQU28">_xlfn.XLOOKUP(AQU$11,Assumptions!$B$35:$H$35,_xlfn.XLOOKUP($C28,Assumptions!$B$36:$B$41,Assumptions!$B$36:$H$41))</f>
        <v>0</v>
      </c>
      <c r="AQV28">
        <f t="array" ref="AQV28">_xlfn.XLOOKUP(AQV$11,Assumptions!$B$35:$H$35,_xlfn.XLOOKUP($C28,Assumptions!$B$36:$B$41,Assumptions!$B$36:$H$41))</f>
        <v>0</v>
      </c>
      <c r="AQW28">
        <f t="array" ref="AQW28">_xlfn.XLOOKUP(AQW$11,Assumptions!$B$35:$H$35,_xlfn.XLOOKUP($C28,Assumptions!$B$36:$B$41,Assumptions!$B$36:$H$41))</f>
        <v>0</v>
      </c>
      <c r="AQX28">
        <f t="array" ref="AQX28">_xlfn.XLOOKUP(AQX$11,Assumptions!$B$35:$H$35,_xlfn.XLOOKUP($C28,Assumptions!$B$36:$B$41,Assumptions!$B$36:$H$41))</f>
        <v>0</v>
      </c>
      <c r="AQY28">
        <f t="array" ref="AQY28">_xlfn.XLOOKUP(AQY$11,Assumptions!$B$35:$H$35,_xlfn.XLOOKUP($C28,Assumptions!$B$36:$B$41,Assumptions!$B$36:$H$41))</f>
        <v>0</v>
      </c>
      <c r="AQZ28">
        <f t="array" ref="AQZ28">_xlfn.XLOOKUP(AQZ$11,Assumptions!$B$35:$H$35,_xlfn.XLOOKUP($C28,Assumptions!$B$36:$B$41,Assumptions!$B$36:$H$41))</f>
        <v>0</v>
      </c>
      <c r="ARA28">
        <f t="array" ref="ARA28">_xlfn.XLOOKUP(ARA$11,Assumptions!$B$35:$H$35,_xlfn.XLOOKUP($C28,Assumptions!$B$36:$B$41,Assumptions!$B$36:$H$41))</f>
        <v>0</v>
      </c>
      <c r="ARB28">
        <f t="array" ref="ARB28">_xlfn.XLOOKUP(ARB$11,Assumptions!$B$35:$H$35,_xlfn.XLOOKUP($C28,Assumptions!$B$36:$B$41,Assumptions!$B$36:$H$41))</f>
        <v>0</v>
      </c>
      <c r="ARC28">
        <f t="array" ref="ARC28">_xlfn.XLOOKUP(ARC$11,Assumptions!$B$35:$H$35,_xlfn.XLOOKUP($C28,Assumptions!$B$36:$B$41,Assumptions!$B$36:$H$41))</f>
        <v>0</v>
      </c>
      <c r="ARD28">
        <f t="array" ref="ARD28">_xlfn.XLOOKUP(ARD$11,Assumptions!$B$35:$H$35,_xlfn.XLOOKUP($C28,Assumptions!$B$36:$B$41,Assumptions!$B$36:$H$41))</f>
        <v>0</v>
      </c>
      <c r="ARE28">
        <f t="array" ref="ARE28">_xlfn.XLOOKUP(ARE$11,Assumptions!$B$35:$H$35,_xlfn.XLOOKUP($C28,Assumptions!$B$36:$B$41,Assumptions!$B$36:$H$41))</f>
        <v>0</v>
      </c>
      <c r="ARF28">
        <f t="array" ref="ARF28">_xlfn.XLOOKUP(ARF$11,Assumptions!$B$35:$H$35,_xlfn.XLOOKUP($C28,Assumptions!$B$36:$B$41,Assumptions!$B$36:$H$41))</f>
        <v>0</v>
      </c>
      <c r="ARG28">
        <f t="array" ref="ARG28">_xlfn.XLOOKUP(ARG$11,Assumptions!$B$35:$H$35,_xlfn.XLOOKUP($C28,Assumptions!$B$36:$B$41,Assumptions!$B$36:$H$41))</f>
        <v>0</v>
      </c>
      <c r="ARH28">
        <f t="array" ref="ARH28">_xlfn.XLOOKUP(ARH$11,Assumptions!$B$35:$H$35,_xlfn.XLOOKUP($C28,Assumptions!$B$36:$B$41,Assumptions!$B$36:$H$41))</f>
        <v>0</v>
      </c>
      <c r="ARI28">
        <f t="array" ref="ARI28">_xlfn.XLOOKUP(ARI$11,Assumptions!$B$35:$H$35,_xlfn.XLOOKUP($C28,Assumptions!$B$36:$B$41,Assumptions!$B$36:$H$41))</f>
        <v>0</v>
      </c>
      <c r="ARJ28">
        <f t="array" ref="ARJ28">_xlfn.XLOOKUP(ARJ$11,Assumptions!$B$35:$H$35,_xlfn.XLOOKUP($C28,Assumptions!$B$36:$B$41,Assumptions!$B$36:$H$41))</f>
        <v>0</v>
      </c>
      <c r="ARK28">
        <f t="array" ref="ARK28">_xlfn.XLOOKUP(ARK$11,Assumptions!$B$35:$H$35,_xlfn.XLOOKUP($C28,Assumptions!$B$36:$B$41,Assumptions!$B$36:$H$41))</f>
        <v>0</v>
      </c>
      <c r="ARL28">
        <f t="array" ref="ARL28">_xlfn.XLOOKUP(ARL$11,Assumptions!$B$35:$H$35,_xlfn.XLOOKUP($C28,Assumptions!$B$36:$B$41,Assumptions!$B$36:$H$41))</f>
        <v>0</v>
      </c>
      <c r="ARM28">
        <f t="array" ref="ARM28">_xlfn.XLOOKUP(ARM$11,Assumptions!$B$35:$H$35,_xlfn.XLOOKUP($C28,Assumptions!$B$36:$B$41,Assumptions!$B$36:$H$41))</f>
        <v>0</v>
      </c>
      <c r="ARN28">
        <f t="array" ref="ARN28">_xlfn.XLOOKUP(ARN$11,Assumptions!$B$35:$H$35,_xlfn.XLOOKUP($C28,Assumptions!$B$36:$B$41,Assumptions!$B$36:$H$41))</f>
        <v>0</v>
      </c>
      <c r="ARO28">
        <f t="array" ref="ARO28">_xlfn.XLOOKUP(ARO$11,Assumptions!$B$35:$H$35,_xlfn.XLOOKUP($C28,Assumptions!$B$36:$B$41,Assumptions!$B$36:$H$41))</f>
        <v>0</v>
      </c>
      <c r="ARP28">
        <f t="array" ref="ARP28">_xlfn.XLOOKUP(ARP$11,Assumptions!$B$35:$H$35,_xlfn.XLOOKUP($C28,Assumptions!$B$36:$B$41,Assumptions!$B$36:$H$41))</f>
        <v>0</v>
      </c>
      <c r="ARQ28">
        <f t="array" ref="ARQ28">_xlfn.XLOOKUP(ARQ$11,Assumptions!$B$35:$H$35,_xlfn.XLOOKUP($C28,Assumptions!$B$36:$B$41,Assumptions!$B$36:$H$41))</f>
        <v>0</v>
      </c>
      <c r="ARR28">
        <f t="array" ref="ARR28">_xlfn.XLOOKUP(ARR$11,Assumptions!$B$35:$H$35,_xlfn.XLOOKUP($C28,Assumptions!$B$36:$B$41,Assumptions!$B$36:$H$41))</f>
        <v>0</v>
      </c>
      <c r="ARS28">
        <f t="array" ref="ARS28">_xlfn.XLOOKUP(ARS$11,Assumptions!$B$35:$H$35,_xlfn.XLOOKUP($C28,Assumptions!$B$36:$B$41,Assumptions!$B$36:$H$41))</f>
        <v>0</v>
      </c>
      <c r="ART28">
        <f t="array" ref="ART28">_xlfn.XLOOKUP(ART$11,Assumptions!$B$35:$H$35,_xlfn.XLOOKUP($C28,Assumptions!$B$36:$B$41,Assumptions!$B$36:$H$41))</f>
        <v>0</v>
      </c>
      <c r="ARU28">
        <f t="array" ref="ARU28">_xlfn.XLOOKUP(ARU$11,Assumptions!$B$35:$H$35,_xlfn.XLOOKUP($C28,Assumptions!$B$36:$B$41,Assumptions!$B$36:$H$41))</f>
        <v>0</v>
      </c>
      <c r="ARV28">
        <f t="array" ref="ARV28">_xlfn.XLOOKUP(ARV$11,Assumptions!$B$35:$H$35,_xlfn.XLOOKUP($C28,Assumptions!$B$36:$B$41,Assumptions!$B$36:$H$41))</f>
        <v>0</v>
      </c>
      <c r="ARW28">
        <f t="array" ref="ARW28">_xlfn.XLOOKUP(ARW$11,Assumptions!$B$35:$H$35,_xlfn.XLOOKUP($C28,Assumptions!$B$36:$B$41,Assumptions!$B$36:$H$41))</f>
        <v>0</v>
      </c>
      <c r="ARX28">
        <f t="array" ref="ARX28">_xlfn.XLOOKUP(ARX$11,Assumptions!$B$35:$H$35,_xlfn.XLOOKUP($C28,Assumptions!$B$36:$B$41,Assumptions!$B$36:$H$41))</f>
        <v>0</v>
      </c>
      <c r="ARY28">
        <f t="array" ref="ARY28">_xlfn.XLOOKUP(ARY$11,Assumptions!$B$35:$H$35,_xlfn.XLOOKUP($C28,Assumptions!$B$36:$B$41,Assumptions!$B$36:$H$41))</f>
        <v>0</v>
      </c>
      <c r="ARZ28">
        <f t="array" ref="ARZ28">_xlfn.XLOOKUP(ARZ$11,Assumptions!$B$35:$H$35,_xlfn.XLOOKUP($C28,Assumptions!$B$36:$B$41,Assumptions!$B$36:$H$41))</f>
        <v>0</v>
      </c>
      <c r="ASA28">
        <f t="array" ref="ASA28">_xlfn.XLOOKUP(ASA$11,Assumptions!$B$35:$H$35,_xlfn.XLOOKUP($C28,Assumptions!$B$36:$B$41,Assumptions!$B$36:$H$41))</f>
        <v>0</v>
      </c>
      <c r="ASB28">
        <f t="array" ref="ASB28">_xlfn.XLOOKUP(ASB$11,Assumptions!$B$35:$H$35,_xlfn.XLOOKUP($C28,Assumptions!$B$36:$B$41,Assumptions!$B$36:$H$41))</f>
        <v>0</v>
      </c>
      <c r="ASC28">
        <f t="array" ref="ASC28">_xlfn.XLOOKUP(ASC$11,Assumptions!$B$35:$H$35,_xlfn.XLOOKUP($C28,Assumptions!$B$36:$B$41,Assumptions!$B$36:$H$41))</f>
        <v>0</v>
      </c>
      <c r="ASD28">
        <f t="array" ref="ASD28">_xlfn.XLOOKUP(ASD$11,Assumptions!$B$35:$H$35,_xlfn.XLOOKUP($C28,Assumptions!$B$36:$B$41,Assumptions!$B$36:$H$41))</f>
        <v>0</v>
      </c>
      <c r="ASE28">
        <f t="array" ref="ASE28">_xlfn.XLOOKUP(ASE$11,Assumptions!$B$35:$H$35,_xlfn.XLOOKUP($C28,Assumptions!$B$36:$B$41,Assumptions!$B$36:$H$41))</f>
        <v>0</v>
      </c>
      <c r="ASF28">
        <f t="array" ref="ASF28">_xlfn.XLOOKUP(ASF$11,Assumptions!$B$35:$H$35,_xlfn.XLOOKUP($C28,Assumptions!$B$36:$B$41,Assumptions!$B$36:$H$41))</f>
        <v>0</v>
      </c>
      <c r="ASG28">
        <f t="array" ref="ASG28">_xlfn.XLOOKUP(ASG$11,Assumptions!$B$35:$H$35,_xlfn.XLOOKUP($C28,Assumptions!$B$36:$B$41,Assumptions!$B$36:$H$41))</f>
        <v>0</v>
      </c>
      <c r="ASH28">
        <f t="array" ref="ASH28">_xlfn.XLOOKUP(ASH$11,Assumptions!$B$35:$H$35,_xlfn.XLOOKUP($C28,Assumptions!$B$36:$B$41,Assumptions!$B$36:$H$41))</f>
        <v>0</v>
      </c>
      <c r="ASI28">
        <f t="array" ref="ASI28">_xlfn.XLOOKUP(ASI$11,Assumptions!$B$35:$H$35,_xlfn.XLOOKUP($C28,Assumptions!$B$36:$B$41,Assumptions!$B$36:$H$41))</f>
        <v>0</v>
      </c>
      <c r="ASJ28">
        <f t="array" ref="ASJ28">_xlfn.XLOOKUP(ASJ$11,Assumptions!$B$35:$H$35,_xlfn.XLOOKUP($C28,Assumptions!$B$36:$B$41,Assumptions!$B$36:$H$41))</f>
        <v>0</v>
      </c>
      <c r="ASK28">
        <f t="array" ref="ASK28">_xlfn.XLOOKUP(ASK$11,Assumptions!$B$35:$H$35,_xlfn.XLOOKUP($C28,Assumptions!$B$36:$B$41,Assumptions!$B$36:$H$41))</f>
        <v>0</v>
      </c>
      <c r="ASL28">
        <f t="array" ref="ASL28">_xlfn.XLOOKUP(ASL$11,Assumptions!$B$35:$H$35,_xlfn.XLOOKUP($C28,Assumptions!$B$36:$B$41,Assumptions!$B$36:$H$41))</f>
        <v>0</v>
      </c>
      <c r="ASM28">
        <f t="array" ref="ASM28">_xlfn.XLOOKUP(ASM$11,Assumptions!$B$35:$H$35,_xlfn.XLOOKUP($C28,Assumptions!$B$36:$B$41,Assumptions!$B$36:$H$41))</f>
        <v>0</v>
      </c>
      <c r="ASN28">
        <f t="array" ref="ASN28">_xlfn.XLOOKUP(ASN$11,Assumptions!$B$35:$H$35,_xlfn.XLOOKUP($C28,Assumptions!$B$36:$B$41,Assumptions!$B$36:$H$41))</f>
        <v>0</v>
      </c>
      <c r="ASO28">
        <f t="array" ref="ASO28">_xlfn.XLOOKUP(ASO$11,Assumptions!$B$35:$H$35,_xlfn.XLOOKUP($C28,Assumptions!$B$36:$B$41,Assumptions!$B$36:$H$41))</f>
        <v>0</v>
      </c>
      <c r="ASP28">
        <f t="array" ref="ASP28">_xlfn.XLOOKUP(ASP$11,Assumptions!$B$35:$H$35,_xlfn.XLOOKUP($C28,Assumptions!$B$36:$B$41,Assumptions!$B$36:$H$41))</f>
        <v>0</v>
      </c>
      <c r="ASQ28">
        <f t="array" ref="ASQ28">_xlfn.XLOOKUP(ASQ$11,Assumptions!$B$35:$H$35,_xlfn.XLOOKUP($C28,Assumptions!$B$36:$B$41,Assumptions!$B$36:$H$41))</f>
        <v>0</v>
      </c>
      <c r="ASR28">
        <f t="array" ref="ASR28">_xlfn.XLOOKUP(ASR$11,Assumptions!$B$35:$H$35,_xlfn.XLOOKUP($C28,Assumptions!$B$36:$B$41,Assumptions!$B$36:$H$41))</f>
        <v>0</v>
      </c>
      <c r="ASS28">
        <f t="array" ref="ASS28">_xlfn.XLOOKUP(ASS$11,Assumptions!$B$35:$H$35,_xlfn.XLOOKUP($C28,Assumptions!$B$36:$B$41,Assumptions!$B$36:$H$41))</f>
        <v>0</v>
      </c>
      <c r="AST28">
        <f t="array" ref="AST28">_xlfn.XLOOKUP(AST$11,Assumptions!$B$35:$H$35,_xlfn.XLOOKUP($C28,Assumptions!$B$36:$B$41,Assumptions!$B$36:$H$41))</f>
        <v>0</v>
      </c>
      <c r="ASU28">
        <f t="array" ref="ASU28">_xlfn.XLOOKUP(ASU$11,Assumptions!$B$35:$H$35,_xlfn.XLOOKUP($C28,Assumptions!$B$36:$B$41,Assumptions!$B$36:$H$41))</f>
        <v>0</v>
      </c>
      <c r="ASV28">
        <f t="array" ref="ASV28">_xlfn.XLOOKUP(ASV$11,Assumptions!$B$35:$H$35,_xlfn.XLOOKUP($C28,Assumptions!$B$36:$B$41,Assumptions!$B$36:$H$41))</f>
        <v>0</v>
      </c>
      <c r="ASW28">
        <f t="array" ref="ASW28">_xlfn.XLOOKUP(ASW$11,Assumptions!$B$35:$H$35,_xlfn.XLOOKUP($C28,Assumptions!$B$36:$B$41,Assumptions!$B$36:$H$41))</f>
        <v>0</v>
      </c>
      <c r="ASX28">
        <f t="array" ref="ASX28">_xlfn.XLOOKUP(ASX$11,Assumptions!$B$35:$H$35,_xlfn.XLOOKUP($C28,Assumptions!$B$36:$B$41,Assumptions!$B$36:$H$41))</f>
        <v>0</v>
      </c>
      <c r="ASY28">
        <f t="array" ref="ASY28">_xlfn.XLOOKUP(ASY$11,Assumptions!$B$35:$H$35,_xlfn.XLOOKUP($C28,Assumptions!$B$36:$B$41,Assumptions!$B$36:$H$41))</f>
        <v>0</v>
      </c>
      <c r="ASZ28">
        <f t="array" ref="ASZ28">_xlfn.XLOOKUP(ASZ$11,Assumptions!$B$35:$H$35,_xlfn.XLOOKUP($C28,Assumptions!$B$36:$B$41,Assumptions!$B$36:$H$41))</f>
        <v>0</v>
      </c>
      <c r="ATA28">
        <f t="array" ref="ATA28">_xlfn.XLOOKUP(ATA$11,Assumptions!$B$35:$H$35,_xlfn.XLOOKUP($C28,Assumptions!$B$36:$B$41,Assumptions!$B$36:$H$41))</f>
        <v>0</v>
      </c>
      <c r="ATB28">
        <f t="array" ref="ATB28">_xlfn.XLOOKUP(ATB$11,Assumptions!$B$35:$H$35,_xlfn.XLOOKUP($C28,Assumptions!$B$36:$B$41,Assumptions!$B$36:$H$41))</f>
        <v>0</v>
      </c>
      <c r="ATC28">
        <f t="array" ref="ATC28">_xlfn.XLOOKUP(ATC$11,Assumptions!$B$35:$H$35,_xlfn.XLOOKUP($C28,Assumptions!$B$36:$B$41,Assumptions!$B$36:$H$41))</f>
        <v>0</v>
      </c>
      <c r="ATD28">
        <f t="array" ref="ATD28">_xlfn.XLOOKUP(ATD$11,Assumptions!$B$35:$H$35,_xlfn.XLOOKUP($C28,Assumptions!$B$36:$B$41,Assumptions!$B$36:$H$41))</f>
        <v>0</v>
      </c>
      <c r="ATE28">
        <f t="array" ref="ATE28">_xlfn.XLOOKUP(ATE$11,Assumptions!$B$35:$H$35,_xlfn.XLOOKUP($C28,Assumptions!$B$36:$B$41,Assumptions!$B$36:$H$41))</f>
        <v>0</v>
      </c>
      <c r="ATF28">
        <f t="array" ref="ATF28">_xlfn.XLOOKUP(ATF$11,Assumptions!$B$35:$H$35,_xlfn.XLOOKUP($C28,Assumptions!$B$36:$B$41,Assumptions!$B$36:$H$41))</f>
        <v>0</v>
      </c>
      <c r="ATG28">
        <f t="array" ref="ATG28">_xlfn.XLOOKUP(ATG$11,Assumptions!$B$35:$H$35,_xlfn.XLOOKUP($C28,Assumptions!$B$36:$B$41,Assumptions!$B$36:$H$41))</f>
        <v>0</v>
      </c>
      <c r="ATH28">
        <f t="array" ref="ATH28">_xlfn.XLOOKUP(ATH$11,Assumptions!$B$35:$H$35,_xlfn.XLOOKUP($C28,Assumptions!$B$36:$B$41,Assumptions!$B$36:$H$41))</f>
        <v>0</v>
      </c>
      <c r="ATI28">
        <f t="array" ref="ATI28">_xlfn.XLOOKUP(ATI$11,Assumptions!$B$35:$H$35,_xlfn.XLOOKUP($C28,Assumptions!$B$36:$B$41,Assumptions!$B$36:$H$41))</f>
        <v>0</v>
      </c>
      <c r="ATJ28">
        <f t="array" ref="ATJ28">_xlfn.XLOOKUP(ATJ$11,Assumptions!$B$35:$H$35,_xlfn.XLOOKUP($C28,Assumptions!$B$36:$B$41,Assumptions!$B$36:$H$41))</f>
        <v>0</v>
      </c>
      <c r="ATK28">
        <f t="array" ref="ATK28">_xlfn.XLOOKUP(ATK$11,Assumptions!$B$35:$H$35,_xlfn.XLOOKUP($C28,Assumptions!$B$36:$B$41,Assumptions!$B$36:$H$41))</f>
        <v>0</v>
      </c>
      <c r="ATL28">
        <f t="array" ref="ATL28">_xlfn.XLOOKUP(ATL$11,Assumptions!$B$35:$H$35,_xlfn.XLOOKUP($C28,Assumptions!$B$36:$B$41,Assumptions!$B$36:$H$41))</f>
        <v>0</v>
      </c>
      <c r="ATM28">
        <f t="array" ref="ATM28">_xlfn.XLOOKUP(ATM$11,Assumptions!$B$35:$H$35,_xlfn.XLOOKUP($C28,Assumptions!$B$36:$B$41,Assumptions!$B$36:$H$41))</f>
        <v>0</v>
      </c>
      <c r="ATN28">
        <f t="array" ref="ATN28">_xlfn.XLOOKUP(ATN$11,Assumptions!$B$35:$H$35,_xlfn.XLOOKUP($C28,Assumptions!$B$36:$B$41,Assumptions!$B$36:$H$41))</f>
        <v>0</v>
      </c>
      <c r="ATO28">
        <f t="array" ref="ATO28">_xlfn.XLOOKUP(ATO$11,Assumptions!$B$35:$H$35,_xlfn.XLOOKUP($C28,Assumptions!$B$36:$B$41,Assumptions!$B$36:$H$41))</f>
        <v>0</v>
      </c>
      <c r="ATP28">
        <f t="array" ref="ATP28">_xlfn.XLOOKUP(ATP$11,Assumptions!$B$35:$H$35,_xlfn.XLOOKUP($C28,Assumptions!$B$36:$B$41,Assumptions!$B$36:$H$41))</f>
        <v>0</v>
      </c>
      <c r="ATQ28">
        <f t="array" ref="ATQ28">_xlfn.XLOOKUP(ATQ$11,Assumptions!$B$35:$H$35,_xlfn.XLOOKUP($C28,Assumptions!$B$36:$B$41,Assumptions!$B$36:$H$41))</f>
        <v>0</v>
      </c>
      <c r="ATR28">
        <f t="array" ref="ATR28">_xlfn.XLOOKUP(ATR$11,Assumptions!$B$35:$H$35,_xlfn.XLOOKUP($C28,Assumptions!$B$36:$B$41,Assumptions!$B$36:$H$41))</f>
        <v>0</v>
      </c>
      <c r="ATS28">
        <f t="array" ref="ATS28">_xlfn.XLOOKUP(ATS$11,Assumptions!$B$35:$H$35,_xlfn.XLOOKUP($C28,Assumptions!$B$36:$B$41,Assumptions!$B$36:$H$41))</f>
        <v>0</v>
      </c>
      <c r="ATT28">
        <f t="array" ref="ATT28">_xlfn.XLOOKUP(ATT$11,Assumptions!$B$35:$H$35,_xlfn.XLOOKUP($C28,Assumptions!$B$36:$B$41,Assumptions!$B$36:$H$41))</f>
        <v>0</v>
      </c>
      <c r="ATU28">
        <f t="array" ref="ATU28">_xlfn.XLOOKUP(ATU$11,Assumptions!$B$35:$H$35,_xlfn.XLOOKUP($C28,Assumptions!$B$36:$B$41,Assumptions!$B$36:$H$41))</f>
        <v>0</v>
      </c>
      <c r="ATV28">
        <f t="array" ref="ATV28">_xlfn.XLOOKUP(ATV$11,Assumptions!$B$35:$H$35,_xlfn.XLOOKUP($C28,Assumptions!$B$36:$B$41,Assumptions!$B$36:$H$41))</f>
        <v>0</v>
      </c>
      <c r="ATW28">
        <f t="array" ref="ATW28">_xlfn.XLOOKUP(ATW$11,Assumptions!$B$35:$H$35,_xlfn.XLOOKUP($C28,Assumptions!$B$36:$B$41,Assumptions!$B$36:$H$41))</f>
        <v>0</v>
      </c>
      <c r="ATX28">
        <f t="array" ref="ATX28">_xlfn.XLOOKUP(ATX$11,Assumptions!$B$35:$H$35,_xlfn.XLOOKUP($C28,Assumptions!$B$36:$B$41,Assumptions!$B$36:$H$41))</f>
        <v>0</v>
      </c>
      <c r="ATY28">
        <f t="array" ref="ATY28">_xlfn.XLOOKUP(ATY$11,Assumptions!$B$35:$H$35,_xlfn.XLOOKUP($C28,Assumptions!$B$36:$B$41,Assumptions!$B$36:$H$41))</f>
        <v>0</v>
      </c>
      <c r="ATZ28">
        <f t="array" ref="ATZ28">_xlfn.XLOOKUP(ATZ$11,Assumptions!$B$35:$H$35,_xlfn.XLOOKUP($C28,Assumptions!$B$36:$B$41,Assumptions!$B$36:$H$41))</f>
        <v>0</v>
      </c>
      <c r="AUA28">
        <f t="array" ref="AUA28">_xlfn.XLOOKUP(AUA$11,Assumptions!$B$35:$H$35,_xlfn.XLOOKUP($C28,Assumptions!$B$36:$B$41,Assumptions!$B$36:$H$41))</f>
        <v>0</v>
      </c>
      <c r="AUB28">
        <f t="array" ref="AUB28">_xlfn.XLOOKUP(AUB$11,Assumptions!$B$35:$H$35,_xlfn.XLOOKUP($C28,Assumptions!$B$36:$B$41,Assumptions!$B$36:$H$41))</f>
        <v>0</v>
      </c>
      <c r="AUC28">
        <f t="array" ref="AUC28">_xlfn.XLOOKUP(AUC$11,Assumptions!$B$35:$H$35,_xlfn.XLOOKUP($C28,Assumptions!$B$36:$B$41,Assumptions!$B$36:$H$41))</f>
        <v>0</v>
      </c>
      <c r="AUD28">
        <f t="array" ref="AUD28">_xlfn.XLOOKUP(AUD$11,Assumptions!$B$35:$H$35,_xlfn.XLOOKUP($C28,Assumptions!$B$36:$B$41,Assumptions!$B$36:$H$41))</f>
        <v>0</v>
      </c>
      <c r="AUE28">
        <f t="array" ref="AUE28">_xlfn.XLOOKUP(AUE$11,Assumptions!$B$35:$H$35,_xlfn.XLOOKUP($C28,Assumptions!$B$36:$B$41,Assumptions!$B$36:$H$41))</f>
        <v>0</v>
      </c>
      <c r="AUF28">
        <f t="array" ref="AUF28">_xlfn.XLOOKUP(AUF$11,Assumptions!$B$35:$H$35,_xlfn.XLOOKUP($C28,Assumptions!$B$36:$B$41,Assumptions!$B$36:$H$41))</f>
        <v>0</v>
      </c>
      <c r="AUG28">
        <f t="array" ref="AUG28">_xlfn.XLOOKUP(AUG$11,Assumptions!$B$35:$H$35,_xlfn.XLOOKUP($C28,Assumptions!$B$36:$B$41,Assumptions!$B$36:$H$41))</f>
        <v>0</v>
      </c>
      <c r="AUH28">
        <f t="array" ref="AUH28">_xlfn.XLOOKUP(AUH$11,Assumptions!$B$35:$H$35,_xlfn.XLOOKUP($C28,Assumptions!$B$36:$B$41,Assumptions!$B$36:$H$41))</f>
        <v>0</v>
      </c>
      <c r="AUI28">
        <f t="array" ref="AUI28">_xlfn.XLOOKUP(AUI$11,Assumptions!$B$35:$H$35,_xlfn.XLOOKUP($C28,Assumptions!$B$36:$B$41,Assumptions!$B$36:$H$41))</f>
        <v>0</v>
      </c>
      <c r="AUJ28">
        <f t="array" ref="AUJ28">_xlfn.XLOOKUP(AUJ$11,Assumptions!$B$35:$H$35,_xlfn.XLOOKUP($C28,Assumptions!$B$36:$B$41,Assumptions!$B$36:$H$41))</f>
        <v>0</v>
      </c>
      <c r="AUK28">
        <f t="array" ref="AUK28">_xlfn.XLOOKUP(AUK$11,Assumptions!$B$35:$H$35,_xlfn.XLOOKUP($C28,Assumptions!$B$36:$B$41,Assumptions!$B$36:$H$41))</f>
        <v>0</v>
      </c>
      <c r="AUL28">
        <f t="array" ref="AUL28">_xlfn.XLOOKUP(AUL$11,Assumptions!$B$35:$H$35,_xlfn.XLOOKUP($C28,Assumptions!$B$36:$B$41,Assumptions!$B$36:$H$41))</f>
        <v>0</v>
      </c>
      <c r="AUM28">
        <f t="array" ref="AUM28">_xlfn.XLOOKUP(AUM$11,Assumptions!$B$35:$H$35,_xlfn.XLOOKUP($C28,Assumptions!$B$36:$B$41,Assumptions!$B$36:$H$41))</f>
        <v>0</v>
      </c>
      <c r="AUN28">
        <f t="array" ref="AUN28">_xlfn.XLOOKUP(AUN$11,Assumptions!$B$35:$H$35,_xlfn.XLOOKUP($C28,Assumptions!$B$36:$B$41,Assumptions!$B$36:$H$41))</f>
        <v>0</v>
      </c>
      <c r="AUO28">
        <f t="array" ref="AUO28">_xlfn.XLOOKUP(AUO$11,Assumptions!$B$35:$H$35,_xlfn.XLOOKUP($C28,Assumptions!$B$36:$B$41,Assumptions!$B$36:$H$41))</f>
        <v>0</v>
      </c>
      <c r="AUP28">
        <f t="array" ref="AUP28">_xlfn.XLOOKUP(AUP$11,Assumptions!$B$35:$H$35,_xlfn.XLOOKUP($C28,Assumptions!$B$36:$B$41,Assumptions!$B$36:$H$41))</f>
        <v>0</v>
      </c>
      <c r="AUQ28">
        <f t="array" ref="AUQ28">_xlfn.XLOOKUP(AUQ$11,Assumptions!$B$35:$H$35,_xlfn.XLOOKUP($C28,Assumptions!$B$36:$B$41,Assumptions!$B$36:$H$41))</f>
        <v>0</v>
      </c>
      <c r="AUR28">
        <f t="array" ref="AUR28">_xlfn.XLOOKUP(AUR$11,Assumptions!$B$35:$H$35,_xlfn.XLOOKUP($C28,Assumptions!$B$36:$B$41,Assumptions!$B$36:$H$41))</f>
        <v>0</v>
      </c>
      <c r="AUS28">
        <f t="array" ref="AUS28">_xlfn.XLOOKUP(AUS$11,Assumptions!$B$35:$H$35,_xlfn.XLOOKUP($C28,Assumptions!$B$36:$B$41,Assumptions!$B$36:$H$41))</f>
        <v>0</v>
      </c>
      <c r="AUT28">
        <f t="array" ref="AUT28">_xlfn.XLOOKUP(AUT$11,Assumptions!$B$35:$H$35,_xlfn.XLOOKUP($C28,Assumptions!$B$36:$B$41,Assumptions!$B$36:$H$41))</f>
        <v>0</v>
      </c>
      <c r="AUU28">
        <f t="array" ref="AUU28">_xlfn.XLOOKUP(AUU$11,Assumptions!$B$35:$H$35,_xlfn.XLOOKUP($C28,Assumptions!$B$36:$B$41,Assumptions!$B$36:$H$41))</f>
        <v>0</v>
      </c>
      <c r="AUV28">
        <f t="array" ref="AUV28">_xlfn.XLOOKUP(AUV$11,Assumptions!$B$35:$H$35,_xlfn.XLOOKUP($C28,Assumptions!$B$36:$B$41,Assumptions!$B$36:$H$41))</f>
        <v>0</v>
      </c>
      <c r="AUW28">
        <f t="array" ref="AUW28">_xlfn.XLOOKUP(AUW$11,Assumptions!$B$35:$H$35,_xlfn.XLOOKUP($C28,Assumptions!$B$36:$B$41,Assumptions!$B$36:$H$41))</f>
        <v>0</v>
      </c>
      <c r="AUX28">
        <f t="array" ref="AUX28">_xlfn.XLOOKUP(AUX$11,Assumptions!$B$35:$H$35,_xlfn.XLOOKUP($C28,Assumptions!$B$36:$B$41,Assumptions!$B$36:$H$41))</f>
        <v>0</v>
      </c>
      <c r="AUY28">
        <f t="array" ref="AUY28">_xlfn.XLOOKUP(AUY$11,Assumptions!$B$35:$H$35,_xlfn.XLOOKUP($C28,Assumptions!$B$36:$B$41,Assumptions!$B$36:$H$41))</f>
        <v>0</v>
      </c>
      <c r="AUZ28">
        <f t="array" ref="AUZ28">_xlfn.XLOOKUP(AUZ$11,Assumptions!$B$35:$H$35,_xlfn.XLOOKUP($C28,Assumptions!$B$36:$B$41,Assumptions!$B$36:$H$41))</f>
        <v>0</v>
      </c>
      <c r="AVA28">
        <f t="array" ref="AVA28">_xlfn.XLOOKUP(AVA$11,Assumptions!$B$35:$H$35,_xlfn.XLOOKUP($C28,Assumptions!$B$36:$B$41,Assumptions!$B$36:$H$41))</f>
        <v>0</v>
      </c>
      <c r="AVB28">
        <f t="array" ref="AVB28">_xlfn.XLOOKUP(AVB$11,Assumptions!$B$35:$H$35,_xlfn.XLOOKUP($C28,Assumptions!$B$36:$B$41,Assumptions!$B$36:$H$41))</f>
        <v>0</v>
      </c>
      <c r="AVC28">
        <f t="array" ref="AVC28">_xlfn.XLOOKUP(AVC$11,Assumptions!$B$35:$H$35,_xlfn.XLOOKUP($C28,Assumptions!$B$36:$B$41,Assumptions!$B$36:$H$41))</f>
        <v>0</v>
      </c>
      <c r="AVD28">
        <f t="array" ref="AVD28">_xlfn.XLOOKUP(AVD$11,Assumptions!$B$35:$H$35,_xlfn.XLOOKUP($C28,Assumptions!$B$36:$B$41,Assumptions!$B$36:$H$41))</f>
        <v>0</v>
      </c>
      <c r="AVE28">
        <f t="array" ref="AVE28">_xlfn.XLOOKUP(AVE$11,Assumptions!$B$35:$H$35,_xlfn.XLOOKUP($C28,Assumptions!$B$36:$B$41,Assumptions!$B$36:$H$41))</f>
        <v>0</v>
      </c>
      <c r="AVF28">
        <f t="array" ref="AVF28">_xlfn.XLOOKUP(AVF$11,Assumptions!$B$35:$H$35,_xlfn.XLOOKUP($C28,Assumptions!$B$36:$B$41,Assumptions!$B$36:$H$41))</f>
        <v>0</v>
      </c>
      <c r="AVG28">
        <f t="array" ref="AVG28">_xlfn.XLOOKUP(AVG$11,Assumptions!$B$35:$H$35,_xlfn.XLOOKUP($C28,Assumptions!$B$36:$B$41,Assumptions!$B$36:$H$41))</f>
        <v>0</v>
      </c>
      <c r="AVH28">
        <f t="array" ref="AVH28">_xlfn.XLOOKUP(AVH$11,Assumptions!$B$35:$H$35,_xlfn.XLOOKUP($C28,Assumptions!$B$36:$B$41,Assumptions!$B$36:$H$41))</f>
        <v>0</v>
      </c>
      <c r="AVI28">
        <f t="array" ref="AVI28">_xlfn.XLOOKUP(AVI$11,Assumptions!$B$35:$H$35,_xlfn.XLOOKUP($C28,Assumptions!$B$36:$B$41,Assumptions!$B$36:$H$41))</f>
        <v>0</v>
      </c>
      <c r="AVJ28">
        <f t="array" ref="AVJ28">_xlfn.XLOOKUP(AVJ$11,Assumptions!$B$35:$H$35,_xlfn.XLOOKUP($C28,Assumptions!$B$36:$B$41,Assumptions!$B$36:$H$41))</f>
        <v>0</v>
      </c>
      <c r="AVK28">
        <f t="array" ref="AVK28">_xlfn.XLOOKUP(AVK$11,Assumptions!$B$35:$H$35,_xlfn.XLOOKUP($C28,Assumptions!$B$36:$B$41,Assumptions!$B$36:$H$41))</f>
        <v>0</v>
      </c>
      <c r="AVL28">
        <f t="array" ref="AVL28">_xlfn.XLOOKUP(AVL$11,Assumptions!$B$35:$H$35,_xlfn.XLOOKUP($C28,Assumptions!$B$36:$B$41,Assumptions!$B$36:$H$41))</f>
        <v>0</v>
      </c>
      <c r="AVM28">
        <f t="array" ref="AVM28">_xlfn.XLOOKUP(AVM$11,Assumptions!$B$35:$H$35,_xlfn.XLOOKUP($C28,Assumptions!$B$36:$B$41,Assumptions!$B$36:$H$41))</f>
        <v>0</v>
      </c>
      <c r="AVN28">
        <f t="array" ref="AVN28">_xlfn.XLOOKUP(AVN$11,Assumptions!$B$35:$H$35,_xlfn.XLOOKUP($C28,Assumptions!$B$36:$B$41,Assumptions!$B$36:$H$41))</f>
        <v>0</v>
      </c>
      <c r="AVO28">
        <f t="array" ref="AVO28">_xlfn.XLOOKUP(AVO$11,Assumptions!$B$35:$H$35,_xlfn.XLOOKUP($C28,Assumptions!$B$36:$B$41,Assumptions!$B$36:$H$41))</f>
        <v>0</v>
      </c>
      <c r="AVP28">
        <f t="array" ref="AVP28">_xlfn.XLOOKUP(AVP$11,Assumptions!$B$35:$H$35,_xlfn.XLOOKUP($C28,Assumptions!$B$36:$B$41,Assumptions!$B$36:$H$41))</f>
        <v>0</v>
      </c>
      <c r="AVQ28">
        <f t="array" ref="AVQ28">_xlfn.XLOOKUP(AVQ$11,Assumptions!$B$35:$H$35,_xlfn.XLOOKUP($C28,Assumptions!$B$36:$B$41,Assumptions!$B$36:$H$41))</f>
        <v>0</v>
      </c>
      <c r="AVR28">
        <f t="array" ref="AVR28">_xlfn.XLOOKUP(AVR$11,Assumptions!$B$35:$H$35,_xlfn.XLOOKUP($C28,Assumptions!$B$36:$B$41,Assumptions!$B$36:$H$41))</f>
        <v>0</v>
      </c>
      <c r="AVS28">
        <f t="array" ref="AVS28">_xlfn.XLOOKUP(AVS$11,Assumptions!$B$35:$H$35,_xlfn.XLOOKUP($C28,Assumptions!$B$36:$B$41,Assumptions!$B$36:$H$41))</f>
        <v>0</v>
      </c>
      <c r="AVT28">
        <f t="array" ref="AVT28">_xlfn.XLOOKUP(AVT$11,Assumptions!$B$35:$H$35,_xlfn.XLOOKUP($C28,Assumptions!$B$36:$B$41,Assumptions!$B$36:$H$41))</f>
        <v>0</v>
      </c>
      <c r="AVU28">
        <f t="array" ref="AVU28">_xlfn.XLOOKUP(AVU$11,Assumptions!$B$35:$H$35,_xlfn.XLOOKUP($C28,Assumptions!$B$36:$B$41,Assumptions!$B$36:$H$41))</f>
        <v>0</v>
      </c>
      <c r="AVV28">
        <f t="array" ref="AVV28">_xlfn.XLOOKUP(AVV$11,Assumptions!$B$35:$H$35,_xlfn.XLOOKUP($C28,Assumptions!$B$36:$B$41,Assumptions!$B$36:$H$41))</f>
        <v>0</v>
      </c>
      <c r="AVW28">
        <f t="array" ref="AVW28">_xlfn.XLOOKUP(AVW$11,Assumptions!$B$35:$H$35,_xlfn.XLOOKUP($C28,Assumptions!$B$36:$B$41,Assumptions!$B$36:$H$41))</f>
        <v>0</v>
      </c>
      <c r="AVX28">
        <f t="array" ref="AVX28">_xlfn.XLOOKUP(AVX$11,Assumptions!$B$35:$H$35,_xlfn.XLOOKUP($C28,Assumptions!$B$36:$B$41,Assumptions!$B$36:$H$41))</f>
        <v>0</v>
      </c>
      <c r="AVY28">
        <f t="array" ref="AVY28">_xlfn.XLOOKUP(AVY$11,Assumptions!$B$35:$H$35,_xlfn.XLOOKUP($C28,Assumptions!$B$36:$B$41,Assumptions!$B$36:$H$41))</f>
        <v>0</v>
      </c>
      <c r="AVZ28">
        <f t="array" ref="AVZ28">_xlfn.XLOOKUP(AVZ$11,Assumptions!$B$35:$H$35,_xlfn.XLOOKUP($C28,Assumptions!$B$36:$B$41,Assumptions!$B$36:$H$41))</f>
        <v>0</v>
      </c>
      <c r="AWA28">
        <f t="array" ref="AWA28">_xlfn.XLOOKUP(AWA$11,Assumptions!$B$35:$H$35,_xlfn.XLOOKUP($C28,Assumptions!$B$36:$B$41,Assumptions!$B$36:$H$41))</f>
        <v>0</v>
      </c>
      <c r="AWB28">
        <f t="array" ref="AWB28">_xlfn.XLOOKUP(AWB$11,Assumptions!$B$35:$H$35,_xlfn.XLOOKUP($C28,Assumptions!$B$36:$B$41,Assumptions!$B$36:$H$41))</f>
        <v>0</v>
      </c>
      <c r="AWC28">
        <f t="array" ref="AWC28">_xlfn.XLOOKUP(AWC$11,Assumptions!$B$35:$H$35,_xlfn.XLOOKUP($C28,Assumptions!$B$36:$B$41,Assumptions!$B$36:$H$41))</f>
        <v>0</v>
      </c>
      <c r="AWD28">
        <f t="array" ref="AWD28">_xlfn.XLOOKUP(AWD$11,Assumptions!$B$35:$H$35,_xlfn.XLOOKUP($C28,Assumptions!$B$36:$B$41,Assumptions!$B$36:$H$41))</f>
        <v>0</v>
      </c>
      <c r="AWE28">
        <f t="array" ref="AWE28">_xlfn.XLOOKUP(AWE$11,Assumptions!$B$35:$H$35,_xlfn.XLOOKUP($C28,Assumptions!$B$36:$B$41,Assumptions!$B$36:$H$41))</f>
        <v>0</v>
      </c>
      <c r="AWF28">
        <f t="array" ref="AWF28">_xlfn.XLOOKUP(AWF$11,Assumptions!$B$35:$H$35,_xlfn.XLOOKUP($C28,Assumptions!$B$36:$B$41,Assumptions!$B$36:$H$41))</f>
        <v>0</v>
      </c>
      <c r="AWG28">
        <f t="array" ref="AWG28">_xlfn.XLOOKUP(AWG$11,Assumptions!$B$35:$H$35,_xlfn.XLOOKUP($C28,Assumptions!$B$36:$B$41,Assumptions!$B$36:$H$41))</f>
        <v>0</v>
      </c>
      <c r="AWH28">
        <f t="array" ref="AWH28">_xlfn.XLOOKUP(AWH$11,Assumptions!$B$35:$H$35,_xlfn.XLOOKUP($C28,Assumptions!$B$36:$B$41,Assumptions!$B$36:$H$41))</f>
        <v>0</v>
      </c>
      <c r="AWI28">
        <f t="array" ref="AWI28">_xlfn.XLOOKUP(AWI$11,Assumptions!$B$35:$H$35,_xlfn.XLOOKUP($C28,Assumptions!$B$36:$B$41,Assumptions!$B$36:$H$41))</f>
        <v>0</v>
      </c>
      <c r="AWJ28">
        <f t="array" ref="AWJ28">_xlfn.XLOOKUP(AWJ$11,Assumptions!$B$35:$H$35,_xlfn.XLOOKUP($C28,Assumptions!$B$36:$B$41,Assumptions!$B$36:$H$41))</f>
        <v>0</v>
      </c>
      <c r="AWK28">
        <f t="array" ref="AWK28">_xlfn.XLOOKUP(AWK$11,Assumptions!$B$35:$H$35,_xlfn.XLOOKUP($C28,Assumptions!$B$36:$B$41,Assumptions!$B$36:$H$41))</f>
        <v>0</v>
      </c>
      <c r="AWL28">
        <f t="array" ref="AWL28">_xlfn.XLOOKUP(AWL$11,Assumptions!$B$35:$H$35,_xlfn.XLOOKUP($C28,Assumptions!$B$36:$B$41,Assumptions!$B$36:$H$41))</f>
        <v>0</v>
      </c>
      <c r="AWM28">
        <f t="array" ref="AWM28">_xlfn.XLOOKUP(AWM$11,Assumptions!$B$35:$H$35,_xlfn.XLOOKUP($C28,Assumptions!$B$36:$B$41,Assumptions!$B$36:$H$41))</f>
        <v>0</v>
      </c>
      <c r="AWN28">
        <f t="array" ref="AWN28">_xlfn.XLOOKUP(AWN$11,Assumptions!$B$35:$H$35,_xlfn.XLOOKUP($C28,Assumptions!$B$36:$B$41,Assumptions!$B$36:$H$41))</f>
        <v>0</v>
      </c>
      <c r="AWO28">
        <f t="array" ref="AWO28">_xlfn.XLOOKUP(AWO$11,Assumptions!$B$35:$H$35,_xlfn.XLOOKUP($C28,Assumptions!$B$36:$B$41,Assumptions!$B$36:$H$41))</f>
        <v>0</v>
      </c>
      <c r="AWP28">
        <f t="array" ref="AWP28">_xlfn.XLOOKUP(AWP$11,Assumptions!$B$35:$H$35,_xlfn.XLOOKUP($C28,Assumptions!$B$36:$B$41,Assumptions!$B$36:$H$41))</f>
        <v>0</v>
      </c>
      <c r="AWQ28">
        <f t="array" ref="AWQ28">_xlfn.XLOOKUP(AWQ$11,Assumptions!$B$35:$H$35,_xlfn.XLOOKUP($C28,Assumptions!$B$36:$B$41,Assumptions!$B$36:$H$41))</f>
        <v>0</v>
      </c>
      <c r="AWR28">
        <f t="array" ref="AWR28">_xlfn.XLOOKUP(AWR$11,Assumptions!$B$35:$H$35,_xlfn.XLOOKUP($C28,Assumptions!$B$36:$B$41,Assumptions!$B$36:$H$41))</f>
        <v>0</v>
      </c>
      <c r="AWS28">
        <f t="array" ref="AWS28">_xlfn.XLOOKUP(AWS$11,Assumptions!$B$35:$H$35,_xlfn.XLOOKUP($C28,Assumptions!$B$36:$B$41,Assumptions!$B$36:$H$41))</f>
        <v>0</v>
      </c>
      <c r="AWT28">
        <f t="array" ref="AWT28">_xlfn.XLOOKUP(AWT$11,Assumptions!$B$35:$H$35,_xlfn.XLOOKUP($C28,Assumptions!$B$36:$B$41,Assumptions!$B$36:$H$41))</f>
        <v>0</v>
      </c>
      <c r="AWU28">
        <f t="array" ref="AWU28">_xlfn.XLOOKUP(AWU$11,Assumptions!$B$35:$H$35,_xlfn.XLOOKUP($C28,Assumptions!$B$36:$B$41,Assumptions!$B$36:$H$41))</f>
        <v>0</v>
      </c>
      <c r="AWV28">
        <f t="array" ref="AWV28">_xlfn.XLOOKUP(AWV$11,Assumptions!$B$35:$H$35,_xlfn.XLOOKUP($C28,Assumptions!$B$36:$B$41,Assumptions!$B$36:$H$41))</f>
        <v>0</v>
      </c>
      <c r="AWW28">
        <f t="array" ref="AWW28">_xlfn.XLOOKUP(AWW$11,Assumptions!$B$35:$H$35,_xlfn.XLOOKUP($C28,Assumptions!$B$36:$B$41,Assumptions!$B$36:$H$41))</f>
        <v>0</v>
      </c>
      <c r="AWX28">
        <f t="array" ref="AWX28">_xlfn.XLOOKUP(AWX$11,Assumptions!$B$35:$H$35,_xlfn.XLOOKUP($C28,Assumptions!$B$36:$B$41,Assumptions!$B$36:$H$41))</f>
        <v>0</v>
      </c>
      <c r="AWY28">
        <f t="array" ref="AWY28">_xlfn.XLOOKUP(AWY$11,Assumptions!$B$35:$H$35,_xlfn.XLOOKUP($C28,Assumptions!$B$36:$B$41,Assumptions!$B$36:$H$41))</f>
        <v>0</v>
      </c>
      <c r="AWZ28">
        <f t="array" ref="AWZ28">_xlfn.XLOOKUP(AWZ$11,Assumptions!$B$35:$H$35,_xlfn.XLOOKUP($C28,Assumptions!$B$36:$B$41,Assumptions!$B$36:$H$41))</f>
        <v>0</v>
      </c>
      <c r="AXA28">
        <f t="array" ref="AXA28">_xlfn.XLOOKUP(AXA$11,Assumptions!$B$35:$H$35,_xlfn.XLOOKUP($C28,Assumptions!$B$36:$B$41,Assumptions!$B$36:$H$41))</f>
        <v>0</v>
      </c>
      <c r="AXB28">
        <f t="array" ref="AXB28">_xlfn.XLOOKUP(AXB$11,Assumptions!$B$35:$H$35,_xlfn.XLOOKUP($C28,Assumptions!$B$36:$B$41,Assumptions!$B$36:$H$41))</f>
        <v>0</v>
      </c>
      <c r="AXC28">
        <f t="array" ref="AXC28">_xlfn.XLOOKUP(AXC$11,Assumptions!$B$35:$H$35,_xlfn.XLOOKUP($C28,Assumptions!$B$36:$B$41,Assumptions!$B$36:$H$41))</f>
        <v>0</v>
      </c>
      <c r="AXD28">
        <f t="array" ref="AXD28">_xlfn.XLOOKUP(AXD$11,Assumptions!$B$35:$H$35,_xlfn.XLOOKUP($C28,Assumptions!$B$36:$B$41,Assumptions!$B$36:$H$41))</f>
        <v>0</v>
      </c>
      <c r="AXE28">
        <f t="array" ref="AXE28">_xlfn.XLOOKUP(AXE$11,Assumptions!$B$35:$H$35,_xlfn.XLOOKUP($C28,Assumptions!$B$36:$B$41,Assumptions!$B$36:$H$41))</f>
        <v>0</v>
      </c>
      <c r="AXF28">
        <f t="array" ref="AXF28">_xlfn.XLOOKUP(AXF$11,Assumptions!$B$35:$H$35,_xlfn.XLOOKUP($C28,Assumptions!$B$36:$B$41,Assumptions!$B$36:$H$41))</f>
        <v>0</v>
      </c>
      <c r="AXG28">
        <f t="array" ref="AXG28">_xlfn.XLOOKUP(AXG$11,Assumptions!$B$35:$H$35,_xlfn.XLOOKUP($C28,Assumptions!$B$36:$B$41,Assumptions!$B$36:$H$41))</f>
        <v>0</v>
      </c>
      <c r="AXH28">
        <f t="array" ref="AXH28">_xlfn.XLOOKUP(AXH$11,Assumptions!$B$35:$H$35,_xlfn.XLOOKUP($C28,Assumptions!$B$36:$B$41,Assumptions!$B$36:$H$41))</f>
        <v>0</v>
      </c>
      <c r="AXI28">
        <f t="array" ref="AXI28">_xlfn.XLOOKUP(AXI$11,Assumptions!$B$35:$H$35,_xlfn.XLOOKUP($C28,Assumptions!$B$36:$B$41,Assumptions!$B$36:$H$41))</f>
        <v>0</v>
      </c>
      <c r="AXJ28">
        <f t="array" ref="AXJ28">_xlfn.XLOOKUP(AXJ$11,Assumptions!$B$35:$H$35,_xlfn.XLOOKUP($C28,Assumptions!$B$36:$B$41,Assumptions!$B$36:$H$41))</f>
        <v>0</v>
      </c>
      <c r="AXK28">
        <f t="array" ref="AXK28">_xlfn.XLOOKUP(AXK$11,Assumptions!$B$35:$H$35,_xlfn.XLOOKUP($C28,Assumptions!$B$36:$B$41,Assumptions!$B$36:$H$41))</f>
        <v>0</v>
      </c>
      <c r="AXL28">
        <f t="array" ref="AXL28">_xlfn.XLOOKUP(AXL$11,Assumptions!$B$35:$H$35,_xlfn.XLOOKUP($C28,Assumptions!$B$36:$B$41,Assumptions!$B$36:$H$41))</f>
        <v>0</v>
      </c>
      <c r="AXM28">
        <f t="array" ref="AXM28">_xlfn.XLOOKUP(AXM$11,Assumptions!$B$35:$H$35,_xlfn.XLOOKUP($C28,Assumptions!$B$36:$B$41,Assumptions!$B$36:$H$41))</f>
        <v>0</v>
      </c>
      <c r="AXN28">
        <f t="array" ref="AXN28">_xlfn.XLOOKUP(AXN$11,Assumptions!$B$35:$H$35,_xlfn.XLOOKUP($C28,Assumptions!$B$36:$B$41,Assumptions!$B$36:$H$41))</f>
        <v>0</v>
      </c>
      <c r="AXO28">
        <f t="array" ref="AXO28">_xlfn.XLOOKUP(AXO$11,Assumptions!$B$35:$H$35,_xlfn.XLOOKUP($C28,Assumptions!$B$36:$B$41,Assumptions!$B$36:$H$41))</f>
        <v>0</v>
      </c>
      <c r="AXP28">
        <f t="array" ref="AXP28">_xlfn.XLOOKUP(AXP$11,Assumptions!$B$35:$H$35,_xlfn.XLOOKUP($C28,Assumptions!$B$36:$B$41,Assumptions!$B$36:$H$41))</f>
        <v>0</v>
      </c>
      <c r="AXQ28">
        <f t="array" ref="AXQ28">_xlfn.XLOOKUP(AXQ$11,Assumptions!$B$35:$H$35,_xlfn.XLOOKUP($C28,Assumptions!$B$36:$B$41,Assumptions!$B$36:$H$41))</f>
        <v>0</v>
      </c>
      <c r="AXR28">
        <f t="array" ref="AXR28">_xlfn.XLOOKUP(AXR$11,Assumptions!$B$35:$H$35,_xlfn.XLOOKUP($C28,Assumptions!$B$36:$B$41,Assumptions!$B$36:$H$41))</f>
        <v>0</v>
      </c>
      <c r="AXS28">
        <f t="array" ref="AXS28">_xlfn.XLOOKUP(AXS$11,Assumptions!$B$35:$H$35,_xlfn.XLOOKUP($C28,Assumptions!$B$36:$B$41,Assumptions!$B$36:$H$41))</f>
        <v>0</v>
      </c>
      <c r="AXT28">
        <f t="array" ref="AXT28">_xlfn.XLOOKUP(AXT$11,Assumptions!$B$35:$H$35,_xlfn.XLOOKUP($C28,Assumptions!$B$36:$B$41,Assumptions!$B$36:$H$41))</f>
        <v>0</v>
      </c>
      <c r="AXU28">
        <f t="array" ref="AXU28">_xlfn.XLOOKUP(AXU$11,Assumptions!$B$35:$H$35,_xlfn.XLOOKUP($C28,Assumptions!$B$36:$B$41,Assumptions!$B$36:$H$41))</f>
        <v>0</v>
      </c>
      <c r="AXV28">
        <f t="array" ref="AXV28">_xlfn.XLOOKUP(AXV$11,Assumptions!$B$35:$H$35,_xlfn.XLOOKUP($C28,Assumptions!$B$36:$B$41,Assumptions!$B$36:$H$41))</f>
        <v>0</v>
      </c>
      <c r="AXW28">
        <f t="array" ref="AXW28">_xlfn.XLOOKUP(AXW$11,Assumptions!$B$35:$H$35,_xlfn.XLOOKUP($C28,Assumptions!$B$36:$B$41,Assumptions!$B$36:$H$41))</f>
        <v>0</v>
      </c>
      <c r="AXX28">
        <f t="array" ref="AXX28">_xlfn.XLOOKUP(AXX$11,Assumptions!$B$35:$H$35,_xlfn.XLOOKUP($C28,Assumptions!$B$36:$B$41,Assumptions!$B$36:$H$41))</f>
        <v>0</v>
      </c>
      <c r="AXY28">
        <f t="array" ref="AXY28">_xlfn.XLOOKUP(AXY$11,Assumptions!$B$35:$H$35,_xlfn.XLOOKUP($C28,Assumptions!$B$36:$B$41,Assumptions!$B$36:$H$41))</f>
        <v>0</v>
      </c>
      <c r="AXZ28">
        <f t="array" ref="AXZ28">_xlfn.XLOOKUP(AXZ$11,Assumptions!$B$35:$H$35,_xlfn.XLOOKUP($C28,Assumptions!$B$36:$B$41,Assumptions!$B$36:$H$41))</f>
        <v>0</v>
      </c>
      <c r="AYA28">
        <f t="array" ref="AYA28">_xlfn.XLOOKUP(AYA$11,Assumptions!$B$35:$H$35,_xlfn.XLOOKUP($C28,Assumptions!$B$36:$B$41,Assumptions!$B$36:$H$41))</f>
        <v>0</v>
      </c>
      <c r="AYB28">
        <f t="array" ref="AYB28">_xlfn.XLOOKUP(AYB$11,Assumptions!$B$35:$H$35,_xlfn.XLOOKUP($C28,Assumptions!$B$36:$B$41,Assumptions!$B$36:$H$41))</f>
        <v>0</v>
      </c>
      <c r="AYC28">
        <f t="array" ref="AYC28">_xlfn.XLOOKUP(AYC$11,Assumptions!$B$35:$H$35,_xlfn.XLOOKUP($C28,Assumptions!$B$36:$B$41,Assumptions!$B$36:$H$41))</f>
        <v>0</v>
      </c>
      <c r="AYD28">
        <f t="array" ref="AYD28">_xlfn.XLOOKUP(AYD$11,Assumptions!$B$35:$H$35,_xlfn.XLOOKUP($C28,Assumptions!$B$36:$B$41,Assumptions!$B$36:$H$41))</f>
        <v>0</v>
      </c>
      <c r="AYE28">
        <f t="array" ref="AYE28">_xlfn.XLOOKUP(AYE$11,Assumptions!$B$35:$H$35,_xlfn.XLOOKUP($C28,Assumptions!$B$36:$B$41,Assumptions!$B$36:$H$41))</f>
        <v>0</v>
      </c>
      <c r="AYF28">
        <f t="array" ref="AYF28">_xlfn.XLOOKUP(AYF$11,Assumptions!$B$35:$H$35,_xlfn.XLOOKUP($C28,Assumptions!$B$36:$B$41,Assumptions!$B$36:$H$41))</f>
        <v>0</v>
      </c>
      <c r="AYG28">
        <f t="array" ref="AYG28">_xlfn.XLOOKUP(AYG$11,Assumptions!$B$35:$H$35,_xlfn.XLOOKUP($C28,Assumptions!$B$36:$B$41,Assumptions!$B$36:$H$41))</f>
        <v>0</v>
      </c>
      <c r="AYH28">
        <f t="array" ref="AYH28">_xlfn.XLOOKUP(AYH$11,Assumptions!$B$35:$H$35,_xlfn.XLOOKUP($C28,Assumptions!$B$36:$B$41,Assumptions!$B$36:$H$41))</f>
        <v>0</v>
      </c>
      <c r="AYI28">
        <f t="array" ref="AYI28">_xlfn.XLOOKUP(AYI$11,Assumptions!$B$35:$H$35,_xlfn.XLOOKUP($C28,Assumptions!$B$36:$B$41,Assumptions!$B$36:$H$41))</f>
        <v>0</v>
      </c>
      <c r="AYJ28">
        <f t="array" ref="AYJ28">_xlfn.XLOOKUP(AYJ$11,Assumptions!$B$35:$H$35,_xlfn.XLOOKUP($C28,Assumptions!$B$36:$B$41,Assumptions!$B$36:$H$41))</f>
        <v>0</v>
      </c>
      <c r="AYK28">
        <f t="array" ref="AYK28">_xlfn.XLOOKUP(AYK$11,Assumptions!$B$35:$H$35,_xlfn.XLOOKUP($C28,Assumptions!$B$36:$B$41,Assumptions!$B$36:$H$41))</f>
        <v>0</v>
      </c>
      <c r="AYL28">
        <f t="array" ref="AYL28">_xlfn.XLOOKUP(AYL$11,Assumptions!$B$35:$H$35,_xlfn.XLOOKUP($C28,Assumptions!$B$36:$B$41,Assumptions!$B$36:$H$41))</f>
        <v>0</v>
      </c>
      <c r="AYM28">
        <f t="array" ref="AYM28">_xlfn.XLOOKUP(AYM$11,Assumptions!$B$35:$H$35,_xlfn.XLOOKUP($C28,Assumptions!$B$36:$B$41,Assumptions!$B$36:$H$41))</f>
        <v>0</v>
      </c>
      <c r="AYN28">
        <f t="array" ref="AYN28">_xlfn.XLOOKUP(AYN$11,Assumptions!$B$35:$H$35,_xlfn.XLOOKUP($C28,Assumptions!$B$36:$B$41,Assumptions!$B$36:$H$41))</f>
        <v>0</v>
      </c>
      <c r="AYO28">
        <f t="array" ref="AYO28">_xlfn.XLOOKUP(AYO$11,Assumptions!$B$35:$H$35,_xlfn.XLOOKUP($C28,Assumptions!$B$36:$B$41,Assumptions!$B$36:$H$41))</f>
        <v>0</v>
      </c>
      <c r="AYP28">
        <f t="array" ref="AYP28">_xlfn.XLOOKUP(AYP$11,Assumptions!$B$35:$H$35,_xlfn.XLOOKUP($C28,Assumptions!$B$36:$B$41,Assumptions!$B$36:$H$41))</f>
        <v>0</v>
      </c>
      <c r="AYQ28">
        <f t="array" ref="AYQ28">_xlfn.XLOOKUP(AYQ$11,Assumptions!$B$35:$H$35,_xlfn.XLOOKUP($C28,Assumptions!$B$36:$B$41,Assumptions!$B$36:$H$41))</f>
        <v>0</v>
      </c>
      <c r="AYR28">
        <f t="array" ref="AYR28">_xlfn.XLOOKUP(AYR$11,Assumptions!$B$35:$H$35,_xlfn.XLOOKUP($C28,Assumptions!$B$36:$B$41,Assumptions!$B$36:$H$41))</f>
        <v>0</v>
      </c>
      <c r="AYS28">
        <f t="array" ref="AYS28">_xlfn.XLOOKUP(AYS$11,Assumptions!$B$35:$H$35,_xlfn.XLOOKUP($C28,Assumptions!$B$36:$B$41,Assumptions!$B$36:$H$41))</f>
        <v>0</v>
      </c>
      <c r="AYT28">
        <f t="array" ref="AYT28">_xlfn.XLOOKUP(AYT$11,Assumptions!$B$35:$H$35,_xlfn.XLOOKUP($C28,Assumptions!$B$36:$B$41,Assumptions!$B$36:$H$41))</f>
        <v>0</v>
      </c>
      <c r="AYU28">
        <f t="array" ref="AYU28">_xlfn.XLOOKUP(AYU$11,Assumptions!$B$35:$H$35,_xlfn.XLOOKUP($C28,Assumptions!$B$36:$B$41,Assumptions!$B$36:$H$41))</f>
        <v>0</v>
      </c>
      <c r="AYV28">
        <f t="array" ref="AYV28">_xlfn.XLOOKUP(AYV$11,Assumptions!$B$35:$H$35,_xlfn.XLOOKUP($C28,Assumptions!$B$36:$B$41,Assumptions!$B$36:$H$41))</f>
        <v>0</v>
      </c>
      <c r="AYW28">
        <f t="array" ref="AYW28">_xlfn.XLOOKUP(AYW$11,Assumptions!$B$35:$H$35,_xlfn.XLOOKUP($C28,Assumptions!$B$36:$B$41,Assumptions!$B$36:$H$41))</f>
        <v>0</v>
      </c>
      <c r="AYX28">
        <f t="array" ref="AYX28">_xlfn.XLOOKUP(AYX$11,Assumptions!$B$35:$H$35,_xlfn.XLOOKUP($C28,Assumptions!$B$36:$B$41,Assumptions!$B$36:$H$41))</f>
        <v>0</v>
      </c>
      <c r="AYY28">
        <f t="array" ref="AYY28">_xlfn.XLOOKUP(AYY$11,Assumptions!$B$35:$H$35,_xlfn.XLOOKUP($C28,Assumptions!$B$36:$B$41,Assumptions!$B$36:$H$41))</f>
        <v>0</v>
      </c>
      <c r="AYZ28">
        <f t="array" ref="AYZ28">_xlfn.XLOOKUP(AYZ$11,Assumptions!$B$35:$H$35,_xlfn.XLOOKUP($C28,Assumptions!$B$36:$B$41,Assumptions!$B$36:$H$41))</f>
        <v>0</v>
      </c>
      <c r="AZA28">
        <f t="array" ref="AZA28">_xlfn.XLOOKUP(AZA$11,Assumptions!$B$35:$H$35,_xlfn.XLOOKUP($C28,Assumptions!$B$36:$B$41,Assumptions!$B$36:$H$41))</f>
        <v>0</v>
      </c>
      <c r="AZB28">
        <f t="array" ref="AZB28">_xlfn.XLOOKUP(AZB$11,Assumptions!$B$35:$H$35,_xlfn.XLOOKUP($C28,Assumptions!$B$36:$B$41,Assumptions!$B$36:$H$41))</f>
        <v>0</v>
      </c>
      <c r="AZC28">
        <f t="array" ref="AZC28">_xlfn.XLOOKUP(AZC$11,Assumptions!$B$35:$H$35,_xlfn.XLOOKUP($C28,Assumptions!$B$36:$B$41,Assumptions!$B$36:$H$41))</f>
        <v>0</v>
      </c>
      <c r="AZD28">
        <f t="array" ref="AZD28">_xlfn.XLOOKUP(AZD$11,Assumptions!$B$35:$H$35,_xlfn.XLOOKUP($C28,Assumptions!$B$36:$B$41,Assumptions!$B$36:$H$41))</f>
        <v>0</v>
      </c>
      <c r="AZE28">
        <f t="array" ref="AZE28">_xlfn.XLOOKUP(AZE$11,Assumptions!$B$35:$H$35,_xlfn.XLOOKUP($C28,Assumptions!$B$36:$B$41,Assumptions!$B$36:$H$41))</f>
        <v>0</v>
      </c>
      <c r="AZF28">
        <f t="array" ref="AZF28">_xlfn.XLOOKUP(AZF$11,Assumptions!$B$35:$H$35,_xlfn.XLOOKUP($C28,Assumptions!$B$36:$B$41,Assumptions!$B$36:$H$41))</f>
        <v>0</v>
      </c>
      <c r="AZG28">
        <f t="array" ref="AZG28">_xlfn.XLOOKUP(AZG$11,Assumptions!$B$35:$H$35,_xlfn.XLOOKUP($C28,Assumptions!$B$36:$B$41,Assumptions!$B$36:$H$41))</f>
        <v>0</v>
      </c>
      <c r="AZH28">
        <f t="array" ref="AZH28">_xlfn.XLOOKUP(AZH$11,Assumptions!$B$35:$H$35,_xlfn.XLOOKUP($C28,Assumptions!$B$36:$B$41,Assumptions!$B$36:$H$41))</f>
        <v>0</v>
      </c>
      <c r="AZI28">
        <f t="array" ref="AZI28">_xlfn.XLOOKUP(AZI$11,Assumptions!$B$35:$H$35,_xlfn.XLOOKUP($C28,Assumptions!$B$36:$B$41,Assumptions!$B$36:$H$41))</f>
        <v>0</v>
      </c>
      <c r="AZJ28">
        <f t="array" ref="AZJ28">_xlfn.XLOOKUP(AZJ$11,Assumptions!$B$35:$H$35,_xlfn.XLOOKUP($C28,Assumptions!$B$36:$B$41,Assumptions!$B$36:$H$41))</f>
        <v>0</v>
      </c>
      <c r="AZK28">
        <f t="array" ref="AZK28">_xlfn.XLOOKUP(AZK$11,Assumptions!$B$35:$H$35,_xlfn.XLOOKUP($C28,Assumptions!$B$36:$B$41,Assumptions!$B$36:$H$41))</f>
        <v>0</v>
      </c>
      <c r="AZL28">
        <f t="array" ref="AZL28">_xlfn.XLOOKUP(AZL$11,Assumptions!$B$35:$H$35,_xlfn.XLOOKUP($C28,Assumptions!$B$36:$B$41,Assumptions!$B$36:$H$41))</f>
        <v>0</v>
      </c>
      <c r="AZM28">
        <f t="array" ref="AZM28">_xlfn.XLOOKUP(AZM$11,Assumptions!$B$35:$H$35,_xlfn.XLOOKUP($C28,Assumptions!$B$36:$B$41,Assumptions!$B$36:$H$41))</f>
        <v>0</v>
      </c>
      <c r="AZN28">
        <f t="array" ref="AZN28">_xlfn.XLOOKUP(AZN$11,Assumptions!$B$35:$H$35,_xlfn.XLOOKUP($C28,Assumptions!$B$36:$B$41,Assumptions!$B$36:$H$41))</f>
        <v>0</v>
      </c>
      <c r="AZO28">
        <f t="array" ref="AZO28">_xlfn.XLOOKUP(AZO$11,Assumptions!$B$35:$H$35,_xlfn.XLOOKUP($C28,Assumptions!$B$36:$B$41,Assumptions!$B$36:$H$41))</f>
        <v>0</v>
      </c>
      <c r="AZP28">
        <f t="array" ref="AZP28">_xlfn.XLOOKUP(AZP$11,Assumptions!$B$35:$H$35,_xlfn.XLOOKUP($C28,Assumptions!$B$36:$B$41,Assumptions!$B$36:$H$41))</f>
        <v>0</v>
      </c>
      <c r="AZQ28">
        <f t="array" ref="AZQ28">_xlfn.XLOOKUP(AZQ$11,Assumptions!$B$35:$H$35,_xlfn.XLOOKUP($C28,Assumptions!$B$36:$B$41,Assumptions!$B$36:$H$41))</f>
        <v>0</v>
      </c>
      <c r="AZR28">
        <f t="array" ref="AZR28">_xlfn.XLOOKUP(AZR$11,Assumptions!$B$35:$H$35,_xlfn.XLOOKUP($C28,Assumptions!$B$36:$B$41,Assumptions!$B$36:$H$41))</f>
        <v>0</v>
      </c>
      <c r="AZS28">
        <f t="array" ref="AZS28">_xlfn.XLOOKUP(AZS$11,Assumptions!$B$35:$H$35,_xlfn.XLOOKUP($C28,Assumptions!$B$36:$B$41,Assumptions!$B$36:$H$41))</f>
        <v>0</v>
      </c>
      <c r="AZT28">
        <f t="array" ref="AZT28">_xlfn.XLOOKUP(AZT$11,Assumptions!$B$35:$H$35,_xlfn.XLOOKUP($C28,Assumptions!$B$36:$B$41,Assumptions!$B$36:$H$41))</f>
        <v>0</v>
      </c>
      <c r="AZU28">
        <f t="array" ref="AZU28">_xlfn.XLOOKUP(AZU$11,Assumptions!$B$35:$H$35,_xlfn.XLOOKUP($C28,Assumptions!$B$36:$B$41,Assumptions!$B$36:$H$41))</f>
        <v>0</v>
      </c>
      <c r="AZV28">
        <f t="array" ref="AZV28">_xlfn.XLOOKUP(AZV$11,Assumptions!$B$35:$H$35,_xlfn.XLOOKUP($C28,Assumptions!$B$36:$B$41,Assumptions!$B$36:$H$41))</f>
        <v>0</v>
      </c>
      <c r="AZW28">
        <f t="array" ref="AZW28">_xlfn.XLOOKUP(AZW$11,Assumptions!$B$35:$H$35,_xlfn.XLOOKUP($C28,Assumptions!$B$36:$B$41,Assumptions!$B$36:$H$41))</f>
        <v>0</v>
      </c>
      <c r="AZX28">
        <f t="array" ref="AZX28">_xlfn.XLOOKUP(AZX$11,Assumptions!$B$35:$H$35,_xlfn.XLOOKUP($C28,Assumptions!$B$36:$B$41,Assumptions!$B$36:$H$41))</f>
        <v>0</v>
      </c>
      <c r="AZY28">
        <f t="array" ref="AZY28">_xlfn.XLOOKUP(AZY$11,Assumptions!$B$35:$H$35,_xlfn.XLOOKUP($C28,Assumptions!$B$36:$B$41,Assumptions!$B$36:$H$41))</f>
        <v>0</v>
      </c>
      <c r="AZZ28">
        <f t="array" ref="AZZ28">_xlfn.XLOOKUP(AZZ$11,Assumptions!$B$35:$H$35,_xlfn.XLOOKUP($C28,Assumptions!$B$36:$B$41,Assumptions!$B$36:$H$41))</f>
        <v>0</v>
      </c>
      <c r="BAA28">
        <f t="array" ref="BAA28">_xlfn.XLOOKUP(BAA$11,Assumptions!$B$35:$H$35,_xlfn.XLOOKUP($C28,Assumptions!$B$36:$B$41,Assumptions!$B$36:$H$41))</f>
        <v>0</v>
      </c>
      <c r="BAB28">
        <f t="array" ref="BAB28">_xlfn.XLOOKUP(BAB$11,Assumptions!$B$35:$H$35,_xlfn.XLOOKUP($C28,Assumptions!$B$36:$B$41,Assumptions!$B$36:$H$41))</f>
        <v>0</v>
      </c>
      <c r="BAC28">
        <f t="array" ref="BAC28">_xlfn.XLOOKUP(BAC$11,Assumptions!$B$35:$H$35,_xlfn.XLOOKUP($C28,Assumptions!$B$36:$B$41,Assumptions!$B$36:$H$41))</f>
        <v>0</v>
      </c>
      <c r="BAD28">
        <f t="array" ref="BAD28">_xlfn.XLOOKUP(BAD$11,Assumptions!$B$35:$H$35,_xlfn.XLOOKUP($C28,Assumptions!$B$36:$B$41,Assumptions!$B$36:$H$41))</f>
        <v>0</v>
      </c>
      <c r="BAE28">
        <f t="array" ref="BAE28">_xlfn.XLOOKUP(BAE$11,Assumptions!$B$35:$H$35,_xlfn.XLOOKUP($C28,Assumptions!$B$36:$B$41,Assumptions!$B$36:$H$41))</f>
        <v>0</v>
      </c>
      <c r="BAF28">
        <f t="array" ref="BAF28">_xlfn.XLOOKUP(BAF$11,Assumptions!$B$35:$H$35,_xlfn.XLOOKUP($C28,Assumptions!$B$36:$B$41,Assumptions!$B$36:$H$41))</f>
        <v>0</v>
      </c>
      <c r="BAG28">
        <f t="array" ref="BAG28">_xlfn.XLOOKUP(BAG$11,Assumptions!$B$35:$H$35,_xlfn.XLOOKUP($C28,Assumptions!$B$36:$B$41,Assumptions!$B$36:$H$41))</f>
        <v>0</v>
      </c>
      <c r="BAH28">
        <f t="array" ref="BAH28">_xlfn.XLOOKUP(BAH$11,Assumptions!$B$35:$H$35,_xlfn.XLOOKUP($C28,Assumptions!$B$36:$B$41,Assumptions!$B$36:$H$41))</f>
        <v>0</v>
      </c>
      <c r="BAI28">
        <f t="array" ref="BAI28">_xlfn.XLOOKUP(BAI$11,Assumptions!$B$35:$H$35,_xlfn.XLOOKUP($C28,Assumptions!$B$36:$B$41,Assumptions!$B$36:$H$41))</f>
        <v>0</v>
      </c>
      <c r="BAJ28">
        <f t="array" ref="BAJ28">_xlfn.XLOOKUP(BAJ$11,Assumptions!$B$35:$H$35,_xlfn.XLOOKUP($C28,Assumptions!$B$36:$B$41,Assumptions!$B$36:$H$41))</f>
        <v>0</v>
      </c>
      <c r="BAK28">
        <f t="array" ref="BAK28">_xlfn.XLOOKUP(BAK$11,Assumptions!$B$35:$H$35,_xlfn.XLOOKUP($C28,Assumptions!$B$36:$B$41,Assumptions!$B$36:$H$41))</f>
        <v>0</v>
      </c>
      <c r="BAL28">
        <f t="array" ref="BAL28">_xlfn.XLOOKUP(BAL$11,Assumptions!$B$35:$H$35,_xlfn.XLOOKUP($C28,Assumptions!$B$36:$B$41,Assumptions!$B$36:$H$41))</f>
        <v>0</v>
      </c>
      <c r="BAM28">
        <f t="array" ref="BAM28">_xlfn.XLOOKUP(BAM$11,Assumptions!$B$35:$H$35,_xlfn.XLOOKUP($C28,Assumptions!$B$36:$B$41,Assumptions!$B$36:$H$41))</f>
        <v>0</v>
      </c>
      <c r="BAN28">
        <f t="array" ref="BAN28">_xlfn.XLOOKUP(BAN$11,Assumptions!$B$35:$H$35,_xlfn.XLOOKUP($C28,Assumptions!$B$36:$B$41,Assumptions!$B$36:$H$41))</f>
        <v>0</v>
      </c>
      <c r="BAO28">
        <f t="array" ref="BAO28">_xlfn.XLOOKUP(BAO$11,Assumptions!$B$35:$H$35,_xlfn.XLOOKUP($C28,Assumptions!$B$36:$B$41,Assumptions!$B$36:$H$41))</f>
        <v>0</v>
      </c>
      <c r="BAP28">
        <f t="array" ref="BAP28">_xlfn.XLOOKUP(BAP$11,Assumptions!$B$35:$H$35,_xlfn.XLOOKUP($C28,Assumptions!$B$36:$B$41,Assumptions!$B$36:$H$41))</f>
        <v>0</v>
      </c>
      <c r="BAQ28">
        <f t="array" ref="BAQ28">_xlfn.XLOOKUP(BAQ$11,Assumptions!$B$35:$H$35,_xlfn.XLOOKUP($C28,Assumptions!$B$36:$B$41,Assumptions!$B$36:$H$41))</f>
        <v>0</v>
      </c>
      <c r="BAR28">
        <f t="array" ref="BAR28">_xlfn.XLOOKUP(BAR$11,Assumptions!$B$35:$H$35,_xlfn.XLOOKUP($C28,Assumptions!$B$36:$B$41,Assumptions!$B$36:$H$41))</f>
        <v>0</v>
      </c>
      <c r="BAS28">
        <f t="array" ref="BAS28">_xlfn.XLOOKUP(BAS$11,Assumptions!$B$35:$H$35,_xlfn.XLOOKUP($C28,Assumptions!$B$36:$B$41,Assumptions!$B$36:$H$41))</f>
        <v>0</v>
      </c>
      <c r="BAT28">
        <f t="array" ref="BAT28">_xlfn.XLOOKUP(BAT$11,Assumptions!$B$35:$H$35,_xlfn.XLOOKUP($C28,Assumptions!$B$36:$B$41,Assumptions!$B$36:$H$41))</f>
        <v>0</v>
      </c>
      <c r="BAU28">
        <f t="array" ref="BAU28">_xlfn.XLOOKUP(BAU$11,Assumptions!$B$35:$H$35,_xlfn.XLOOKUP($C28,Assumptions!$B$36:$B$41,Assumptions!$B$36:$H$41))</f>
        <v>0</v>
      </c>
      <c r="BAV28">
        <f t="array" ref="BAV28">_xlfn.XLOOKUP(BAV$11,Assumptions!$B$35:$H$35,_xlfn.XLOOKUP($C28,Assumptions!$B$36:$B$41,Assumptions!$B$36:$H$41))</f>
        <v>0</v>
      </c>
      <c r="BAW28">
        <f t="array" ref="BAW28">_xlfn.XLOOKUP(BAW$11,Assumptions!$B$35:$H$35,_xlfn.XLOOKUP($C28,Assumptions!$B$36:$B$41,Assumptions!$B$36:$H$41))</f>
        <v>0</v>
      </c>
      <c r="BAX28">
        <f t="array" ref="BAX28">_xlfn.XLOOKUP(BAX$11,Assumptions!$B$35:$H$35,_xlfn.XLOOKUP($C28,Assumptions!$B$36:$B$41,Assumptions!$B$36:$H$41))</f>
        <v>0</v>
      </c>
      <c r="BAY28">
        <f t="array" ref="BAY28">_xlfn.XLOOKUP(BAY$11,Assumptions!$B$35:$H$35,_xlfn.XLOOKUP($C28,Assumptions!$B$36:$B$41,Assumptions!$B$36:$H$41))</f>
        <v>0</v>
      </c>
      <c r="BAZ28">
        <f t="array" ref="BAZ28">_xlfn.XLOOKUP(BAZ$11,Assumptions!$B$35:$H$35,_xlfn.XLOOKUP($C28,Assumptions!$B$36:$B$41,Assumptions!$B$36:$H$41))</f>
        <v>0</v>
      </c>
      <c r="BBA28">
        <f t="array" ref="BBA28">_xlfn.XLOOKUP(BBA$11,Assumptions!$B$35:$H$35,_xlfn.XLOOKUP($C28,Assumptions!$B$36:$B$41,Assumptions!$B$36:$H$41))</f>
        <v>0</v>
      </c>
      <c r="BBB28">
        <f t="array" ref="BBB28">_xlfn.XLOOKUP(BBB$11,Assumptions!$B$35:$H$35,_xlfn.XLOOKUP($C28,Assumptions!$B$36:$B$41,Assumptions!$B$36:$H$41))</f>
        <v>0</v>
      </c>
      <c r="BBC28">
        <f t="array" ref="BBC28">_xlfn.XLOOKUP(BBC$11,Assumptions!$B$35:$H$35,_xlfn.XLOOKUP($C28,Assumptions!$B$36:$B$41,Assumptions!$B$36:$H$41))</f>
        <v>0</v>
      </c>
      <c r="BBD28">
        <f t="array" ref="BBD28">_xlfn.XLOOKUP(BBD$11,Assumptions!$B$35:$H$35,_xlfn.XLOOKUP($C28,Assumptions!$B$36:$B$41,Assumptions!$B$36:$H$41))</f>
        <v>0</v>
      </c>
      <c r="BBE28">
        <f t="array" ref="BBE28">_xlfn.XLOOKUP(BBE$11,Assumptions!$B$35:$H$35,_xlfn.XLOOKUP($C28,Assumptions!$B$36:$B$41,Assumptions!$B$36:$H$41))</f>
        <v>0</v>
      </c>
      <c r="BBF28">
        <f t="array" ref="BBF28">_xlfn.XLOOKUP(BBF$11,Assumptions!$B$35:$H$35,_xlfn.XLOOKUP($C28,Assumptions!$B$36:$B$41,Assumptions!$B$36:$H$41))</f>
        <v>0</v>
      </c>
      <c r="BBG28">
        <f t="array" ref="BBG28">_xlfn.XLOOKUP(BBG$11,Assumptions!$B$35:$H$35,_xlfn.XLOOKUP($C28,Assumptions!$B$36:$B$41,Assumptions!$B$36:$H$41))</f>
        <v>0</v>
      </c>
      <c r="BBH28">
        <f t="array" ref="BBH28">_xlfn.XLOOKUP(BBH$11,Assumptions!$B$35:$H$35,_xlfn.XLOOKUP($C28,Assumptions!$B$36:$B$41,Assumptions!$B$36:$H$41))</f>
        <v>0</v>
      </c>
      <c r="BBI28">
        <f t="array" ref="BBI28">_xlfn.XLOOKUP(BBI$11,Assumptions!$B$35:$H$35,_xlfn.XLOOKUP($C28,Assumptions!$B$36:$B$41,Assumptions!$B$36:$H$41))</f>
        <v>0</v>
      </c>
      <c r="BBJ28">
        <f t="array" ref="BBJ28">_xlfn.XLOOKUP(BBJ$11,Assumptions!$B$35:$H$35,_xlfn.XLOOKUP($C28,Assumptions!$B$36:$B$41,Assumptions!$B$36:$H$41))</f>
        <v>0</v>
      </c>
      <c r="BBK28">
        <f t="array" ref="BBK28">_xlfn.XLOOKUP(BBK$11,Assumptions!$B$35:$H$35,_xlfn.XLOOKUP($C28,Assumptions!$B$36:$B$41,Assumptions!$B$36:$H$41))</f>
        <v>0</v>
      </c>
      <c r="BBL28">
        <f t="array" ref="BBL28">_xlfn.XLOOKUP(BBL$11,Assumptions!$B$35:$H$35,_xlfn.XLOOKUP($C28,Assumptions!$B$36:$B$41,Assumptions!$B$36:$H$41))</f>
        <v>0</v>
      </c>
      <c r="BBM28">
        <f t="array" ref="BBM28">_xlfn.XLOOKUP(BBM$11,Assumptions!$B$35:$H$35,_xlfn.XLOOKUP($C28,Assumptions!$B$36:$B$41,Assumptions!$B$36:$H$41))</f>
        <v>0</v>
      </c>
      <c r="BBN28">
        <f t="array" ref="BBN28">_xlfn.XLOOKUP(BBN$11,Assumptions!$B$35:$H$35,_xlfn.XLOOKUP($C28,Assumptions!$B$36:$B$41,Assumptions!$B$36:$H$41))</f>
        <v>0</v>
      </c>
      <c r="BBO28">
        <f t="array" ref="BBO28">_xlfn.XLOOKUP(BBO$11,Assumptions!$B$35:$H$35,_xlfn.XLOOKUP($C28,Assumptions!$B$36:$B$41,Assumptions!$B$36:$H$41))</f>
        <v>0</v>
      </c>
      <c r="BBP28">
        <f t="array" ref="BBP28">_xlfn.XLOOKUP(BBP$11,Assumptions!$B$35:$H$35,_xlfn.XLOOKUP($C28,Assumptions!$B$36:$B$41,Assumptions!$B$36:$H$41))</f>
        <v>0</v>
      </c>
      <c r="BBQ28">
        <f t="array" ref="BBQ28">_xlfn.XLOOKUP(BBQ$11,Assumptions!$B$35:$H$35,_xlfn.XLOOKUP($C28,Assumptions!$B$36:$B$41,Assumptions!$B$36:$H$41))</f>
        <v>0</v>
      </c>
      <c r="BBR28">
        <f t="array" ref="BBR28">_xlfn.XLOOKUP(BBR$11,Assumptions!$B$35:$H$35,_xlfn.XLOOKUP($C28,Assumptions!$B$36:$B$41,Assumptions!$B$36:$H$41))</f>
        <v>0</v>
      </c>
      <c r="BBS28">
        <f t="array" ref="BBS28">_xlfn.XLOOKUP(BBS$11,Assumptions!$B$35:$H$35,_xlfn.XLOOKUP($C28,Assumptions!$B$36:$B$41,Assumptions!$B$36:$H$41))</f>
        <v>0</v>
      </c>
      <c r="BBT28">
        <f t="array" ref="BBT28">_xlfn.XLOOKUP(BBT$11,Assumptions!$B$35:$H$35,_xlfn.XLOOKUP($C28,Assumptions!$B$36:$B$41,Assumptions!$B$36:$H$41))</f>
        <v>0</v>
      </c>
      <c r="BBU28">
        <f t="array" ref="BBU28">_xlfn.XLOOKUP(BBU$11,Assumptions!$B$35:$H$35,_xlfn.XLOOKUP($C28,Assumptions!$B$36:$B$41,Assumptions!$B$36:$H$41))</f>
        <v>0</v>
      </c>
      <c r="BBV28">
        <f t="array" ref="BBV28">_xlfn.XLOOKUP(BBV$11,Assumptions!$B$35:$H$35,_xlfn.XLOOKUP($C28,Assumptions!$B$36:$B$41,Assumptions!$B$36:$H$41))</f>
        <v>0</v>
      </c>
      <c r="BBW28">
        <f t="array" ref="BBW28">_xlfn.XLOOKUP(BBW$11,Assumptions!$B$35:$H$35,_xlfn.XLOOKUP($C28,Assumptions!$B$36:$B$41,Assumptions!$B$36:$H$41))</f>
        <v>0</v>
      </c>
      <c r="BBX28">
        <f t="array" ref="BBX28">_xlfn.XLOOKUP(BBX$11,Assumptions!$B$35:$H$35,_xlfn.XLOOKUP($C28,Assumptions!$B$36:$B$41,Assumptions!$B$36:$H$41))</f>
        <v>0</v>
      </c>
      <c r="BBY28">
        <f t="array" ref="BBY28">_xlfn.XLOOKUP(BBY$11,Assumptions!$B$35:$H$35,_xlfn.XLOOKUP($C28,Assumptions!$B$36:$B$41,Assumptions!$B$36:$H$41))</f>
        <v>0</v>
      </c>
      <c r="BBZ28">
        <f t="array" ref="BBZ28">_xlfn.XLOOKUP(BBZ$11,Assumptions!$B$35:$H$35,_xlfn.XLOOKUP($C28,Assumptions!$B$36:$B$41,Assumptions!$B$36:$H$41))</f>
        <v>0</v>
      </c>
      <c r="BCA28">
        <f t="array" ref="BCA28">_xlfn.XLOOKUP(BCA$11,Assumptions!$B$35:$H$35,_xlfn.XLOOKUP($C28,Assumptions!$B$36:$B$41,Assumptions!$B$36:$H$41))</f>
        <v>0</v>
      </c>
      <c r="BCB28">
        <f t="array" ref="BCB28">_xlfn.XLOOKUP(BCB$11,Assumptions!$B$35:$H$35,_xlfn.XLOOKUP($C28,Assumptions!$B$36:$B$41,Assumptions!$B$36:$H$41))</f>
        <v>0</v>
      </c>
      <c r="BCC28">
        <f t="array" ref="BCC28">_xlfn.XLOOKUP(BCC$11,Assumptions!$B$35:$H$35,_xlfn.XLOOKUP($C28,Assumptions!$B$36:$B$41,Assumptions!$B$36:$H$41))</f>
        <v>0</v>
      </c>
      <c r="BCD28">
        <f t="array" ref="BCD28">_xlfn.XLOOKUP(BCD$11,Assumptions!$B$35:$H$35,_xlfn.XLOOKUP($C28,Assumptions!$B$36:$B$41,Assumptions!$B$36:$H$41))</f>
        <v>0</v>
      </c>
      <c r="BCE28">
        <f t="array" ref="BCE28">_xlfn.XLOOKUP(BCE$11,Assumptions!$B$35:$H$35,_xlfn.XLOOKUP($C28,Assumptions!$B$36:$B$41,Assumptions!$B$36:$H$41))</f>
        <v>0</v>
      </c>
      <c r="BCF28">
        <f t="array" ref="BCF28">_xlfn.XLOOKUP(BCF$11,Assumptions!$B$35:$H$35,_xlfn.XLOOKUP($C28,Assumptions!$B$36:$B$41,Assumptions!$B$36:$H$41))</f>
        <v>0</v>
      </c>
      <c r="BCG28">
        <f t="array" ref="BCG28">_xlfn.XLOOKUP(BCG$11,Assumptions!$B$35:$H$35,_xlfn.XLOOKUP($C28,Assumptions!$B$36:$B$41,Assumptions!$B$36:$H$41))</f>
        <v>0</v>
      </c>
      <c r="BCH28">
        <f t="array" ref="BCH28">_xlfn.XLOOKUP(BCH$11,Assumptions!$B$35:$H$35,_xlfn.XLOOKUP($C28,Assumptions!$B$36:$B$41,Assumptions!$B$36:$H$41))</f>
        <v>0</v>
      </c>
      <c r="BCI28">
        <f t="array" ref="BCI28">_xlfn.XLOOKUP(BCI$11,Assumptions!$B$35:$H$35,_xlfn.XLOOKUP($C28,Assumptions!$B$36:$B$41,Assumptions!$B$36:$H$41))</f>
        <v>0</v>
      </c>
      <c r="BCJ28">
        <f t="array" ref="BCJ28">_xlfn.XLOOKUP(BCJ$11,Assumptions!$B$35:$H$35,_xlfn.XLOOKUP($C28,Assumptions!$B$36:$B$41,Assumptions!$B$36:$H$41))</f>
        <v>0</v>
      </c>
      <c r="BCK28">
        <f t="array" ref="BCK28">_xlfn.XLOOKUP(BCK$11,Assumptions!$B$35:$H$35,_xlfn.XLOOKUP($C28,Assumptions!$B$36:$B$41,Assumptions!$B$36:$H$41))</f>
        <v>0</v>
      </c>
      <c r="BCL28">
        <f t="array" ref="BCL28">_xlfn.XLOOKUP(BCL$11,Assumptions!$B$35:$H$35,_xlfn.XLOOKUP($C28,Assumptions!$B$36:$B$41,Assumptions!$B$36:$H$41))</f>
        <v>0</v>
      </c>
      <c r="BCM28">
        <f t="array" ref="BCM28">_xlfn.XLOOKUP(BCM$11,Assumptions!$B$35:$H$35,_xlfn.XLOOKUP($C28,Assumptions!$B$36:$B$41,Assumptions!$B$36:$H$41))</f>
        <v>0</v>
      </c>
      <c r="BCN28">
        <f t="array" ref="BCN28">_xlfn.XLOOKUP(BCN$11,Assumptions!$B$35:$H$35,_xlfn.XLOOKUP($C28,Assumptions!$B$36:$B$41,Assumptions!$B$36:$H$41))</f>
        <v>0</v>
      </c>
      <c r="BCO28">
        <f t="array" ref="BCO28">_xlfn.XLOOKUP(BCO$11,Assumptions!$B$35:$H$35,_xlfn.XLOOKUP($C28,Assumptions!$B$36:$B$41,Assumptions!$B$36:$H$41))</f>
        <v>0</v>
      </c>
      <c r="BCP28">
        <f t="array" ref="BCP28">_xlfn.XLOOKUP(BCP$11,Assumptions!$B$35:$H$35,_xlfn.XLOOKUP($C28,Assumptions!$B$36:$B$41,Assumptions!$B$36:$H$41))</f>
        <v>0</v>
      </c>
      <c r="BCQ28">
        <f t="array" ref="BCQ28">_xlfn.XLOOKUP(BCQ$11,Assumptions!$B$35:$H$35,_xlfn.XLOOKUP($C28,Assumptions!$B$36:$B$41,Assumptions!$B$36:$H$41))</f>
        <v>0</v>
      </c>
      <c r="BCR28">
        <f t="array" ref="BCR28">_xlfn.XLOOKUP(BCR$11,Assumptions!$B$35:$H$35,_xlfn.XLOOKUP($C28,Assumptions!$B$36:$B$41,Assumptions!$B$36:$H$41))</f>
        <v>0</v>
      </c>
      <c r="BCS28">
        <f t="array" ref="BCS28">_xlfn.XLOOKUP(BCS$11,Assumptions!$B$35:$H$35,_xlfn.XLOOKUP($C28,Assumptions!$B$36:$B$41,Assumptions!$B$36:$H$41))</f>
        <v>0</v>
      </c>
      <c r="BCT28">
        <f t="array" ref="BCT28">_xlfn.XLOOKUP(BCT$11,Assumptions!$B$35:$H$35,_xlfn.XLOOKUP($C28,Assumptions!$B$36:$B$41,Assumptions!$B$36:$H$41))</f>
        <v>0</v>
      </c>
      <c r="BCU28">
        <f t="array" ref="BCU28">_xlfn.XLOOKUP(BCU$11,Assumptions!$B$35:$H$35,_xlfn.XLOOKUP($C28,Assumptions!$B$36:$B$41,Assumptions!$B$36:$H$41))</f>
        <v>0</v>
      </c>
      <c r="BCV28">
        <f t="array" ref="BCV28">_xlfn.XLOOKUP(BCV$11,Assumptions!$B$35:$H$35,_xlfn.XLOOKUP($C28,Assumptions!$B$36:$B$41,Assumptions!$B$36:$H$41))</f>
        <v>0</v>
      </c>
      <c r="BCW28">
        <f t="array" ref="BCW28">_xlfn.XLOOKUP(BCW$11,Assumptions!$B$35:$H$35,_xlfn.XLOOKUP($C28,Assumptions!$B$36:$B$41,Assumptions!$B$36:$H$41))</f>
        <v>0</v>
      </c>
      <c r="BCX28">
        <f t="array" ref="BCX28">_xlfn.XLOOKUP(BCX$11,Assumptions!$B$35:$H$35,_xlfn.XLOOKUP($C28,Assumptions!$B$36:$B$41,Assumptions!$B$36:$H$41))</f>
        <v>0</v>
      </c>
      <c r="BCY28">
        <f t="array" ref="BCY28">_xlfn.XLOOKUP(BCY$11,Assumptions!$B$35:$H$35,_xlfn.XLOOKUP($C28,Assumptions!$B$36:$B$41,Assumptions!$B$36:$H$41))</f>
        <v>0</v>
      </c>
      <c r="BCZ28">
        <f t="array" ref="BCZ28">_xlfn.XLOOKUP(BCZ$11,Assumptions!$B$35:$H$35,_xlfn.XLOOKUP($C28,Assumptions!$B$36:$B$41,Assumptions!$B$36:$H$41))</f>
        <v>0</v>
      </c>
      <c r="BDA28">
        <f t="array" ref="BDA28">_xlfn.XLOOKUP(BDA$11,Assumptions!$B$35:$H$35,_xlfn.XLOOKUP($C28,Assumptions!$B$36:$B$41,Assumptions!$B$36:$H$41))</f>
        <v>0</v>
      </c>
      <c r="BDB28">
        <f t="array" ref="BDB28">_xlfn.XLOOKUP(BDB$11,Assumptions!$B$35:$H$35,_xlfn.XLOOKUP($C28,Assumptions!$B$36:$B$41,Assumptions!$B$36:$H$41))</f>
        <v>0</v>
      </c>
      <c r="BDC28">
        <f t="array" ref="BDC28">_xlfn.XLOOKUP(BDC$11,Assumptions!$B$35:$H$35,_xlfn.XLOOKUP($C28,Assumptions!$B$36:$B$41,Assumptions!$B$36:$H$41))</f>
        <v>0</v>
      </c>
      <c r="BDD28">
        <f t="array" ref="BDD28">_xlfn.XLOOKUP(BDD$11,Assumptions!$B$35:$H$35,_xlfn.XLOOKUP($C28,Assumptions!$B$36:$B$41,Assumptions!$B$36:$H$41))</f>
        <v>0</v>
      </c>
      <c r="BDE28">
        <f t="array" ref="BDE28">_xlfn.XLOOKUP(BDE$11,Assumptions!$B$35:$H$35,_xlfn.XLOOKUP($C28,Assumptions!$B$36:$B$41,Assumptions!$B$36:$H$41))</f>
        <v>0</v>
      </c>
      <c r="BDF28">
        <f t="array" ref="BDF28">_xlfn.XLOOKUP(BDF$11,Assumptions!$B$35:$H$35,_xlfn.XLOOKUP($C28,Assumptions!$B$36:$B$41,Assumptions!$B$36:$H$41))</f>
        <v>0</v>
      </c>
      <c r="BDG28">
        <f t="array" ref="BDG28">_xlfn.XLOOKUP(BDG$11,Assumptions!$B$35:$H$35,_xlfn.XLOOKUP($C28,Assumptions!$B$36:$B$41,Assumptions!$B$36:$H$41))</f>
        <v>0</v>
      </c>
      <c r="BDH28">
        <f t="array" ref="BDH28">_xlfn.XLOOKUP(BDH$11,Assumptions!$B$35:$H$35,_xlfn.XLOOKUP($C28,Assumptions!$B$36:$B$41,Assumptions!$B$36:$H$41))</f>
        <v>0</v>
      </c>
      <c r="BDI28">
        <f t="array" ref="BDI28">_xlfn.XLOOKUP(BDI$11,Assumptions!$B$35:$H$35,_xlfn.XLOOKUP($C28,Assumptions!$B$36:$B$41,Assumptions!$B$36:$H$41))</f>
        <v>0</v>
      </c>
      <c r="BDJ28">
        <f t="array" ref="BDJ28">_xlfn.XLOOKUP(BDJ$11,Assumptions!$B$35:$H$35,_xlfn.XLOOKUP($C28,Assumptions!$B$36:$B$41,Assumptions!$B$36:$H$41))</f>
        <v>0</v>
      </c>
      <c r="BDK28">
        <f t="array" ref="BDK28">_xlfn.XLOOKUP(BDK$11,Assumptions!$B$35:$H$35,_xlfn.XLOOKUP($C28,Assumptions!$B$36:$B$41,Assumptions!$B$36:$H$41))</f>
        <v>0</v>
      </c>
      <c r="BDL28">
        <f t="array" ref="BDL28">_xlfn.XLOOKUP(BDL$11,Assumptions!$B$35:$H$35,_xlfn.XLOOKUP($C28,Assumptions!$B$36:$B$41,Assumptions!$B$36:$H$41))</f>
        <v>0</v>
      </c>
      <c r="BDM28">
        <f t="array" ref="BDM28">_xlfn.XLOOKUP(BDM$11,Assumptions!$B$35:$H$35,_xlfn.XLOOKUP($C28,Assumptions!$B$36:$B$41,Assumptions!$B$36:$H$41))</f>
        <v>0</v>
      </c>
      <c r="BDN28">
        <f t="array" ref="BDN28">_xlfn.XLOOKUP(BDN$11,Assumptions!$B$35:$H$35,_xlfn.XLOOKUP($C28,Assumptions!$B$36:$B$41,Assumptions!$B$36:$H$41))</f>
        <v>0</v>
      </c>
      <c r="BDO28">
        <f t="array" ref="BDO28">_xlfn.XLOOKUP(BDO$11,Assumptions!$B$35:$H$35,_xlfn.XLOOKUP($C28,Assumptions!$B$36:$B$41,Assumptions!$B$36:$H$41))</f>
        <v>0</v>
      </c>
      <c r="BDP28">
        <f t="array" ref="BDP28">_xlfn.XLOOKUP(BDP$11,Assumptions!$B$35:$H$35,_xlfn.XLOOKUP($C28,Assumptions!$B$36:$B$41,Assumptions!$B$36:$H$41))</f>
        <v>0</v>
      </c>
      <c r="BDQ28">
        <f t="array" ref="BDQ28">_xlfn.XLOOKUP(BDQ$11,Assumptions!$B$35:$H$35,_xlfn.XLOOKUP($C28,Assumptions!$B$36:$B$41,Assumptions!$B$36:$H$41))</f>
        <v>0</v>
      </c>
      <c r="BDR28">
        <f t="array" ref="BDR28">_xlfn.XLOOKUP(BDR$11,Assumptions!$B$35:$H$35,_xlfn.XLOOKUP($C28,Assumptions!$B$36:$B$41,Assumptions!$B$36:$H$41))</f>
        <v>0</v>
      </c>
      <c r="BDS28">
        <f t="array" ref="BDS28">_xlfn.XLOOKUP(BDS$11,Assumptions!$B$35:$H$35,_xlfn.XLOOKUP($C28,Assumptions!$B$36:$B$41,Assumptions!$B$36:$H$41))</f>
        <v>0</v>
      </c>
      <c r="BDT28">
        <f t="array" ref="BDT28">_xlfn.XLOOKUP(BDT$11,Assumptions!$B$35:$H$35,_xlfn.XLOOKUP($C28,Assumptions!$B$36:$B$41,Assumptions!$B$36:$H$41))</f>
        <v>0</v>
      </c>
      <c r="BDU28">
        <f t="array" ref="BDU28">_xlfn.XLOOKUP(BDU$11,Assumptions!$B$35:$H$35,_xlfn.XLOOKUP($C28,Assumptions!$B$36:$B$41,Assumptions!$B$36:$H$41))</f>
        <v>0</v>
      </c>
      <c r="BDV28">
        <f t="array" ref="BDV28">_xlfn.XLOOKUP(BDV$11,Assumptions!$B$35:$H$35,_xlfn.XLOOKUP($C28,Assumptions!$B$36:$B$41,Assumptions!$B$36:$H$41))</f>
        <v>0</v>
      </c>
      <c r="BDW28">
        <f t="array" ref="BDW28">_xlfn.XLOOKUP(BDW$11,Assumptions!$B$35:$H$35,_xlfn.XLOOKUP($C28,Assumptions!$B$36:$B$41,Assumptions!$B$36:$H$41))</f>
        <v>0</v>
      </c>
      <c r="BDX28">
        <f t="array" ref="BDX28">_xlfn.XLOOKUP(BDX$11,Assumptions!$B$35:$H$35,_xlfn.XLOOKUP($C28,Assumptions!$B$36:$B$41,Assumptions!$B$36:$H$41))</f>
        <v>0</v>
      </c>
      <c r="BDY28">
        <f t="array" ref="BDY28">_xlfn.XLOOKUP(BDY$11,Assumptions!$B$35:$H$35,_xlfn.XLOOKUP($C28,Assumptions!$B$36:$B$41,Assumptions!$B$36:$H$41))</f>
        <v>0</v>
      </c>
      <c r="BDZ28">
        <f t="array" ref="BDZ28">_xlfn.XLOOKUP(BDZ$11,Assumptions!$B$35:$H$35,_xlfn.XLOOKUP($C28,Assumptions!$B$36:$B$41,Assumptions!$B$36:$H$41))</f>
        <v>0</v>
      </c>
      <c r="BEA28">
        <f t="array" ref="BEA28">_xlfn.XLOOKUP(BEA$11,Assumptions!$B$35:$H$35,_xlfn.XLOOKUP($C28,Assumptions!$B$36:$B$41,Assumptions!$B$36:$H$41))</f>
        <v>0</v>
      </c>
      <c r="BEB28">
        <f t="array" ref="BEB28">_xlfn.XLOOKUP(BEB$11,Assumptions!$B$35:$H$35,_xlfn.XLOOKUP($C28,Assumptions!$B$36:$B$41,Assumptions!$B$36:$H$41))</f>
        <v>0</v>
      </c>
      <c r="BEC28">
        <f t="array" ref="BEC28">_xlfn.XLOOKUP(BEC$11,Assumptions!$B$35:$H$35,_xlfn.XLOOKUP($C28,Assumptions!$B$36:$B$41,Assumptions!$B$36:$H$41))</f>
        <v>0</v>
      </c>
      <c r="BED28">
        <f t="array" ref="BED28">_xlfn.XLOOKUP(BED$11,Assumptions!$B$35:$H$35,_xlfn.XLOOKUP($C28,Assumptions!$B$36:$B$41,Assumptions!$B$36:$H$41))</f>
        <v>0</v>
      </c>
      <c r="BEE28">
        <f t="array" ref="BEE28">_xlfn.XLOOKUP(BEE$11,Assumptions!$B$35:$H$35,_xlfn.XLOOKUP($C28,Assumptions!$B$36:$B$41,Assumptions!$B$36:$H$41))</f>
        <v>0</v>
      </c>
      <c r="BEF28">
        <f t="array" ref="BEF28">_xlfn.XLOOKUP(BEF$11,Assumptions!$B$35:$H$35,_xlfn.XLOOKUP($C28,Assumptions!$B$36:$B$41,Assumptions!$B$36:$H$41))</f>
        <v>0</v>
      </c>
      <c r="BEG28">
        <f t="array" ref="BEG28">_xlfn.XLOOKUP(BEG$11,Assumptions!$B$35:$H$35,_xlfn.XLOOKUP($C28,Assumptions!$B$36:$B$41,Assumptions!$B$36:$H$41))</f>
        <v>0</v>
      </c>
      <c r="BEH28">
        <f t="array" ref="BEH28">_xlfn.XLOOKUP(BEH$11,Assumptions!$B$35:$H$35,_xlfn.XLOOKUP($C28,Assumptions!$B$36:$B$41,Assumptions!$B$36:$H$41))</f>
        <v>0</v>
      </c>
      <c r="BEI28">
        <f t="array" ref="BEI28">_xlfn.XLOOKUP(BEI$11,Assumptions!$B$35:$H$35,_xlfn.XLOOKUP($C28,Assumptions!$B$36:$B$41,Assumptions!$B$36:$H$41))</f>
        <v>0</v>
      </c>
      <c r="BEJ28">
        <f t="array" ref="BEJ28">_xlfn.XLOOKUP(BEJ$11,Assumptions!$B$35:$H$35,_xlfn.XLOOKUP($C28,Assumptions!$B$36:$B$41,Assumptions!$B$36:$H$41))</f>
        <v>0</v>
      </c>
      <c r="BEK28">
        <f t="array" ref="BEK28">_xlfn.XLOOKUP(BEK$11,Assumptions!$B$35:$H$35,_xlfn.XLOOKUP($C28,Assumptions!$B$36:$B$41,Assumptions!$B$36:$H$41))</f>
        <v>0</v>
      </c>
      <c r="BEL28">
        <f t="array" ref="BEL28">_xlfn.XLOOKUP(BEL$11,Assumptions!$B$35:$H$35,_xlfn.XLOOKUP($C28,Assumptions!$B$36:$B$41,Assumptions!$B$36:$H$41))</f>
        <v>0</v>
      </c>
      <c r="BEM28">
        <f t="array" ref="BEM28">_xlfn.XLOOKUP(BEM$11,Assumptions!$B$35:$H$35,_xlfn.XLOOKUP($C28,Assumptions!$B$36:$B$41,Assumptions!$B$36:$H$41))</f>
        <v>0</v>
      </c>
      <c r="BEN28">
        <f t="array" ref="BEN28">_xlfn.XLOOKUP(BEN$11,Assumptions!$B$35:$H$35,_xlfn.XLOOKUP($C28,Assumptions!$B$36:$B$41,Assumptions!$B$36:$H$41))</f>
        <v>0</v>
      </c>
      <c r="BEO28">
        <f t="array" ref="BEO28">_xlfn.XLOOKUP(BEO$11,Assumptions!$B$35:$H$35,_xlfn.XLOOKUP($C28,Assumptions!$B$36:$B$41,Assumptions!$B$36:$H$41))</f>
        <v>0</v>
      </c>
      <c r="BEP28">
        <f t="array" ref="BEP28">_xlfn.XLOOKUP(BEP$11,Assumptions!$B$35:$H$35,_xlfn.XLOOKUP($C28,Assumptions!$B$36:$B$41,Assumptions!$B$36:$H$41))</f>
        <v>0</v>
      </c>
      <c r="BEQ28">
        <f t="array" ref="BEQ28">_xlfn.XLOOKUP(BEQ$11,Assumptions!$B$35:$H$35,_xlfn.XLOOKUP($C28,Assumptions!$B$36:$B$41,Assumptions!$B$36:$H$41))</f>
        <v>0</v>
      </c>
      <c r="BER28">
        <f t="array" ref="BER28">_xlfn.XLOOKUP(BER$11,Assumptions!$B$35:$H$35,_xlfn.XLOOKUP($C28,Assumptions!$B$36:$B$41,Assumptions!$B$36:$H$41))</f>
        <v>0</v>
      </c>
      <c r="BES28">
        <f t="array" ref="BES28">_xlfn.XLOOKUP(BES$11,Assumptions!$B$35:$H$35,_xlfn.XLOOKUP($C28,Assumptions!$B$36:$B$41,Assumptions!$B$36:$H$41))</f>
        <v>0</v>
      </c>
      <c r="BET28">
        <f t="array" ref="BET28">_xlfn.XLOOKUP(BET$11,Assumptions!$B$35:$H$35,_xlfn.XLOOKUP($C28,Assumptions!$B$36:$B$41,Assumptions!$B$36:$H$41))</f>
        <v>0</v>
      </c>
      <c r="BEU28">
        <f t="array" ref="BEU28">_xlfn.XLOOKUP(BEU$11,Assumptions!$B$35:$H$35,_xlfn.XLOOKUP($C28,Assumptions!$B$36:$B$41,Assumptions!$B$36:$H$41))</f>
        <v>0</v>
      </c>
      <c r="BEV28">
        <f t="array" ref="BEV28">_xlfn.XLOOKUP(BEV$11,Assumptions!$B$35:$H$35,_xlfn.XLOOKUP($C28,Assumptions!$B$36:$B$41,Assumptions!$B$36:$H$41))</f>
        <v>0</v>
      </c>
      <c r="BEW28">
        <f t="array" ref="BEW28">_xlfn.XLOOKUP(BEW$11,Assumptions!$B$35:$H$35,_xlfn.XLOOKUP($C28,Assumptions!$B$36:$B$41,Assumptions!$B$36:$H$41))</f>
        <v>0</v>
      </c>
      <c r="BEX28">
        <f t="array" ref="BEX28">_xlfn.XLOOKUP(BEX$11,Assumptions!$B$35:$H$35,_xlfn.XLOOKUP($C28,Assumptions!$B$36:$B$41,Assumptions!$B$36:$H$41))</f>
        <v>0</v>
      </c>
      <c r="BEY28">
        <f t="array" ref="BEY28">_xlfn.XLOOKUP(BEY$11,Assumptions!$B$35:$H$35,_xlfn.XLOOKUP($C28,Assumptions!$B$36:$B$41,Assumptions!$B$36:$H$41))</f>
        <v>0</v>
      </c>
      <c r="BEZ28">
        <f t="array" ref="BEZ28">_xlfn.XLOOKUP(BEZ$11,Assumptions!$B$35:$H$35,_xlfn.XLOOKUP($C28,Assumptions!$B$36:$B$41,Assumptions!$B$36:$H$41))</f>
        <v>0</v>
      </c>
      <c r="BFA28">
        <f t="array" ref="BFA28">_xlfn.XLOOKUP(BFA$11,Assumptions!$B$35:$H$35,_xlfn.XLOOKUP($C28,Assumptions!$B$36:$B$41,Assumptions!$B$36:$H$41))</f>
        <v>0</v>
      </c>
      <c r="BFB28">
        <f t="array" ref="BFB28">_xlfn.XLOOKUP(BFB$11,Assumptions!$B$35:$H$35,_xlfn.XLOOKUP($C28,Assumptions!$B$36:$B$41,Assumptions!$B$36:$H$41))</f>
        <v>0</v>
      </c>
      <c r="BFC28">
        <f t="array" ref="BFC28">_xlfn.XLOOKUP(BFC$11,Assumptions!$B$35:$H$35,_xlfn.XLOOKUP($C28,Assumptions!$B$36:$B$41,Assumptions!$B$36:$H$41))</f>
        <v>0</v>
      </c>
      <c r="BFD28">
        <f t="array" ref="BFD28">_xlfn.XLOOKUP(BFD$11,Assumptions!$B$35:$H$35,_xlfn.XLOOKUP($C28,Assumptions!$B$36:$B$41,Assumptions!$B$36:$H$41))</f>
        <v>0</v>
      </c>
      <c r="BFE28">
        <f t="array" ref="BFE28">_xlfn.XLOOKUP(BFE$11,Assumptions!$B$35:$H$35,_xlfn.XLOOKUP($C28,Assumptions!$B$36:$B$41,Assumptions!$B$36:$H$41))</f>
        <v>0</v>
      </c>
      <c r="BFF28">
        <f t="array" ref="BFF28">_xlfn.XLOOKUP(BFF$11,Assumptions!$B$35:$H$35,_xlfn.XLOOKUP($C28,Assumptions!$B$36:$B$41,Assumptions!$B$36:$H$41))</f>
        <v>0</v>
      </c>
      <c r="BFG28">
        <f t="array" ref="BFG28">_xlfn.XLOOKUP(BFG$11,Assumptions!$B$35:$H$35,_xlfn.XLOOKUP($C28,Assumptions!$B$36:$B$41,Assumptions!$B$36:$H$41))</f>
        <v>0</v>
      </c>
      <c r="BFH28">
        <f t="array" ref="BFH28">_xlfn.XLOOKUP(BFH$11,Assumptions!$B$35:$H$35,_xlfn.XLOOKUP($C28,Assumptions!$B$36:$B$41,Assumptions!$B$36:$H$41))</f>
        <v>0</v>
      </c>
      <c r="BFI28">
        <f t="array" ref="BFI28">_xlfn.XLOOKUP(BFI$11,Assumptions!$B$35:$H$35,_xlfn.XLOOKUP($C28,Assumptions!$B$36:$B$41,Assumptions!$B$36:$H$41))</f>
        <v>0</v>
      </c>
      <c r="BFJ28">
        <f t="array" ref="BFJ28">_xlfn.XLOOKUP(BFJ$11,Assumptions!$B$35:$H$35,_xlfn.XLOOKUP($C28,Assumptions!$B$36:$B$41,Assumptions!$B$36:$H$41))</f>
        <v>0</v>
      </c>
      <c r="BFK28">
        <f t="array" ref="BFK28">_xlfn.XLOOKUP(BFK$11,Assumptions!$B$35:$H$35,_xlfn.XLOOKUP($C28,Assumptions!$B$36:$B$41,Assumptions!$B$36:$H$41))</f>
        <v>0</v>
      </c>
      <c r="BFL28">
        <f t="array" ref="BFL28">_xlfn.XLOOKUP(BFL$11,Assumptions!$B$35:$H$35,_xlfn.XLOOKUP($C28,Assumptions!$B$36:$B$41,Assumptions!$B$36:$H$41))</f>
        <v>0</v>
      </c>
      <c r="BFM28">
        <f t="array" ref="BFM28">_xlfn.XLOOKUP(BFM$11,Assumptions!$B$35:$H$35,_xlfn.XLOOKUP($C28,Assumptions!$B$36:$B$41,Assumptions!$B$36:$H$41))</f>
        <v>0</v>
      </c>
      <c r="BFN28">
        <f t="array" ref="BFN28">_xlfn.XLOOKUP(BFN$11,Assumptions!$B$35:$H$35,_xlfn.XLOOKUP($C28,Assumptions!$B$36:$B$41,Assumptions!$B$36:$H$41))</f>
        <v>0</v>
      </c>
      <c r="BFO28">
        <f t="array" ref="BFO28">_xlfn.XLOOKUP(BFO$11,Assumptions!$B$35:$H$35,_xlfn.XLOOKUP($C28,Assumptions!$B$36:$B$41,Assumptions!$B$36:$H$41))</f>
        <v>0</v>
      </c>
      <c r="BFP28">
        <f t="array" ref="BFP28">_xlfn.XLOOKUP(BFP$11,Assumptions!$B$35:$H$35,_xlfn.XLOOKUP($C28,Assumptions!$B$36:$B$41,Assumptions!$B$36:$H$41))</f>
        <v>0</v>
      </c>
      <c r="BFQ28">
        <f t="array" ref="BFQ28">_xlfn.XLOOKUP(BFQ$11,Assumptions!$B$35:$H$35,_xlfn.XLOOKUP($C28,Assumptions!$B$36:$B$41,Assumptions!$B$36:$H$41))</f>
        <v>0</v>
      </c>
      <c r="BFR28">
        <f t="array" ref="BFR28">_xlfn.XLOOKUP(BFR$11,Assumptions!$B$35:$H$35,_xlfn.XLOOKUP($C28,Assumptions!$B$36:$B$41,Assumptions!$B$36:$H$41))</f>
        <v>0</v>
      </c>
      <c r="BFS28">
        <f t="array" ref="BFS28">_xlfn.XLOOKUP(BFS$11,Assumptions!$B$35:$H$35,_xlfn.XLOOKUP($C28,Assumptions!$B$36:$B$41,Assumptions!$B$36:$H$41))</f>
        <v>0</v>
      </c>
      <c r="BFT28">
        <f t="array" ref="BFT28">_xlfn.XLOOKUP(BFT$11,Assumptions!$B$35:$H$35,_xlfn.XLOOKUP($C28,Assumptions!$B$36:$B$41,Assumptions!$B$36:$H$41))</f>
        <v>0</v>
      </c>
      <c r="BFU28">
        <f t="array" ref="BFU28">_xlfn.XLOOKUP(BFU$11,Assumptions!$B$35:$H$35,_xlfn.XLOOKUP($C28,Assumptions!$B$36:$B$41,Assumptions!$B$36:$H$41))</f>
        <v>0</v>
      </c>
      <c r="BFV28">
        <f t="array" ref="BFV28">_xlfn.XLOOKUP(BFV$11,Assumptions!$B$35:$H$35,_xlfn.XLOOKUP($C28,Assumptions!$B$36:$B$41,Assumptions!$B$36:$H$41))</f>
        <v>0</v>
      </c>
      <c r="BFW28">
        <f t="array" ref="BFW28">_xlfn.XLOOKUP(BFW$11,Assumptions!$B$35:$H$35,_xlfn.XLOOKUP($C28,Assumptions!$B$36:$B$41,Assumptions!$B$36:$H$41))</f>
        <v>0</v>
      </c>
      <c r="BFX28">
        <f t="array" ref="BFX28">_xlfn.XLOOKUP(BFX$11,Assumptions!$B$35:$H$35,_xlfn.XLOOKUP($C28,Assumptions!$B$36:$B$41,Assumptions!$B$36:$H$41))</f>
        <v>0</v>
      </c>
      <c r="BFY28">
        <f t="array" ref="BFY28">_xlfn.XLOOKUP(BFY$11,Assumptions!$B$35:$H$35,_xlfn.XLOOKUP($C28,Assumptions!$B$36:$B$41,Assumptions!$B$36:$H$41))</f>
        <v>0</v>
      </c>
      <c r="BFZ28">
        <f t="array" ref="BFZ28">_xlfn.XLOOKUP(BFZ$11,Assumptions!$B$35:$H$35,_xlfn.XLOOKUP($C28,Assumptions!$B$36:$B$41,Assumptions!$B$36:$H$41))</f>
        <v>0</v>
      </c>
      <c r="BGA28">
        <f t="array" ref="BGA28">_xlfn.XLOOKUP(BGA$11,Assumptions!$B$35:$H$35,_xlfn.XLOOKUP($C28,Assumptions!$B$36:$B$41,Assumptions!$B$36:$H$41))</f>
        <v>0</v>
      </c>
      <c r="BGB28">
        <f t="array" ref="BGB28">_xlfn.XLOOKUP(BGB$11,Assumptions!$B$35:$H$35,_xlfn.XLOOKUP($C28,Assumptions!$B$36:$B$41,Assumptions!$B$36:$H$41))</f>
        <v>0</v>
      </c>
      <c r="BGC28">
        <f t="array" ref="BGC28">_xlfn.XLOOKUP(BGC$11,Assumptions!$B$35:$H$35,_xlfn.XLOOKUP($C28,Assumptions!$B$36:$B$41,Assumptions!$B$36:$H$41))</f>
        <v>0</v>
      </c>
      <c r="BGD28">
        <f t="array" ref="BGD28">_xlfn.XLOOKUP(BGD$11,Assumptions!$B$35:$H$35,_xlfn.XLOOKUP($C28,Assumptions!$B$36:$B$41,Assumptions!$B$36:$H$41))</f>
        <v>0</v>
      </c>
      <c r="BGE28">
        <f t="array" ref="BGE28">_xlfn.XLOOKUP(BGE$11,Assumptions!$B$35:$H$35,_xlfn.XLOOKUP($C28,Assumptions!$B$36:$B$41,Assumptions!$B$36:$H$41))</f>
        <v>0</v>
      </c>
      <c r="BGF28">
        <f t="array" ref="BGF28">_xlfn.XLOOKUP(BGF$11,Assumptions!$B$35:$H$35,_xlfn.XLOOKUP($C28,Assumptions!$B$36:$B$41,Assumptions!$B$36:$H$41))</f>
        <v>0</v>
      </c>
      <c r="BGG28">
        <f t="array" ref="BGG28">_xlfn.XLOOKUP(BGG$11,Assumptions!$B$35:$H$35,_xlfn.XLOOKUP($C28,Assumptions!$B$36:$B$41,Assumptions!$B$36:$H$41))</f>
        <v>0</v>
      </c>
      <c r="BGH28">
        <f t="array" ref="BGH28">_xlfn.XLOOKUP(BGH$11,Assumptions!$B$35:$H$35,_xlfn.XLOOKUP($C28,Assumptions!$B$36:$B$41,Assumptions!$B$36:$H$41))</f>
        <v>0</v>
      </c>
      <c r="BGI28">
        <f t="array" ref="BGI28">_xlfn.XLOOKUP(BGI$11,Assumptions!$B$35:$H$35,_xlfn.XLOOKUP($C28,Assumptions!$B$36:$B$41,Assumptions!$B$36:$H$41))</f>
        <v>0</v>
      </c>
      <c r="BGJ28">
        <f t="array" ref="BGJ28">_xlfn.XLOOKUP(BGJ$11,Assumptions!$B$35:$H$35,_xlfn.XLOOKUP($C28,Assumptions!$B$36:$B$41,Assumptions!$B$36:$H$41))</f>
        <v>0</v>
      </c>
      <c r="BGK28">
        <f t="array" ref="BGK28">_xlfn.XLOOKUP(BGK$11,Assumptions!$B$35:$H$35,_xlfn.XLOOKUP($C28,Assumptions!$B$36:$B$41,Assumptions!$B$36:$H$41))</f>
        <v>0</v>
      </c>
      <c r="BGL28">
        <f t="array" ref="BGL28">_xlfn.XLOOKUP(BGL$11,Assumptions!$B$35:$H$35,_xlfn.XLOOKUP($C28,Assumptions!$B$36:$B$41,Assumptions!$B$36:$H$41))</f>
        <v>0</v>
      </c>
      <c r="BGM28">
        <f t="array" ref="BGM28">_xlfn.XLOOKUP(BGM$11,Assumptions!$B$35:$H$35,_xlfn.XLOOKUP($C28,Assumptions!$B$36:$B$41,Assumptions!$B$36:$H$41))</f>
        <v>0</v>
      </c>
      <c r="BGN28">
        <f t="array" ref="BGN28">_xlfn.XLOOKUP(BGN$11,Assumptions!$B$35:$H$35,_xlfn.XLOOKUP($C28,Assumptions!$B$36:$B$41,Assumptions!$B$36:$H$41))</f>
        <v>0</v>
      </c>
      <c r="BGO28">
        <f t="array" ref="BGO28">_xlfn.XLOOKUP(BGO$11,Assumptions!$B$35:$H$35,_xlfn.XLOOKUP($C28,Assumptions!$B$36:$B$41,Assumptions!$B$36:$H$41))</f>
        <v>0</v>
      </c>
      <c r="BGP28">
        <f t="array" ref="BGP28">_xlfn.XLOOKUP(BGP$11,Assumptions!$B$35:$H$35,_xlfn.XLOOKUP($C28,Assumptions!$B$36:$B$41,Assumptions!$B$36:$H$41))</f>
        <v>0</v>
      </c>
      <c r="BGQ28">
        <f t="array" ref="BGQ28">_xlfn.XLOOKUP(BGQ$11,Assumptions!$B$35:$H$35,_xlfn.XLOOKUP($C28,Assumptions!$B$36:$B$41,Assumptions!$B$36:$H$41))</f>
        <v>0</v>
      </c>
      <c r="BGR28">
        <f t="array" ref="BGR28">_xlfn.XLOOKUP(BGR$11,Assumptions!$B$35:$H$35,_xlfn.XLOOKUP($C28,Assumptions!$B$36:$B$41,Assumptions!$B$36:$H$41))</f>
        <v>0</v>
      </c>
      <c r="BGS28">
        <f t="array" ref="BGS28">_xlfn.XLOOKUP(BGS$11,Assumptions!$B$35:$H$35,_xlfn.XLOOKUP($C28,Assumptions!$B$36:$B$41,Assumptions!$B$36:$H$41))</f>
        <v>0</v>
      </c>
      <c r="BGT28">
        <f t="array" ref="BGT28">_xlfn.XLOOKUP(BGT$11,Assumptions!$B$35:$H$35,_xlfn.XLOOKUP($C28,Assumptions!$B$36:$B$41,Assumptions!$B$36:$H$41))</f>
        <v>0</v>
      </c>
      <c r="BGU28">
        <f t="array" ref="BGU28">_xlfn.XLOOKUP(BGU$11,Assumptions!$B$35:$H$35,_xlfn.XLOOKUP($C28,Assumptions!$B$36:$B$41,Assumptions!$B$36:$H$41))</f>
        <v>0</v>
      </c>
      <c r="BGV28">
        <f t="array" ref="BGV28">_xlfn.XLOOKUP(BGV$11,Assumptions!$B$35:$H$35,_xlfn.XLOOKUP($C28,Assumptions!$B$36:$B$41,Assumptions!$B$36:$H$41))</f>
        <v>0</v>
      </c>
      <c r="BGW28">
        <f t="array" ref="BGW28">_xlfn.XLOOKUP(BGW$11,Assumptions!$B$35:$H$35,_xlfn.XLOOKUP($C28,Assumptions!$B$36:$B$41,Assumptions!$B$36:$H$41))</f>
        <v>0</v>
      </c>
      <c r="BGX28">
        <f t="array" ref="BGX28">_xlfn.XLOOKUP(BGX$11,Assumptions!$B$35:$H$35,_xlfn.XLOOKUP($C28,Assumptions!$B$36:$B$41,Assumptions!$B$36:$H$41))</f>
        <v>0</v>
      </c>
      <c r="BGY28">
        <f t="array" ref="BGY28">_xlfn.XLOOKUP(BGY$11,Assumptions!$B$35:$H$35,_xlfn.XLOOKUP($C28,Assumptions!$B$36:$B$41,Assumptions!$B$36:$H$41))</f>
        <v>0</v>
      </c>
      <c r="BGZ28">
        <f t="array" ref="BGZ28">_xlfn.XLOOKUP(BGZ$11,Assumptions!$B$35:$H$35,_xlfn.XLOOKUP($C28,Assumptions!$B$36:$B$41,Assumptions!$B$36:$H$41))</f>
        <v>0</v>
      </c>
      <c r="BHA28">
        <f t="array" ref="BHA28">_xlfn.XLOOKUP(BHA$11,Assumptions!$B$35:$H$35,_xlfn.XLOOKUP($C28,Assumptions!$B$36:$B$41,Assumptions!$B$36:$H$41))</f>
        <v>0</v>
      </c>
      <c r="BHB28">
        <f t="array" ref="BHB28">_xlfn.XLOOKUP(BHB$11,Assumptions!$B$35:$H$35,_xlfn.XLOOKUP($C28,Assumptions!$B$36:$B$41,Assumptions!$B$36:$H$41))</f>
        <v>0</v>
      </c>
      <c r="BHC28">
        <f t="array" ref="BHC28">_xlfn.XLOOKUP(BHC$11,Assumptions!$B$35:$H$35,_xlfn.XLOOKUP($C28,Assumptions!$B$36:$B$41,Assumptions!$B$36:$H$41))</f>
        <v>0</v>
      </c>
      <c r="BHD28">
        <f t="array" ref="BHD28">_xlfn.XLOOKUP(BHD$11,Assumptions!$B$35:$H$35,_xlfn.XLOOKUP($C28,Assumptions!$B$36:$B$41,Assumptions!$B$36:$H$41))</f>
        <v>0</v>
      </c>
      <c r="BHE28">
        <f t="array" ref="BHE28">_xlfn.XLOOKUP(BHE$11,Assumptions!$B$35:$H$35,_xlfn.XLOOKUP($C28,Assumptions!$B$36:$B$41,Assumptions!$B$36:$H$41))</f>
        <v>0</v>
      </c>
      <c r="BHF28">
        <f t="array" ref="BHF28">_xlfn.XLOOKUP(BHF$11,Assumptions!$B$35:$H$35,_xlfn.XLOOKUP($C28,Assumptions!$B$36:$B$41,Assumptions!$B$36:$H$41))</f>
        <v>0</v>
      </c>
      <c r="BHG28">
        <f t="array" ref="BHG28">_xlfn.XLOOKUP(BHG$11,Assumptions!$B$35:$H$35,_xlfn.XLOOKUP($C28,Assumptions!$B$36:$B$41,Assumptions!$B$36:$H$41))</f>
        <v>0</v>
      </c>
      <c r="BHH28">
        <f t="array" ref="BHH28">_xlfn.XLOOKUP(BHH$11,Assumptions!$B$35:$H$35,_xlfn.XLOOKUP($C28,Assumptions!$B$36:$B$41,Assumptions!$B$36:$H$41))</f>
        <v>0</v>
      </c>
      <c r="BHI28">
        <f t="array" ref="BHI28">_xlfn.XLOOKUP(BHI$11,Assumptions!$B$35:$H$35,_xlfn.XLOOKUP($C28,Assumptions!$B$36:$B$41,Assumptions!$B$36:$H$41))</f>
        <v>0</v>
      </c>
      <c r="BHJ28">
        <f t="array" ref="BHJ28">_xlfn.XLOOKUP(BHJ$11,Assumptions!$B$35:$H$35,_xlfn.XLOOKUP($C28,Assumptions!$B$36:$B$41,Assumptions!$B$36:$H$41))</f>
        <v>0</v>
      </c>
      <c r="BHK28">
        <f t="array" ref="BHK28">_xlfn.XLOOKUP(BHK$11,Assumptions!$B$35:$H$35,_xlfn.XLOOKUP($C28,Assumptions!$B$36:$B$41,Assumptions!$B$36:$H$41))</f>
        <v>0</v>
      </c>
      <c r="BHL28">
        <f t="array" ref="BHL28">_xlfn.XLOOKUP(BHL$11,Assumptions!$B$35:$H$35,_xlfn.XLOOKUP($C28,Assumptions!$B$36:$B$41,Assumptions!$B$36:$H$41))</f>
        <v>0</v>
      </c>
      <c r="BHM28">
        <f t="array" ref="BHM28">_xlfn.XLOOKUP(BHM$11,Assumptions!$B$35:$H$35,_xlfn.XLOOKUP($C28,Assumptions!$B$36:$B$41,Assumptions!$B$36:$H$41))</f>
        <v>0</v>
      </c>
      <c r="BHN28">
        <f t="array" ref="BHN28">_xlfn.XLOOKUP(BHN$11,Assumptions!$B$35:$H$35,_xlfn.XLOOKUP($C28,Assumptions!$B$36:$B$41,Assumptions!$B$36:$H$41))</f>
        <v>0</v>
      </c>
      <c r="BHO28">
        <f t="array" ref="BHO28">_xlfn.XLOOKUP(BHO$11,Assumptions!$B$35:$H$35,_xlfn.XLOOKUP($C28,Assumptions!$B$36:$B$41,Assumptions!$B$36:$H$41))</f>
        <v>0</v>
      </c>
      <c r="BHP28">
        <f t="array" ref="BHP28">_xlfn.XLOOKUP(BHP$11,Assumptions!$B$35:$H$35,_xlfn.XLOOKUP($C28,Assumptions!$B$36:$B$41,Assumptions!$B$36:$H$41))</f>
        <v>0</v>
      </c>
      <c r="BHQ28">
        <f t="array" ref="BHQ28">_xlfn.XLOOKUP(BHQ$11,Assumptions!$B$35:$H$35,_xlfn.XLOOKUP($C28,Assumptions!$B$36:$B$41,Assumptions!$B$36:$H$41))</f>
        <v>0</v>
      </c>
      <c r="BHR28">
        <f t="array" ref="BHR28">_xlfn.XLOOKUP(BHR$11,Assumptions!$B$35:$H$35,_xlfn.XLOOKUP($C28,Assumptions!$B$36:$B$41,Assumptions!$B$36:$H$41))</f>
        <v>0</v>
      </c>
      <c r="BHS28">
        <f t="array" ref="BHS28">_xlfn.XLOOKUP(BHS$11,Assumptions!$B$35:$H$35,_xlfn.XLOOKUP($C28,Assumptions!$B$36:$B$41,Assumptions!$B$36:$H$41))</f>
        <v>0</v>
      </c>
      <c r="BHT28">
        <f t="array" ref="BHT28">_xlfn.XLOOKUP(BHT$11,Assumptions!$B$35:$H$35,_xlfn.XLOOKUP($C28,Assumptions!$B$36:$B$41,Assumptions!$B$36:$H$41))</f>
        <v>0</v>
      </c>
      <c r="BHU28">
        <f t="array" ref="BHU28">_xlfn.XLOOKUP(BHU$11,Assumptions!$B$35:$H$35,_xlfn.XLOOKUP($C28,Assumptions!$B$36:$B$41,Assumptions!$B$36:$H$41))</f>
        <v>0</v>
      </c>
      <c r="BHV28">
        <f t="array" ref="BHV28">_xlfn.XLOOKUP(BHV$11,Assumptions!$B$35:$H$35,_xlfn.XLOOKUP($C28,Assumptions!$B$36:$B$41,Assumptions!$B$36:$H$41))</f>
        <v>0</v>
      </c>
      <c r="BHW28">
        <f t="array" ref="BHW28">_xlfn.XLOOKUP(BHW$11,Assumptions!$B$35:$H$35,_xlfn.XLOOKUP($C28,Assumptions!$B$36:$B$41,Assumptions!$B$36:$H$41))</f>
        <v>0</v>
      </c>
      <c r="BHX28">
        <f t="array" ref="BHX28">_xlfn.XLOOKUP(BHX$11,Assumptions!$B$35:$H$35,_xlfn.XLOOKUP($C28,Assumptions!$B$36:$B$41,Assumptions!$B$36:$H$41))</f>
        <v>0</v>
      </c>
      <c r="BHY28">
        <f t="array" ref="BHY28">_xlfn.XLOOKUP(BHY$11,Assumptions!$B$35:$H$35,_xlfn.XLOOKUP($C28,Assumptions!$B$36:$B$41,Assumptions!$B$36:$H$41))</f>
        <v>0</v>
      </c>
      <c r="BHZ28">
        <f t="array" ref="BHZ28">_xlfn.XLOOKUP(BHZ$11,Assumptions!$B$35:$H$35,_xlfn.XLOOKUP($C28,Assumptions!$B$36:$B$41,Assumptions!$B$36:$H$41))</f>
        <v>0</v>
      </c>
      <c r="BIA28">
        <f t="array" ref="BIA28">_xlfn.XLOOKUP(BIA$11,Assumptions!$B$35:$H$35,_xlfn.XLOOKUP($C28,Assumptions!$B$36:$B$41,Assumptions!$B$36:$H$41))</f>
        <v>0</v>
      </c>
      <c r="BIB28">
        <f t="array" ref="BIB28">_xlfn.XLOOKUP(BIB$11,Assumptions!$B$35:$H$35,_xlfn.XLOOKUP($C28,Assumptions!$B$36:$B$41,Assumptions!$B$36:$H$41))</f>
        <v>0</v>
      </c>
      <c r="BIC28">
        <f t="array" ref="BIC28">_xlfn.XLOOKUP(BIC$11,Assumptions!$B$35:$H$35,_xlfn.XLOOKUP($C28,Assumptions!$B$36:$B$41,Assumptions!$B$36:$H$41))</f>
        <v>0</v>
      </c>
      <c r="BID28">
        <f t="array" ref="BID28">_xlfn.XLOOKUP(BID$11,Assumptions!$B$35:$H$35,_xlfn.XLOOKUP($C28,Assumptions!$B$36:$B$41,Assumptions!$B$36:$H$41))</f>
        <v>0</v>
      </c>
      <c r="BIE28">
        <f t="array" ref="BIE28">_xlfn.XLOOKUP(BIE$11,Assumptions!$B$35:$H$35,_xlfn.XLOOKUP($C28,Assumptions!$B$36:$B$41,Assumptions!$B$36:$H$41))</f>
        <v>0</v>
      </c>
      <c r="BIF28">
        <f t="array" ref="BIF28">_xlfn.XLOOKUP(BIF$11,Assumptions!$B$35:$H$35,_xlfn.XLOOKUP($C28,Assumptions!$B$36:$B$41,Assumptions!$B$36:$H$41))</f>
        <v>0</v>
      </c>
      <c r="BIG28">
        <f t="array" ref="BIG28">_xlfn.XLOOKUP(BIG$11,Assumptions!$B$35:$H$35,_xlfn.XLOOKUP($C28,Assumptions!$B$36:$B$41,Assumptions!$B$36:$H$41))</f>
        <v>0</v>
      </c>
      <c r="BIH28">
        <f t="array" ref="BIH28">_xlfn.XLOOKUP(BIH$11,Assumptions!$B$35:$H$35,_xlfn.XLOOKUP($C28,Assumptions!$B$36:$B$41,Assumptions!$B$36:$H$41))</f>
        <v>0</v>
      </c>
      <c r="BII28">
        <f t="array" ref="BII28">_xlfn.XLOOKUP(BII$11,Assumptions!$B$35:$H$35,_xlfn.XLOOKUP($C28,Assumptions!$B$36:$B$41,Assumptions!$B$36:$H$41))</f>
        <v>0</v>
      </c>
      <c r="BIJ28">
        <f t="array" ref="BIJ28">_xlfn.XLOOKUP(BIJ$11,Assumptions!$B$35:$H$35,_xlfn.XLOOKUP($C28,Assumptions!$B$36:$B$41,Assumptions!$B$36:$H$41))</f>
        <v>0</v>
      </c>
      <c r="BIK28">
        <f t="array" ref="BIK28">_xlfn.XLOOKUP(BIK$11,Assumptions!$B$35:$H$35,_xlfn.XLOOKUP($C28,Assumptions!$B$36:$B$41,Assumptions!$B$36:$H$41))</f>
        <v>0</v>
      </c>
      <c r="BIL28">
        <f t="array" ref="BIL28">_xlfn.XLOOKUP(BIL$11,Assumptions!$B$35:$H$35,_xlfn.XLOOKUP($C28,Assumptions!$B$36:$B$41,Assumptions!$B$36:$H$41))</f>
        <v>0</v>
      </c>
      <c r="BIM28">
        <f t="array" ref="BIM28">_xlfn.XLOOKUP(BIM$11,Assumptions!$B$35:$H$35,_xlfn.XLOOKUP($C28,Assumptions!$B$36:$B$41,Assumptions!$B$36:$H$41))</f>
        <v>0</v>
      </c>
      <c r="BIN28">
        <f t="array" ref="BIN28">_xlfn.XLOOKUP(BIN$11,Assumptions!$B$35:$H$35,_xlfn.XLOOKUP($C28,Assumptions!$B$36:$B$41,Assumptions!$B$36:$H$41))</f>
        <v>0</v>
      </c>
      <c r="BIO28">
        <f t="array" ref="BIO28">_xlfn.XLOOKUP(BIO$11,Assumptions!$B$35:$H$35,_xlfn.XLOOKUP($C28,Assumptions!$B$36:$B$41,Assumptions!$B$36:$H$41))</f>
        <v>0</v>
      </c>
      <c r="BIP28">
        <f t="array" ref="BIP28">_xlfn.XLOOKUP(BIP$11,Assumptions!$B$35:$H$35,_xlfn.XLOOKUP($C28,Assumptions!$B$36:$B$41,Assumptions!$B$36:$H$41))</f>
        <v>0</v>
      </c>
      <c r="BIQ28">
        <f t="array" ref="BIQ28">_xlfn.XLOOKUP(BIQ$11,Assumptions!$B$35:$H$35,_xlfn.XLOOKUP($C28,Assumptions!$B$36:$B$41,Assumptions!$B$36:$H$41))</f>
        <v>0</v>
      </c>
      <c r="BIR28">
        <f t="array" ref="BIR28">_xlfn.XLOOKUP(BIR$11,Assumptions!$B$35:$H$35,_xlfn.XLOOKUP($C28,Assumptions!$B$36:$B$41,Assumptions!$B$36:$H$41))</f>
        <v>0</v>
      </c>
      <c r="BIS28">
        <f t="array" ref="BIS28">_xlfn.XLOOKUP(BIS$11,Assumptions!$B$35:$H$35,_xlfn.XLOOKUP($C28,Assumptions!$B$36:$B$41,Assumptions!$B$36:$H$41))</f>
        <v>0</v>
      </c>
      <c r="BIT28">
        <f t="array" ref="BIT28">_xlfn.XLOOKUP(BIT$11,Assumptions!$B$35:$H$35,_xlfn.XLOOKUP($C28,Assumptions!$B$36:$B$41,Assumptions!$B$36:$H$41))</f>
        <v>0</v>
      </c>
      <c r="BIU28">
        <f t="array" ref="BIU28">_xlfn.XLOOKUP(BIU$11,Assumptions!$B$35:$H$35,_xlfn.XLOOKUP($C28,Assumptions!$B$36:$B$41,Assumptions!$B$36:$H$41))</f>
        <v>0</v>
      </c>
      <c r="BIV28">
        <f t="array" ref="BIV28">_xlfn.XLOOKUP(BIV$11,Assumptions!$B$35:$H$35,_xlfn.XLOOKUP($C28,Assumptions!$B$36:$B$41,Assumptions!$B$36:$H$41))</f>
        <v>0</v>
      </c>
      <c r="BIW28">
        <f t="array" ref="BIW28">_xlfn.XLOOKUP(BIW$11,Assumptions!$B$35:$H$35,_xlfn.XLOOKUP($C28,Assumptions!$B$36:$B$41,Assumptions!$B$36:$H$41))</f>
        <v>0</v>
      </c>
      <c r="BIX28">
        <f t="array" ref="BIX28">_xlfn.XLOOKUP(BIX$11,Assumptions!$B$35:$H$35,_xlfn.XLOOKUP($C28,Assumptions!$B$36:$B$41,Assumptions!$B$36:$H$41))</f>
        <v>0</v>
      </c>
      <c r="BIY28">
        <f t="array" ref="BIY28">_xlfn.XLOOKUP(BIY$11,Assumptions!$B$35:$H$35,_xlfn.XLOOKUP($C28,Assumptions!$B$36:$B$41,Assumptions!$B$36:$H$41))</f>
        <v>0</v>
      </c>
      <c r="BIZ28">
        <f t="array" ref="BIZ28">_xlfn.XLOOKUP(BIZ$11,Assumptions!$B$35:$H$35,_xlfn.XLOOKUP($C28,Assumptions!$B$36:$B$41,Assumptions!$B$36:$H$41))</f>
        <v>0</v>
      </c>
      <c r="BJA28">
        <f t="array" ref="BJA28">_xlfn.XLOOKUP(BJA$11,Assumptions!$B$35:$H$35,_xlfn.XLOOKUP($C28,Assumptions!$B$36:$B$41,Assumptions!$B$36:$H$41))</f>
        <v>0</v>
      </c>
      <c r="BJB28">
        <f t="array" ref="BJB28">_xlfn.XLOOKUP(BJB$11,Assumptions!$B$35:$H$35,_xlfn.XLOOKUP($C28,Assumptions!$B$36:$B$41,Assumptions!$B$36:$H$41))</f>
        <v>0</v>
      </c>
      <c r="BJC28">
        <f t="array" ref="BJC28">_xlfn.XLOOKUP(BJC$11,Assumptions!$B$35:$H$35,_xlfn.XLOOKUP($C28,Assumptions!$B$36:$B$41,Assumptions!$B$36:$H$41))</f>
        <v>0</v>
      </c>
      <c r="BJD28">
        <f t="array" ref="BJD28">_xlfn.XLOOKUP(BJD$11,Assumptions!$B$35:$H$35,_xlfn.XLOOKUP($C28,Assumptions!$B$36:$B$41,Assumptions!$B$36:$H$41))</f>
        <v>0</v>
      </c>
      <c r="BJE28">
        <f t="array" ref="BJE28">_xlfn.XLOOKUP(BJE$11,Assumptions!$B$35:$H$35,_xlfn.XLOOKUP($C28,Assumptions!$B$36:$B$41,Assumptions!$B$36:$H$41))</f>
        <v>0</v>
      </c>
      <c r="BJF28">
        <f t="array" ref="BJF28">_xlfn.XLOOKUP(BJF$11,Assumptions!$B$35:$H$35,_xlfn.XLOOKUP($C28,Assumptions!$B$36:$B$41,Assumptions!$B$36:$H$41))</f>
        <v>0</v>
      </c>
      <c r="BJG28">
        <f t="array" ref="BJG28">_xlfn.XLOOKUP(BJG$11,Assumptions!$B$35:$H$35,_xlfn.XLOOKUP($C28,Assumptions!$B$36:$B$41,Assumptions!$B$36:$H$41))</f>
        <v>0</v>
      </c>
      <c r="BJH28">
        <f t="array" ref="BJH28">_xlfn.XLOOKUP(BJH$11,Assumptions!$B$35:$H$35,_xlfn.XLOOKUP($C28,Assumptions!$B$36:$B$41,Assumptions!$B$36:$H$41))</f>
        <v>0</v>
      </c>
      <c r="BJI28">
        <f t="array" ref="BJI28">_xlfn.XLOOKUP(BJI$11,Assumptions!$B$35:$H$35,_xlfn.XLOOKUP($C28,Assumptions!$B$36:$B$41,Assumptions!$B$36:$H$41))</f>
        <v>0</v>
      </c>
      <c r="BJJ28">
        <f t="array" ref="BJJ28">_xlfn.XLOOKUP(BJJ$11,Assumptions!$B$35:$H$35,_xlfn.XLOOKUP($C28,Assumptions!$B$36:$B$41,Assumptions!$B$36:$H$41))</f>
        <v>0</v>
      </c>
      <c r="BJK28">
        <f t="array" ref="BJK28">_xlfn.XLOOKUP(BJK$11,Assumptions!$B$35:$H$35,_xlfn.XLOOKUP($C28,Assumptions!$B$36:$B$41,Assumptions!$B$36:$H$41))</f>
        <v>0</v>
      </c>
      <c r="BJL28">
        <f t="array" ref="BJL28">_xlfn.XLOOKUP(BJL$11,Assumptions!$B$35:$H$35,_xlfn.XLOOKUP($C28,Assumptions!$B$36:$B$41,Assumptions!$B$36:$H$41))</f>
        <v>0</v>
      </c>
      <c r="BJM28">
        <f t="array" ref="BJM28">_xlfn.XLOOKUP(BJM$11,Assumptions!$B$35:$H$35,_xlfn.XLOOKUP($C28,Assumptions!$B$36:$B$41,Assumptions!$B$36:$H$41))</f>
        <v>0</v>
      </c>
      <c r="BJN28">
        <f t="array" ref="BJN28">_xlfn.XLOOKUP(BJN$11,Assumptions!$B$35:$H$35,_xlfn.XLOOKUP($C28,Assumptions!$B$36:$B$41,Assumptions!$B$36:$H$41))</f>
        <v>0</v>
      </c>
      <c r="BJO28">
        <f t="array" ref="BJO28">_xlfn.XLOOKUP(BJO$11,Assumptions!$B$35:$H$35,_xlfn.XLOOKUP($C28,Assumptions!$B$36:$B$41,Assumptions!$B$36:$H$41))</f>
        <v>0</v>
      </c>
      <c r="BJP28">
        <f t="array" ref="BJP28">_xlfn.XLOOKUP(BJP$11,Assumptions!$B$35:$H$35,_xlfn.XLOOKUP($C28,Assumptions!$B$36:$B$41,Assumptions!$B$36:$H$41))</f>
        <v>0</v>
      </c>
      <c r="BJQ28">
        <f t="array" ref="BJQ28">_xlfn.XLOOKUP(BJQ$11,Assumptions!$B$35:$H$35,_xlfn.XLOOKUP($C28,Assumptions!$B$36:$B$41,Assumptions!$B$36:$H$41))</f>
        <v>0</v>
      </c>
      <c r="BJR28">
        <f t="array" ref="BJR28">_xlfn.XLOOKUP(BJR$11,Assumptions!$B$35:$H$35,_xlfn.XLOOKUP($C28,Assumptions!$B$36:$B$41,Assumptions!$B$36:$H$41))</f>
        <v>0</v>
      </c>
      <c r="BJS28">
        <f t="array" ref="BJS28">_xlfn.XLOOKUP(BJS$11,Assumptions!$B$35:$H$35,_xlfn.XLOOKUP($C28,Assumptions!$B$36:$B$41,Assumptions!$B$36:$H$41))</f>
        <v>0</v>
      </c>
      <c r="BJT28">
        <f t="array" ref="BJT28">_xlfn.XLOOKUP(BJT$11,Assumptions!$B$35:$H$35,_xlfn.XLOOKUP($C28,Assumptions!$B$36:$B$41,Assumptions!$B$36:$H$41))</f>
        <v>0</v>
      </c>
      <c r="BJU28">
        <f t="array" ref="BJU28">_xlfn.XLOOKUP(BJU$11,Assumptions!$B$35:$H$35,_xlfn.XLOOKUP($C28,Assumptions!$B$36:$B$41,Assumptions!$B$36:$H$41))</f>
        <v>0</v>
      </c>
      <c r="BJV28">
        <f t="array" ref="BJV28">_xlfn.XLOOKUP(BJV$11,Assumptions!$B$35:$H$35,_xlfn.XLOOKUP($C28,Assumptions!$B$36:$B$41,Assumptions!$B$36:$H$41))</f>
        <v>0</v>
      </c>
      <c r="BJW28">
        <f t="array" ref="BJW28">_xlfn.XLOOKUP(BJW$11,Assumptions!$B$35:$H$35,_xlfn.XLOOKUP($C28,Assumptions!$B$36:$B$41,Assumptions!$B$36:$H$41))</f>
        <v>0</v>
      </c>
      <c r="BJX28">
        <f t="array" ref="BJX28">_xlfn.XLOOKUP(BJX$11,Assumptions!$B$35:$H$35,_xlfn.XLOOKUP($C28,Assumptions!$B$36:$B$41,Assumptions!$B$36:$H$41))</f>
        <v>0</v>
      </c>
      <c r="BJY28">
        <f t="array" ref="BJY28">_xlfn.XLOOKUP(BJY$11,Assumptions!$B$35:$H$35,_xlfn.XLOOKUP($C28,Assumptions!$B$36:$B$41,Assumptions!$B$36:$H$41))</f>
        <v>0</v>
      </c>
      <c r="BJZ28">
        <f t="array" ref="BJZ28">_xlfn.XLOOKUP(BJZ$11,Assumptions!$B$35:$H$35,_xlfn.XLOOKUP($C28,Assumptions!$B$36:$B$41,Assumptions!$B$36:$H$41))</f>
        <v>0</v>
      </c>
      <c r="BKA28">
        <f t="array" ref="BKA28">_xlfn.XLOOKUP(BKA$11,Assumptions!$B$35:$H$35,_xlfn.XLOOKUP($C28,Assumptions!$B$36:$B$41,Assumptions!$B$36:$H$41))</f>
        <v>0</v>
      </c>
      <c r="BKB28">
        <f t="array" ref="BKB28">_xlfn.XLOOKUP(BKB$11,Assumptions!$B$35:$H$35,_xlfn.XLOOKUP($C28,Assumptions!$B$36:$B$41,Assumptions!$B$36:$H$41))</f>
        <v>0</v>
      </c>
      <c r="BKC28">
        <f t="array" ref="BKC28">_xlfn.XLOOKUP(BKC$11,Assumptions!$B$35:$H$35,_xlfn.XLOOKUP($C28,Assumptions!$B$36:$B$41,Assumptions!$B$36:$H$41))</f>
        <v>0</v>
      </c>
      <c r="BKD28">
        <f t="array" ref="BKD28">_xlfn.XLOOKUP(BKD$11,Assumptions!$B$35:$H$35,_xlfn.XLOOKUP($C28,Assumptions!$B$36:$B$41,Assumptions!$B$36:$H$41))</f>
        <v>0</v>
      </c>
      <c r="BKE28">
        <f t="array" ref="BKE28">_xlfn.XLOOKUP(BKE$11,Assumptions!$B$35:$H$35,_xlfn.XLOOKUP($C28,Assumptions!$B$36:$B$41,Assumptions!$B$36:$H$41))</f>
        <v>0</v>
      </c>
      <c r="BKF28">
        <f t="array" ref="BKF28">_xlfn.XLOOKUP(BKF$11,Assumptions!$B$35:$H$35,_xlfn.XLOOKUP($C28,Assumptions!$B$36:$B$41,Assumptions!$B$36:$H$41))</f>
        <v>0</v>
      </c>
      <c r="BKG28">
        <f t="array" ref="BKG28">_xlfn.XLOOKUP(BKG$11,Assumptions!$B$35:$H$35,_xlfn.XLOOKUP($C28,Assumptions!$B$36:$B$41,Assumptions!$B$36:$H$41))</f>
        <v>0</v>
      </c>
      <c r="BKH28">
        <f t="array" ref="BKH28">_xlfn.XLOOKUP(BKH$11,Assumptions!$B$35:$H$35,_xlfn.XLOOKUP($C28,Assumptions!$B$36:$B$41,Assumptions!$B$36:$H$41))</f>
        <v>0</v>
      </c>
      <c r="BKI28">
        <f t="array" ref="BKI28">_xlfn.XLOOKUP(BKI$11,Assumptions!$B$35:$H$35,_xlfn.XLOOKUP($C28,Assumptions!$B$36:$B$41,Assumptions!$B$36:$H$41))</f>
        <v>0</v>
      </c>
      <c r="BKJ28">
        <f t="array" ref="BKJ28">_xlfn.XLOOKUP(BKJ$11,Assumptions!$B$35:$H$35,_xlfn.XLOOKUP($C28,Assumptions!$B$36:$B$41,Assumptions!$B$36:$H$41))</f>
        <v>0</v>
      </c>
      <c r="BKK28">
        <f t="array" ref="BKK28">_xlfn.XLOOKUP(BKK$11,Assumptions!$B$35:$H$35,_xlfn.XLOOKUP($C28,Assumptions!$B$36:$B$41,Assumptions!$B$36:$H$41))</f>
        <v>0</v>
      </c>
      <c r="BKL28">
        <f t="array" ref="BKL28">_xlfn.XLOOKUP(BKL$11,Assumptions!$B$35:$H$35,_xlfn.XLOOKUP($C28,Assumptions!$B$36:$B$41,Assumptions!$B$36:$H$41))</f>
        <v>0</v>
      </c>
      <c r="BKM28">
        <f t="array" ref="BKM28">_xlfn.XLOOKUP(BKM$11,Assumptions!$B$35:$H$35,_xlfn.XLOOKUP($C28,Assumptions!$B$36:$B$41,Assumptions!$B$36:$H$41))</f>
        <v>0</v>
      </c>
      <c r="BKN28">
        <f t="array" ref="BKN28">_xlfn.XLOOKUP(BKN$11,Assumptions!$B$35:$H$35,_xlfn.XLOOKUP($C28,Assumptions!$B$36:$B$41,Assumptions!$B$36:$H$41))</f>
        <v>0</v>
      </c>
      <c r="BKO28">
        <f t="array" ref="BKO28">_xlfn.XLOOKUP(BKO$11,Assumptions!$B$35:$H$35,_xlfn.XLOOKUP($C28,Assumptions!$B$36:$B$41,Assumptions!$B$36:$H$41))</f>
        <v>0</v>
      </c>
      <c r="BKP28">
        <f t="array" ref="BKP28">_xlfn.XLOOKUP(BKP$11,Assumptions!$B$35:$H$35,_xlfn.XLOOKUP($C28,Assumptions!$B$36:$B$41,Assumptions!$B$36:$H$41))</f>
        <v>0</v>
      </c>
      <c r="BKQ28">
        <f t="array" ref="BKQ28">_xlfn.XLOOKUP(BKQ$11,Assumptions!$B$35:$H$35,_xlfn.XLOOKUP($C28,Assumptions!$B$36:$B$41,Assumptions!$B$36:$H$41))</f>
        <v>0</v>
      </c>
      <c r="BKR28">
        <f t="array" ref="BKR28">_xlfn.XLOOKUP(BKR$11,Assumptions!$B$35:$H$35,_xlfn.XLOOKUP($C28,Assumptions!$B$36:$B$41,Assumptions!$B$36:$H$41))</f>
        <v>0</v>
      </c>
      <c r="BKS28">
        <f t="array" ref="BKS28">_xlfn.XLOOKUP(BKS$11,Assumptions!$B$35:$H$35,_xlfn.XLOOKUP($C28,Assumptions!$B$36:$B$41,Assumptions!$B$36:$H$41))</f>
        <v>0</v>
      </c>
      <c r="BKT28">
        <f t="array" ref="BKT28">_xlfn.XLOOKUP(BKT$11,Assumptions!$B$35:$H$35,_xlfn.XLOOKUP($C28,Assumptions!$B$36:$B$41,Assumptions!$B$36:$H$41))</f>
        <v>0</v>
      </c>
      <c r="BKU28">
        <f t="array" ref="BKU28">_xlfn.XLOOKUP(BKU$11,Assumptions!$B$35:$H$35,_xlfn.XLOOKUP($C28,Assumptions!$B$36:$B$41,Assumptions!$B$36:$H$41))</f>
        <v>0</v>
      </c>
      <c r="BKV28">
        <f t="array" ref="BKV28">_xlfn.XLOOKUP(BKV$11,Assumptions!$B$35:$H$35,_xlfn.XLOOKUP($C28,Assumptions!$B$36:$B$41,Assumptions!$B$36:$H$41))</f>
        <v>0</v>
      </c>
      <c r="BKW28">
        <f t="array" ref="BKW28">_xlfn.XLOOKUP(BKW$11,Assumptions!$B$35:$H$35,_xlfn.XLOOKUP($C28,Assumptions!$B$36:$B$41,Assumptions!$B$36:$H$41))</f>
        <v>0</v>
      </c>
      <c r="BKX28">
        <f t="array" ref="BKX28">_xlfn.XLOOKUP(BKX$11,Assumptions!$B$35:$H$35,_xlfn.XLOOKUP($C28,Assumptions!$B$36:$B$41,Assumptions!$B$36:$H$41))</f>
        <v>0</v>
      </c>
      <c r="BKY28">
        <f t="array" ref="BKY28">_xlfn.XLOOKUP(BKY$11,Assumptions!$B$35:$H$35,_xlfn.XLOOKUP($C28,Assumptions!$B$36:$B$41,Assumptions!$B$36:$H$41))</f>
        <v>0</v>
      </c>
      <c r="BKZ28">
        <f t="array" ref="BKZ28">_xlfn.XLOOKUP(BKZ$11,Assumptions!$B$35:$H$35,_xlfn.XLOOKUP($C28,Assumptions!$B$36:$B$41,Assumptions!$B$36:$H$41))</f>
        <v>0</v>
      </c>
      <c r="BLA28">
        <f t="array" ref="BLA28">_xlfn.XLOOKUP(BLA$11,Assumptions!$B$35:$H$35,_xlfn.XLOOKUP($C28,Assumptions!$B$36:$B$41,Assumptions!$B$36:$H$41))</f>
        <v>0</v>
      </c>
      <c r="BLB28">
        <f t="array" ref="BLB28">_xlfn.XLOOKUP(BLB$11,Assumptions!$B$35:$H$35,_xlfn.XLOOKUP($C28,Assumptions!$B$36:$B$41,Assumptions!$B$36:$H$41))</f>
        <v>0</v>
      </c>
      <c r="BLC28">
        <f t="array" ref="BLC28">_xlfn.XLOOKUP(BLC$11,Assumptions!$B$35:$H$35,_xlfn.XLOOKUP($C28,Assumptions!$B$36:$B$41,Assumptions!$B$36:$H$41))</f>
        <v>0</v>
      </c>
      <c r="BLD28">
        <f t="array" ref="BLD28">_xlfn.XLOOKUP(BLD$11,Assumptions!$B$35:$H$35,_xlfn.XLOOKUP($C28,Assumptions!$B$36:$B$41,Assumptions!$B$36:$H$41))</f>
        <v>0</v>
      </c>
      <c r="BLE28">
        <f t="array" ref="BLE28">_xlfn.XLOOKUP(BLE$11,Assumptions!$B$35:$H$35,_xlfn.XLOOKUP($C28,Assumptions!$B$36:$B$41,Assumptions!$B$36:$H$41))</f>
        <v>0</v>
      </c>
      <c r="BLF28">
        <f t="array" ref="BLF28">_xlfn.XLOOKUP(BLF$11,Assumptions!$B$35:$H$35,_xlfn.XLOOKUP($C28,Assumptions!$B$36:$B$41,Assumptions!$B$36:$H$41))</f>
        <v>0</v>
      </c>
      <c r="BLG28">
        <f t="array" ref="BLG28">_xlfn.XLOOKUP(BLG$11,Assumptions!$B$35:$H$35,_xlfn.XLOOKUP($C28,Assumptions!$B$36:$B$41,Assumptions!$B$36:$H$41))</f>
        <v>0</v>
      </c>
      <c r="BLH28">
        <f t="array" ref="BLH28">_xlfn.XLOOKUP(BLH$11,Assumptions!$B$35:$H$35,_xlfn.XLOOKUP($C28,Assumptions!$B$36:$B$41,Assumptions!$B$36:$H$41))</f>
        <v>0</v>
      </c>
      <c r="BLI28">
        <f t="array" ref="BLI28">_xlfn.XLOOKUP(BLI$11,Assumptions!$B$35:$H$35,_xlfn.XLOOKUP($C28,Assumptions!$B$36:$B$41,Assumptions!$B$36:$H$41))</f>
        <v>0</v>
      </c>
      <c r="BLJ28">
        <f t="array" ref="BLJ28">_xlfn.XLOOKUP(BLJ$11,Assumptions!$B$35:$H$35,_xlfn.XLOOKUP($C28,Assumptions!$B$36:$B$41,Assumptions!$B$36:$H$41))</f>
        <v>0</v>
      </c>
      <c r="BLK28">
        <f t="array" ref="BLK28">_xlfn.XLOOKUP(BLK$11,Assumptions!$B$35:$H$35,_xlfn.XLOOKUP($C28,Assumptions!$B$36:$B$41,Assumptions!$B$36:$H$41))</f>
        <v>0</v>
      </c>
      <c r="BLL28">
        <f t="array" ref="BLL28">_xlfn.XLOOKUP(BLL$11,Assumptions!$B$35:$H$35,_xlfn.XLOOKUP($C28,Assumptions!$B$36:$B$41,Assumptions!$B$36:$H$41))</f>
        <v>0</v>
      </c>
      <c r="BLM28">
        <f t="array" ref="BLM28">_xlfn.XLOOKUP(BLM$11,Assumptions!$B$35:$H$35,_xlfn.XLOOKUP($C28,Assumptions!$B$36:$B$41,Assumptions!$B$36:$H$41))</f>
        <v>0</v>
      </c>
      <c r="BLN28">
        <f t="array" ref="BLN28">_xlfn.XLOOKUP(BLN$11,Assumptions!$B$35:$H$35,_xlfn.XLOOKUP($C28,Assumptions!$B$36:$B$41,Assumptions!$B$36:$H$41))</f>
        <v>0</v>
      </c>
      <c r="BLO28">
        <f t="array" ref="BLO28">_xlfn.XLOOKUP(BLO$11,Assumptions!$B$35:$H$35,_xlfn.XLOOKUP($C28,Assumptions!$B$36:$B$41,Assumptions!$B$36:$H$41))</f>
        <v>0</v>
      </c>
      <c r="BLP28">
        <f t="array" ref="BLP28">_xlfn.XLOOKUP(BLP$11,Assumptions!$B$35:$H$35,_xlfn.XLOOKUP($C28,Assumptions!$B$36:$B$41,Assumptions!$B$36:$H$41))</f>
        <v>0</v>
      </c>
      <c r="BLQ28">
        <f t="array" ref="BLQ28">_xlfn.XLOOKUP(BLQ$11,Assumptions!$B$35:$H$35,_xlfn.XLOOKUP($C28,Assumptions!$B$36:$B$41,Assumptions!$B$36:$H$41))</f>
        <v>0</v>
      </c>
      <c r="BLR28">
        <f t="array" ref="BLR28">_xlfn.XLOOKUP(BLR$11,Assumptions!$B$35:$H$35,_xlfn.XLOOKUP($C28,Assumptions!$B$36:$B$41,Assumptions!$B$36:$H$41))</f>
        <v>0</v>
      </c>
      <c r="BLS28">
        <f t="array" ref="BLS28">_xlfn.XLOOKUP(BLS$11,Assumptions!$B$35:$H$35,_xlfn.XLOOKUP($C28,Assumptions!$B$36:$B$41,Assumptions!$B$36:$H$41))</f>
        <v>0</v>
      </c>
      <c r="BLT28">
        <f t="array" ref="BLT28">_xlfn.XLOOKUP(BLT$11,Assumptions!$B$35:$H$35,_xlfn.XLOOKUP($C28,Assumptions!$B$36:$B$41,Assumptions!$B$36:$H$41))</f>
        <v>0</v>
      </c>
      <c r="BLU28">
        <f t="array" ref="BLU28">_xlfn.XLOOKUP(BLU$11,Assumptions!$B$35:$H$35,_xlfn.XLOOKUP($C28,Assumptions!$B$36:$B$41,Assumptions!$B$36:$H$41))</f>
        <v>0</v>
      </c>
      <c r="BLV28">
        <f t="array" ref="BLV28">_xlfn.XLOOKUP(BLV$11,Assumptions!$B$35:$H$35,_xlfn.XLOOKUP($C28,Assumptions!$B$36:$B$41,Assumptions!$B$36:$H$41))</f>
        <v>0</v>
      </c>
      <c r="BLW28">
        <f t="array" ref="BLW28">_xlfn.XLOOKUP(BLW$11,Assumptions!$B$35:$H$35,_xlfn.XLOOKUP($C28,Assumptions!$B$36:$B$41,Assumptions!$B$36:$H$41))</f>
        <v>0</v>
      </c>
      <c r="BLX28">
        <f t="array" ref="BLX28">_xlfn.XLOOKUP(BLX$11,Assumptions!$B$35:$H$35,_xlfn.XLOOKUP($C28,Assumptions!$B$36:$B$41,Assumptions!$B$36:$H$41))</f>
        <v>0</v>
      </c>
      <c r="BLY28">
        <f t="array" ref="BLY28">_xlfn.XLOOKUP(BLY$11,Assumptions!$B$35:$H$35,_xlfn.XLOOKUP($C28,Assumptions!$B$36:$B$41,Assumptions!$B$36:$H$41))</f>
        <v>0</v>
      </c>
      <c r="BLZ28">
        <f t="array" ref="BLZ28">_xlfn.XLOOKUP(BLZ$11,Assumptions!$B$35:$H$35,_xlfn.XLOOKUP($C28,Assumptions!$B$36:$B$41,Assumptions!$B$36:$H$41))</f>
        <v>0</v>
      </c>
      <c r="BMA28">
        <f t="array" ref="BMA28">_xlfn.XLOOKUP(BMA$11,Assumptions!$B$35:$H$35,_xlfn.XLOOKUP($C28,Assumptions!$B$36:$B$41,Assumptions!$B$36:$H$41))</f>
        <v>0</v>
      </c>
      <c r="BMB28">
        <f t="array" ref="BMB28">_xlfn.XLOOKUP(BMB$11,Assumptions!$B$35:$H$35,_xlfn.XLOOKUP($C28,Assumptions!$B$36:$B$41,Assumptions!$B$36:$H$41))</f>
        <v>0</v>
      </c>
      <c r="BMC28">
        <f t="array" ref="BMC28">_xlfn.XLOOKUP(BMC$11,Assumptions!$B$35:$H$35,_xlfn.XLOOKUP($C28,Assumptions!$B$36:$B$41,Assumptions!$B$36:$H$41))</f>
        <v>0</v>
      </c>
      <c r="BMD28">
        <f t="array" ref="BMD28">_xlfn.XLOOKUP(BMD$11,Assumptions!$B$35:$H$35,_xlfn.XLOOKUP($C28,Assumptions!$B$36:$B$41,Assumptions!$B$36:$H$41))</f>
        <v>0</v>
      </c>
      <c r="BME28">
        <f t="array" ref="BME28">_xlfn.XLOOKUP(BME$11,Assumptions!$B$35:$H$35,_xlfn.XLOOKUP($C28,Assumptions!$B$36:$B$41,Assumptions!$B$36:$H$41))</f>
        <v>0</v>
      </c>
      <c r="BMF28">
        <f t="array" ref="BMF28">_xlfn.XLOOKUP(BMF$11,Assumptions!$B$35:$H$35,_xlfn.XLOOKUP($C28,Assumptions!$B$36:$B$41,Assumptions!$B$36:$H$41))</f>
        <v>0</v>
      </c>
      <c r="BMG28">
        <f t="array" ref="BMG28">_xlfn.XLOOKUP(BMG$11,Assumptions!$B$35:$H$35,_xlfn.XLOOKUP($C28,Assumptions!$B$36:$B$41,Assumptions!$B$36:$H$41))</f>
        <v>0</v>
      </c>
      <c r="BMH28">
        <f t="array" ref="BMH28">_xlfn.XLOOKUP(BMH$11,Assumptions!$B$35:$H$35,_xlfn.XLOOKUP($C28,Assumptions!$B$36:$B$41,Assumptions!$B$36:$H$41))</f>
        <v>0</v>
      </c>
      <c r="BMI28">
        <f t="array" ref="BMI28">_xlfn.XLOOKUP(BMI$11,Assumptions!$B$35:$H$35,_xlfn.XLOOKUP($C28,Assumptions!$B$36:$B$41,Assumptions!$B$36:$H$41))</f>
        <v>0</v>
      </c>
      <c r="BMJ28">
        <f t="array" ref="BMJ28">_xlfn.XLOOKUP(BMJ$11,Assumptions!$B$35:$H$35,_xlfn.XLOOKUP($C28,Assumptions!$B$36:$B$41,Assumptions!$B$36:$H$41))</f>
        <v>0</v>
      </c>
      <c r="BMK28">
        <f t="array" ref="BMK28">_xlfn.XLOOKUP(BMK$11,Assumptions!$B$35:$H$35,_xlfn.XLOOKUP($C28,Assumptions!$B$36:$B$41,Assumptions!$B$36:$H$41))</f>
        <v>0</v>
      </c>
      <c r="BML28">
        <f t="array" ref="BML28">_xlfn.XLOOKUP(BML$11,Assumptions!$B$35:$H$35,_xlfn.XLOOKUP($C28,Assumptions!$B$36:$B$41,Assumptions!$B$36:$H$41))</f>
        <v>0</v>
      </c>
      <c r="BMM28">
        <f t="array" ref="BMM28">_xlfn.XLOOKUP(BMM$11,Assumptions!$B$35:$H$35,_xlfn.XLOOKUP($C28,Assumptions!$B$36:$B$41,Assumptions!$B$36:$H$41))</f>
        <v>0</v>
      </c>
      <c r="BMN28">
        <f t="array" ref="BMN28">_xlfn.XLOOKUP(BMN$11,Assumptions!$B$35:$H$35,_xlfn.XLOOKUP($C28,Assumptions!$B$36:$B$41,Assumptions!$B$36:$H$41))</f>
        <v>0</v>
      </c>
      <c r="BMO28">
        <f t="array" ref="BMO28">_xlfn.XLOOKUP(BMO$11,Assumptions!$B$35:$H$35,_xlfn.XLOOKUP($C28,Assumptions!$B$36:$B$41,Assumptions!$B$36:$H$41))</f>
        <v>0</v>
      </c>
      <c r="BMP28">
        <f t="array" ref="BMP28">_xlfn.XLOOKUP(BMP$11,Assumptions!$B$35:$H$35,_xlfn.XLOOKUP($C28,Assumptions!$B$36:$B$41,Assumptions!$B$36:$H$41))</f>
        <v>0</v>
      </c>
      <c r="BMQ28">
        <f t="array" ref="BMQ28">_xlfn.XLOOKUP(BMQ$11,Assumptions!$B$35:$H$35,_xlfn.XLOOKUP($C28,Assumptions!$B$36:$B$41,Assumptions!$B$36:$H$41))</f>
        <v>0</v>
      </c>
      <c r="BMR28">
        <f t="array" ref="BMR28">_xlfn.XLOOKUP(BMR$11,Assumptions!$B$35:$H$35,_xlfn.XLOOKUP($C28,Assumptions!$B$36:$B$41,Assumptions!$B$36:$H$41))</f>
        <v>0</v>
      </c>
      <c r="BMS28">
        <f t="array" ref="BMS28">_xlfn.XLOOKUP(BMS$11,Assumptions!$B$35:$H$35,_xlfn.XLOOKUP($C28,Assumptions!$B$36:$B$41,Assumptions!$B$36:$H$41))</f>
        <v>0</v>
      </c>
      <c r="BMT28">
        <f t="array" ref="BMT28">_xlfn.XLOOKUP(BMT$11,Assumptions!$B$35:$H$35,_xlfn.XLOOKUP($C28,Assumptions!$B$36:$B$41,Assumptions!$B$36:$H$41))</f>
        <v>0</v>
      </c>
      <c r="BMU28">
        <f t="array" ref="BMU28">_xlfn.XLOOKUP(BMU$11,Assumptions!$B$35:$H$35,_xlfn.XLOOKUP($C28,Assumptions!$B$36:$B$41,Assumptions!$B$36:$H$41))</f>
        <v>0</v>
      </c>
      <c r="BMV28">
        <f t="array" ref="BMV28">_xlfn.XLOOKUP(BMV$11,Assumptions!$B$35:$H$35,_xlfn.XLOOKUP($C28,Assumptions!$B$36:$B$41,Assumptions!$B$36:$H$41))</f>
        <v>0</v>
      </c>
      <c r="BMW28">
        <f t="array" ref="BMW28">_xlfn.XLOOKUP(BMW$11,Assumptions!$B$35:$H$35,_xlfn.XLOOKUP($C28,Assumptions!$B$36:$B$41,Assumptions!$B$36:$H$41))</f>
        <v>0</v>
      </c>
      <c r="BMX28">
        <f t="array" ref="BMX28">_xlfn.XLOOKUP(BMX$11,Assumptions!$B$35:$H$35,_xlfn.XLOOKUP($C28,Assumptions!$B$36:$B$41,Assumptions!$B$36:$H$41))</f>
        <v>0</v>
      </c>
      <c r="BMY28">
        <f t="array" ref="BMY28">_xlfn.XLOOKUP(BMY$11,Assumptions!$B$35:$H$35,_xlfn.XLOOKUP($C28,Assumptions!$B$36:$B$41,Assumptions!$B$36:$H$41))</f>
        <v>0</v>
      </c>
      <c r="BMZ28">
        <f t="array" ref="BMZ28">_xlfn.XLOOKUP(BMZ$11,Assumptions!$B$35:$H$35,_xlfn.XLOOKUP($C28,Assumptions!$B$36:$B$41,Assumptions!$B$36:$H$41))</f>
        <v>0</v>
      </c>
      <c r="BNA28">
        <f t="array" ref="BNA28">_xlfn.XLOOKUP(BNA$11,Assumptions!$B$35:$H$35,_xlfn.XLOOKUP($C28,Assumptions!$B$36:$B$41,Assumptions!$B$36:$H$41))</f>
        <v>0</v>
      </c>
      <c r="BNB28">
        <f t="array" ref="BNB28">_xlfn.XLOOKUP(BNB$11,Assumptions!$B$35:$H$35,_xlfn.XLOOKUP($C28,Assumptions!$B$36:$B$41,Assumptions!$B$36:$H$41))</f>
        <v>0</v>
      </c>
      <c r="BNC28">
        <f t="array" ref="BNC28">_xlfn.XLOOKUP(BNC$11,Assumptions!$B$35:$H$35,_xlfn.XLOOKUP($C28,Assumptions!$B$36:$B$41,Assumptions!$B$36:$H$41))</f>
        <v>0</v>
      </c>
      <c r="BND28">
        <f t="array" ref="BND28">_xlfn.XLOOKUP(BND$11,Assumptions!$B$35:$H$35,_xlfn.XLOOKUP($C28,Assumptions!$B$36:$B$41,Assumptions!$B$36:$H$41))</f>
        <v>0</v>
      </c>
      <c r="BNE28">
        <f t="array" ref="BNE28">_xlfn.XLOOKUP(BNE$11,Assumptions!$B$35:$H$35,_xlfn.XLOOKUP($C28,Assumptions!$B$36:$B$41,Assumptions!$B$36:$H$41))</f>
        <v>0</v>
      </c>
      <c r="BNF28">
        <f t="array" ref="BNF28">_xlfn.XLOOKUP(BNF$11,Assumptions!$B$35:$H$35,_xlfn.XLOOKUP($C28,Assumptions!$B$36:$B$41,Assumptions!$B$36:$H$41))</f>
        <v>0</v>
      </c>
      <c r="BNG28">
        <f t="array" ref="BNG28">_xlfn.XLOOKUP(BNG$11,Assumptions!$B$35:$H$35,_xlfn.XLOOKUP($C28,Assumptions!$B$36:$B$41,Assumptions!$B$36:$H$41))</f>
        <v>0</v>
      </c>
      <c r="BNH28">
        <f t="array" ref="BNH28">_xlfn.XLOOKUP(BNH$11,Assumptions!$B$35:$H$35,_xlfn.XLOOKUP($C28,Assumptions!$B$36:$B$41,Assumptions!$B$36:$H$41))</f>
        <v>0</v>
      </c>
      <c r="BNI28">
        <f t="array" ref="BNI28">_xlfn.XLOOKUP(BNI$11,Assumptions!$B$35:$H$35,_xlfn.XLOOKUP($C28,Assumptions!$B$36:$B$41,Assumptions!$B$36:$H$41))</f>
        <v>0</v>
      </c>
      <c r="BNJ28">
        <f t="array" ref="BNJ28">_xlfn.XLOOKUP(BNJ$11,Assumptions!$B$35:$H$35,_xlfn.XLOOKUP($C28,Assumptions!$B$36:$B$41,Assumptions!$B$36:$H$41))</f>
        <v>0</v>
      </c>
      <c r="BNK28">
        <f t="array" ref="BNK28">_xlfn.XLOOKUP(BNK$11,Assumptions!$B$35:$H$35,_xlfn.XLOOKUP($C28,Assumptions!$B$36:$B$41,Assumptions!$B$36:$H$41))</f>
        <v>0</v>
      </c>
      <c r="BNL28">
        <f t="array" ref="BNL28">_xlfn.XLOOKUP(BNL$11,Assumptions!$B$35:$H$35,_xlfn.XLOOKUP($C28,Assumptions!$B$36:$B$41,Assumptions!$B$36:$H$41))</f>
        <v>0</v>
      </c>
      <c r="BNM28">
        <f t="array" ref="BNM28">_xlfn.XLOOKUP(BNM$11,Assumptions!$B$35:$H$35,_xlfn.XLOOKUP($C28,Assumptions!$B$36:$B$41,Assumptions!$B$36:$H$41))</f>
        <v>0</v>
      </c>
      <c r="BNN28">
        <f t="array" ref="BNN28">_xlfn.XLOOKUP(BNN$11,Assumptions!$B$35:$H$35,_xlfn.XLOOKUP($C28,Assumptions!$B$36:$B$41,Assumptions!$B$36:$H$41))</f>
        <v>0</v>
      </c>
      <c r="BNO28">
        <f t="array" ref="BNO28">_xlfn.XLOOKUP(BNO$11,Assumptions!$B$35:$H$35,_xlfn.XLOOKUP($C28,Assumptions!$B$36:$B$41,Assumptions!$B$36:$H$41))</f>
        <v>0</v>
      </c>
      <c r="BNP28">
        <f t="array" ref="BNP28">_xlfn.XLOOKUP(BNP$11,Assumptions!$B$35:$H$35,_xlfn.XLOOKUP($C28,Assumptions!$B$36:$B$41,Assumptions!$B$36:$H$41))</f>
        <v>0</v>
      </c>
      <c r="BNQ28">
        <f t="array" ref="BNQ28">_xlfn.XLOOKUP(BNQ$11,Assumptions!$B$35:$H$35,_xlfn.XLOOKUP($C28,Assumptions!$B$36:$B$41,Assumptions!$B$36:$H$41))</f>
        <v>0</v>
      </c>
      <c r="BNR28">
        <f t="array" ref="BNR28">_xlfn.XLOOKUP(BNR$11,Assumptions!$B$35:$H$35,_xlfn.XLOOKUP($C28,Assumptions!$B$36:$B$41,Assumptions!$B$36:$H$41))</f>
        <v>0</v>
      </c>
      <c r="BNS28">
        <f t="array" ref="BNS28">_xlfn.XLOOKUP(BNS$11,Assumptions!$B$35:$H$35,_xlfn.XLOOKUP($C28,Assumptions!$B$36:$B$41,Assumptions!$B$36:$H$41))</f>
        <v>0</v>
      </c>
      <c r="BNT28">
        <f t="array" ref="BNT28">_xlfn.XLOOKUP(BNT$11,Assumptions!$B$35:$H$35,_xlfn.XLOOKUP($C28,Assumptions!$B$36:$B$41,Assumptions!$B$36:$H$41))</f>
        <v>0</v>
      </c>
      <c r="BNU28">
        <f t="array" ref="BNU28">_xlfn.XLOOKUP(BNU$11,Assumptions!$B$35:$H$35,_xlfn.XLOOKUP($C28,Assumptions!$B$36:$B$41,Assumptions!$B$36:$H$41))</f>
        <v>0</v>
      </c>
      <c r="BNV28">
        <f t="array" ref="BNV28">_xlfn.XLOOKUP(BNV$11,Assumptions!$B$35:$H$35,_xlfn.XLOOKUP($C28,Assumptions!$B$36:$B$41,Assumptions!$B$36:$H$41))</f>
        <v>0</v>
      </c>
      <c r="BNW28">
        <f t="array" ref="BNW28">_xlfn.XLOOKUP(BNW$11,Assumptions!$B$35:$H$35,_xlfn.XLOOKUP($C28,Assumptions!$B$36:$B$41,Assumptions!$B$36:$H$41))</f>
        <v>0</v>
      </c>
      <c r="BNX28">
        <f t="array" ref="BNX28">_xlfn.XLOOKUP(BNX$11,Assumptions!$B$35:$H$35,_xlfn.XLOOKUP($C28,Assumptions!$B$36:$B$41,Assumptions!$B$36:$H$41))</f>
        <v>0</v>
      </c>
      <c r="BNY28">
        <f t="array" ref="BNY28">_xlfn.XLOOKUP(BNY$11,Assumptions!$B$35:$H$35,_xlfn.XLOOKUP($C28,Assumptions!$B$36:$B$41,Assumptions!$B$36:$H$41))</f>
        <v>0</v>
      </c>
      <c r="BNZ28">
        <f t="array" ref="BNZ28">_xlfn.XLOOKUP(BNZ$11,Assumptions!$B$35:$H$35,_xlfn.XLOOKUP($C28,Assumptions!$B$36:$B$41,Assumptions!$B$36:$H$41))</f>
        <v>0</v>
      </c>
      <c r="BOA28">
        <f t="array" ref="BOA28">_xlfn.XLOOKUP(BOA$11,Assumptions!$B$35:$H$35,_xlfn.XLOOKUP($C28,Assumptions!$B$36:$B$41,Assumptions!$B$36:$H$41))</f>
        <v>0</v>
      </c>
      <c r="BOB28">
        <f t="array" ref="BOB28">_xlfn.XLOOKUP(BOB$11,Assumptions!$B$35:$H$35,_xlfn.XLOOKUP($C28,Assumptions!$B$36:$B$41,Assumptions!$B$36:$H$41))</f>
        <v>0</v>
      </c>
      <c r="BOC28">
        <f t="array" ref="BOC28">_xlfn.XLOOKUP(BOC$11,Assumptions!$B$35:$H$35,_xlfn.XLOOKUP($C28,Assumptions!$B$36:$B$41,Assumptions!$B$36:$H$41))</f>
        <v>0</v>
      </c>
      <c r="BOD28">
        <f t="array" ref="BOD28">_xlfn.XLOOKUP(BOD$11,Assumptions!$B$35:$H$35,_xlfn.XLOOKUP($C28,Assumptions!$B$36:$B$41,Assumptions!$B$36:$H$41))</f>
        <v>0</v>
      </c>
      <c r="BOE28">
        <f t="array" ref="BOE28">_xlfn.XLOOKUP(BOE$11,Assumptions!$B$35:$H$35,_xlfn.XLOOKUP($C28,Assumptions!$B$36:$B$41,Assumptions!$B$36:$H$41))</f>
        <v>0</v>
      </c>
      <c r="BOF28">
        <f t="array" ref="BOF28">_xlfn.XLOOKUP(BOF$11,Assumptions!$B$35:$H$35,_xlfn.XLOOKUP($C28,Assumptions!$B$36:$B$41,Assumptions!$B$36:$H$41))</f>
        <v>0</v>
      </c>
      <c r="BOG28">
        <f t="array" ref="BOG28">_xlfn.XLOOKUP(BOG$11,Assumptions!$B$35:$H$35,_xlfn.XLOOKUP($C28,Assumptions!$B$36:$B$41,Assumptions!$B$36:$H$41))</f>
        <v>0</v>
      </c>
      <c r="BOH28">
        <f t="array" ref="BOH28">_xlfn.XLOOKUP(BOH$11,Assumptions!$B$35:$H$35,_xlfn.XLOOKUP($C28,Assumptions!$B$36:$B$41,Assumptions!$B$36:$H$41))</f>
        <v>0</v>
      </c>
      <c r="BOI28">
        <f t="array" ref="BOI28">_xlfn.XLOOKUP(BOI$11,Assumptions!$B$35:$H$35,_xlfn.XLOOKUP($C28,Assumptions!$B$36:$B$41,Assumptions!$B$36:$H$41))</f>
        <v>0</v>
      </c>
      <c r="BOJ28">
        <f t="array" ref="BOJ28">_xlfn.XLOOKUP(BOJ$11,Assumptions!$B$35:$H$35,_xlfn.XLOOKUP($C28,Assumptions!$B$36:$B$41,Assumptions!$B$36:$H$41))</f>
        <v>0</v>
      </c>
      <c r="BOK28">
        <f t="array" ref="BOK28">_xlfn.XLOOKUP(BOK$11,Assumptions!$B$35:$H$35,_xlfn.XLOOKUP($C28,Assumptions!$B$36:$B$41,Assumptions!$B$36:$H$41))</f>
        <v>0</v>
      </c>
      <c r="BOL28">
        <f t="array" ref="BOL28">_xlfn.XLOOKUP(BOL$11,Assumptions!$B$35:$H$35,_xlfn.XLOOKUP($C28,Assumptions!$B$36:$B$41,Assumptions!$B$36:$H$41))</f>
        <v>0</v>
      </c>
      <c r="BOM28">
        <f t="array" ref="BOM28">_xlfn.XLOOKUP(BOM$11,Assumptions!$B$35:$H$35,_xlfn.XLOOKUP($C28,Assumptions!$B$36:$B$41,Assumptions!$B$36:$H$41))</f>
        <v>0</v>
      </c>
      <c r="BON28">
        <f t="array" ref="BON28">_xlfn.XLOOKUP(BON$11,Assumptions!$B$35:$H$35,_xlfn.XLOOKUP($C28,Assumptions!$B$36:$B$41,Assumptions!$B$36:$H$41))</f>
        <v>0</v>
      </c>
      <c r="BOO28">
        <f t="array" ref="BOO28">_xlfn.XLOOKUP(BOO$11,Assumptions!$B$35:$H$35,_xlfn.XLOOKUP($C28,Assumptions!$B$36:$B$41,Assumptions!$B$36:$H$41))</f>
        <v>0</v>
      </c>
      <c r="BOP28">
        <f t="array" ref="BOP28">_xlfn.XLOOKUP(BOP$11,Assumptions!$B$35:$H$35,_xlfn.XLOOKUP($C28,Assumptions!$B$36:$B$41,Assumptions!$B$36:$H$41))</f>
        <v>0</v>
      </c>
      <c r="BOQ28">
        <f t="array" ref="BOQ28">_xlfn.XLOOKUP(BOQ$11,Assumptions!$B$35:$H$35,_xlfn.XLOOKUP($C28,Assumptions!$B$36:$B$41,Assumptions!$B$36:$H$41))</f>
        <v>0</v>
      </c>
      <c r="BOR28">
        <f t="array" ref="BOR28">_xlfn.XLOOKUP(BOR$11,Assumptions!$B$35:$H$35,_xlfn.XLOOKUP($C28,Assumptions!$B$36:$B$41,Assumptions!$B$36:$H$41))</f>
        <v>0</v>
      </c>
      <c r="BOS28">
        <f t="array" ref="BOS28">_xlfn.XLOOKUP(BOS$11,Assumptions!$B$35:$H$35,_xlfn.XLOOKUP($C28,Assumptions!$B$36:$B$41,Assumptions!$B$36:$H$41))</f>
        <v>0</v>
      </c>
      <c r="BOT28">
        <f t="array" ref="BOT28">_xlfn.XLOOKUP(BOT$11,Assumptions!$B$35:$H$35,_xlfn.XLOOKUP($C28,Assumptions!$B$36:$B$41,Assumptions!$B$36:$H$41))</f>
        <v>0</v>
      </c>
      <c r="BOU28">
        <f t="array" ref="BOU28">_xlfn.XLOOKUP(BOU$11,Assumptions!$B$35:$H$35,_xlfn.XLOOKUP($C28,Assumptions!$B$36:$B$41,Assumptions!$B$36:$H$41))</f>
        <v>0</v>
      </c>
      <c r="BOV28">
        <f t="array" ref="BOV28">_xlfn.XLOOKUP(BOV$11,Assumptions!$B$35:$H$35,_xlfn.XLOOKUP($C28,Assumptions!$B$36:$B$41,Assumptions!$B$36:$H$41))</f>
        <v>0</v>
      </c>
      <c r="BOW28">
        <f t="array" ref="BOW28">_xlfn.XLOOKUP(BOW$11,Assumptions!$B$35:$H$35,_xlfn.XLOOKUP($C28,Assumptions!$B$36:$B$41,Assumptions!$B$36:$H$41))</f>
        <v>0</v>
      </c>
      <c r="BOX28">
        <f t="array" ref="BOX28">_xlfn.XLOOKUP(BOX$11,Assumptions!$B$35:$H$35,_xlfn.XLOOKUP($C28,Assumptions!$B$36:$B$41,Assumptions!$B$36:$H$41))</f>
        <v>0</v>
      </c>
      <c r="BOY28">
        <f t="array" ref="BOY28">_xlfn.XLOOKUP(BOY$11,Assumptions!$B$35:$H$35,_xlfn.XLOOKUP($C28,Assumptions!$B$36:$B$41,Assumptions!$B$36:$H$41))</f>
        <v>0</v>
      </c>
      <c r="BOZ28">
        <f t="array" ref="BOZ28">_xlfn.XLOOKUP(BOZ$11,Assumptions!$B$35:$H$35,_xlfn.XLOOKUP($C28,Assumptions!$B$36:$B$41,Assumptions!$B$36:$H$41))</f>
        <v>0</v>
      </c>
      <c r="BPA28">
        <f t="array" ref="BPA28">_xlfn.XLOOKUP(BPA$11,Assumptions!$B$35:$H$35,_xlfn.XLOOKUP($C28,Assumptions!$B$36:$B$41,Assumptions!$B$36:$H$41))</f>
        <v>0</v>
      </c>
      <c r="BPB28">
        <f t="array" ref="BPB28">_xlfn.XLOOKUP(BPB$11,Assumptions!$B$35:$H$35,_xlfn.XLOOKUP($C28,Assumptions!$B$36:$B$41,Assumptions!$B$36:$H$41))</f>
        <v>0</v>
      </c>
      <c r="BPC28">
        <f t="array" ref="BPC28">_xlfn.XLOOKUP(BPC$11,Assumptions!$B$35:$H$35,_xlfn.XLOOKUP($C28,Assumptions!$B$36:$B$41,Assumptions!$B$36:$H$41))</f>
        <v>0</v>
      </c>
      <c r="BPD28">
        <f t="array" ref="BPD28">_xlfn.XLOOKUP(BPD$11,Assumptions!$B$35:$H$35,_xlfn.XLOOKUP($C28,Assumptions!$B$36:$B$41,Assumptions!$B$36:$H$41))</f>
        <v>0</v>
      </c>
      <c r="BPE28">
        <f t="array" ref="BPE28">_xlfn.XLOOKUP(BPE$11,Assumptions!$B$35:$H$35,_xlfn.XLOOKUP($C28,Assumptions!$B$36:$B$41,Assumptions!$B$36:$H$41))</f>
        <v>0</v>
      </c>
      <c r="BPF28">
        <f t="array" ref="BPF28">_xlfn.XLOOKUP(BPF$11,Assumptions!$B$35:$H$35,_xlfn.XLOOKUP($C28,Assumptions!$B$36:$B$41,Assumptions!$B$36:$H$41))</f>
        <v>0</v>
      </c>
      <c r="BPG28">
        <f t="array" ref="BPG28">_xlfn.XLOOKUP(BPG$11,Assumptions!$B$35:$H$35,_xlfn.XLOOKUP($C28,Assumptions!$B$36:$B$41,Assumptions!$B$36:$H$41))</f>
        <v>0</v>
      </c>
      <c r="BPH28">
        <f t="array" ref="BPH28">_xlfn.XLOOKUP(BPH$11,Assumptions!$B$35:$H$35,_xlfn.XLOOKUP($C28,Assumptions!$B$36:$B$41,Assumptions!$B$36:$H$41))</f>
        <v>0</v>
      </c>
      <c r="BPI28">
        <f t="array" ref="BPI28">_xlfn.XLOOKUP(BPI$11,Assumptions!$B$35:$H$35,_xlfn.XLOOKUP($C28,Assumptions!$B$36:$B$41,Assumptions!$B$36:$H$41))</f>
        <v>0</v>
      </c>
      <c r="BPJ28">
        <f t="array" ref="BPJ28">_xlfn.XLOOKUP(BPJ$11,Assumptions!$B$35:$H$35,_xlfn.XLOOKUP($C28,Assumptions!$B$36:$B$41,Assumptions!$B$36:$H$41))</f>
        <v>0</v>
      </c>
      <c r="BPK28">
        <f t="array" ref="BPK28">_xlfn.XLOOKUP(BPK$11,Assumptions!$B$35:$H$35,_xlfn.XLOOKUP($C28,Assumptions!$B$36:$B$41,Assumptions!$B$36:$H$41))</f>
        <v>0</v>
      </c>
      <c r="BPL28">
        <f t="array" ref="BPL28">_xlfn.XLOOKUP(BPL$11,Assumptions!$B$35:$H$35,_xlfn.XLOOKUP($C28,Assumptions!$B$36:$B$41,Assumptions!$B$36:$H$41))</f>
        <v>0</v>
      </c>
      <c r="BPM28">
        <f t="array" ref="BPM28">_xlfn.XLOOKUP(BPM$11,Assumptions!$B$35:$H$35,_xlfn.XLOOKUP($C28,Assumptions!$B$36:$B$41,Assumptions!$B$36:$H$41))</f>
        <v>0</v>
      </c>
      <c r="BPN28">
        <f t="array" ref="BPN28">_xlfn.XLOOKUP(BPN$11,Assumptions!$B$35:$H$35,_xlfn.XLOOKUP($C28,Assumptions!$B$36:$B$41,Assumptions!$B$36:$H$41))</f>
        <v>0</v>
      </c>
      <c r="BPO28">
        <f t="array" ref="BPO28">_xlfn.XLOOKUP(BPO$11,Assumptions!$B$35:$H$35,_xlfn.XLOOKUP($C28,Assumptions!$B$36:$B$41,Assumptions!$B$36:$H$41))</f>
        <v>0</v>
      </c>
      <c r="BPP28">
        <f t="array" ref="BPP28">_xlfn.XLOOKUP(BPP$11,Assumptions!$B$35:$H$35,_xlfn.XLOOKUP($C28,Assumptions!$B$36:$B$41,Assumptions!$B$36:$H$41))</f>
        <v>0</v>
      </c>
      <c r="BPQ28">
        <f t="array" ref="BPQ28">_xlfn.XLOOKUP(BPQ$11,Assumptions!$B$35:$H$35,_xlfn.XLOOKUP($C28,Assumptions!$B$36:$B$41,Assumptions!$B$36:$H$41))</f>
        <v>0</v>
      </c>
      <c r="BPR28">
        <f t="array" ref="BPR28">_xlfn.XLOOKUP(BPR$11,Assumptions!$B$35:$H$35,_xlfn.XLOOKUP($C28,Assumptions!$B$36:$B$41,Assumptions!$B$36:$H$41))</f>
        <v>0</v>
      </c>
      <c r="BPS28">
        <f t="array" ref="BPS28">_xlfn.XLOOKUP(BPS$11,Assumptions!$B$35:$H$35,_xlfn.XLOOKUP($C28,Assumptions!$B$36:$B$41,Assumptions!$B$36:$H$41))</f>
        <v>0</v>
      </c>
      <c r="BPT28">
        <f t="array" ref="BPT28">_xlfn.XLOOKUP(BPT$11,Assumptions!$B$35:$H$35,_xlfn.XLOOKUP($C28,Assumptions!$B$36:$B$41,Assumptions!$B$36:$H$41))</f>
        <v>0</v>
      </c>
      <c r="BPU28">
        <f t="array" ref="BPU28">_xlfn.XLOOKUP(BPU$11,Assumptions!$B$35:$H$35,_xlfn.XLOOKUP($C28,Assumptions!$B$36:$B$41,Assumptions!$B$36:$H$41))</f>
        <v>0</v>
      </c>
      <c r="BPV28">
        <f t="array" ref="BPV28">_xlfn.XLOOKUP(BPV$11,Assumptions!$B$35:$H$35,_xlfn.XLOOKUP($C28,Assumptions!$B$36:$B$41,Assumptions!$B$36:$H$41))</f>
        <v>0</v>
      </c>
      <c r="BPW28">
        <f t="array" ref="BPW28">_xlfn.XLOOKUP(BPW$11,Assumptions!$B$35:$H$35,_xlfn.XLOOKUP($C28,Assumptions!$B$36:$B$41,Assumptions!$B$36:$H$41))</f>
        <v>0</v>
      </c>
      <c r="BPX28">
        <f t="array" ref="BPX28">_xlfn.XLOOKUP(BPX$11,Assumptions!$B$35:$H$35,_xlfn.XLOOKUP($C28,Assumptions!$B$36:$B$41,Assumptions!$B$36:$H$41))</f>
        <v>0</v>
      </c>
      <c r="BPY28">
        <f t="array" ref="BPY28">_xlfn.XLOOKUP(BPY$11,Assumptions!$B$35:$H$35,_xlfn.XLOOKUP($C28,Assumptions!$B$36:$B$41,Assumptions!$B$36:$H$41))</f>
        <v>0</v>
      </c>
      <c r="BPZ28">
        <f t="array" ref="BPZ28">_xlfn.XLOOKUP(BPZ$11,Assumptions!$B$35:$H$35,_xlfn.XLOOKUP($C28,Assumptions!$B$36:$B$41,Assumptions!$B$36:$H$41))</f>
        <v>0</v>
      </c>
      <c r="BQA28">
        <f t="array" ref="BQA28">_xlfn.XLOOKUP(BQA$11,Assumptions!$B$35:$H$35,_xlfn.XLOOKUP($C28,Assumptions!$B$36:$B$41,Assumptions!$B$36:$H$41))</f>
        <v>0</v>
      </c>
      <c r="BQB28">
        <f t="array" ref="BQB28">_xlfn.XLOOKUP(BQB$11,Assumptions!$B$35:$H$35,_xlfn.XLOOKUP($C28,Assumptions!$B$36:$B$41,Assumptions!$B$36:$H$41))</f>
        <v>0</v>
      </c>
      <c r="BQC28">
        <f t="array" ref="BQC28">_xlfn.XLOOKUP(BQC$11,Assumptions!$B$35:$H$35,_xlfn.XLOOKUP($C28,Assumptions!$B$36:$B$41,Assumptions!$B$36:$H$41))</f>
        <v>0</v>
      </c>
      <c r="BQD28">
        <f t="array" ref="BQD28">_xlfn.XLOOKUP(BQD$11,Assumptions!$B$35:$H$35,_xlfn.XLOOKUP($C28,Assumptions!$B$36:$B$41,Assumptions!$B$36:$H$41))</f>
        <v>0</v>
      </c>
      <c r="BQE28">
        <f t="array" ref="BQE28">_xlfn.XLOOKUP(BQE$11,Assumptions!$B$35:$H$35,_xlfn.XLOOKUP($C28,Assumptions!$B$36:$B$41,Assumptions!$B$36:$H$41))</f>
        <v>0</v>
      </c>
      <c r="BQF28">
        <f t="array" ref="BQF28">_xlfn.XLOOKUP(BQF$11,Assumptions!$B$35:$H$35,_xlfn.XLOOKUP($C28,Assumptions!$B$36:$B$41,Assumptions!$B$36:$H$41))</f>
        <v>0</v>
      </c>
      <c r="BQG28">
        <f t="array" ref="BQG28">_xlfn.XLOOKUP(BQG$11,Assumptions!$B$35:$H$35,_xlfn.XLOOKUP($C28,Assumptions!$B$36:$B$41,Assumptions!$B$36:$H$41))</f>
        <v>0</v>
      </c>
      <c r="BQH28">
        <f t="array" ref="BQH28">_xlfn.XLOOKUP(BQH$11,Assumptions!$B$35:$H$35,_xlfn.XLOOKUP($C28,Assumptions!$B$36:$B$41,Assumptions!$B$36:$H$41))</f>
        <v>0</v>
      </c>
      <c r="BQI28">
        <f t="array" ref="BQI28">_xlfn.XLOOKUP(BQI$11,Assumptions!$B$35:$H$35,_xlfn.XLOOKUP($C28,Assumptions!$B$36:$B$41,Assumptions!$B$36:$H$41))</f>
        <v>0</v>
      </c>
      <c r="BQJ28">
        <f t="array" ref="BQJ28">_xlfn.XLOOKUP(BQJ$11,Assumptions!$B$35:$H$35,_xlfn.XLOOKUP($C28,Assumptions!$B$36:$B$41,Assumptions!$B$36:$H$41))</f>
        <v>0</v>
      </c>
      <c r="BQK28">
        <f t="array" ref="BQK28">_xlfn.XLOOKUP(BQK$11,Assumptions!$B$35:$H$35,_xlfn.XLOOKUP($C28,Assumptions!$B$36:$B$41,Assumptions!$B$36:$H$41))</f>
        <v>0</v>
      </c>
      <c r="BQL28">
        <f t="array" ref="BQL28">_xlfn.XLOOKUP(BQL$11,Assumptions!$B$35:$H$35,_xlfn.XLOOKUP($C28,Assumptions!$B$36:$B$41,Assumptions!$B$36:$H$41))</f>
        <v>0</v>
      </c>
      <c r="BQM28">
        <f t="array" ref="BQM28">_xlfn.XLOOKUP(BQM$11,Assumptions!$B$35:$H$35,_xlfn.XLOOKUP($C28,Assumptions!$B$36:$B$41,Assumptions!$B$36:$H$41))</f>
        <v>0</v>
      </c>
      <c r="BQN28">
        <f t="array" ref="BQN28">_xlfn.XLOOKUP(BQN$11,Assumptions!$B$35:$H$35,_xlfn.XLOOKUP($C28,Assumptions!$B$36:$B$41,Assumptions!$B$36:$H$41))</f>
        <v>0</v>
      </c>
      <c r="BQO28">
        <f t="array" ref="BQO28">_xlfn.XLOOKUP(BQO$11,Assumptions!$B$35:$H$35,_xlfn.XLOOKUP($C28,Assumptions!$B$36:$B$41,Assumptions!$B$36:$H$41))</f>
        <v>0</v>
      </c>
      <c r="BQP28">
        <f t="array" ref="BQP28">_xlfn.XLOOKUP(BQP$11,Assumptions!$B$35:$H$35,_xlfn.XLOOKUP($C28,Assumptions!$B$36:$B$41,Assumptions!$B$36:$H$41))</f>
        <v>0</v>
      </c>
      <c r="BQQ28">
        <f t="array" ref="BQQ28">_xlfn.XLOOKUP(BQQ$11,Assumptions!$B$35:$H$35,_xlfn.XLOOKUP($C28,Assumptions!$B$36:$B$41,Assumptions!$B$36:$H$41))</f>
        <v>0</v>
      </c>
      <c r="BQR28">
        <f t="array" ref="BQR28">_xlfn.XLOOKUP(BQR$11,Assumptions!$B$35:$H$35,_xlfn.XLOOKUP($C28,Assumptions!$B$36:$B$41,Assumptions!$B$36:$H$41))</f>
        <v>0</v>
      </c>
      <c r="BQS28">
        <f t="array" ref="BQS28">_xlfn.XLOOKUP(BQS$11,Assumptions!$B$35:$H$35,_xlfn.XLOOKUP($C28,Assumptions!$B$36:$B$41,Assumptions!$B$36:$H$41))</f>
        <v>0</v>
      </c>
      <c r="BQT28">
        <f t="array" ref="BQT28">_xlfn.XLOOKUP(BQT$11,Assumptions!$B$35:$H$35,_xlfn.XLOOKUP($C28,Assumptions!$B$36:$B$41,Assumptions!$B$36:$H$41))</f>
        <v>0</v>
      </c>
      <c r="BQU28">
        <f t="array" ref="BQU28">_xlfn.XLOOKUP(BQU$11,Assumptions!$B$35:$H$35,_xlfn.XLOOKUP($C28,Assumptions!$B$36:$B$41,Assumptions!$B$36:$H$41))</f>
        <v>0</v>
      </c>
      <c r="BQV28">
        <f t="array" ref="BQV28">_xlfn.XLOOKUP(BQV$11,Assumptions!$B$35:$H$35,_xlfn.XLOOKUP($C28,Assumptions!$B$36:$B$41,Assumptions!$B$36:$H$41))</f>
        <v>0</v>
      </c>
      <c r="BQW28">
        <f t="array" ref="BQW28">_xlfn.XLOOKUP(BQW$11,Assumptions!$B$35:$H$35,_xlfn.XLOOKUP($C28,Assumptions!$B$36:$B$41,Assumptions!$B$36:$H$41))</f>
        <v>0</v>
      </c>
      <c r="BQX28">
        <f t="array" ref="BQX28">_xlfn.XLOOKUP(BQX$11,Assumptions!$B$35:$H$35,_xlfn.XLOOKUP($C28,Assumptions!$B$36:$B$41,Assumptions!$B$36:$H$41))</f>
        <v>0</v>
      </c>
      <c r="BQY28">
        <f t="array" ref="BQY28">_xlfn.XLOOKUP(BQY$11,Assumptions!$B$35:$H$35,_xlfn.XLOOKUP($C28,Assumptions!$B$36:$B$41,Assumptions!$B$36:$H$41))</f>
        <v>0</v>
      </c>
      <c r="BQZ28">
        <f t="array" ref="BQZ28">_xlfn.XLOOKUP(BQZ$11,Assumptions!$B$35:$H$35,_xlfn.XLOOKUP($C28,Assumptions!$B$36:$B$41,Assumptions!$B$36:$H$41))</f>
        <v>0</v>
      </c>
      <c r="BRA28">
        <f t="array" ref="BRA28">_xlfn.XLOOKUP(BRA$11,Assumptions!$B$35:$H$35,_xlfn.XLOOKUP($C28,Assumptions!$B$36:$B$41,Assumptions!$B$36:$H$41))</f>
        <v>0</v>
      </c>
      <c r="BRB28">
        <f t="array" ref="BRB28">_xlfn.XLOOKUP(BRB$11,Assumptions!$B$35:$H$35,_xlfn.XLOOKUP($C28,Assumptions!$B$36:$B$41,Assumptions!$B$36:$H$41))</f>
        <v>0</v>
      </c>
      <c r="BRC28">
        <f t="array" ref="BRC28">_xlfn.XLOOKUP(BRC$11,Assumptions!$B$35:$H$35,_xlfn.XLOOKUP($C28,Assumptions!$B$36:$B$41,Assumptions!$B$36:$H$41))</f>
        <v>0</v>
      </c>
      <c r="BRD28">
        <f t="array" ref="BRD28">_xlfn.XLOOKUP(BRD$11,Assumptions!$B$35:$H$35,_xlfn.XLOOKUP($C28,Assumptions!$B$36:$B$41,Assumptions!$B$36:$H$41))</f>
        <v>0</v>
      </c>
      <c r="BRE28">
        <f t="array" ref="BRE28">_xlfn.XLOOKUP(BRE$11,Assumptions!$B$35:$H$35,_xlfn.XLOOKUP($C28,Assumptions!$B$36:$B$41,Assumptions!$B$36:$H$41))</f>
        <v>0</v>
      </c>
      <c r="BRF28">
        <f t="array" ref="BRF28">_xlfn.XLOOKUP(BRF$11,Assumptions!$B$35:$H$35,_xlfn.XLOOKUP($C28,Assumptions!$B$36:$B$41,Assumptions!$B$36:$H$41))</f>
        <v>0</v>
      </c>
      <c r="BRG28">
        <f t="array" ref="BRG28">_xlfn.XLOOKUP(BRG$11,Assumptions!$B$35:$H$35,_xlfn.XLOOKUP($C28,Assumptions!$B$36:$B$41,Assumptions!$B$36:$H$41))</f>
        <v>0</v>
      </c>
      <c r="BRH28">
        <f t="array" ref="BRH28">_xlfn.XLOOKUP(BRH$11,Assumptions!$B$35:$H$35,_xlfn.XLOOKUP($C28,Assumptions!$B$36:$B$41,Assumptions!$B$36:$H$41))</f>
        <v>0</v>
      </c>
      <c r="BRI28">
        <f t="array" ref="BRI28">_xlfn.XLOOKUP(BRI$11,Assumptions!$B$35:$H$35,_xlfn.XLOOKUP($C28,Assumptions!$B$36:$B$41,Assumptions!$B$36:$H$41))</f>
        <v>0</v>
      </c>
      <c r="BRJ28">
        <f t="array" ref="BRJ28">_xlfn.XLOOKUP(BRJ$11,Assumptions!$B$35:$H$35,_xlfn.XLOOKUP($C28,Assumptions!$B$36:$B$41,Assumptions!$B$36:$H$41))</f>
        <v>0</v>
      </c>
      <c r="BRK28">
        <f t="array" ref="BRK28">_xlfn.XLOOKUP(BRK$11,Assumptions!$B$35:$H$35,_xlfn.XLOOKUP($C28,Assumptions!$B$36:$B$41,Assumptions!$B$36:$H$41))</f>
        <v>0</v>
      </c>
      <c r="BRL28">
        <f t="array" ref="BRL28">_xlfn.XLOOKUP(BRL$11,Assumptions!$B$35:$H$35,_xlfn.XLOOKUP($C28,Assumptions!$B$36:$B$41,Assumptions!$B$36:$H$41))</f>
        <v>0</v>
      </c>
      <c r="BRM28">
        <f t="array" ref="BRM28">_xlfn.XLOOKUP(BRM$11,Assumptions!$B$35:$H$35,_xlfn.XLOOKUP($C28,Assumptions!$B$36:$B$41,Assumptions!$B$36:$H$41))</f>
        <v>0</v>
      </c>
      <c r="BRN28">
        <f t="array" ref="BRN28">_xlfn.XLOOKUP(BRN$11,Assumptions!$B$35:$H$35,_xlfn.XLOOKUP($C28,Assumptions!$B$36:$B$41,Assumptions!$B$36:$H$41))</f>
        <v>0</v>
      </c>
      <c r="BRO28">
        <f t="array" ref="BRO28">_xlfn.XLOOKUP(BRO$11,Assumptions!$B$35:$H$35,_xlfn.XLOOKUP($C28,Assumptions!$B$36:$B$41,Assumptions!$B$36:$H$41))</f>
        <v>0</v>
      </c>
      <c r="BRP28">
        <f t="array" ref="BRP28">_xlfn.XLOOKUP(BRP$11,Assumptions!$B$35:$H$35,_xlfn.XLOOKUP($C28,Assumptions!$B$36:$B$41,Assumptions!$B$36:$H$41))</f>
        <v>0</v>
      </c>
      <c r="BRQ28">
        <f t="array" ref="BRQ28">_xlfn.XLOOKUP(BRQ$11,Assumptions!$B$35:$H$35,_xlfn.XLOOKUP($C28,Assumptions!$B$36:$B$41,Assumptions!$B$36:$H$41))</f>
        <v>0</v>
      </c>
      <c r="BRR28">
        <f t="array" ref="BRR28">_xlfn.XLOOKUP(BRR$11,Assumptions!$B$35:$H$35,_xlfn.XLOOKUP($C28,Assumptions!$B$36:$B$41,Assumptions!$B$36:$H$41))</f>
        <v>0</v>
      </c>
      <c r="BRS28">
        <f t="array" ref="BRS28">_xlfn.XLOOKUP(BRS$11,Assumptions!$B$35:$H$35,_xlfn.XLOOKUP($C28,Assumptions!$B$36:$B$41,Assumptions!$B$36:$H$41))</f>
        <v>0</v>
      </c>
      <c r="BRT28">
        <f t="array" ref="BRT28">_xlfn.XLOOKUP(BRT$11,Assumptions!$B$35:$H$35,_xlfn.XLOOKUP($C28,Assumptions!$B$36:$B$41,Assumptions!$B$36:$H$41))</f>
        <v>0</v>
      </c>
      <c r="BRU28">
        <f t="array" ref="BRU28">_xlfn.XLOOKUP(BRU$11,Assumptions!$B$35:$H$35,_xlfn.XLOOKUP($C28,Assumptions!$B$36:$B$41,Assumptions!$B$36:$H$41))</f>
        <v>0</v>
      </c>
      <c r="BRV28">
        <f t="array" ref="BRV28">_xlfn.XLOOKUP(BRV$11,Assumptions!$B$35:$H$35,_xlfn.XLOOKUP($C28,Assumptions!$B$36:$B$41,Assumptions!$B$36:$H$41))</f>
        <v>0</v>
      </c>
      <c r="BRW28">
        <f t="array" ref="BRW28">_xlfn.XLOOKUP(BRW$11,Assumptions!$B$35:$H$35,_xlfn.XLOOKUP($C28,Assumptions!$B$36:$B$41,Assumptions!$B$36:$H$41))</f>
        <v>0</v>
      </c>
      <c r="BRX28">
        <f t="array" ref="BRX28">_xlfn.XLOOKUP(BRX$11,Assumptions!$B$35:$H$35,_xlfn.XLOOKUP($C28,Assumptions!$B$36:$B$41,Assumptions!$B$36:$H$41))</f>
        <v>0</v>
      </c>
      <c r="BRY28">
        <f t="array" ref="BRY28">_xlfn.XLOOKUP(BRY$11,Assumptions!$B$35:$H$35,_xlfn.XLOOKUP($C28,Assumptions!$B$36:$B$41,Assumptions!$B$36:$H$41))</f>
        <v>0</v>
      </c>
      <c r="BRZ28">
        <f t="array" ref="BRZ28">_xlfn.XLOOKUP(BRZ$11,Assumptions!$B$35:$H$35,_xlfn.XLOOKUP($C28,Assumptions!$B$36:$B$41,Assumptions!$B$36:$H$41))</f>
        <v>0</v>
      </c>
      <c r="BSA28">
        <f t="array" ref="BSA28">_xlfn.XLOOKUP(BSA$11,Assumptions!$B$35:$H$35,_xlfn.XLOOKUP($C28,Assumptions!$B$36:$B$41,Assumptions!$B$36:$H$41))</f>
        <v>0</v>
      </c>
      <c r="BSB28">
        <f t="array" ref="BSB28">_xlfn.XLOOKUP(BSB$11,Assumptions!$B$35:$H$35,_xlfn.XLOOKUP($C28,Assumptions!$B$36:$B$41,Assumptions!$B$36:$H$41))</f>
        <v>0</v>
      </c>
      <c r="BSC28">
        <f t="array" ref="BSC28">_xlfn.XLOOKUP(BSC$11,Assumptions!$B$35:$H$35,_xlfn.XLOOKUP($C28,Assumptions!$B$36:$B$41,Assumptions!$B$36:$H$41))</f>
        <v>0</v>
      </c>
      <c r="BSD28">
        <f t="array" ref="BSD28">_xlfn.XLOOKUP(BSD$11,Assumptions!$B$35:$H$35,_xlfn.XLOOKUP($C28,Assumptions!$B$36:$B$41,Assumptions!$B$36:$H$41))</f>
        <v>0</v>
      </c>
      <c r="BSE28">
        <f t="array" ref="BSE28">_xlfn.XLOOKUP(BSE$11,Assumptions!$B$35:$H$35,_xlfn.XLOOKUP($C28,Assumptions!$B$36:$B$41,Assumptions!$B$36:$H$41))</f>
        <v>0</v>
      </c>
      <c r="BSF28">
        <f t="array" ref="BSF28">_xlfn.XLOOKUP(BSF$11,Assumptions!$B$35:$H$35,_xlfn.XLOOKUP($C28,Assumptions!$B$36:$B$41,Assumptions!$B$36:$H$41))</f>
        <v>0</v>
      </c>
      <c r="BSG28">
        <f t="array" ref="BSG28">_xlfn.XLOOKUP(BSG$11,Assumptions!$B$35:$H$35,_xlfn.XLOOKUP($C28,Assumptions!$B$36:$B$41,Assumptions!$B$36:$H$41))</f>
        <v>0</v>
      </c>
      <c r="BSH28">
        <f t="array" ref="BSH28">_xlfn.XLOOKUP(BSH$11,Assumptions!$B$35:$H$35,_xlfn.XLOOKUP($C28,Assumptions!$B$36:$B$41,Assumptions!$B$36:$H$41))</f>
        <v>0</v>
      </c>
      <c r="BSI28">
        <f t="array" ref="BSI28">_xlfn.XLOOKUP(BSI$11,Assumptions!$B$35:$H$35,_xlfn.XLOOKUP($C28,Assumptions!$B$36:$B$41,Assumptions!$B$36:$H$41))</f>
        <v>0</v>
      </c>
      <c r="BSJ28">
        <f t="array" ref="BSJ28">_xlfn.XLOOKUP(BSJ$11,Assumptions!$B$35:$H$35,_xlfn.XLOOKUP($C28,Assumptions!$B$36:$B$41,Assumptions!$B$36:$H$41))</f>
        <v>0</v>
      </c>
      <c r="BSK28">
        <f t="array" ref="BSK28">_xlfn.XLOOKUP(BSK$11,Assumptions!$B$35:$H$35,_xlfn.XLOOKUP($C28,Assumptions!$B$36:$B$41,Assumptions!$B$36:$H$41))</f>
        <v>0</v>
      </c>
      <c r="BSL28">
        <f t="array" ref="BSL28">_xlfn.XLOOKUP(BSL$11,Assumptions!$B$35:$H$35,_xlfn.XLOOKUP($C28,Assumptions!$B$36:$B$41,Assumptions!$B$36:$H$41))</f>
        <v>0</v>
      </c>
      <c r="BSM28">
        <f t="array" ref="BSM28">_xlfn.XLOOKUP(BSM$11,Assumptions!$B$35:$H$35,_xlfn.XLOOKUP($C28,Assumptions!$B$36:$B$41,Assumptions!$B$36:$H$41))</f>
        <v>0</v>
      </c>
      <c r="BSN28">
        <f t="array" ref="BSN28">_xlfn.XLOOKUP(BSN$11,Assumptions!$B$35:$H$35,_xlfn.XLOOKUP($C28,Assumptions!$B$36:$B$41,Assumptions!$B$36:$H$41))</f>
        <v>0</v>
      </c>
      <c r="BSO28">
        <f t="array" ref="BSO28">_xlfn.XLOOKUP(BSO$11,Assumptions!$B$35:$H$35,_xlfn.XLOOKUP($C28,Assumptions!$B$36:$B$41,Assumptions!$B$36:$H$41))</f>
        <v>0</v>
      </c>
      <c r="BSP28">
        <f t="array" ref="BSP28">_xlfn.XLOOKUP(BSP$11,Assumptions!$B$35:$H$35,_xlfn.XLOOKUP($C28,Assumptions!$B$36:$B$41,Assumptions!$B$36:$H$41))</f>
        <v>0</v>
      </c>
      <c r="BSQ28">
        <f t="array" ref="BSQ28">_xlfn.XLOOKUP(BSQ$11,Assumptions!$B$35:$H$35,_xlfn.XLOOKUP($C28,Assumptions!$B$36:$B$41,Assumptions!$B$36:$H$41))</f>
        <v>0</v>
      </c>
      <c r="BSR28">
        <f t="array" ref="BSR28">_xlfn.XLOOKUP(BSR$11,Assumptions!$B$35:$H$35,_xlfn.XLOOKUP($C28,Assumptions!$B$36:$B$41,Assumptions!$B$36:$H$41))</f>
        <v>0</v>
      </c>
      <c r="BSS28">
        <f t="array" ref="BSS28">_xlfn.XLOOKUP(BSS$11,Assumptions!$B$35:$H$35,_xlfn.XLOOKUP($C28,Assumptions!$B$36:$B$41,Assumptions!$B$36:$H$41))</f>
        <v>0</v>
      </c>
      <c r="BST28">
        <f t="array" ref="BST28">_xlfn.XLOOKUP(BST$11,Assumptions!$B$35:$H$35,_xlfn.XLOOKUP($C28,Assumptions!$B$36:$B$41,Assumptions!$B$36:$H$41))</f>
        <v>0</v>
      </c>
      <c r="BSU28">
        <f t="array" ref="BSU28">_xlfn.XLOOKUP(BSU$11,Assumptions!$B$35:$H$35,_xlfn.XLOOKUP($C28,Assumptions!$B$36:$B$41,Assumptions!$B$36:$H$41))</f>
        <v>0</v>
      </c>
      <c r="BSV28">
        <f t="array" ref="BSV28">_xlfn.XLOOKUP(BSV$11,Assumptions!$B$35:$H$35,_xlfn.XLOOKUP($C28,Assumptions!$B$36:$B$41,Assumptions!$B$36:$H$41))</f>
        <v>0</v>
      </c>
      <c r="BSW28">
        <f t="array" ref="BSW28">_xlfn.XLOOKUP(BSW$11,Assumptions!$B$35:$H$35,_xlfn.XLOOKUP($C28,Assumptions!$B$36:$B$41,Assumptions!$B$36:$H$41))</f>
        <v>0</v>
      </c>
      <c r="BSX28">
        <f t="array" ref="BSX28">_xlfn.XLOOKUP(BSX$11,Assumptions!$B$35:$H$35,_xlfn.XLOOKUP($C28,Assumptions!$B$36:$B$41,Assumptions!$B$36:$H$41))</f>
        <v>0</v>
      </c>
      <c r="BSY28">
        <f t="array" ref="BSY28">_xlfn.XLOOKUP(BSY$11,Assumptions!$B$35:$H$35,_xlfn.XLOOKUP($C28,Assumptions!$B$36:$B$41,Assumptions!$B$36:$H$41))</f>
        <v>0</v>
      </c>
      <c r="BSZ28">
        <f t="array" ref="BSZ28">_xlfn.XLOOKUP(BSZ$11,Assumptions!$B$35:$H$35,_xlfn.XLOOKUP($C28,Assumptions!$B$36:$B$41,Assumptions!$B$36:$H$41))</f>
        <v>0</v>
      </c>
      <c r="BTA28">
        <f t="array" ref="BTA28">_xlfn.XLOOKUP(BTA$11,Assumptions!$B$35:$H$35,_xlfn.XLOOKUP($C28,Assumptions!$B$36:$B$41,Assumptions!$B$36:$H$41))</f>
        <v>0</v>
      </c>
      <c r="BTB28">
        <f t="array" ref="BTB28">_xlfn.XLOOKUP(BTB$11,Assumptions!$B$35:$H$35,_xlfn.XLOOKUP($C28,Assumptions!$B$36:$B$41,Assumptions!$B$36:$H$41))</f>
        <v>0</v>
      </c>
      <c r="BTC28">
        <f t="array" ref="BTC28">_xlfn.XLOOKUP(BTC$11,Assumptions!$B$35:$H$35,_xlfn.XLOOKUP($C28,Assumptions!$B$36:$B$41,Assumptions!$B$36:$H$41))</f>
        <v>0</v>
      </c>
      <c r="BTD28">
        <f t="array" ref="BTD28">_xlfn.XLOOKUP(BTD$11,Assumptions!$B$35:$H$35,_xlfn.XLOOKUP($C28,Assumptions!$B$36:$B$41,Assumptions!$B$36:$H$41))</f>
        <v>0</v>
      </c>
      <c r="BTE28">
        <f t="array" ref="BTE28">_xlfn.XLOOKUP(BTE$11,Assumptions!$B$35:$H$35,_xlfn.XLOOKUP($C28,Assumptions!$B$36:$B$41,Assumptions!$B$36:$H$41))</f>
        <v>0</v>
      </c>
      <c r="BTF28">
        <f t="array" ref="BTF28">_xlfn.XLOOKUP(BTF$11,Assumptions!$B$35:$H$35,_xlfn.XLOOKUP($C28,Assumptions!$B$36:$B$41,Assumptions!$B$36:$H$41))</f>
        <v>0</v>
      </c>
      <c r="BTG28">
        <f t="array" ref="BTG28">_xlfn.XLOOKUP(BTG$11,Assumptions!$B$35:$H$35,_xlfn.XLOOKUP($C28,Assumptions!$B$36:$B$41,Assumptions!$B$36:$H$41))</f>
        <v>0</v>
      </c>
      <c r="BTH28">
        <f t="array" ref="BTH28">_xlfn.XLOOKUP(BTH$11,Assumptions!$B$35:$H$35,_xlfn.XLOOKUP($C28,Assumptions!$B$36:$B$41,Assumptions!$B$36:$H$41))</f>
        <v>0</v>
      </c>
      <c r="BTI28">
        <f t="array" ref="BTI28">_xlfn.XLOOKUP(BTI$11,Assumptions!$B$35:$H$35,_xlfn.XLOOKUP($C28,Assumptions!$B$36:$B$41,Assumptions!$B$36:$H$41))</f>
        <v>0</v>
      </c>
      <c r="BTJ28">
        <f t="array" ref="BTJ28">_xlfn.XLOOKUP(BTJ$11,Assumptions!$B$35:$H$35,_xlfn.XLOOKUP($C28,Assumptions!$B$36:$B$41,Assumptions!$B$36:$H$41))</f>
        <v>0</v>
      </c>
      <c r="BTK28">
        <f t="array" ref="BTK28">_xlfn.XLOOKUP(BTK$11,Assumptions!$B$35:$H$35,_xlfn.XLOOKUP($C28,Assumptions!$B$36:$B$41,Assumptions!$B$36:$H$41))</f>
        <v>0</v>
      </c>
      <c r="BTL28">
        <f t="array" ref="BTL28">_xlfn.XLOOKUP(BTL$11,Assumptions!$B$35:$H$35,_xlfn.XLOOKUP($C28,Assumptions!$B$36:$B$41,Assumptions!$B$36:$H$41))</f>
        <v>0</v>
      </c>
      <c r="BTM28">
        <f t="array" ref="BTM28">_xlfn.XLOOKUP(BTM$11,Assumptions!$B$35:$H$35,_xlfn.XLOOKUP($C28,Assumptions!$B$36:$B$41,Assumptions!$B$36:$H$41))</f>
        <v>0</v>
      </c>
      <c r="BTN28">
        <f t="array" ref="BTN28">_xlfn.XLOOKUP(BTN$11,Assumptions!$B$35:$H$35,_xlfn.XLOOKUP($C28,Assumptions!$B$36:$B$41,Assumptions!$B$36:$H$41))</f>
        <v>0</v>
      </c>
      <c r="BTO28">
        <f t="array" ref="BTO28">_xlfn.XLOOKUP(BTO$11,Assumptions!$B$35:$H$35,_xlfn.XLOOKUP($C28,Assumptions!$B$36:$B$41,Assumptions!$B$36:$H$41))</f>
        <v>0</v>
      </c>
      <c r="BTP28">
        <f t="array" ref="BTP28">_xlfn.XLOOKUP(BTP$11,Assumptions!$B$35:$H$35,_xlfn.XLOOKUP($C28,Assumptions!$B$36:$B$41,Assumptions!$B$36:$H$41))</f>
        <v>0</v>
      </c>
      <c r="BTQ28">
        <f t="array" ref="BTQ28">_xlfn.XLOOKUP(BTQ$11,Assumptions!$B$35:$H$35,_xlfn.XLOOKUP($C28,Assumptions!$B$36:$B$41,Assumptions!$B$36:$H$41))</f>
        <v>0</v>
      </c>
      <c r="BTR28">
        <f t="array" ref="BTR28">_xlfn.XLOOKUP(BTR$11,Assumptions!$B$35:$H$35,_xlfn.XLOOKUP($C28,Assumptions!$B$36:$B$41,Assumptions!$B$36:$H$41))</f>
        <v>0</v>
      </c>
      <c r="BTS28">
        <f t="array" ref="BTS28">_xlfn.XLOOKUP(BTS$11,Assumptions!$B$35:$H$35,_xlfn.XLOOKUP($C28,Assumptions!$B$36:$B$41,Assumptions!$B$36:$H$41))</f>
        <v>0</v>
      </c>
      <c r="BTT28">
        <f t="array" ref="BTT28">_xlfn.XLOOKUP(BTT$11,Assumptions!$B$35:$H$35,_xlfn.XLOOKUP($C28,Assumptions!$B$36:$B$41,Assumptions!$B$36:$H$41))</f>
        <v>0</v>
      </c>
      <c r="BTU28">
        <f t="array" ref="BTU28">_xlfn.XLOOKUP(BTU$11,Assumptions!$B$35:$H$35,_xlfn.XLOOKUP($C28,Assumptions!$B$36:$B$41,Assumptions!$B$36:$H$41))</f>
        <v>0</v>
      </c>
      <c r="BTV28">
        <f t="array" ref="BTV28">_xlfn.XLOOKUP(BTV$11,Assumptions!$B$35:$H$35,_xlfn.XLOOKUP($C28,Assumptions!$B$36:$B$41,Assumptions!$B$36:$H$41))</f>
        <v>0</v>
      </c>
      <c r="BTW28">
        <f t="array" ref="BTW28">_xlfn.XLOOKUP(BTW$11,Assumptions!$B$35:$H$35,_xlfn.XLOOKUP($C28,Assumptions!$B$36:$B$41,Assumptions!$B$36:$H$41))</f>
        <v>0</v>
      </c>
      <c r="BTX28">
        <f t="array" ref="BTX28">_xlfn.XLOOKUP(BTX$11,Assumptions!$B$35:$H$35,_xlfn.XLOOKUP($C28,Assumptions!$B$36:$B$41,Assumptions!$B$36:$H$41))</f>
        <v>0</v>
      </c>
      <c r="BTY28">
        <f t="array" ref="BTY28">_xlfn.XLOOKUP(BTY$11,Assumptions!$B$35:$H$35,_xlfn.XLOOKUP($C28,Assumptions!$B$36:$B$41,Assumptions!$B$36:$H$41))</f>
        <v>0</v>
      </c>
      <c r="BTZ28">
        <f t="array" ref="BTZ28">_xlfn.XLOOKUP(BTZ$11,Assumptions!$B$35:$H$35,_xlfn.XLOOKUP($C28,Assumptions!$B$36:$B$41,Assumptions!$B$36:$H$41))</f>
        <v>0</v>
      </c>
      <c r="BUA28">
        <f t="array" ref="BUA28">_xlfn.XLOOKUP(BUA$11,Assumptions!$B$35:$H$35,_xlfn.XLOOKUP($C28,Assumptions!$B$36:$B$41,Assumptions!$B$36:$H$41))</f>
        <v>0</v>
      </c>
      <c r="BUB28">
        <f t="array" ref="BUB28">_xlfn.XLOOKUP(BUB$11,Assumptions!$B$35:$H$35,_xlfn.XLOOKUP($C28,Assumptions!$B$36:$B$41,Assumptions!$B$36:$H$41))</f>
        <v>0</v>
      </c>
      <c r="BUC28">
        <f t="array" ref="BUC28">_xlfn.XLOOKUP(BUC$11,Assumptions!$B$35:$H$35,_xlfn.XLOOKUP($C28,Assumptions!$B$36:$B$41,Assumptions!$B$36:$H$41))</f>
        <v>0</v>
      </c>
      <c r="BUD28">
        <f t="array" ref="BUD28">_xlfn.XLOOKUP(BUD$11,Assumptions!$B$35:$H$35,_xlfn.XLOOKUP($C28,Assumptions!$B$36:$B$41,Assumptions!$B$36:$H$41))</f>
        <v>0</v>
      </c>
      <c r="BUE28">
        <f t="array" ref="BUE28">_xlfn.XLOOKUP(BUE$11,Assumptions!$B$35:$H$35,_xlfn.XLOOKUP($C28,Assumptions!$B$36:$B$41,Assumptions!$B$36:$H$41))</f>
        <v>0</v>
      </c>
      <c r="BUF28">
        <f t="array" ref="BUF28">_xlfn.XLOOKUP(BUF$11,Assumptions!$B$35:$H$35,_xlfn.XLOOKUP($C28,Assumptions!$B$36:$B$41,Assumptions!$B$36:$H$41))</f>
        <v>0</v>
      </c>
      <c r="BUG28">
        <f t="array" ref="BUG28">_xlfn.XLOOKUP(BUG$11,Assumptions!$B$35:$H$35,_xlfn.XLOOKUP($C28,Assumptions!$B$36:$B$41,Assumptions!$B$36:$H$41))</f>
        <v>0</v>
      </c>
      <c r="BUH28">
        <f t="array" ref="BUH28">_xlfn.XLOOKUP(BUH$11,Assumptions!$B$35:$H$35,_xlfn.XLOOKUP($C28,Assumptions!$B$36:$B$41,Assumptions!$B$36:$H$41))</f>
        <v>0</v>
      </c>
      <c r="BUI28">
        <f t="array" ref="BUI28">_xlfn.XLOOKUP(BUI$11,Assumptions!$B$35:$H$35,_xlfn.XLOOKUP($C28,Assumptions!$B$36:$B$41,Assumptions!$B$36:$H$41))</f>
        <v>0</v>
      </c>
      <c r="BUJ28">
        <f t="array" ref="BUJ28">_xlfn.XLOOKUP(BUJ$11,Assumptions!$B$35:$H$35,_xlfn.XLOOKUP($C28,Assumptions!$B$36:$B$41,Assumptions!$B$36:$H$41))</f>
        <v>0</v>
      </c>
      <c r="BUK28">
        <f t="array" ref="BUK28">_xlfn.XLOOKUP(BUK$11,Assumptions!$B$35:$H$35,_xlfn.XLOOKUP($C28,Assumptions!$B$36:$B$41,Assumptions!$B$36:$H$41))</f>
        <v>0</v>
      </c>
      <c r="BUL28">
        <f t="array" ref="BUL28">_xlfn.XLOOKUP(BUL$11,Assumptions!$B$35:$H$35,_xlfn.XLOOKUP($C28,Assumptions!$B$36:$B$41,Assumptions!$B$36:$H$41))</f>
        <v>0</v>
      </c>
      <c r="BUM28">
        <f t="array" ref="BUM28">_xlfn.XLOOKUP(BUM$11,Assumptions!$B$35:$H$35,_xlfn.XLOOKUP($C28,Assumptions!$B$36:$B$41,Assumptions!$B$36:$H$41))</f>
        <v>0</v>
      </c>
      <c r="BUN28">
        <f t="array" ref="BUN28">_xlfn.XLOOKUP(BUN$11,Assumptions!$B$35:$H$35,_xlfn.XLOOKUP($C28,Assumptions!$B$36:$B$41,Assumptions!$B$36:$H$41))</f>
        <v>0</v>
      </c>
      <c r="BUO28">
        <f t="array" ref="BUO28">_xlfn.XLOOKUP(BUO$11,Assumptions!$B$35:$H$35,_xlfn.XLOOKUP($C28,Assumptions!$B$36:$B$41,Assumptions!$B$36:$H$41))</f>
        <v>0</v>
      </c>
      <c r="BUP28">
        <f t="array" ref="BUP28">_xlfn.XLOOKUP(BUP$11,Assumptions!$B$35:$H$35,_xlfn.XLOOKUP($C28,Assumptions!$B$36:$B$41,Assumptions!$B$36:$H$41))</f>
        <v>0</v>
      </c>
      <c r="BUQ28">
        <f t="array" ref="BUQ28">_xlfn.XLOOKUP(BUQ$11,Assumptions!$B$35:$H$35,_xlfn.XLOOKUP($C28,Assumptions!$B$36:$B$41,Assumptions!$B$36:$H$41))</f>
        <v>0</v>
      </c>
      <c r="BUR28">
        <f t="array" ref="BUR28">_xlfn.XLOOKUP(BUR$11,Assumptions!$B$35:$H$35,_xlfn.XLOOKUP($C28,Assumptions!$B$36:$B$41,Assumptions!$B$36:$H$41))</f>
        <v>0</v>
      </c>
      <c r="BUS28">
        <f t="array" ref="BUS28">_xlfn.XLOOKUP(BUS$11,Assumptions!$B$35:$H$35,_xlfn.XLOOKUP($C28,Assumptions!$B$36:$B$41,Assumptions!$B$36:$H$41))</f>
        <v>0</v>
      </c>
      <c r="BUT28">
        <f t="array" ref="BUT28">_xlfn.XLOOKUP(BUT$11,Assumptions!$B$35:$H$35,_xlfn.XLOOKUP($C28,Assumptions!$B$36:$B$41,Assumptions!$B$36:$H$41))</f>
        <v>0</v>
      </c>
      <c r="BUU28">
        <f t="array" ref="BUU28">_xlfn.XLOOKUP(BUU$11,Assumptions!$B$35:$H$35,_xlfn.XLOOKUP($C28,Assumptions!$B$36:$B$41,Assumptions!$B$36:$H$41))</f>
        <v>0</v>
      </c>
      <c r="BUV28">
        <f t="array" ref="BUV28">_xlfn.XLOOKUP(BUV$11,Assumptions!$B$35:$H$35,_xlfn.XLOOKUP($C28,Assumptions!$B$36:$B$41,Assumptions!$B$36:$H$41))</f>
        <v>0</v>
      </c>
      <c r="BUW28">
        <f t="array" ref="BUW28">_xlfn.XLOOKUP(BUW$11,Assumptions!$B$35:$H$35,_xlfn.XLOOKUP($C28,Assumptions!$B$36:$B$41,Assumptions!$B$36:$H$41))</f>
        <v>0</v>
      </c>
      <c r="BUX28">
        <f t="array" ref="BUX28">_xlfn.XLOOKUP(BUX$11,Assumptions!$B$35:$H$35,_xlfn.XLOOKUP($C28,Assumptions!$B$36:$B$41,Assumptions!$B$36:$H$41))</f>
        <v>0</v>
      </c>
      <c r="BUY28">
        <f t="array" ref="BUY28">_xlfn.XLOOKUP(BUY$11,Assumptions!$B$35:$H$35,_xlfn.XLOOKUP($C28,Assumptions!$B$36:$B$41,Assumptions!$B$36:$H$41))</f>
        <v>0</v>
      </c>
      <c r="BUZ28">
        <f t="array" ref="BUZ28">_xlfn.XLOOKUP(BUZ$11,Assumptions!$B$35:$H$35,_xlfn.XLOOKUP($C28,Assumptions!$B$36:$B$41,Assumptions!$B$36:$H$41))</f>
        <v>0</v>
      </c>
      <c r="BVA28">
        <f t="array" ref="BVA28">_xlfn.XLOOKUP(BVA$11,Assumptions!$B$35:$H$35,_xlfn.XLOOKUP($C28,Assumptions!$B$36:$B$41,Assumptions!$B$36:$H$41))</f>
        <v>0</v>
      </c>
      <c r="BVB28">
        <f t="array" ref="BVB28">_xlfn.XLOOKUP(BVB$11,Assumptions!$B$35:$H$35,_xlfn.XLOOKUP($C28,Assumptions!$B$36:$B$41,Assumptions!$B$36:$H$41))</f>
        <v>0</v>
      </c>
      <c r="BVC28">
        <f t="array" ref="BVC28">_xlfn.XLOOKUP(BVC$11,Assumptions!$B$35:$H$35,_xlfn.XLOOKUP($C28,Assumptions!$B$36:$B$41,Assumptions!$B$36:$H$41))</f>
        <v>0</v>
      </c>
      <c r="BVD28">
        <f t="array" ref="BVD28">_xlfn.XLOOKUP(BVD$11,Assumptions!$B$35:$H$35,_xlfn.XLOOKUP($C28,Assumptions!$B$36:$B$41,Assumptions!$B$36:$H$41))</f>
        <v>0</v>
      </c>
      <c r="BVE28">
        <f t="array" ref="BVE28">_xlfn.XLOOKUP(BVE$11,Assumptions!$B$35:$H$35,_xlfn.XLOOKUP($C28,Assumptions!$B$36:$B$41,Assumptions!$B$36:$H$41))</f>
        <v>0</v>
      </c>
      <c r="BVF28">
        <f t="array" ref="BVF28">_xlfn.XLOOKUP(BVF$11,Assumptions!$B$35:$H$35,_xlfn.XLOOKUP($C28,Assumptions!$B$36:$B$41,Assumptions!$B$36:$H$41))</f>
        <v>0</v>
      </c>
      <c r="BVG28">
        <f t="array" ref="BVG28">_xlfn.XLOOKUP(BVG$11,Assumptions!$B$35:$H$35,_xlfn.XLOOKUP($C28,Assumptions!$B$36:$B$41,Assumptions!$B$36:$H$41))</f>
        <v>0</v>
      </c>
      <c r="BVH28">
        <f t="array" ref="BVH28">_xlfn.XLOOKUP(BVH$11,Assumptions!$B$35:$H$35,_xlfn.XLOOKUP($C28,Assumptions!$B$36:$B$41,Assumptions!$B$36:$H$41))</f>
        <v>0</v>
      </c>
      <c r="BVI28">
        <f t="array" ref="BVI28">_xlfn.XLOOKUP(BVI$11,Assumptions!$B$35:$H$35,_xlfn.XLOOKUP($C28,Assumptions!$B$36:$B$41,Assumptions!$B$36:$H$41))</f>
        <v>0</v>
      </c>
      <c r="BVJ28">
        <f t="array" ref="BVJ28">_xlfn.XLOOKUP(BVJ$11,Assumptions!$B$35:$H$35,_xlfn.XLOOKUP($C28,Assumptions!$B$36:$B$41,Assumptions!$B$36:$H$41))</f>
        <v>0</v>
      </c>
      <c r="BVK28">
        <f t="array" ref="BVK28">_xlfn.XLOOKUP(BVK$11,Assumptions!$B$35:$H$35,_xlfn.XLOOKUP($C28,Assumptions!$B$36:$B$41,Assumptions!$B$36:$H$41))</f>
        <v>0</v>
      </c>
      <c r="BVL28">
        <f t="array" ref="BVL28">_xlfn.XLOOKUP(BVL$11,Assumptions!$B$35:$H$35,_xlfn.XLOOKUP($C28,Assumptions!$B$36:$B$41,Assumptions!$B$36:$H$41))</f>
        <v>0</v>
      </c>
      <c r="BVM28">
        <f t="array" ref="BVM28">_xlfn.XLOOKUP(BVM$11,Assumptions!$B$35:$H$35,_xlfn.XLOOKUP($C28,Assumptions!$B$36:$B$41,Assumptions!$B$36:$H$41))</f>
        <v>0</v>
      </c>
      <c r="BVN28">
        <f t="array" ref="BVN28">_xlfn.XLOOKUP(BVN$11,Assumptions!$B$35:$H$35,_xlfn.XLOOKUP($C28,Assumptions!$B$36:$B$41,Assumptions!$B$36:$H$41))</f>
        <v>0</v>
      </c>
      <c r="BVO28">
        <f t="array" ref="BVO28">_xlfn.XLOOKUP(BVO$11,Assumptions!$B$35:$H$35,_xlfn.XLOOKUP($C28,Assumptions!$B$36:$B$41,Assumptions!$B$36:$H$41))</f>
        <v>0</v>
      </c>
      <c r="BVP28">
        <f t="array" ref="BVP28">_xlfn.XLOOKUP(BVP$11,Assumptions!$B$35:$H$35,_xlfn.XLOOKUP($C28,Assumptions!$B$36:$B$41,Assumptions!$B$36:$H$41))</f>
        <v>0</v>
      </c>
      <c r="BVQ28">
        <f t="array" ref="BVQ28">_xlfn.XLOOKUP(BVQ$11,Assumptions!$B$35:$H$35,_xlfn.XLOOKUP($C28,Assumptions!$B$36:$B$41,Assumptions!$B$36:$H$41))</f>
        <v>0</v>
      </c>
      <c r="BVR28">
        <f t="array" ref="BVR28">_xlfn.XLOOKUP(BVR$11,Assumptions!$B$35:$H$35,_xlfn.XLOOKUP($C28,Assumptions!$B$36:$B$41,Assumptions!$B$36:$H$41))</f>
        <v>0</v>
      </c>
      <c r="BVS28">
        <f t="array" ref="BVS28">_xlfn.XLOOKUP(BVS$11,Assumptions!$B$35:$H$35,_xlfn.XLOOKUP($C28,Assumptions!$B$36:$B$41,Assumptions!$B$36:$H$41))</f>
        <v>0</v>
      </c>
      <c r="BVT28">
        <f t="array" ref="BVT28">_xlfn.XLOOKUP(BVT$11,Assumptions!$B$35:$H$35,_xlfn.XLOOKUP($C28,Assumptions!$B$36:$B$41,Assumptions!$B$36:$H$41))</f>
        <v>0</v>
      </c>
      <c r="BVU28">
        <f t="array" ref="BVU28">_xlfn.XLOOKUP(BVU$11,Assumptions!$B$35:$H$35,_xlfn.XLOOKUP($C28,Assumptions!$B$36:$B$41,Assumptions!$B$36:$H$41))</f>
        <v>0</v>
      </c>
      <c r="BVV28">
        <f t="array" ref="BVV28">_xlfn.XLOOKUP(BVV$11,Assumptions!$B$35:$H$35,_xlfn.XLOOKUP($C28,Assumptions!$B$36:$B$41,Assumptions!$B$36:$H$41))</f>
        <v>0</v>
      </c>
      <c r="BVW28">
        <f t="array" ref="BVW28">_xlfn.XLOOKUP(BVW$11,Assumptions!$B$35:$H$35,_xlfn.XLOOKUP($C28,Assumptions!$B$36:$B$41,Assumptions!$B$36:$H$41))</f>
        <v>0</v>
      </c>
      <c r="BVX28">
        <f t="array" ref="BVX28">_xlfn.XLOOKUP(BVX$11,Assumptions!$B$35:$H$35,_xlfn.XLOOKUP($C28,Assumptions!$B$36:$B$41,Assumptions!$B$36:$H$41))</f>
        <v>0</v>
      </c>
      <c r="BVY28">
        <f t="array" ref="BVY28">_xlfn.XLOOKUP(BVY$11,Assumptions!$B$35:$H$35,_xlfn.XLOOKUP($C28,Assumptions!$B$36:$B$41,Assumptions!$B$36:$H$41))</f>
        <v>0</v>
      </c>
      <c r="BVZ28">
        <f t="array" ref="BVZ28">_xlfn.XLOOKUP(BVZ$11,Assumptions!$B$35:$H$35,_xlfn.XLOOKUP($C28,Assumptions!$B$36:$B$41,Assumptions!$B$36:$H$41))</f>
        <v>0</v>
      </c>
      <c r="BWA28">
        <f t="array" ref="BWA28">_xlfn.XLOOKUP(BWA$11,Assumptions!$B$35:$H$35,_xlfn.XLOOKUP($C28,Assumptions!$B$36:$B$41,Assumptions!$B$36:$H$41))</f>
        <v>0</v>
      </c>
      <c r="BWB28">
        <f t="array" ref="BWB28">_xlfn.XLOOKUP(BWB$11,Assumptions!$B$35:$H$35,_xlfn.XLOOKUP($C28,Assumptions!$B$36:$B$41,Assumptions!$B$36:$H$41))</f>
        <v>0</v>
      </c>
      <c r="BWC28">
        <f t="array" ref="BWC28">_xlfn.XLOOKUP(BWC$11,Assumptions!$B$35:$H$35,_xlfn.XLOOKUP($C28,Assumptions!$B$36:$B$41,Assumptions!$B$36:$H$41))</f>
        <v>0</v>
      </c>
      <c r="BWD28">
        <f t="array" ref="BWD28">_xlfn.XLOOKUP(BWD$11,Assumptions!$B$35:$H$35,_xlfn.XLOOKUP($C28,Assumptions!$B$36:$B$41,Assumptions!$B$36:$H$41))</f>
        <v>0</v>
      </c>
      <c r="BWE28">
        <f t="array" ref="BWE28">_xlfn.XLOOKUP(BWE$11,Assumptions!$B$35:$H$35,_xlfn.XLOOKUP($C28,Assumptions!$B$36:$B$41,Assumptions!$B$36:$H$41))</f>
        <v>0</v>
      </c>
      <c r="BWF28">
        <f t="array" ref="BWF28">_xlfn.XLOOKUP(BWF$11,Assumptions!$B$35:$H$35,_xlfn.XLOOKUP($C28,Assumptions!$B$36:$B$41,Assumptions!$B$36:$H$41))</f>
        <v>0</v>
      </c>
      <c r="BWG28">
        <f t="array" ref="BWG28">_xlfn.XLOOKUP(BWG$11,Assumptions!$B$35:$H$35,_xlfn.XLOOKUP($C28,Assumptions!$B$36:$B$41,Assumptions!$B$36:$H$41))</f>
        <v>0</v>
      </c>
      <c r="BWH28">
        <f t="array" ref="BWH28">_xlfn.XLOOKUP(BWH$11,Assumptions!$B$35:$H$35,_xlfn.XLOOKUP($C28,Assumptions!$B$36:$B$41,Assumptions!$B$36:$H$41))</f>
        <v>0</v>
      </c>
      <c r="BWI28">
        <f t="array" ref="BWI28">_xlfn.XLOOKUP(BWI$11,Assumptions!$B$35:$H$35,_xlfn.XLOOKUP($C28,Assumptions!$B$36:$B$41,Assumptions!$B$36:$H$41))</f>
        <v>0</v>
      </c>
      <c r="BWJ28">
        <f t="array" ref="BWJ28">_xlfn.XLOOKUP(BWJ$11,Assumptions!$B$35:$H$35,_xlfn.XLOOKUP($C28,Assumptions!$B$36:$B$41,Assumptions!$B$36:$H$41))</f>
        <v>0</v>
      </c>
      <c r="BWK28">
        <f t="array" ref="BWK28">_xlfn.XLOOKUP(BWK$11,Assumptions!$B$35:$H$35,_xlfn.XLOOKUP($C28,Assumptions!$B$36:$B$41,Assumptions!$B$36:$H$41))</f>
        <v>0</v>
      </c>
      <c r="BWL28">
        <f t="array" ref="BWL28">_xlfn.XLOOKUP(BWL$11,Assumptions!$B$35:$H$35,_xlfn.XLOOKUP($C28,Assumptions!$B$36:$B$41,Assumptions!$B$36:$H$41))</f>
        <v>0</v>
      </c>
      <c r="BWM28">
        <f t="array" ref="BWM28">_xlfn.XLOOKUP(BWM$11,Assumptions!$B$35:$H$35,_xlfn.XLOOKUP($C28,Assumptions!$B$36:$B$41,Assumptions!$B$36:$H$41))</f>
        <v>0</v>
      </c>
      <c r="BWN28">
        <f t="array" ref="BWN28">_xlfn.XLOOKUP(BWN$11,Assumptions!$B$35:$H$35,_xlfn.XLOOKUP($C28,Assumptions!$B$36:$B$41,Assumptions!$B$36:$H$41))</f>
        <v>0</v>
      </c>
      <c r="BWO28">
        <f t="array" ref="BWO28">_xlfn.XLOOKUP(BWO$11,Assumptions!$B$35:$H$35,_xlfn.XLOOKUP($C28,Assumptions!$B$36:$B$41,Assumptions!$B$36:$H$41))</f>
        <v>0</v>
      </c>
      <c r="BWP28">
        <f t="array" ref="BWP28">_xlfn.XLOOKUP(BWP$11,Assumptions!$B$35:$H$35,_xlfn.XLOOKUP($C28,Assumptions!$B$36:$B$41,Assumptions!$B$36:$H$41))</f>
        <v>0</v>
      </c>
      <c r="BWQ28">
        <f t="array" ref="BWQ28">_xlfn.XLOOKUP(BWQ$11,Assumptions!$B$35:$H$35,_xlfn.XLOOKUP($C28,Assumptions!$B$36:$B$41,Assumptions!$B$36:$H$41))</f>
        <v>0</v>
      </c>
      <c r="BWR28">
        <f t="array" ref="BWR28">_xlfn.XLOOKUP(BWR$11,Assumptions!$B$35:$H$35,_xlfn.XLOOKUP($C28,Assumptions!$B$36:$B$41,Assumptions!$B$36:$H$41))</f>
        <v>0</v>
      </c>
      <c r="BWS28">
        <f t="array" ref="BWS28">_xlfn.XLOOKUP(BWS$11,Assumptions!$B$35:$H$35,_xlfn.XLOOKUP($C28,Assumptions!$B$36:$B$41,Assumptions!$B$36:$H$41))</f>
        <v>0</v>
      </c>
      <c r="BWT28">
        <f t="array" ref="BWT28">_xlfn.XLOOKUP(BWT$11,Assumptions!$B$35:$H$35,_xlfn.XLOOKUP($C28,Assumptions!$B$36:$B$41,Assumptions!$B$36:$H$41))</f>
        <v>0</v>
      </c>
      <c r="BWU28">
        <f t="array" ref="BWU28">_xlfn.XLOOKUP(BWU$11,Assumptions!$B$35:$H$35,_xlfn.XLOOKUP($C28,Assumptions!$B$36:$B$41,Assumptions!$B$36:$H$41))</f>
        <v>0</v>
      </c>
      <c r="BWV28">
        <f t="array" ref="BWV28">_xlfn.XLOOKUP(BWV$11,Assumptions!$B$35:$H$35,_xlfn.XLOOKUP($C28,Assumptions!$B$36:$B$41,Assumptions!$B$36:$H$41))</f>
        <v>0</v>
      </c>
      <c r="BWW28">
        <f t="array" ref="BWW28">_xlfn.XLOOKUP(BWW$11,Assumptions!$B$35:$H$35,_xlfn.XLOOKUP($C28,Assumptions!$B$36:$B$41,Assumptions!$B$36:$H$41))</f>
        <v>0</v>
      </c>
      <c r="BWX28">
        <f t="array" ref="BWX28">_xlfn.XLOOKUP(BWX$11,Assumptions!$B$35:$H$35,_xlfn.XLOOKUP($C28,Assumptions!$B$36:$B$41,Assumptions!$B$36:$H$41))</f>
        <v>0</v>
      </c>
      <c r="BWY28">
        <f t="array" ref="BWY28">_xlfn.XLOOKUP(BWY$11,Assumptions!$B$35:$H$35,_xlfn.XLOOKUP($C28,Assumptions!$B$36:$B$41,Assumptions!$B$36:$H$41))</f>
        <v>0</v>
      </c>
      <c r="BWZ28">
        <f t="array" ref="BWZ28">_xlfn.XLOOKUP(BWZ$11,Assumptions!$B$35:$H$35,_xlfn.XLOOKUP($C28,Assumptions!$B$36:$B$41,Assumptions!$B$36:$H$41))</f>
        <v>0</v>
      </c>
      <c r="BXA28">
        <f t="array" ref="BXA28">_xlfn.XLOOKUP(BXA$11,Assumptions!$B$35:$H$35,_xlfn.XLOOKUP($C28,Assumptions!$B$36:$B$41,Assumptions!$B$36:$H$41))</f>
        <v>0</v>
      </c>
      <c r="BXB28">
        <f t="array" ref="BXB28">_xlfn.XLOOKUP(BXB$11,Assumptions!$B$35:$H$35,_xlfn.XLOOKUP($C28,Assumptions!$B$36:$B$41,Assumptions!$B$36:$H$41))</f>
        <v>0</v>
      </c>
      <c r="BXC28">
        <f t="array" ref="BXC28">_xlfn.XLOOKUP(BXC$11,Assumptions!$B$35:$H$35,_xlfn.XLOOKUP($C28,Assumptions!$B$36:$B$41,Assumptions!$B$36:$H$41))</f>
        <v>0</v>
      </c>
      <c r="BXD28">
        <f t="array" ref="BXD28">_xlfn.XLOOKUP(BXD$11,Assumptions!$B$35:$H$35,_xlfn.XLOOKUP($C28,Assumptions!$B$36:$B$41,Assumptions!$B$36:$H$41))</f>
        <v>0</v>
      </c>
      <c r="BXE28">
        <f t="array" ref="BXE28">_xlfn.XLOOKUP(BXE$11,Assumptions!$B$35:$H$35,_xlfn.XLOOKUP($C28,Assumptions!$B$36:$B$41,Assumptions!$B$36:$H$41))</f>
        <v>0</v>
      </c>
      <c r="BXF28">
        <f t="array" ref="BXF28">_xlfn.XLOOKUP(BXF$11,Assumptions!$B$35:$H$35,_xlfn.XLOOKUP($C28,Assumptions!$B$36:$B$41,Assumptions!$B$36:$H$41))</f>
        <v>0</v>
      </c>
      <c r="BXG28">
        <f t="array" ref="BXG28">_xlfn.XLOOKUP(BXG$11,Assumptions!$B$35:$H$35,_xlfn.XLOOKUP($C28,Assumptions!$B$36:$B$41,Assumptions!$B$36:$H$41))</f>
        <v>0</v>
      </c>
      <c r="BXH28">
        <f t="array" ref="BXH28">_xlfn.XLOOKUP(BXH$11,Assumptions!$B$35:$H$35,_xlfn.XLOOKUP($C28,Assumptions!$B$36:$B$41,Assumptions!$B$36:$H$41))</f>
        <v>0</v>
      </c>
      <c r="BXI28">
        <f t="array" ref="BXI28">_xlfn.XLOOKUP(BXI$11,Assumptions!$B$35:$H$35,_xlfn.XLOOKUP($C28,Assumptions!$B$36:$B$41,Assumptions!$B$36:$H$41))</f>
        <v>0</v>
      </c>
      <c r="BXJ28">
        <f t="array" ref="BXJ28">_xlfn.XLOOKUP(BXJ$11,Assumptions!$B$35:$H$35,_xlfn.XLOOKUP($C28,Assumptions!$B$36:$B$41,Assumptions!$B$36:$H$41))</f>
        <v>0</v>
      </c>
      <c r="BXK28">
        <f t="array" ref="BXK28">_xlfn.XLOOKUP(BXK$11,Assumptions!$B$35:$H$35,_xlfn.XLOOKUP($C28,Assumptions!$B$36:$B$41,Assumptions!$B$36:$H$41))</f>
        <v>0</v>
      </c>
      <c r="BXL28">
        <f t="array" ref="BXL28">_xlfn.XLOOKUP(BXL$11,Assumptions!$B$35:$H$35,_xlfn.XLOOKUP($C28,Assumptions!$B$36:$B$41,Assumptions!$B$36:$H$41))</f>
        <v>0</v>
      </c>
      <c r="BXM28">
        <f t="array" ref="BXM28">_xlfn.XLOOKUP(BXM$11,Assumptions!$B$35:$H$35,_xlfn.XLOOKUP($C28,Assumptions!$B$36:$B$41,Assumptions!$B$36:$H$41))</f>
        <v>0</v>
      </c>
      <c r="BXN28">
        <f t="array" ref="BXN28">_xlfn.XLOOKUP(BXN$11,Assumptions!$B$35:$H$35,_xlfn.XLOOKUP($C28,Assumptions!$B$36:$B$41,Assumptions!$B$36:$H$41))</f>
        <v>0</v>
      </c>
      <c r="BXO28">
        <f t="array" ref="BXO28">_xlfn.XLOOKUP(BXO$11,Assumptions!$B$35:$H$35,_xlfn.XLOOKUP($C28,Assumptions!$B$36:$B$41,Assumptions!$B$36:$H$41))</f>
        <v>0</v>
      </c>
      <c r="BXP28">
        <f t="array" ref="BXP28">_xlfn.XLOOKUP(BXP$11,Assumptions!$B$35:$H$35,_xlfn.XLOOKUP($C28,Assumptions!$B$36:$B$41,Assumptions!$B$36:$H$41))</f>
        <v>0</v>
      </c>
      <c r="BXQ28">
        <f t="array" ref="BXQ28">_xlfn.XLOOKUP(BXQ$11,Assumptions!$B$35:$H$35,_xlfn.XLOOKUP($C28,Assumptions!$B$36:$B$41,Assumptions!$B$36:$H$41))</f>
        <v>0</v>
      </c>
      <c r="BXR28">
        <f t="array" ref="BXR28">_xlfn.XLOOKUP(BXR$11,Assumptions!$B$35:$H$35,_xlfn.XLOOKUP($C28,Assumptions!$B$36:$B$41,Assumptions!$B$36:$H$41))</f>
        <v>0</v>
      </c>
      <c r="BXS28">
        <f t="array" ref="BXS28">_xlfn.XLOOKUP(BXS$11,Assumptions!$B$35:$H$35,_xlfn.XLOOKUP($C28,Assumptions!$B$36:$B$41,Assumptions!$B$36:$H$41))</f>
        <v>0</v>
      </c>
      <c r="BXT28">
        <f t="array" ref="BXT28">_xlfn.XLOOKUP(BXT$11,Assumptions!$B$35:$H$35,_xlfn.XLOOKUP($C28,Assumptions!$B$36:$B$41,Assumptions!$B$36:$H$41))</f>
        <v>0</v>
      </c>
      <c r="BXU28">
        <f t="array" ref="BXU28">_xlfn.XLOOKUP(BXU$11,Assumptions!$B$35:$H$35,_xlfn.XLOOKUP($C28,Assumptions!$B$36:$B$41,Assumptions!$B$36:$H$41))</f>
        <v>0</v>
      </c>
      <c r="BXV28">
        <f t="array" ref="BXV28">_xlfn.XLOOKUP(BXV$11,Assumptions!$B$35:$H$35,_xlfn.XLOOKUP($C28,Assumptions!$B$36:$B$41,Assumptions!$B$36:$H$41))</f>
        <v>0</v>
      </c>
      <c r="BXW28">
        <f t="array" ref="BXW28">_xlfn.XLOOKUP(BXW$11,Assumptions!$B$35:$H$35,_xlfn.XLOOKUP($C28,Assumptions!$B$36:$B$41,Assumptions!$B$36:$H$41))</f>
        <v>0</v>
      </c>
      <c r="BXX28">
        <f t="array" ref="BXX28">_xlfn.XLOOKUP(BXX$11,Assumptions!$B$35:$H$35,_xlfn.XLOOKUP($C28,Assumptions!$B$36:$B$41,Assumptions!$B$36:$H$41))</f>
        <v>0</v>
      </c>
      <c r="BXY28">
        <f t="array" ref="BXY28">_xlfn.XLOOKUP(BXY$11,Assumptions!$B$35:$H$35,_xlfn.XLOOKUP($C28,Assumptions!$B$36:$B$41,Assumptions!$B$36:$H$41))</f>
        <v>0</v>
      </c>
      <c r="BXZ28">
        <f t="array" ref="BXZ28">_xlfn.XLOOKUP(BXZ$11,Assumptions!$B$35:$H$35,_xlfn.XLOOKUP($C28,Assumptions!$B$36:$B$41,Assumptions!$B$36:$H$41))</f>
        <v>0</v>
      </c>
      <c r="BYA28">
        <f t="array" ref="BYA28">_xlfn.XLOOKUP(BYA$11,Assumptions!$B$35:$H$35,_xlfn.XLOOKUP($C28,Assumptions!$B$36:$B$41,Assumptions!$B$36:$H$41))</f>
        <v>0</v>
      </c>
      <c r="BYB28">
        <f t="array" ref="BYB28">_xlfn.XLOOKUP(BYB$11,Assumptions!$B$35:$H$35,_xlfn.XLOOKUP($C28,Assumptions!$B$36:$B$41,Assumptions!$B$36:$H$41))</f>
        <v>0</v>
      </c>
      <c r="BYC28">
        <f t="array" ref="BYC28">_xlfn.XLOOKUP(BYC$11,Assumptions!$B$35:$H$35,_xlfn.XLOOKUP($C28,Assumptions!$B$36:$B$41,Assumptions!$B$36:$H$41))</f>
        <v>0</v>
      </c>
      <c r="BYD28">
        <f t="array" ref="BYD28">_xlfn.XLOOKUP(BYD$11,Assumptions!$B$35:$H$35,_xlfn.XLOOKUP($C28,Assumptions!$B$36:$B$41,Assumptions!$B$36:$H$41))</f>
        <v>0</v>
      </c>
      <c r="BYE28">
        <f t="array" ref="BYE28">_xlfn.XLOOKUP(BYE$11,Assumptions!$B$35:$H$35,_xlfn.XLOOKUP($C28,Assumptions!$B$36:$B$41,Assumptions!$B$36:$H$41))</f>
        <v>0</v>
      </c>
      <c r="BYF28">
        <f t="array" ref="BYF28">_xlfn.XLOOKUP(BYF$11,Assumptions!$B$35:$H$35,_xlfn.XLOOKUP($C28,Assumptions!$B$36:$B$41,Assumptions!$B$36:$H$41))</f>
        <v>0</v>
      </c>
      <c r="BYG28">
        <f t="array" ref="BYG28">_xlfn.XLOOKUP(BYG$11,Assumptions!$B$35:$H$35,_xlfn.XLOOKUP($C28,Assumptions!$B$36:$B$41,Assumptions!$B$36:$H$41))</f>
        <v>0</v>
      </c>
      <c r="BYH28">
        <f t="array" ref="BYH28">_xlfn.XLOOKUP(BYH$11,Assumptions!$B$35:$H$35,_xlfn.XLOOKUP($C28,Assumptions!$B$36:$B$41,Assumptions!$B$36:$H$41))</f>
        <v>0</v>
      </c>
      <c r="BYI28">
        <f t="array" ref="BYI28">_xlfn.XLOOKUP(BYI$11,Assumptions!$B$35:$H$35,_xlfn.XLOOKUP($C28,Assumptions!$B$36:$B$41,Assumptions!$B$36:$H$41))</f>
        <v>0</v>
      </c>
      <c r="BYJ28">
        <f t="array" ref="BYJ28">_xlfn.XLOOKUP(BYJ$11,Assumptions!$B$35:$H$35,_xlfn.XLOOKUP($C28,Assumptions!$B$36:$B$41,Assumptions!$B$36:$H$41))</f>
        <v>0</v>
      </c>
      <c r="BYK28">
        <f t="array" ref="BYK28">_xlfn.XLOOKUP(BYK$11,Assumptions!$B$35:$H$35,_xlfn.XLOOKUP($C28,Assumptions!$B$36:$B$41,Assumptions!$B$36:$H$41))</f>
        <v>0</v>
      </c>
      <c r="BYL28">
        <f t="array" ref="BYL28">_xlfn.XLOOKUP(BYL$11,Assumptions!$B$35:$H$35,_xlfn.XLOOKUP($C28,Assumptions!$B$36:$B$41,Assumptions!$B$36:$H$41))</f>
        <v>0</v>
      </c>
      <c r="BYM28">
        <f t="array" ref="BYM28">_xlfn.XLOOKUP(BYM$11,Assumptions!$B$35:$H$35,_xlfn.XLOOKUP($C28,Assumptions!$B$36:$B$41,Assumptions!$B$36:$H$41))</f>
        <v>0</v>
      </c>
      <c r="BYN28">
        <f t="array" ref="BYN28">_xlfn.XLOOKUP(BYN$11,Assumptions!$B$35:$H$35,_xlfn.XLOOKUP($C28,Assumptions!$B$36:$B$41,Assumptions!$B$36:$H$41))</f>
        <v>0</v>
      </c>
      <c r="BYO28">
        <f t="array" ref="BYO28">_xlfn.XLOOKUP(BYO$11,Assumptions!$B$35:$H$35,_xlfn.XLOOKUP($C28,Assumptions!$B$36:$B$41,Assumptions!$B$36:$H$41))</f>
        <v>0</v>
      </c>
      <c r="BYP28">
        <f t="array" ref="BYP28">_xlfn.XLOOKUP(BYP$11,Assumptions!$B$35:$H$35,_xlfn.XLOOKUP($C28,Assumptions!$B$36:$B$41,Assumptions!$B$36:$H$41))</f>
        <v>0</v>
      </c>
      <c r="BYQ28">
        <f t="array" ref="BYQ28">_xlfn.XLOOKUP(BYQ$11,Assumptions!$B$35:$H$35,_xlfn.XLOOKUP($C28,Assumptions!$B$36:$B$41,Assumptions!$B$36:$H$41))</f>
        <v>0</v>
      </c>
      <c r="BYR28">
        <f t="array" ref="BYR28">_xlfn.XLOOKUP(BYR$11,Assumptions!$B$35:$H$35,_xlfn.XLOOKUP($C28,Assumptions!$B$36:$B$41,Assumptions!$B$36:$H$41))</f>
        <v>0</v>
      </c>
      <c r="BYS28">
        <f t="array" ref="BYS28">_xlfn.XLOOKUP(BYS$11,Assumptions!$B$35:$H$35,_xlfn.XLOOKUP($C28,Assumptions!$B$36:$B$41,Assumptions!$B$36:$H$41))</f>
        <v>0</v>
      </c>
      <c r="BYT28">
        <f t="array" ref="BYT28">_xlfn.XLOOKUP(BYT$11,Assumptions!$B$35:$H$35,_xlfn.XLOOKUP($C28,Assumptions!$B$36:$B$41,Assumptions!$B$36:$H$41))</f>
        <v>0</v>
      </c>
      <c r="BYU28">
        <f t="array" ref="BYU28">_xlfn.XLOOKUP(BYU$11,Assumptions!$B$35:$H$35,_xlfn.XLOOKUP($C28,Assumptions!$B$36:$B$41,Assumptions!$B$36:$H$41))</f>
        <v>0</v>
      </c>
      <c r="BYV28">
        <f t="array" ref="BYV28">_xlfn.XLOOKUP(BYV$11,Assumptions!$B$35:$H$35,_xlfn.XLOOKUP($C28,Assumptions!$B$36:$B$41,Assumptions!$B$36:$H$41))</f>
        <v>0</v>
      </c>
      <c r="BYW28">
        <f t="array" ref="BYW28">_xlfn.XLOOKUP(BYW$11,Assumptions!$B$35:$H$35,_xlfn.XLOOKUP($C28,Assumptions!$B$36:$B$41,Assumptions!$B$36:$H$41))</f>
        <v>0</v>
      </c>
      <c r="BYX28">
        <f t="array" ref="BYX28">_xlfn.XLOOKUP(BYX$11,Assumptions!$B$35:$H$35,_xlfn.XLOOKUP($C28,Assumptions!$B$36:$B$41,Assumptions!$B$36:$H$41))</f>
        <v>0</v>
      </c>
      <c r="BYY28">
        <f t="array" ref="BYY28">_xlfn.XLOOKUP(BYY$11,Assumptions!$B$35:$H$35,_xlfn.XLOOKUP($C28,Assumptions!$B$36:$B$41,Assumptions!$B$36:$H$41))</f>
        <v>0</v>
      </c>
      <c r="BYZ28">
        <f t="array" ref="BYZ28">_xlfn.XLOOKUP(BYZ$11,Assumptions!$B$35:$H$35,_xlfn.XLOOKUP($C28,Assumptions!$B$36:$B$41,Assumptions!$B$36:$H$41))</f>
        <v>0</v>
      </c>
      <c r="BZA28">
        <f t="array" ref="BZA28">_xlfn.XLOOKUP(BZA$11,Assumptions!$B$35:$H$35,_xlfn.XLOOKUP($C28,Assumptions!$B$36:$B$41,Assumptions!$B$36:$H$41))</f>
        <v>0</v>
      </c>
      <c r="BZB28">
        <f t="array" ref="BZB28">_xlfn.XLOOKUP(BZB$11,Assumptions!$B$35:$H$35,_xlfn.XLOOKUP($C28,Assumptions!$B$36:$B$41,Assumptions!$B$36:$H$41))</f>
        <v>0</v>
      </c>
      <c r="BZC28">
        <f t="array" ref="BZC28">_xlfn.XLOOKUP(BZC$11,Assumptions!$B$35:$H$35,_xlfn.XLOOKUP($C28,Assumptions!$B$36:$B$41,Assumptions!$B$36:$H$41))</f>
        <v>0</v>
      </c>
      <c r="BZD28">
        <f t="array" ref="BZD28">_xlfn.XLOOKUP(BZD$11,Assumptions!$B$35:$H$35,_xlfn.XLOOKUP($C28,Assumptions!$B$36:$B$41,Assumptions!$B$36:$H$41))</f>
        <v>0</v>
      </c>
      <c r="BZE28">
        <f t="array" ref="BZE28">_xlfn.XLOOKUP(BZE$11,Assumptions!$B$35:$H$35,_xlfn.XLOOKUP($C28,Assumptions!$B$36:$B$41,Assumptions!$B$36:$H$41))</f>
        <v>0</v>
      </c>
      <c r="BZF28">
        <f t="array" ref="BZF28">_xlfn.XLOOKUP(BZF$11,Assumptions!$B$35:$H$35,_xlfn.XLOOKUP($C28,Assumptions!$B$36:$B$41,Assumptions!$B$36:$H$41))</f>
        <v>0</v>
      </c>
      <c r="BZG28">
        <f t="array" ref="BZG28">_xlfn.XLOOKUP(BZG$11,Assumptions!$B$35:$H$35,_xlfn.XLOOKUP($C28,Assumptions!$B$36:$B$41,Assumptions!$B$36:$H$41))</f>
        <v>0</v>
      </c>
      <c r="BZH28">
        <f t="array" ref="BZH28">_xlfn.XLOOKUP(BZH$11,Assumptions!$B$35:$H$35,_xlfn.XLOOKUP($C28,Assumptions!$B$36:$B$41,Assumptions!$B$36:$H$41))</f>
        <v>0</v>
      </c>
      <c r="BZI28">
        <f t="array" ref="BZI28">_xlfn.XLOOKUP(BZI$11,Assumptions!$B$35:$H$35,_xlfn.XLOOKUP($C28,Assumptions!$B$36:$B$41,Assumptions!$B$36:$H$41))</f>
        <v>0</v>
      </c>
      <c r="BZJ28">
        <f t="array" ref="BZJ28">_xlfn.XLOOKUP(BZJ$11,Assumptions!$B$35:$H$35,_xlfn.XLOOKUP($C28,Assumptions!$B$36:$B$41,Assumptions!$B$36:$H$41))</f>
        <v>0</v>
      </c>
      <c r="BZK28">
        <f t="array" ref="BZK28">_xlfn.XLOOKUP(BZK$11,Assumptions!$B$35:$H$35,_xlfn.XLOOKUP($C28,Assumptions!$B$36:$B$41,Assumptions!$B$36:$H$41))</f>
        <v>0</v>
      </c>
      <c r="BZL28">
        <f t="array" ref="BZL28">_xlfn.XLOOKUP(BZL$11,Assumptions!$B$35:$H$35,_xlfn.XLOOKUP($C28,Assumptions!$B$36:$B$41,Assumptions!$B$36:$H$41))</f>
        <v>0</v>
      </c>
      <c r="BZM28">
        <f t="array" ref="BZM28">_xlfn.XLOOKUP(BZM$11,Assumptions!$B$35:$H$35,_xlfn.XLOOKUP($C28,Assumptions!$B$36:$B$41,Assumptions!$B$36:$H$41))</f>
        <v>0</v>
      </c>
      <c r="BZN28">
        <f t="array" ref="BZN28">_xlfn.XLOOKUP(BZN$11,Assumptions!$B$35:$H$35,_xlfn.XLOOKUP($C28,Assumptions!$B$36:$B$41,Assumptions!$B$36:$H$41))</f>
        <v>0</v>
      </c>
      <c r="BZO28">
        <f t="array" ref="BZO28">_xlfn.XLOOKUP(BZO$11,Assumptions!$B$35:$H$35,_xlfn.XLOOKUP($C28,Assumptions!$B$36:$B$41,Assumptions!$B$36:$H$41))</f>
        <v>0</v>
      </c>
      <c r="BZP28">
        <f t="array" ref="BZP28">_xlfn.XLOOKUP(BZP$11,Assumptions!$B$35:$H$35,_xlfn.XLOOKUP($C28,Assumptions!$B$36:$B$41,Assumptions!$B$36:$H$41))</f>
        <v>0</v>
      </c>
      <c r="BZQ28">
        <f t="array" ref="BZQ28">_xlfn.XLOOKUP(BZQ$11,Assumptions!$B$35:$H$35,_xlfn.XLOOKUP($C28,Assumptions!$B$36:$B$41,Assumptions!$B$36:$H$41))</f>
        <v>0</v>
      </c>
      <c r="BZR28">
        <f t="array" ref="BZR28">_xlfn.XLOOKUP(BZR$11,Assumptions!$B$35:$H$35,_xlfn.XLOOKUP($C28,Assumptions!$B$36:$B$41,Assumptions!$B$36:$H$41))</f>
        <v>0</v>
      </c>
      <c r="BZS28">
        <f t="array" ref="BZS28">_xlfn.XLOOKUP(BZS$11,Assumptions!$B$35:$H$35,_xlfn.XLOOKUP($C28,Assumptions!$B$36:$B$41,Assumptions!$B$36:$H$41))</f>
        <v>0</v>
      </c>
      <c r="BZT28">
        <f t="array" ref="BZT28">_xlfn.XLOOKUP(BZT$11,Assumptions!$B$35:$H$35,_xlfn.XLOOKUP($C28,Assumptions!$B$36:$B$41,Assumptions!$B$36:$H$41))</f>
        <v>0</v>
      </c>
      <c r="BZU28">
        <f t="array" ref="BZU28">_xlfn.XLOOKUP(BZU$11,Assumptions!$B$35:$H$35,_xlfn.XLOOKUP($C28,Assumptions!$B$36:$B$41,Assumptions!$B$36:$H$41))</f>
        <v>0</v>
      </c>
      <c r="BZV28">
        <f t="array" ref="BZV28">_xlfn.XLOOKUP(BZV$11,Assumptions!$B$35:$H$35,_xlfn.XLOOKUP($C28,Assumptions!$B$36:$B$41,Assumptions!$B$36:$H$41))</f>
        <v>0</v>
      </c>
      <c r="BZW28">
        <f t="array" ref="BZW28">_xlfn.XLOOKUP(BZW$11,Assumptions!$B$35:$H$35,_xlfn.XLOOKUP($C28,Assumptions!$B$36:$B$41,Assumptions!$B$36:$H$41))</f>
        <v>0</v>
      </c>
      <c r="BZX28">
        <f t="array" ref="BZX28">_xlfn.XLOOKUP(BZX$11,Assumptions!$B$35:$H$35,_xlfn.XLOOKUP($C28,Assumptions!$B$36:$B$41,Assumptions!$B$36:$H$41))</f>
        <v>0</v>
      </c>
      <c r="BZY28">
        <f t="array" ref="BZY28">_xlfn.XLOOKUP(BZY$11,Assumptions!$B$35:$H$35,_xlfn.XLOOKUP($C28,Assumptions!$B$36:$B$41,Assumptions!$B$36:$H$41))</f>
        <v>0</v>
      </c>
      <c r="BZZ28">
        <f t="array" ref="BZZ28">_xlfn.XLOOKUP(BZZ$11,Assumptions!$B$35:$H$35,_xlfn.XLOOKUP($C28,Assumptions!$B$36:$B$41,Assumptions!$B$36:$H$41))</f>
        <v>0</v>
      </c>
      <c r="CAA28">
        <f t="array" ref="CAA28">_xlfn.XLOOKUP(CAA$11,Assumptions!$B$35:$H$35,_xlfn.XLOOKUP($C28,Assumptions!$B$36:$B$41,Assumptions!$B$36:$H$41))</f>
        <v>0</v>
      </c>
      <c r="CAB28">
        <f t="array" ref="CAB28">_xlfn.XLOOKUP(CAB$11,Assumptions!$B$35:$H$35,_xlfn.XLOOKUP($C28,Assumptions!$B$36:$B$41,Assumptions!$B$36:$H$41))</f>
        <v>0</v>
      </c>
      <c r="CAC28">
        <f t="array" ref="CAC28">_xlfn.XLOOKUP(CAC$11,Assumptions!$B$35:$H$35,_xlfn.XLOOKUP($C28,Assumptions!$B$36:$B$41,Assumptions!$B$36:$H$41))</f>
        <v>0</v>
      </c>
      <c r="CAD28">
        <f t="array" ref="CAD28">_xlfn.XLOOKUP(CAD$11,Assumptions!$B$35:$H$35,_xlfn.XLOOKUP($C28,Assumptions!$B$36:$B$41,Assumptions!$B$36:$H$41))</f>
        <v>0</v>
      </c>
      <c r="CAE28">
        <f t="array" ref="CAE28">_xlfn.XLOOKUP(CAE$11,Assumptions!$B$35:$H$35,_xlfn.XLOOKUP($C28,Assumptions!$B$36:$B$41,Assumptions!$B$36:$H$41))</f>
        <v>0</v>
      </c>
      <c r="CAF28">
        <f t="array" ref="CAF28">_xlfn.XLOOKUP(CAF$11,Assumptions!$B$35:$H$35,_xlfn.XLOOKUP($C28,Assumptions!$B$36:$B$41,Assumptions!$B$36:$H$41))</f>
        <v>0</v>
      </c>
      <c r="CAG28">
        <f t="array" ref="CAG28">_xlfn.XLOOKUP(CAG$11,Assumptions!$B$35:$H$35,_xlfn.XLOOKUP($C28,Assumptions!$B$36:$B$41,Assumptions!$B$36:$H$41))</f>
        <v>0</v>
      </c>
      <c r="CAH28">
        <f t="array" ref="CAH28">_xlfn.XLOOKUP(CAH$11,Assumptions!$B$35:$H$35,_xlfn.XLOOKUP($C28,Assumptions!$B$36:$B$41,Assumptions!$B$36:$H$41))</f>
        <v>0</v>
      </c>
      <c r="CAI28">
        <f t="array" ref="CAI28">_xlfn.XLOOKUP(CAI$11,Assumptions!$B$35:$H$35,_xlfn.XLOOKUP($C28,Assumptions!$B$36:$B$41,Assumptions!$B$36:$H$41))</f>
        <v>0</v>
      </c>
      <c r="CAJ28">
        <f t="array" ref="CAJ28">_xlfn.XLOOKUP(CAJ$11,Assumptions!$B$35:$H$35,_xlfn.XLOOKUP($C28,Assumptions!$B$36:$B$41,Assumptions!$B$36:$H$41))</f>
        <v>0</v>
      </c>
      <c r="CAK28">
        <f t="array" ref="CAK28">_xlfn.XLOOKUP(CAK$11,Assumptions!$B$35:$H$35,_xlfn.XLOOKUP($C28,Assumptions!$B$36:$B$41,Assumptions!$B$36:$H$41))</f>
        <v>0</v>
      </c>
      <c r="CAL28">
        <f t="array" ref="CAL28">_xlfn.XLOOKUP(CAL$11,Assumptions!$B$35:$H$35,_xlfn.XLOOKUP($C28,Assumptions!$B$36:$B$41,Assumptions!$B$36:$H$41))</f>
        <v>0</v>
      </c>
      <c r="CAM28">
        <f t="array" ref="CAM28">_xlfn.XLOOKUP(CAM$11,Assumptions!$B$35:$H$35,_xlfn.XLOOKUP($C28,Assumptions!$B$36:$B$41,Assumptions!$B$36:$H$41))</f>
        <v>0</v>
      </c>
      <c r="CAN28">
        <f t="array" ref="CAN28">_xlfn.XLOOKUP(CAN$11,Assumptions!$B$35:$H$35,_xlfn.XLOOKUP($C28,Assumptions!$B$36:$B$41,Assumptions!$B$36:$H$41))</f>
        <v>0</v>
      </c>
      <c r="CAO28">
        <f t="array" ref="CAO28">_xlfn.XLOOKUP(CAO$11,Assumptions!$B$35:$H$35,_xlfn.XLOOKUP($C28,Assumptions!$B$36:$B$41,Assumptions!$B$36:$H$41))</f>
        <v>0</v>
      </c>
      <c r="CAP28">
        <f t="array" ref="CAP28">_xlfn.XLOOKUP(CAP$11,Assumptions!$B$35:$H$35,_xlfn.XLOOKUP($C28,Assumptions!$B$36:$B$41,Assumptions!$B$36:$H$41))</f>
        <v>0</v>
      </c>
      <c r="CAQ28">
        <f t="array" ref="CAQ28">_xlfn.XLOOKUP(CAQ$11,Assumptions!$B$35:$H$35,_xlfn.XLOOKUP($C28,Assumptions!$B$36:$B$41,Assumptions!$B$36:$H$41))</f>
        <v>0</v>
      </c>
      <c r="CAR28">
        <f t="array" ref="CAR28">_xlfn.XLOOKUP(CAR$11,Assumptions!$B$35:$H$35,_xlfn.XLOOKUP($C28,Assumptions!$B$36:$B$41,Assumptions!$B$36:$H$41))</f>
        <v>0</v>
      </c>
      <c r="CAS28">
        <f t="array" ref="CAS28">_xlfn.XLOOKUP(CAS$11,Assumptions!$B$35:$H$35,_xlfn.XLOOKUP($C28,Assumptions!$B$36:$B$41,Assumptions!$B$36:$H$41))</f>
        <v>0</v>
      </c>
      <c r="CAT28">
        <f t="array" ref="CAT28">_xlfn.XLOOKUP(CAT$11,Assumptions!$B$35:$H$35,_xlfn.XLOOKUP($C28,Assumptions!$B$36:$B$41,Assumptions!$B$36:$H$41))</f>
        <v>0</v>
      </c>
      <c r="CAU28">
        <f t="array" ref="CAU28">_xlfn.XLOOKUP(CAU$11,Assumptions!$B$35:$H$35,_xlfn.XLOOKUP($C28,Assumptions!$B$36:$B$41,Assumptions!$B$36:$H$41))</f>
        <v>0</v>
      </c>
      <c r="CAV28">
        <f t="array" ref="CAV28">_xlfn.XLOOKUP(CAV$11,Assumptions!$B$35:$H$35,_xlfn.XLOOKUP($C28,Assumptions!$B$36:$B$41,Assumptions!$B$36:$H$41))</f>
        <v>0</v>
      </c>
      <c r="CAW28">
        <f t="array" ref="CAW28">_xlfn.XLOOKUP(CAW$11,Assumptions!$B$35:$H$35,_xlfn.XLOOKUP($C28,Assumptions!$B$36:$B$41,Assumptions!$B$36:$H$41))</f>
        <v>0</v>
      </c>
      <c r="CAX28">
        <f t="array" ref="CAX28">_xlfn.XLOOKUP(CAX$11,Assumptions!$B$35:$H$35,_xlfn.XLOOKUP($C28,Assumptions!$B$36:$B$41,Assumptions!$B$36:$H$41))</f>
        <v>0</v>
      </c>
      <c r="CAY28">
        <f t="array" ref="CAY28">_xlfn.XLOOKUP(CAY$11,Assumptions!$B$35:$H$35,_xlfn.XLOOKUP($C28,Assumptions!$B$36:$B$41,Assumptions!$B$36:$H$41))</f>
        <v>0</v>
      </c>
      <c r="CAZ28">
        <f t="array" ref="CAZ28">_xlfn.XLOOKUP(CAZ$11,Assumptions!$B$35:$H$35,_xlfn.XLOOKUP($C28,Assumptions!$B$36:$B$41,Assumptions!$B$36:$H$41))</f>
        <v>0</v>
      </c>
      <c r="CBA28">
        <f t="array" ref="CBA28">_xlfn.XLOOKUP(CBA$11,Assumptions!$B$35:$H$35,_xlfn.XLOOKUP($C28,Assumptions!$B$36:$B$41,Assumptions!$B$36:$H$41))</f>
        <v>0</v>
      </c>
      <c r="CBB28">
        <f t="array" ref="CBB28">_xlfn.XLOOKUP(CBB$11,Assumptions!$B$35:$H$35,_xlfn.XLOOKUP($C28,Assumptions!$B$36:$B$41,Assumptions!$B$36:$H$41))</f>
        <v>0</v>
      </c>
      <c r="CBC28">
        <f t="array" ref="CBC28">_xlfn.XLOOKUP(CBC$11,Assumptions!$B$35:$H$35,_xlfn.XLOOKUP($C28,Assumptions!$B$36:$B$41,Assumptions!$B$36:$H$41))</f>
        <v>0</v>
      </c>
      <c r="CBD28">
        <f t="array" ref="CBD28">_xlfn.XLOOKUP(CBD$11,Assumptions!$B$35:$H$35,_xlfn.XLOOKUP($C28,Assumptions!$B$36:$B$41,Assumptions!$B$36:$H$41))</f>
        <v>0</v>
      </c>
      <c r="CBE28">
        <f t="array" ref="CBE28">_xlfn.XLOOKUP(CBE$11,Assumptions!$B$35:$H$35,_xlfn.XLOOKUP($C28,Assumptions!$B$36:$B$41,Assumptions!$B$36:$H$41))</f>
        <v>0</v>
      </c>
      <c r="CBF28">
        <f t="array" ref="CBF28">_xlfn.XLOOKUP(CBF$11,Assumptions!$B$35:$H$35,_xlfn.XLOOKUP($C28,Assumptions!$B$36:$B$41,Assumptions!$B$36:$H$41))</f>
        <v>0</v>
      </c>
      <c r="CBG28">
        <f t="array" ref="CBG28">_xlfn.XLOOKUP(CBG$11,Assumptions!$B$35:$H$35,_xlfn.XLOOKUP($C28,Assumptions!$B$36:$B$41,Assumptions!$B$36:$H$41))</f>
        <v>0</v>
      </c>
      <c r="CBH28">
        <f t="array" ref="CBH28">_xlfn.XLOOKUP(CBH$11,Assumptions!$B$35:$H$35,_xlfn.XLOOKUP($C28,Assumptions!$B$36:$B$41,Assumptions!$B$36:$H$41))</f>
        <v>0</v>
      </c>
      <c r="CBI28">
        <f t="array" ref="CBI28">_xlfn.XLOOKUP(CBI$11,Assumptions!$B$35:$H$35,_xlfn.XLOOKUP($C28,Assumptions!$B$36:$B$41,Assumptions!$B$36:$H$41))</f>
        <v>0</v>
      </c>
      <c r="CBJ28">
        <f t="array" ref="CBJ28">_xlfn.XLOOKUP(CBJ$11,Assumptions!$B$35:$H$35,_xlfn.XLOOKUP($C28,Assumptions!$B$36:$B$41,Assumptions!$B$36:$H$41))</f>
        <v>0</v>
      </c>
      <c r="CBK28">
        <f t="array" ref="CBK28">_xlfn.XLOOKUP(CBK$11,Assumptions!$B$35:$H$35,_xlfn.XLOOKUP($C28,Assumptions!$B$36:$B$41,Assumptions!$B$36:$H$41))</f>
        <v>0</v>
      </c>
      <c r="CBL28">
        <f t="array" ref="CBL28">_xlfn.XLOOKUP(CBL$11,Assumptions!$B$35:$H$35,_xlfn.XLOOKUP($C28,Assumptions!$B$36:$B$41,Assumptions!$B$36:$H$41))</f>
        <v>0</v>
      </c>
      <c r="CBM28">
        <f t="array" ref="CBM28">_xlfn.XLOOKUP(CBM$11,Assumptions!$B$35:$H$35,_xlfn.XLOOKUP($C28,Assumptions!$B$36:$B$41,Assumptions!$B$36:$H$41))</f>
        <v>0</v>
      </c>
      <c r="CBN28">
        <f t="array" ref="CBN28">_xlfn.XLOOKUP(CBN$11,Assumptions!$B$35:$H$35,_xlfn.XLOOKUP($C28,Assumptions!$B$36:$B$41,Assumptions!$B$36:$H$41))</f>
        <v>0</v>
      </c>
      <c r="CBO28">
        <f t="array" ref="CBO28">_xlfn.XLOOKUP(CBO$11,Assumptions!$B$35:$H$35,_xlfn.XLOOKUP($C28,Assumptions!$B$36:$B$41,Assumptions!$B$36:$H$41))</f>
        <v>0</v>
      </c>
      <c r="CBP28">
        <f t="array" ref="CBP28">_xlfn.XLOOKUP(CBP$11,Assumptions!$B$35:$H$35,_xlfn.XLOOKUP($C28,Assumptions!$B$36:$B$41,Assumptions!$B$36:$H$41))</f>
        <v>0</v>
      </c>
      <c r="CBQ28">
        <f t="array" ref="CBQ28">_xlfn.XLOOKUP(CBQ$11,Assumptions!$B$35:$H$35,_xlfn.XLOOKUP($C28,Assumptions!$B$36:$B$41,Assumptions!$B$36:$H$41))</f>
        <v>0</v>
      </c>
      <c r="CBR28">
        <f t="array" ref="CBR28">_xlfn.XLOOKUP(CBR$11,Assumptions!$B$35:$H$35,_xlfn.XLOOKUP($C28,Assumptions!$B$36:$B$41,Assumptions!$B$36:$H$41))</f>
        <v>0</v>
      </c>
      <c r="CBS28">
        <f t="array" ref="CBS28">_xlfn.XLOOKUP(CBS$11,Assumptions!$B$35:$H$35,_xlfn.XLOOKUP($C28,Assumptions!$B$36:$B$41,Assumptions!$B$36:$H$41))</f>
        <v>0</v>
      </c>
      <c r="CBT28">
        <f t="array" ref="CBT28">_xlfn.XLOOKUP(CBT$11,Assumptions!$B$35:$H$35,_xlfn.XLOOKUP($C28,Assumptions!$B$36:$B$41,Assumptions!$B$36:$H$41))</f>
        <v>0</v>
      </c>
      <c r="CBU28">
        <f t="array" ref="CBU28">_xlfn.XLOOKUP(CBU$11,Assumptions!$B$35:$H$35,_xlfn.XLOOKUP($C28,Assumptions!$B$36:$B$41,Assumptions!$B$36:$H$41))</f>
        <v>0</v>
      </c>
      <c r="CBV28">
        <f t="array" ref="CBV28">_xlfn.XLOOKUP(CBV$11,Assumptions!$B$35:$H$35,_xlfn.XLOOKUP($C28,Assumptions!$B$36:$B$41,Assumptions!$B$36:$H$41))</f>
        <v>0</v>
      </c>
      <c r="CBW28">
        <f t="array" ref="CBW28">_xlfn.XLOOKUP(CBW$11,Assumptions!$B$35:$H$35,_xlfn.XLOOKUP($C28,Assumptions!$B$36:$B$41,Assumptions!$B$36:$H$41))</f>
        <v>0</v>
      </c>
      <c r="CBX28">
        <f t="array" ref="CBX28">_xlfn.XLOOKUP(CBX$11,Assumptions!$B$35:$H$35,_xlfn.XLOOKUP($C28,Assumptions!$B$36:$B$41,Assumptions!$B$36:$H$41))</f>
        <v>0</v>
      </c>
      <c r="CBY28">
        <f t="array" ref="CBY28">_xlfn.XLOOKUP(CBY$11,Assumptions!$B$35:$H$35,_xlfn.XLOOKUP($C28,Assumptions!$B$36:$B$41,Assumptions!$B$36:$H$41))</f>
        <v>0</v>
      </c>
      <c r="CBZ28">
        <f t="array" ref="CBZ28">_xlfn.XLOOKUP(CBZ$11,Assumptions!$B$35:$H$35,_xlfn.XLOOKUP($C28,Assumptions!$B$36:$B$41,Assumptions!$B$36:$H$41))</f>
        <v>0</v>
      </c>
      <c r="CCA28">
        <f t="array" ref="CCA28">_xlfn.XLOOKUP(CCA$11,Assumptions!$B$35:$H$35,_xlfn.XLOOKUP($C28,Assumptions!$B$36:$B$41,Assumptions!$B$36:$H$41))</f>
        <v>0</v>
      </c>
      <c r="CCB28">
        <f t="array" ref="CCB28">_xlfn.XLOOKUP(CCB$11,Assumptions!$B$35:$H$35,_xlfn.XLOOKUP($C28,Assumptions!$B$36:$B$41,Assumptions!$B$36:$H$41))</f>
        <v>0</v>
      </c>
      <c r="CCC28">
        <f t="array" ref="CCC28">_xlfn.XLOOKUP(CCC$11,Assumptions!$B$35:$H$35,_xlfn.XLOOKUP($C28,Assumptions!$B$36:$B$41,Assumptions!$B$36:$H$41))</f>
        <v>0</v>
      </c>
      <c r="CCD28">
        <f t="array" ref="CCD28">_xlfn.XLOOKUP(CCD$11,Assumptions!$B$35:$H$35,_xlfn.XLOOKUP($C28,Assumptions!$B$36:$B$41,Assumptions!$B$36:$H$41))</f>
        <v>0</v>
      </c>
      <c r="CCE28">
        <f t="array" ref="CCE28">_xlfn.XLOOKUP(CCE$11,Assumptions!$B$35:$H$35,_xlfn.XLOOKUP($C28,Assumptions!$B$36:$B$41,Assumptions!$B$36:$H$41))</f>
        <v>0</v>
      </c>
      <c r="CCF28">
        <f t="array" ref="CCF28">_xlfn.XLOOKUP(CCF$11,Assumptions!$B$35:$H$35,_xlfn.XLOOKUP($C28,Assumptions!$B$36:$B$41,Assumptions!$B$36:$H$41))</f>
        <v>0</v>
      </c>
      <c r="CCG28">
        <f t="array" ref="CCG28">_xlfn.XLOOKUP(CCG$11,Assumptions!$B$35:$H$35,_xlfn.XLOOKUP($C28,Assumptions!$B$36:$B$41,Assumptions!$B$36:$H$41))</f>
        <v>0</v>
      </c>
      <c r="CCH28">
        <f t="array" ref="CCH28">_xlfn.XLOOKUP(CCH$11,Assumptions!$B$35:$H$35,_xlfn.XLOOKUP($C28,Assumptions!$B$36:$B$41,Assumptions!$B$36:$H$41))</f>
        <v>0</v>
      </c>
      <c r="CCI28">
        <f t="array" ref="CCI28">_xlfn.XLOOKUP(CCI$11,Assumptions!$B$35:$H$35,_xlfn.XLOOKUP($C28,Assumptions!$B$36:$B$41,Assumptions!$B$36:$H$41))</f>
        <v>0</v>
      </c>
      <c r="CCJ28">
        <f t="array" ref="CCJ28">_xlfn.XLOOKUP(CCJ$11,Assumptions!$B$35:$H$35,_xlfn.XLOOKUP($C28,Assumptions!$B$36:$B$41,Assumptions!$B$36:$H$41))</f>
        <v>0</v>
      </c>
      <c r="CCK28">
        <f t="array" ref="CCK28">_xlfn.XLOOKUP(CCK$11,Assumptions!$B$35:$H$35,_xlfn.XLOOKUP($C28,Assumptions!$B$36:$B$41,Assumptions!$B$36:$H$41))</f>
        <v>0</v>
      </c>
      <c r="CCL28">
        <f t="array" ref="CCL28">_xlfn.XLOOKUP(CCL$11,Assumptions!$B$35:$H$35,_xlfn.XLOOKUP($C28,Assumptions!$B$36:$B$41,Assumptions!$B$36:$H$41))</f>
        <v>0</v>
      </c>
      <c r="CCM28">
        <f t="array" ref="CCM28">_xlfn.XLOOKUP(CCM$11,Assumptions!$B$35:$H$35,_xlfn.XLOOKUP($C28,Assumptions!$B$36:$B$41,Assumptions!$B$36:$H$41))</f>
        <v>0</v>
      </c>
      <c r="CCN28">
        <f t="array" ref="CCN28">_xlfn.XLOOKUP(CCN$11,Assumptions!$B$35:$H$35,_xlfn.XLOOKUP($C28,Assumptions!$B$36:$B$41,Assumptions!$B$36:$H$41))</f>
        <v>0</v>
      </c>
      <c r="CCO28">
        <f t="array" ref="CCO28">_xlfn.XLOOKUP(CCO$11,Assumptions!$B$35:$H$35,_xlfn.XLOOKUP($C28,Assumptions!$B$36:$B$41,Assumptions!$B$36:$H$41))</f>
        <v>0</v>
      </c>
      <c r="CCP28">
        <f t="array" ref="CCP28">_xlfn.XLOOKUP(CCP$11,Assumptions!$B$35:$H$35,_xlfn.XLOOKUP($C28,Assumptions!$B$36:$B$41,Assumptions!$B$36:$H$41))</f>
        <v>0</v>
      </c>
      <c r="CCQ28">
        <f t="array" ref="CCQ28">_xlfn.XLOOKUP(CCQ$11,Assumptions!$B$35:$H$35,_xlfn.XLOOKUP($C28,Assumptions!$B$36:$B$41,Assumptions!$B$36:$H$41))</f>
        <v>0</v>
      </c>
      <c r="CCR28">
        <f t="array" ref="CCR28">_xlfn.XLOOKUP(CCR$11,Assumptions!$B$35:$H$35,_xlfn.XLOOKUP($C28,Assumptions!$B$36:$B$41,Assumptions!$B$36:$H$41))</f>
        <v>0</v>
      </c>
      <c r="CCS28">
        <f t="array" ref="CCS28">_xlfn.XLOOKUP(CCS$11,Assumptions!$B$35:$H$35,_xlfn.XLOOKUP($C28,Assumptions!$B$36:$B$41,Assumptions!$B$36:$H$41))</f>
        <v>0</v>
      </c>
      <c r="CCT28">
        <f t="array" ref="CCT28">_xlfn.XLOOKUP(CCT$11,Assumptions!$B$35:$H$35,_xlfn.XLOOKUP($C28,Assumptions!$B$36:$B$41,Assumptions!$B$36:$H$41))</f>
        <v>0</v>
      </c>
      <c r="CCU28">
        <f t="array" ref="CCU28">_xlfn.XLOOKUP(CCU$11,Assumptions!$B$35:$H$35,_xlfn.XLOOKUP($C28,Assumptions!$B$36:$B$41,Assumptions!$B$36:$H$41))</f>
        <v>0</v>
      </c>
      <c r="CCV28">
        <f t="array" ref="CCV28">_xlfn.XLOOKUP(CCV$11,Assumptions!$B$35:$H$35,_xlfn.XLOOKUP($C28,Assumptions!$B$36:$B$41,Assumptions!$B$36:$H$41))</f>
        <v>0</v>
      </c>
      <c r="CCW28">
        <f t="array" ref="CCW28">_xlfn.XLOOKUP(CCW$11,Assumptions!$B$35:$H$35,_xlfn.XLOOKUP($C28,Assumptions!$B$36:$B$41,Assumptions!$B$36:$H$41))</f>
        <v>0</v>
      </c>
      <c r="CCX28">
        <f t="array" ref="CCX28">_xlfn.XLOOKUP(CCX$11,Assumptions!$B$35:$H$35,_xlfn.XLOOKUP($C28,Assumptions!$B$36:$B$41,Assumptions!$B$36:$H$41))</f>
        <v>0</v>
      </c>
      <c r="CCY28">
        <f t="array" ref="CCY28">_xlfn.XLOOKUP(CCY$11,Assumptions!$B$35:$H$35,_xlfn.XLOOKUP($C28,Assumptions!$B$36:$B$41,Assumptions!$B$36:$H$41))</f>
        <v>0</v>
      </c>
      <c r="CCZ28">
        <f t="array" ref="CCZ28">_xlfn.XLOOKUP(CCZ$11,Assumptions!$B$35:$H$35,_xlfn.XLOOKUP($C28,Assumptions!$B$36:$B$41,Assumptions!$B$36:$H$41))</f>
        <v>0</v>
      </c>
      <c r="CDA28">
        <f t="array" ref="CDA28">_xlfn.XLOOKUP(CDA$11,Assumptions!$B$35:$H$35,_xlfn.XLOOKUP($C28,Assumptions!$B$36:$B$41,Assumptions!$B$36:$H$41))</f>
        <v>0</v>
      </c>
      <c r="CDB28">
        <f t="array" ref="CDB28">_xlfn.XLOOKUP(CDB$11,Assumptions!$B$35:$H$35,_xlfn.XLOOKUP($C28,Assumptions!$B$36:$B$41,Assumptions!$B$36:$H$41))</f>
        <v>0</v>
      </c>
      <c r="CDC28">
        <f t="array" ref="CDC28">_xlfn.XLOOKUP(CDC$11,Assumptions!$B$35:$H$35,_xlfn.XLOOKUP($C28,Assumptions!$B$36:$B$41,Assumptions!$B$36:$H$41))</f>
        <v>0</v>
      </c>
      <c r="CDD28">
        <f t="array" ref="CDD28">_xlfn.XLOOKUP(CDD$11,Assumptions!$B$35:$H$35,_xlfn.XLOOKUP($C28,Assumptions!$B$36:$B$41,Assumptions!$B$36:$H$41))</f>
        <v>0</v>
      </c>
      <c r="CDE28">
        <f t="array" ref="CDE28">_xlfn.XLOOKUP(CDE$11,Assumptions!$B$35:$H$35,_xlfn.XLOOKUP($C28,Assumptions!$B$36:$B$41,Assumptions!$B$36:$H$41))</f>
        <v>0</v>
      </c>
      <c r="CDF28">
        <f t="array" ref="CDF28">_xlfn.XLOOKUP(CDF$11,Assumptions!$B$35:$H$35,_xlfn.XLOOKUP($C28,Assumptions!$B$36:$B$41,Assumptions!$B$36:$H$41))</f>
        <v>0</v>
      </c>
      <c r="CDG28">
        <f t="array" ref="CDG28">_xlfn.XLOOKUP(CDG$11,Assumptions!$B$35:$H$35,_xlfn.XLOOKUP($C28,Assumptions!$B$36:$B$41,Assumptions!$B$36:$H$41))</f>
        <v>0</v>
      </c>
      <c r="CDH28">
        <f t="array" ref="CDH28">_xlfn.XLOOKUP(CDH$11,Assumptions!$B$35:$H$35,_xlfn.XLOOKUP($C28,Assumptions!$B$36:$B$41,Assumptions!$B$36:$H$41))</f>
        <v>0</v>
      </c>
      <c r="CDI28">
        <f t="array" ref="CDI28">_xlfn.XLOOKUP(CDI$11,Assumptions!$B$35:$H$35,_xlfn.XLOOKUP($C28,Assumptions!$B$36:$B$41,Assumptions!$B$36:$H$41))</f>
        <v>0</v>
      </c>
      <c r="CDJ28">
        <f t="array" ref="CDJ28">_xlfn.XLOOKUP(CDJ$11,Assumptions!$B$35:$H$35,_xlfn.XLOOKUP($C28,Assumptions!$B$36:$B$41,Assumptions!$B$36:$H$41))</f>
        <v>0</v>
      </c>
      <c r="CDK28">
        <f t="array" ref="CDK28">_xlfn.XLOOKUP(CDK$11,Assumptions!$B$35:$H$35,_xlfn.XLOOKUP($C28,Assumptions!$B$36:$B$41,Assumptions!$B$36:$H$41))</f>
        <v>0</v>
      </c>
      <c r="CDL28">
        <f t="array" ref="CDL28">_xlfn.XLOOKUP(CDL$11,Assumptions!$B$35:$H$35,_xlfn.XLOOKUP($C28,Assumptions!$B$36:$B$41,Assumptions!$B$36:$H$41))</f>
        <v>0</v>
      </c>
      <c r="CDM28">
        <f t="array" ref="CDM28">_xlfn.XLOOKUP(CDM$11,Assumptions!$B$35:$H$35,_xlfn.XLOOKUP($C28,Assumptions!$B$36:$B$41,Assumptions!$B$36:$H$41))</f>
        <v>0</v>
      </c>
      <c r="CDN28">
        <f t="array" ref="CDN28">_xlfn.XLOOKUP(CDN$11,Assumptions!$B$35:$H$35,_xlfn.XLOOKUP($C28,Assumptions!$B$36:$B$41,Assumptions!$B$36:$H$41))</f>
        <v>0</v>
      </c>
      <c r="CDO28">
        <f t="array" ref="CDO28">_xlfn.XLOOKUP(CDO$11,Assumptions!$B$35:$H$35,_xlfn.XLOOKUP($C28,Assumptions!$B$36:$B$41,Assumptions!$B$36:$H$41))</f>
        <v>0</v>
      </c>
      <c r="CDP28">
        <f t="array" ref="CDP28">_xlfn.XLOOKUP(CDP$11,Assumptions!$B$35:$H$35,_xlfn.XLOOKUP($C28,Assumptions!$B$36:$B$41,Assumptions!$B$36:$H$41))</f>
        <v>0</v>
      </c>
      <c r="CDQ28">
        <f t="array" ref="CDQ28">_xlfn.XLOOKUP(CDQ$11,Assumptions!$B$35:$H$35,_xlfn.XLOOKUP($C28,Assumptions!$B$36:$B$41,Assumptions!$B$36:$H$41))</f>
        <v>0</v>
      </c>
      <c r="CDR28">
        <f t="array" ref="CDR28">_xlfn.XLOOKUP(CDR$11,Assumptions!$B$35:$H$35,_xlfn.XLOOKUP($C28,Assumptions!$B$36:$B$41,Assumptions!$B$36:$H$41))</f>
        <v>0</v>
      </c>
      <c r="CDS28">
        <f t="array" ref="CDS28">_xlfn.XLOOKUP(CDS$11,Assumptions!$B$35:$H$35,_xlfn.XLOOKUP($C28,Assumptions!$B$36:$B$41,Assumptions!$B$36:$H$41))</f>
        <v>0</v>
      </c>
      <c r="CDT28">
        <f t="array" ref="CDT28">_xlfn.XLOOKUP(CDT$11,Assumptions!$B$35:$H$35,_xlfn.XLOOKUP($C28,Assumptions!$B$36:$B$41,Assumptions!$B$36:$H$41))</f>
        <v>0</v>
      </c>
      <c r="CDU28">
        <f t="array" ref="CDU28">_xlfn.XLOOKUP(CDU$11,Assumptions!$B$35:$H$35,_xlfn.XLOOKUP($C28,Assumptions!$B$36:$B$41,Assumptions!$B$36:$H$41))</f>
        <v>0</v>
      </c>
      <c r="CDV28">
        <f t="array" ref="CDV28">_xlfn.XLOOKUP(CDV$11,Assumptions!$B$35:$H$35,_xlfn.XLOOKUP($C28,Assumptions!$B$36:$B$41,Assumptions!$B$36:$H$41))</f>
        <v>0</v>
      </c>
      <c r="CDW28">
        <f t="array" ref="CDW28">_xlfn.XLOOKUP(CDW$11,Assumptions!$B$35:$H$35,_xlfn.XLOOKUP($C28,Assumptions!$B$36:$B$41,Assumptions!$B$36:$H$41))</f>
        <v>0</v>
      </c>
      <c r="CDX28">
        <f t="array" ref="CDX28">_xlfn.XLOOKUP(CDX$11,Assumptions!$B$35:$H$35,_xlfn.XLOOKUP($C28,Assumptions!$B$36:$B$41,Assumptions!$B$36:$H$41))</f>
        <v>0</v>
      </c>
      <c r="CDY28">
        <f t="array" ref="CDY28">_xlfn.XLOOKUP(CDY$11,Assumptions!$B$35:$H$35,_xlfn.XLOOKUP($C28,Assumptions!$B$36:$B$41,Assumptions!$B$36:$H$41))</f>
        <v>0</v>
      </c>
      <c r="CDZ28">
        <f t="array" ref="CDZ28">_xlfn.XLOOKUP(CDZ$11,Assumptions!$B$35:$H$35,_xlfn.XLOOKUP($C28,Assumptions!$B$36:$B$41,Assumptions!$B$36:$H$41))</f>
        <v>0</v>
      </c>
      <c r="CEA28">
        <f t="array" ref="CEA28">_xlfn.XLOOKUP(CEA$11,Assumptions!$B$35:$H$35,_xlfn.XLOOKUP($C28,Assumptions!$B$36:$B$41,Assumptions!$B$36:$H$41))</f>
        <v>0</v>
      </c>
      <c r="CEB28">
        <f t="array" ref="CEB28">_xlfn.XLOOKUP(CEB$11,Assumptions!$B$35:$H$35,_xlfn.XLOOKUP($C28,Assumptions!$B$36:$B$41,Assumptions!$B$36:$H$41))</f>
        <v>0</v>
      </c>
      <c r="CEC28">
        <f t="array" ref="CEC28">_xlfn.XLOOKUP(CEC$11,Assumptions!$B$35:$H$35,_xlfn.XLOOKUP($C28,Assumptions!$B$36:$B$41,Assumptions!$B$36:$H$41))</f>
        <v>0</v>
      </c>
      <c r="CED28">
        <f t="array" ref="CED28">_xlfn.XLOOKUP(CED$11,Assumptions!$B$35:$H$35,_xlfn.XLOOKUP($C28,Assumptions!$B$36:$B$41,Assumptions!$B$36:$H$41))</f>
        <v>0</v>
      </c>
      <c r="CEE28">
        <f t="array" ref="CEE28">_xlfn.XLOOKUP(CEE$11,Assumptions!$B$35:$H$35,_xlfn.XLOOKUP($C28,Assumptions!$B$36:$B$41,Assumptions!$B$36:$H$41))</f>
        <v>0</v>
      </c>
      <c r="CEF28">
        <f t="array" ref="CEF28">_xlfn.XLOOKUP(CEF$11,Assumptions!$B$35:$H$35,_xlfn.XLOOKUP($C28,Assumptions!$B$36:$B$41,Assumptions!$B$36:$H$41))</f>
        <v>0</v>
      </c>
      <c r="CEG28">
        <f t="array" ref="CEG28">_xlfn.XLOOKUP(CEG$11,Assumptions!$B$35:$H$35,_xlfn.XLOOKUP($C28,Assumptions!$B$36:$B$41,Assumptions!$B$36:$H$41))</f>
        <v>0</v>
      </c>
      <c r="CEH28">
        <f t="array" ref="CEH28">_xlfn.XLOOKUP(CEH$11,Assumptions!$B$35:$H$35,_xlfn.XLOOKUP($C28,Assumptions!$B$36:$B$41,Assumptions!$B$36:$H$41))</f>
        <v>0</v>
      </c>
      <c r="CEI28">
        <f t="array" ref="CEI28">_xlfn.XLOOKUP(CEI$11,Assumptions!$B$35:$H$35,_xlfn.XLOOKUP($C28,Assumptions!$B$36:$B$41,Assumptions!$B$36:$H$41))</f>
        <v>0</v>
      </c>
      <c r="CEJ28">
        <f t="array" ref="CEJ28">_xlfn.XLOOKUP(CEJ$11,Assumptions!$B$35:$H$35,_xlfn.XLOOKUP($C28,Assumptions!$B$36:$B$41,Assumptions!$B$36:$H$41))</f>
        <v>0</v>
      </c>
      <c r="CEK28">
        <f t="array" ref="CEK28">_xlfn.XLOOKUP(CEK$11,Assumptions!$B$35:$H$35,_xlfn.XLOOKUP($C28,Assumptions!$B$36:$B$41,Assumptions!$B$36:$H$41))</f>
        <v>0</v>
      </c>
      <c r="CEL28">
        <f t="array" ref="CEL28">_xlfn.XLOOKUP(CEL$11,Assumptions!$B$35:$H$35,_xlfn.XLOOKUP($C28,Assumptions!$B$36:$B$41,Assumptions!$B$36:$H$41))</f>
        <v>0</v>
      </c>
      <c r="CEM28">
        <f t="array" ref="CEM28">_xlfn.XLOOKUP(CEM$11,Assumptions!$B$35:$H$35,_xlfn.XLOOKUP($C28,Assumptions!$B$36:$B$41,Assumptions!$B$36:$H$41))</f>
        <v>0</v>
      </c>
      <c r="CEN28">
        <f t="array" ref="CEN28">_xlfn.XLOOKUP(CEN$11,Assumptions!$B$35:$H$35,_xlfn.XLOOKUP($C28,Assumptions!$B$36:$B$41,Assumptions!$B$36:$H$41))</f>
        <v>0</v>
      </c>
      <c r="CEO28">
        <f t="array" ref="CEO28">_xlfn.XLOOKUP(CEO$11,Assumptions!$B$35:$H$35,_xlfn.XLOOKUP($C28,Assumptions!$B$36:$B$41,Assumptions!$B$36:$H$41))</f>
        <v>0</v>
      </c>
      <c r="CEP28">
        <f t="array" ref="CEP28">_xlfn.XLOOKUP(CEP$11,Assumptions!$B$35:$H$35,_xlfn.XLOOKUP($C28,Assumptions!$B$36:$B$41,Assumptions!$B$36:$H$41))</f>
        <v>0</v>
      </c>
      <c r="CEQ28">
        <f t="array" ref="CEQ28">_xlfn.XLOOKUP(CEQ$11,Assumptions!$B$35:$H$35,_xlfn.XLOOKUP($C28,Assumptions!$B$36:$B$41,Assumptions!$B$36:$H$41))</f>
        <v>0</v>
      </c>
      <c r="CER28">
        <f t="array" ref="CER28">_xlfn.XLOOKUP(CER$11,Assumptions!$B$35:$H$35,_xlfn.XLOOKUP($C28,Assumptions!$B$36:$B$41,Assumptions!$B$36:$H$41))</f>
        <v>0</v>
      </c>
      <c r="CES28">
        <f t="array" ref="CES28">_xlfn.XLOOKUP(CES$11,Assumptions!$B$35:$H$35,_xlfn.XLOOKUP($C28,Assumptions!$B$36:$B$41,Assumptions!$B$36:$H$41))</f>
        <v>0</v>
      </c>
      <c r="CET28">
        <f t="array" ref="CET28">_xlfn.XLOOKUP(CET$11,Assumptions!$B$35:$H$35,_xlfn.XLOOKUP($C28,Assumptions!$B$36:$B$41,Assumptions!$B$36:$H$41))</f>
        <v>0</v>
      </c>
      <c r="CEU28">
        <f t="array" ref="CEU28">_xlfn.XLOOKUP(CEU$11,Assumptions!$B$35:$H$35,_xlfn.XLOOKUP($C28,Assumptions!$B$36:$B$41,Assumptions!$B$36:$H$41))</f>
        <v>0</v>
      </c>
      <c r="CEV28">
        <f t="array" ref="CEV28">_xlfn.XLOOKUP(CEV$11,Assumptions!$B$35:$H$35,_xlfn.XLOOKUP($C28,Assumptions!$B$36:$B$41,Assumptions!$B$36:$H$41))</f>
        <v>0</v>
      </c>
      <c r="CEW28">
        <f t="array" ref="CEW28">_xlfn.XLOOKUP(CEW$11,Assumptions!$B$35:$H$35,_xlfn.XLOOKUP($C28,Assumptions!$B$36:$B$41,Assumptions!$B$36:$H$41))</f>
        <v>0</v>
      </c>
      <c r="CEX28">
        <f t="array" ref="CEX28">_xlfn.XLOOKUP(CEX$11,Assumptions!$B$35:$H$35,_xlfn.XLOOKUP($C28,Assumptions!$B$36:$B$41,Assumptions!$B$36:$H$41))</f>
        <v>0</v>
      </c>
      <c r="CEY28">
        <f t="array" ref="CEY28">_xlfn.XLOOKUP(CEY$11,Assumptions!$B$35:$H$35,_xlfn.XLOOKUP($C28,Assumptions!$B$36:$B$41,Assumptions!$B$36:$H$41))</f>
        <v>0</v>
      </c>
      <c r="CEZ28">
        <f t="array" ref="CEZ28">_xlfn.XLOOKUP(CEZ$11,Assumptions!$B$35:$H$35,_xlfn.XLOOKUP($C28,Assumptions!$B$36:$B$41,Assumptions!$B$36:$H$41))</f>
        <v>0</v>
      </c>
      <c r="CFA28">
        <f t="array" ref="CFA28">_xlfn.XLOOKUP(CFA$11,Assumptions!$B$35:$H$35,_xlfn.XLOOKUP($C28,Assumptions!$B$36:$B$41,Assumptions!$B$36:$H$41))</f>
        <v>0</v>
      </c>
      <c r="CFB28">
        <f t="array" ref="CFB28">_xlfn.XLOOKUP(CFB$11,Assumptions!$B$35:$H$35,_xlfn.XLOOKUP($C28,Assumptions!$B$36:$B$41,Assumptions!$B$36:$H$41))</f>
        <v>0</v>
      </c>
      <c r="CFC28">
        <f t="array" ref="CFC28">_xlfn.XLOOKUP(CFC$11,Assumptions!$B$35:$H$35,_xlfn.XLOOKUP($C28,Assumptions!$B$36:$B$41,Assumptions!$B$36:$H$41))</f>
        <v>0</v>
      </c>
      <c r="CFD28">
        <f t="array" ref="CFD28">_xlfn.XLOOKUP(CFD$11,Assumptions!$B$35:$H$35,_xlfn.XLOOKUP($C28,Assumptions!$B$36:$B$41,Assumptions!$B$36:$H$41))</f>
        <v>0</v>
      </c>
      <c r="CFE28">
        <f t="array" ref="CFE28">_xlfn.XLOOKUP(CFE$11,Assumptions!$B$35:$H$35,_xlfn.XLOOKUP($C28,Assumptions!$B$36:$B$41,Assumptions!$B$36:$H$41))</f>
        <v>0</v>
      </c>
      <c r="CFF28">
        <f t="array" ref="CFF28">_xlfn.XLOOKUP(CFF$11,Assumptions!$B$35:$H$35,_xlfn.XLOOKUP($C28,Assumptions!$B$36:$B$41,Assumptions!$B$36:$H$41))</f>
        <v>0</v>
      </c>
      <c r="CFG28">
        <f t="array" ref="CFG28">_xlfn.XLOOKUP(CFG$11,Assumptions!$B$35:$H$35,_xlfn.XLOOKUP($C28,Assumptions!$B$36:$B$41,Assumptions!$B$36:$H$41))</f>
        <v>0</v>
      </c>
      <c r="CFH28">
        <f t="array" ref="CFH28">_xlfn.XLOOKUP(CFH$11,Assumptions!$B$35:$H$35,_xlfn.XLOOKUP($C28,Assumptions!$B$36:$B$41,Assumptions!$B$36:$H$41))</f>
        <v>0</v>
      </c>
      <c r="CFI28">
        <f t="array" ref="CFI28">_xlfn.XLOOKUP(CFI$11,Assumptions!$B$35:$H$35,_xlfn.XLOOKUP($C28,Assumptions!$B$36:$B$41,Assumptions!$B$36:$H$41))</f>
        <v>0</v>
      </c>
      <c r="CFJ28">
        <f t="array" ref="CFJ28">_xlfn.XLOOKUP(CFJ$11,Assumptions!$B$35:$H$35,_xlfn.XLOOKUP($C28,Assumptions!$B$36:$B$41,Assumptions!$B$36:$H$41))</f>
        <v>0</v>
      </c>
      <c r="CFK28">
        <f t="array" ref="CFK28">_xlfn.XLOOKUP(CFK$11,Assumptions!$B$35:$H$35,_xlfn.XLOOKUP($C28,Assumptions!$B$36:$B$41,Assumptions!$B$36:$H$41))</f>
        <v>0</v>
      </c>
      <c r="CFL28">
        <f t="array" ref="CFL28">_xlfn.XLOOKUP(CFL$11,Assumptions!$B$35:$H$35,_xlfn.XLOOKUP($C28,Assumptions!$B$36:$B$41,Assumptions!$B$36:$H$41))</f>
        <v>0</v>
      </c>
      <c r="CFM28">
        <f t="array" ref="CFM28">_xlfn.XLOOKUP(CFM$11,Assumptions!$B$35:$H$35,_xlfn.XLOOKUP($C28,Assumptions!$B$36:$B$41,Assumptions!$B$36:$H$41))</f>
        <v>0</v>
      </c>
      <c r="CFN28">
        <f t="array" ref="CFN28">_xlfn.XLOOKUP(CFN$11,Assumptions!$B$35:$H$35,_xlfn.XLOOKUP($C28,Assumptions!$B$36:$B$41,Assumptions!$B$36:$H$41))</f>
        <v>0</v>
      </c>
      <c r="CFO28">
        <f t="array" ref="CFO28">_xlfn.XLOOKUP(CFO$11,Assumptions!$B$35:$H$35,_xlfn.XLOOKUP($C28,Assumptions!$B$36:$B$41,Assumptions!$B$36:$H$41))</f>
        <v>0</v>
      </c>
      <c r="CFP28">
        <f t="array" ref="CFP28">_xlfn.XLOOKUP(CFP$11,Assumptions!$B$35:$H$35,_xlfn.XLOOKUP($C28,Assumptions!$B$36:$B$41,Assumptions!$B$36:$H$41))</f>
        <v>0</v>
      </c>
      <c r="CFQ28">
        <f t="array" ref="CFQ28">_xlfn.XLOOKUP(CFQ$11,Assumptions!$B$35:$H$35,_xlfn.XLOOKUP($C28,Assumptions!$B$36:$B$41,Assumptions!$B$36:$H$41))</f>
        <v>0</v>
      </c>
      <c r="CFR28">
        <f t="array" ref="CFR28">_xlfn.XLOOKUP(CFR$11,Assumptions!$B$35:$H$35,_xlfn.XLOOKUP($C28,Assumptions!$B$36:$B$41,Assumptions!$B$36:$H$41))</f>
        <v>0</v>
      </c>
      <c r="CFS28">
        <f t="array" ref="CFS28">_xlfn.XLOOKUP(CFS$11,Assumptions!$B$35:$H$35,_xlfn.XLOOKUP($C28,Assumptions!$B$36:$B$41,Assumptions!$B$36:$H$41))</f>
        <v>0</v>
      </c>
      <c r="CFT28">
        <f t="array" ref="CFT28">_xlfn.XLOOKUP(CFT$11,Assumptions!$B$35:$H$35,_xlfn.XLOOKUP($C28,Assumptions!$B$36:$B$41,Assumptions!$B$36:$H$41))</f>
        <v>0</v>
      </c>
      <c r="CFU28">
        <f t="array" ref="CFU28">_xlfn.XLOOKUP(CFU$11,Assumptions!$B$35:$H$35,_xlfn.XLOOKUP($C28,Assumptions!$B$36:$B$41,Assumptions!$B$36:$H$41))</f>
        <v>0</v>
      </c>
      <c r="CFV28">
        <f t="array" ref="CFV28">_xlfn.XLOOKUP(CFV$11,Assumptions!$B$35:$H$35,_xlfn.XLOOKUP($C28,Assumptions!$B$36:$B$41,Assumptions!$B$36:$H$41))</f>
        <v>0</v>
      </c>
      <c r="CFW28">
        <f t="array" ref="CFW28">_xlfn.XLOOKUP(CFW$11,Assumptions!$B$35:$H$35,_xlfn.XLOOKUP($C28,Assumptions!$B$36:$B$41,Assumptions!$B$36:$H$41))</f>
        <v>0</v>
      </c>
      <c r="CFX28">
        <f t="array" ref="CFX28">_xlfn.XLOOKUP(CFX$11,Assumptions!$B$35:$H$35,_xlfn.XLOOKUP($C28,Assumptions!$B$36:$B$41,Assumptions!$B$36:$H$41))</f>
        <v>0</v>
      </c>
      <c r="CFY28">
        <f t="array" ref="CFY28">_xlfn.XLOOKUP(CFY$11,Assumptions!$B$35:$H$35,_xlfn.XLOOKUP($C28,Assumptions!$B$36:$B$41,Assumptions!$B$36:$H$41))</f>
        <v>0</v>
      </c>
      <c r="CFZ28">
        <f t="array" ref="CFZ28">_xlfn.XLOOKUP(CFZ$11,Assumptions!$B$35:$H$35,_xlfn.XLOOKUP($C28,Assumptions!$B$36:$B$41,Assumptions!$B$36:$H$41))</f>
        <v>0</v>
      </c>
      <c r="CGA28">
        <f t="array" ref="CGA28">_xlfn.XLOOKUP(CGA$11,Assumptions!$B$35:$H$35,_xlfn.XLOOKUP($C28,Assumptions!$B$36:$B$41,Assumptions!$B$36:$H$41))</f>
        <v>0</v>
      </c>
      <c r="CGB28">
        <f t="array" ref="CGB28">_xlfn.XLOOKUP(CGB$11,Assumptions!$B$35:$H$35,_xlfn.XLOOKUP($C28,Assumptions!$B$36:$B$41,Assumptions!$B$36:$H$41))</f>
        <v>0</v>
      </c>
      <c r="CGC28">
        <f t="array" ref="CGC28">_xlfn.XLOOKUP(CGC$11,Assumptions!$B$35:$H$35,_xlfn.XLOOKUP($C28,Assumptions!$B$36:$B$41,Assumptions!$B$36:$H$41))</f>
        <v>0</v>
      </c>
      <c r="CGD28">
        <f t="array" ref="CGD28">_xlfn.XLOOKUP(CGD$11,Assumptions!$B$35:$H$35,_xlfn.XLOOKUP($C28,Assumptions!$B$36:$B$41,Assumptions!$B$36:$H$41))</f>
        <v>0</v>
      </c>
      <c r="CGE28">
        <f t="array" ref="CGE28">_xlfn.XLOOKUP(CGE$11,Assumptions!$B$35:$H$35,_xlfn.XLOOKUP($C28,Assumptions!$B$36:$B$41,Assumptions!$B$36:$H$41))</f>
        <v>0</v>
      </c>
      <c r="CGF28">
        <f t="array" ref="CGF28">_xlfn.XLOOKUP(CGF$11,Assumptions!$B$35:$H$35,_xlfn.XLOOKUP($C28,Assumptions!$B$36:$B$41,Assumptions!$B$36:$H$41))</f>
        <v>0</v>
      </c>
      <c r="CGG28">
        <f t="array" ref="CGG28">_xlfn.XLOOKUP(CGG$11,Assumptions!$B$35:$H$35,_xlfn.XLOOKUP($C28,Assumptions!$B$36:$B$41,Assumptions!$B$36:$H$41))</f>
        <v>0</v>
      </c>
      <c r="CGH28">
        <f t="array" ref="CGH28">_xlfn.XLOOKUP(CGH$11,Assumptions!$B$35:$H$35,_xlfn.XLOOKUP($C28,Assumptions!$B$36:$B$41,Assumptions!$B$36:$H$41))</f>
        <v>0</v>
      </c>
      <c r="CGI28">
        <f t="array" ref="CGI28">_xlfn.XLOOKUP(CGI$11,Assumptions!$B$35:$H$35,_xlfn.XLOOKUP($C28,Assumptions!$B$36:$B$41,Assumptions!$B$36:$H$41))</f>
        <v>0</v>
      </c>
      <c r="CGJ28">
        <f t="array" ref="CGJ28">_xlfn.XLOOKUP(CGJ$11,Assumptions!$B$35:$H$35,_xlfn.XLOOKUP($C28,Assumptions!$B$36:$B$41,Assumptions!$B$36:$H$41))</f>
        <v>0</v>
      </c>
      <c r="CGK28">
        <f t="array" ref="CGK28">_xlfn.XLOOKUP(CGK$11,Assumptions!$B$35:$H$35,_xlfn.XLOOKUP($C28,Assumptions!$B$36:$B$41,Assumptions!$B$36:$H$41))</f>
        <v>0</v>
      </c>
      <c r="CGL28">
        <f t="array" ref="CGL28">_xlfn.XLOOKUP(CGL$11,Assumptions!$B$35:$H$35,_xlfn.XLOOKUP($C28,Assumptions!$B$36:$B$41,Assumptions!$B$36:$H$41))</f>
        <v>0</v>
      </c>
      <c r="CGM28">
        <f t="array" ref="CGM28">_xlfn.XLOOKUP(CGM$11,Assumptions!$B$35:$H$35,_xlfn.XLOOKUP($C28,Assumptions!$B$36:$B$41,Assumptions!$B$36:$H$41))</f>
        <v>0</v>
      </c>
      <c r="CGN28">
        <f t="array" ref="CGN28">_xlfn.XLOOKUP(CGN$11,Assumptions!$B$35:$H$35,_xlfn.XLOOKUP($C28,Assumptions!$B$36:$B$41,Assumptions!$B$36:$H$41))</f>
        <v>0</v>
      </c>
      <c r="CGO28">
        <f t="array" ref="CGO28">_xlfn.XLOOKUP(CGO$11,Assumptions!$B$35:$H$35,_xlfn.XLOOKUP($C28,Assumptions!$B$36:$B$41,Assumptions!$B$36:$H$41))</f>
        <v>0</v>
      </c>
      <c r="CGP28">
        <f t="array" ref="CGP28">_xlfn.XLOOKUP(CGP$11,Assumptions!$B$35:$H$35,_xlfn.XLOOKUP($C28,Assumptions!$B$36:$B$41,Assumptions!$B$36:$H$41))</f>
        <v>0</v>
      </c>
      <c r="CGQ28">
        <f t="array" ref="CGQ28">_xlfn.XLOOKUP(CGQ$11,Assumptions!$B$35:$H$35,_xlfn.XLOOKUP($C28,Assumptions!$B$36:$B$41,Assumptions!$B$36:$H$41))</f>
        <v>0</v>
      </c>
      <c r="CGR28">
        <f t="array" ref="CGR28">_xlfn.XLOOKUP(CGR$11,Assumptions!$B$35:$H$35,_xlfn.XLOOKUP($C28,Assumptions!$B$36:$B$41,Assumptions!$B$36:$H$41))</f>
        <v>0</v>
      </c>
      <c r="CGS28">
        <f t="array" ref="CGS28">_xlfn.XLOOKUP(CGS$11,Assumptions!$B$35:$H$35,_xlfn.XLOOKUP($C28,Assumptions!$B$36:$B$41,Assumptions!$B$36:$H$41))</f>
        <v>0</v>
      </c>
      <c r="CGT28">
        <f t="array" ref="CGT28">_xlfn.XLOOKUP(CGT$11,Assumptions!$B$35:$H$35,_xlfn.XLOOKUP($C28,Assumptions!$B$36:$B$41,Assumptions!$B$36:$H$41))</f>
        <v>0</v>
      </c>
      <c r="CGU28">
        <f t="array" ref="CGU28">_xlfn.XLOOKUP(CGU$11,Assumptions!$B$35:$H$35,_xlfn.XLOOKUP($C28,Assumptions!$B$36:$B$41,Assumptions!$B$36:$H$41))</f>
        <v>0</v>
      </c>
      <c r="CGV28">
        <f t="array" ref="CGV28">_xlfn.XLOOKUP(CGV$11,Assumptions!$B$35:$H$35,_xlfn.XLOOKUP($C28,Assumptions!$B$36:$B$41,Assumptions!$B$36:$H$41))</f>
        <v>0</v>
      </c>
      <c r="CGW28">
        <f t="array" ref="CGW28">_xlfn.XLOOKUP(CGW$11,Assumptions!$B$35:$H$35,_xlfn.XLOOKUP($C28,Assumptions!$B$36:$B$41,Assumptions!$B$36:$H$41))</f>
        <v>0</v>
      </c>
      <c r="CGX28">
        <f t="array" ref="CGX28">_xlfn.XLOOKUP(CGX$11,Assumptions!$B$35:$H$35,_xlfn.XLOOKUP($C28,Assumptions!$B$36:$B$41,Assumptions!$B$36:$H$41))</f>
        <v>0</v>
      </c>
      <c r="CGY28">
        <f t="array" ref="CGY28">_xlfn.XLOOKUP(CGY$11,Assumptions!$B$35:$H$35,_xlfn.XLOOKUP($C28,Assumptions!$B$36:$B$41,Assumptions!$B$36:$H$41))</f>
        <v>0</v>
      </c>
      <c r="CGZ28">
        <f t="array" ref="CGZ28">_xlfn.XLOOKUP(CGZ$11,Assumptions!$B$35:$H$35,_xlfn.XLOOKUP($C28,Assumptions!$B$36:$B$41,Assumptions!$B$36:$H$41))</f>
        <v>0</v>
      </c>
      <c r="CHA28">
        <f t="array" ref="CHA28">_xlfn.XLOOKUP(CHA$11,Assumptions!$B$35:$H$35,_xlfn.XLOOKUP($C28,Assumptions!$B$36:$B$41,Assumptions!$B$36:$H$41))</f>
        <v>0</v>
      </c>
      <c r="CHB28">
        <f t="array" ref="CHB28">_xlfn.XLOOKUP(CHB$11,Assumptions!$B$35:$H$35,_xlfn.XLOOKUP($C28,Assumptions!$B$36:$B$41,Assumptions!$B$36:$H$41))</f>
        <v>0</v>
      </c>
      <c r="CHC28">
        <f t="array" ref="CHC28">_xlfn.XLOOKUP(CHC$11,Assumptions!$B$35:$H$35,_xlfn.XLOOKUP($C28,Assumptions!$B$36:$B$41,Assumptions!$B$36:$H$41))</f>
        <v>0</v>
      </c>
      <c r="CHD28">
        <f t="array" ref="CHD28">_xlfn.XLOOKUP(CHD$11,Assumptions!$B$35:$H$35,_xlfn.XLOOKUP($C28,Assumptions!$B$36:$B$41,Assumptions!$B$36:$H$41))</f>
        <v>0</v>
      </c>
      <c r="CHE28">
        <f t="array" ref="CHE28">_xlfn.XLOOKUP(CHE$11,Assumptions!$B$35:$H$35,_xlfn.XLOOKUP($C28,Assumptions!$B$36:$B$41,Assumptions!$B$36:$H$41))</f>
        <v>0</v>
      </c>
      <c r="CHF28">
        <f t="array" ref="CHF28">_xlfn.XLOOKUP(CHF$11,Assumptions!$B$35:$H$35,_xlfn.XLOOKUP($C28,Assumptions!$B$36:$B$41,Assumptions!$B$36:$H$41))</f>
        <v>0</v>
      </c>
      <c r="CHG28">
        <f t="array" ref="CHG28">_xlfn.XLOOKUP(CHG$11,Assumptions!$B$35:$H$35,_xlfn.XLOOKUP($C28,Assumptions!$B$36:$B$41,Assumptions!$B$36:$H$41))</f>
        <v>0</v>
      </c>
      <c r="CHH28">
        <f t="array" ref="CHH28">_xlfn.XLOOKUP(CHH$11,Assumptions!$B$35:$H$35,_xlfn.XLOOKUP($C28,Assumptions!$B$36:$B$41,Assumptions!$B$36:$H$41))</f>
        <v>0</v>
      </c>
      <c r="CHI28">
        <f t="array" ref="CHI28">_xlfn.XLOOKUP(CHI$11,Assumptions!$B$35:$H$35,_xlfn.XLOOKUP($C28,Assumptions!$B$36:$B$41,Assumptions!$B$36:$H$41))</f>
        <v>0</v>
      </c>
      <c r="CHJ28">
        <f t="array" ref="CHJ28">_xlfn.XLOOKUP(CHJ$11,Assumptions!$B$35:$H$35,_xlfn.XLOOKUP($C28,Assumptions!$B$36:$B$41,Assumptions!$B$36:$H$41))</f>
        <v>0</v>
      </c>
      <c r="CHK28">
        <f t="array" ref="CHK28">_xlfn.XLOOKUP(CHK$11,Assumptions!$B$35:$H$35,_xlfn.XLOOKUP($C28,Assumptions!$B$36:$B$41,Assumptions!$B$36:$H$41))</f>
        <v>0</v>
      </c>
      <c r="CHL28">
        <f t="array" ref="CHL28">_xlfn.XLOOKUP(CHL$11,Assumptions!$B$35:$H$35,_xlfn.XLOOKUP($C28,Assumptions!$B$36:$B$41,Assumptions!$B$36:$H$41))</f>
        <v>0</v>
      </c>
      <c r="CHM28">
        <f t="array" ref="CHM28">_xlfn.XLOOKUP(CHM$11,Assumptions!$B$35:$H$35,_xlfn.XLOOKUP($C28,Assumptions!$B$36:$B$41,Assumptions!$B$36:$H$41))</f>
        <v>0</v>
      </c>
      <c r="CHN28">
        <f t="array" ref="CHN28">_xlfn.XLOOKUP(CHN$11,Assumptions!$B$35:$H$35,_xlfn.XLOOKUP($C28,Assumptions!$B$36:$B$41,Assumptions!$B$36:$H$41))</f>
        <v>0</v>
      </c>
      <c r="CHO28">
        <f t="array" ref="CHO28">_xlfn.XLOOKUP(CHO$11,Assumptions!$B$35:$H$35,_xlfn.XLOOKUP($C28,Assumptions!$B$36:$B$41,Assumptions!$B$36:$H$41))</f>
        <v>0</v>
      </c>
      <c r="CHP28">
        <f t="array" ref="CHP28">_xlfn.XLOOKUP(CHP$11,Assumptions!$B$35:$H$35,_xlfn.XLOOKUP($C28,Assumptions!$B$36:$B$41,Assumptions!$B$36:$H$41))</f>
        <v>0</v>
      </c>
      <c r="CHQ28">
        <f t="array" ref="CHQ28">_xlfn.XLOOKUP(CHQ$11,Assumptions!$B$35:$H$35,_xlfn.XLOOKUP($C28,Assumptions!$B$36:$B$41,Assumptions!$B$36:$H$41))</f>
        <v>0</v>
      </c>
      <c r="CHR28">
        <f t="array" ref="CHR28">_xlfn.XLOOKUP(CHR$11,Assumptions!$B$35:$H$35,_xlfn.XLOOKUP($C28,Assumptions!$B$36:$B$41,Assumptions!$B$36:$H$41))</f>
        <v>0</v>
      </c>
      <c r="CHS28">
        <f t="array" ref="CHS28">_xlfn.XLOOKUP(CHS$11,Assumptions!$B$35:$H$35,_xlfn.XLOOKUP($C28,Assumptions!$B$36:$B$41,Assumptions!$B$36:$H$41))</f>
        <v>0</v>
      </c>
      <c r="CHT28">
        <f t="array" ref="CHT28">_xlfn.XLOOKUP(CHT$11,Assumptions!$B$35:$H$35,_xlfn.XLOOKUP($C28,Assumptions!$B$36:$B$41,Assumptions!$B$36:$H$41))</f>
        <v>0</v>
      </c>
      <c r="CHU28">
        <f t="array" ref="CHU28">_xlfn.XLOOKUP(CHU$11,Assumptions!$B$35:$H$35,_xlfn.XLOOKUP($C28,Assumptions!$B$36:$B$41,Assumptions!$B$36:$H$41))</f>
        <v>0</v>
      </c>
      <c r="CHV28">
        <f t="array" ref="CHV28">_xlfn.XLOOKUP(CHV$11,Assumptions!$B$35:$H$35,_xlfn.XLOOKUP($C28,Assumptions!$B$36:$B$41,Assumptions!$B$36:$H$41))</f>
        <v>0</v>
      </c>
      <c r="CHW28">
        <f t="array" ref="CHW28">_xlfn.XLOOKUP(CHW$11,Assumptions!$B$35:$H$35,_xlfn.XLOOKUP($C28,Assumptions!$B$36:$B$41,Assumptions!$B$36:$H$41))</f>
        <v>0</v>
      </c>
      <c r="CHX28">
        <f t="array" ref="CHX28">_xlfn.XLOOKUP(CHX$11,Assumptions!$B$35:$H$35,_xlfn.XLOOKUP($C28,Assumptions!$B$36:$B$41,Assumptions!$B$36:$H$41))</f>
        <v>0</v>
      </c>
      <c r="CHY28">
        <f t="array" ref="CHY28">_xlfn.XLOOKUP(CHY$11,Assumptions!$B$35:$H$35,_xlfn.XLOOKUP($C28,Assumptions!$B$36:$B$41,Assumptions!$B$36:$H$41))</f>
        <v>0</v>
      </c>
      <c r="CHZ28">
        <f t="array" ref="CHZ28">_xlfn.XLOOKUP(CHZ$11,Assumptions!$B$35:$H$35,_xlfn.XLOOKUP($C28,Assumptions!$B$36:$B$41,Assumptions!$B$36:$H$41))</f>
        <v>0</v>
      </c>
      <c r="CIA28">
        <f t="array" ref="CIA28">_xlfn.XLOOKUP(CIA$11,Assumptions!$B$35:$H$35,_xlfn.XLOOKUP($C28,Assumptions!$B$36:$B$41,Assumptions!$B$36:$H$41))</f>
        <v>0</v>
      </c>
      <c r="CIB28">
        <f t="array" ref="CIB28">_xlfn.XLOOKUP(CIB$11,Assumptions!$B$35:$H$35,_xlfn.XLOOKUP($C28,Assumptions!$B$36:$B$41,Assumptions!$B$36:$H$41))</f>
        <v>0</v>
      </c>
      <c r="CIC28">
        <f t="array" ref="CIC28">_xlfn.XLOOKUP(CIC$11,Assumptions!$B$35:$H$35,_xlfn.XLOOKUP($C28,Assumptions!$B$36:$B$41,Assumptions!$B$36:$H$41))</f>
        <v>0</v>
      </c>
      <c r="CID28">
        <f t="array" ref="CID28">_xlfn.XLOOKUP(CID$11,Assumptions!$B$35:$H$35,_xlfn.XLOOKUP($C28,Assumptions!$B$36:$B$41,Assumptions!$B$36:$H$41))</f>
        <v>0</v>
      </c>
      <c r="CIE28">
        <f t="array" ref="CIE28">_xlfn.XLOOKUP(CIE$11,Assumptions!$B$35:$H$35,_xlfn.XLOOKUP($C28,Assumptions!$B$36:$B$41,Assumptions!$B$36:$H$41))</f>
        <v>0</v>
      </c>
      <c r="CIF28">
        <f t="array" ref="CIF28">_xlfn.XLOOKUP(CIF$11,Assumptions!$B$35:$H$35,_xlfn.XLOOKUP($C28,Assumptions!$B$36:$B$41,Assumptions!$B$36:$H$41))</f>
        <v>0</v>
      </c>
      <c r="CIG28">
        <f t="array" ref="CIG28">_xlfn.XLOOKUP(CIG$11,Assumptions!$B$35:$H$35,_xlfn.XLOOKUP($C28,Assumptions!$B$36:$B$41,Assumptions!$B$36:$H$41))</f>
        <v>0</v>
      </c>
      <c r="CIH28">
        <f t="array" ref="CIH28">_xlfn.XLOOKUP(CIH$11,Assumptions!$B$35:$H$35,_xlfn.XLOOKUP($C28,Assumptions!$B$36:$B$41,Assumptions!$B$36:$H$41))</f>
        <v>0</v>
      </c>
      <c r="CII28">
        <f t="array" ref="CII28">_xlfn.XLOOKUP(CII$11,Assumptions!$B$35:$H$35,_xlfn.XLOOKUP($C28,Assumptions!$B$36:$B$41,Assumptions!$B$36:$H$41))</f>
        <v>0</v>
      </c>
      <c r="CIJ28">
        <f t="array" ref="CIJ28">_xlfn.XLOOKUP(CIJ$11,Assumptions!$B$35:$H$35,_xlfn.XLOOKUP($C28,Assumptions!$B$36:$B$41,Assumptions!$B$36:$H$41))</f>
        <v>0</v>
      </c>
      <c r="CIK28">
        <f t="array" ref="CIK28">_xlfn.XLOOKUP(CIK$11,Assumptions!$B$35:$H$35,_xlfn.XLOOKUP($C28,Assumptions!$B$36:$B$41,Assumptions!$B$36:$H$41))</f>
        <v>0</v>
      </c>
      <c r="CIL28">
        <f t="array" ref="CIL28">_xlfn.XLOOKUP(CIL$11,Assumptions!$B$35:$H$35,_xlfn.XLOOKUP($C28,Assumptions!$B$36:$B$41,Assumptions!$B$36:$H$41))</f>
        <v>0</v>
      </c>
      <c r="CIM28">
        <f t="array" ref="CIM28">_xlfn.XLOOKUP(CIM$11,Assumptions!$B$35:$H$35,_xlfn.XLOOKUP($C28,Assumptions!$B$36:$B$41,Assumptions!$B$36:$H$41))</f>
        <v>0</v>
      </c>
      <c r="CIN28">
        <f t="array" ref="CIN28">_xlfn.XLOOKUP(CIN$11,Assumptions!$B$35:$H$35,_xlfn.XLOOKUP($C28,Assumptions!$B$36:$B$41,Assumptions!$B$36:$H$41))</f>
        <v>0</v>
      </c>
      <c r="CIO28">
        <f t="array" ref="CIO28">_xlfn.XLOOKUP(CIO$11,Assumptions!$B$35:$H$35,_xlfn.XLOOKUP($C28,Assumptions!$B$36:$B$41,Assumptions!$B$36:$H$41))</f>
        <v>0</v>
      </c>
      <c r="CIP28">
        <f t="array" ref="CIP28">_xlfn.XLOOKUP(CIP$11,Assumptions!$B$35:$H$35,_xlfn.XLOOKUP($C28,Assumptions!$B$36:$B$41,Assumptions!$B$36:$H$41))</f>
        <v>0</v>
      </c>
      <c r="CIQ28">
        <f t="array" ref="CIQ28">_xlfn.XLOOKUP(CIQ$11,Assumptions!$B$35:$H$35,_xlfn.XLOOKUP($C28,Assumptions!$B$36:$B$41,Assumptions!$B$36:$H$41))</f>
        <v>0</v>
      </c>
      <c r="CIR28">
        <f t="array" ref="CIR28">_xlfn.XLOOKUP(CIR$11,Assumptions!$B$35:$H$35,_xlfn.XLOOKUP($C28,Assumptions!$B$36:$B$41,Assumptions!$B$36:$H$41))</f>
        <v>0</v>
      </c>
      <c r="CIS28">
        <f t="array" ref="CIS28">_xlfn.XLOOKUP(CIS$11,Assumptions!$B$35:$H$35,_xlfn.XLOOKUP($C28,Assumptions!$B$36:$B$41,Assumptions!$B$36:$H$41))</f>
        <v>0</v>
      </c>
      <c r="CIT28">
        <f t="array" ref="CIT28">_xlfn.XLOOKUP(CIT$11,Assumptions!$B$35:$H$35,_xlfn.XLOOKUP($C28,Assumptions!$B$36:$B$41,Assumptions!$B$36:$H$41))</f>
        <v>0</v>
      </c>
      <c r="CIU28">
        <f t="array" ref="CIU28">_xlfn.XLOOKUP(CIU$11,Assumptions!$B$35:$H$35,_xlfn.XLOOKUP($C28,Assumptions!$B$36:$B$41,Assumptions!$B$36:$H$41))</f>
        <v>0</v>
      </c>
      <c r="CIV28">
        <f t="array" ref="CIV28">_xlfn.XLOOKUP(CIV$11,Assumptions!$B$35:$H$35,_xlfn.XLOOKUP($C28,Assumptions!$B$36:$B$41,Assumptions!$B$36:$H$41))</f>
        <v>0</v>
      </c>
      <c r="CIW28">
        <f t="array" ref="CIW28">_xlfn.XLOOKUP(CIW$11,Assumptions!$B$35:$H$35,_xlfn.XLOOKUP($C28,Assumptions!$B$36:$B$41,Assumptions!$B$36:$H$41))</f>
        <v>0</v>
      </c>
      <c r="CIX28">
        <f t="array" ref="CIX28">_xlfn.XLOOKUP(CIX$11,Assumptions!$B$35:$H$35,_xlfn.XLOOKUP($C28,Assumptions!$B$36:$B$41,Assumptions!$B$36:$H$41))</f>
        <v>0</v>
      </c>
      <c r="CIY28">
        <f t="array" ref="CIY28">_xlfn.XLOOKUP(CIY$11,Assumptions!$B$35:$H$35,_xlfn.XLOOKUP($C28,Assumptions!$B$36:$B$41,Assumptions!$B$36:$H$41))</f>
        <v>0</v>
      </c>
      <c r="CIZ28">
        <f t="array" ref="CIZ28">_xlfn.XLOOKUP(CIZ$11,Assumptions!$B$35:$H$35,_xlfn.XLOOKUP($C28,Assumptions!$B$36:$B$41,Assumptions!$B$36:$H$41))</f>
        <v>0</v>
      </c>
      <c r="CJA28">
        <f t="array" ref="CJA28">_xlfn.XLOOKUP(CJA$11,Assumptions!$B$35:$H$35,_xlfn.XLOOKUP($C28,Assumptions!$B$36:$B$41,Assumptions!$B$36:$H$41))</f>
        <v>0</v>
      </c>
      <c r="CJB28">
        <f t="array" ref="CJB28">_xlfn.XLOOKUP(CJB$11,Assumptions!$B$35:$H$35,_xlfn.XLOOKUP($C28,Assumptions!$B$36:$B$41,Assumptions!$B$36:$H$41))</f>
        <v>0</v>
      </c>
      <c r="CJC28">
        <f t="array" ref="CJC28">_xlfn.XLOOKUP(CJC$11,Assumptions!$B$35:$H$35,_xlfn.XLOOKUP($C28,Assumptions!$B$36:$B$41,Assumptions!$B$36:$H$41))</f>
        <v>0</v>
      </c>
      <c r="CJD28">
        <f t="array" ref="CJD28">_xlfn.XLOOKUP(CJD$11,Assumptions!$B$35:$H$35,_xlfn.XLOOKUP($C28,Assumptions!$B$36:$B$41,Assumptions!$B$36:$H$41))</f>
        <v>0</v>
      </c>
      <c r="CJE28">
        <f t="array" ref="CJE28">_xlfn.XLOOKUP(CJE$11,Assumptions!$B$35:$H$35,_xlfn.XLOOKUP($C28,Assumptions!$B$36:$B$41,Assumptions!$B$36:$H$41))</f>
        <v>0</v>
      </c>
      <c r="CJF28">
        <f t="array" ref="CJF28">_xlfn.XLOOKUP(CJF$11,Assumptions!$B$35:$H$35,_xlfn.XLOOKUP($C28,Assumptions!$B$36:$B$41,Assumptions!$B$36:$H$41))</f>
        <v>0</v>
      </c>
      <c r="CJG28">
        <f t="array" ref="CJG28">_xlfn.XLOOKUP(CJG$11,Assumptions!$B$35:$H$35,_xlfn.XLOOKUP($C28,Assumptions!$B$36:$B$41,Assumptions!$B$36:$H$41))</f>
        <v>0</v>
      </c>
      <c r="CJH28">
        <f t="array" ref="CJH28">_xlfn.XLOOKUP(CJH$11,Assumptions!$B$35:$H$35,_xlfn.XLOOKUP($C28,Assumptions!$B$36:$B$41,Assumptions!$B$36:$H$41))</f>
        <v>0</v>
      </c>
      <c r="CJI28">
        <f t="array" ref="CJI28">_xlfn.XLOOKUP(CJI$11,Assumptions!$B$35:$H$35,_xlfn.XLOOKUP($C28,Assumptions!$B$36:$B$41,Assumptions!$B$36:$H$41))</f>
        <v>0</v>
      </c>
      <c r="CJJ28">
        <f t="array" ref="CJJ28">_xlfn.XLOOKUP(CJJ$11,Assumptions!$B$35:$H$35,_xlfn.XLOOKUP($C28,Assumptions!$B$36:$B$41,Assumptions!$B$36:$H$41))</f>
        <v>0</v>
      </c>
      <c r="CJK28">
        <f t="array" ref="CJK28">_xlfn.XLOOKUP(CJK$11,Assumptions!$B$35:$H$35,_xlfn.XLOOKUP($C28,Assumptions!$B$36:$B$41,Assumptions!$B$36:$H$41))</f>
        <v>0</v>
      </c>
      <c r="CJL28">
        <f t="array" ref="CJL28">_xlfn.XLOOKUP(CJL$11,Assumptions!$B$35:$H$35,_xlfn.XLOOKUP($C28,Assumptions!$B$36:$B$41,Assumptions!$B$36:$H$41))</f>
        <v>0</v>
      </c>
      <c r="CJM28">
        <f t="array" ref="CJM28">_xlfn.XLOOKUP(CJM$11,Assumptions!$B$35:$H$35,_xlfn.XLOOKUP($C28,Assumptions!$B$36:$B$41,Assumptions!$B$36:$H$41))</f>
        <v>0</v>
      </c>
      <c r="CJN28">
        <f t="array" ref="CJN28">_xlfn.XLOOKUP(CJN$11,Assumptions!$B$35:$H$35,_xlfn.XLOOKUP($C28,Assumptions!$B$36:$B$41,Assumptions!$B$36:$H$41))</f>
        <v>0</v>
      </c>
      <c r="CJO28">
        <f t="array" ref="CJO28">_xlfn.XLOOKUP(CJO$11,Assumptions!$B$35:$H$35,_xlfn.XLOOKUP($C28,Assumptions!$B$36:$B$41,Assumptions!$B$36:$H$41))</f>
        <v>0</v>
      </c>
      <c r="CJP28">
        <f t="array" ref="CJP28">_xlfn.XLOOKUP(CJP$11,Assumptions!$B$35:$H$35,_xlfn.XLOOKUP($C28,Assumptions!$B$36:$B$41,Assumptions!$B$36:$H$41))</f>
        <v>0</v>
      </c>
      <c r="CJQ28">
        <f t="array" ref="CJQ28">_xlfn.XLOOKUP(CJQ$11,Assumptions!$B$35:$H$35,_xlfn.XLOOKUP($C28,Assumptions!$B$36:$B$41,Assumptions!$B$36:$H$41))</f>
        <v>0</v>
      </c>
      <c r="CJR28">
        <f t="array" ref="CJR28">_xlfn.XLOOKUP(CJR$11,Assumptions!$B$35:$H$35,_xlfn.XLOOKUP($C28,Assumptions!$B$36:$B$41,Assumptions!$B$36:$H$41))</f>
        <v>0</v>
      </c>
      <c r="CJS28">
        <f t="array" ref="CJS28">_xlfn.XLOOKUP(CJS$11,Assumptions!$B$35:$H$35,_xlfn.XLOOKUP($C28,Assumptions!$B$36:$B$41,Assumptions!$B$36:$H$41))</f>
        <v>0</v>
      </c>
      <c r="CJT28">
        <f t="array" ref="CJT28">_xlfn.XLOOKUP(CJT$11,Assumptions!$B$35:$H$35,_xlfn.XLOOKUP($C28,Assumptions!$B$36:$B$41,Assumptions!$B$36:$H$41))</f>
        <v>0</v>
      </c>
      <c r="CJU28">
        <f t="array" ref="CJU28">_xlfn.XLOOKUP(CJU$11,Assumptions!$B$35:$H$35,_xlfn.XLOOKUP($C28,Assumptions!$B$36:$B$41,Assumptions!$B$36:$H$41))</f>
        <v>0</v>
      </c>
      <c r="CJV28">
        <f t="array" ref="CJV28">_xlfn.XLOOKUP(CJV$11,Assumptions!$B$35:$H$35,_xlfn.XLOOKUP($C28,Assumptions!$B$36:$B$41,Assumptions!$B$36:$H$41))</f>
        <v>0</v>
      </c>
      <c r="CJW28">
        <f t="array" ref="CJW28">_xlfn.XLOOKUP(CJW$11,Assumptions!$B$35:$H$35,_xlfn.XLOOKUP($C28,Assumptions!$B$36:$B$41,Assumptions!$B$36:$H$41))</f>
        <v>0</v>
      </c>
      <c r="CJX28">
        <f t="array" ref="CJX28">_xlfn.XLOOKUP(CJX$11,Assumptions!$B$35:$H$35,_xlfn.XLOOKUP($C28,Assumptions!$B$36:$B$41,Assumptions!$B$36:$H$41))</f>
        <v>0</v>
      </c>
      <c r="CJY28">
        <f t="array" ref="CJY28">_xlfn.XLOOKUP(CJY$11,Assumptions!$B$35:$H$35,_xlfn.XLOOKUP($C28,Assumptions!$B$36:$B$41,Assumptions!$B$36:$H$41))</f>
        <v>0</v>
      </c>
      <c r="CJZ28">
        <f t="array" ref="CJZ28">_xlfn.XLOOKUP(CJZ$11,Assumptions!$B$35:$H$35,_xlfn.XLOOKUP($C28,Assumptions!$B$36:$B$41,Assumptions!$B$36:$H$41))</f>
        <v>0</v>
      </c>
      <c r="CKA28">
        <f t="array" ref="CKA28">_xlfn.XLOOKUP(CKA$11,Assumptions!$B$35:$H$35,_xlfn.XLOOKUP($C28,Assumptions!$B$36:$B$41,Assumptions!$B$36:$H$41))</f>
        <v>0</v>
      </c>
      <c r="CKB28">
        <f t="array" ref="CKB28">_xlfn.XLOOKUP(CKB$11,Assumptions!$B$35:$H$35,_xlfn.XLOOKUP($C28,Assumptions!$B$36:$B$41,Assumptions!$B$36:$H$41))</f>
        <v>0</v>
      </c>
      <c r="CKC28">
        <f t="array" ref="CKC28">_xlfn.XLOOKUP(CKC$11,Assumptions!$B$35:$H$35,_xlfn.XLOOKUP($C28,Assumptions!$B$36:$B$41,Assumptions!$B$36:$H$41))</f>
        <v>0</v>
      </c>
      <c r="CKD28">
        <f t="array" ref="CKD28">_xlfn.XLOOKUP(CKD$11,Assumptions!$B$35:$H$35,_xlfn.XLOOKUP($C28,Assumptions!$B$36:$B$41,Assumptions!$B$36:$H$41))</f>
        <v>0</v>
      </c>
      <c r="CKE28">
        <f t="array" ref="CKE28">_xlfn.XLOOKUP(CKE$11,Assumptions!$B$35:$H$35,_xlfn.XLOOKUP($C28,Assumptions!$B$36:$B$41,Assumptions!$B$36:$H$41))</f>
        <v>0</v>
      </c>
      <c r="CKF28">
        <f t="array" ref="CKF28">_xlfn.XLOOKUP(CKF$11,Assumptions!$B$35:$H$35,_xlfn.XLOOKUP($C28,Assumptions!$B$36:$B$41,Assumptions!$B$36:$H$41))</f>
        <v>0</v>
      </c>
      <c r="CKG28">
        <f t="array" ref="CKG28">_xlfn.XLOOKUP(CKG$11,Assumptions!$B$35:$H$35,_xlfn.XLOOKUP($C28,Assumptions!$B$36:$B$41,Assumptions!$B$36:$H$41))</f>
        <v>0</v>
      </c>
      <c r="CKH28">
        <f t="array" ref="CKH28">_xlfn.XLOOKUP(CKH$11,Assumptions!$B$35:$H$35,_xlfn.XLOOKUP($C28,Assumptions!$B$36:$B$41,Assumptions!$B$36:$H$41))</f>
        <v>0</v>
      </c>
      <c r="CKI28">
        <f t="array" ref="CKI28">_xlfn.XLOOKUP(CKI$11,Assumptions!$B$35:$H$35,_xlfn.XLOOKUP($C28,Assumptions!$B$36:$B$41,Assumptions!$B$36:$H$41))</f>
        <v>0</v>
      </c>
      <c r="CKJ28">
        <f t="array" ref="CKJ28">_xlfn.XLOOKUP(CKJ$11,Assumptions!$B$35:$H$35,_xlfn.XLOOKUP($C28,Assumptions!$B$36:$B$41,Assumptions!$B$36:$H$41))</f>
        <v>0</v>
      </c>
      <c r="CKK28">
        <f t="array" ref="CKK28">_xlfn.XLOOKUP(CKK$11,Assumptions!$B$35:$H$35,_xlfn.XLOOKUP($C28,Assumptions!$B$36:$B$41,Assumptions!$B$36:$H$41))</f>
        <v>0</v>
      </c>
      <c r="CKL28">
        <f t="array" ref="CKL28">_xlfn.XLOOKUP(CKL$11,Assumptions!$B$35:$H$35,_xlfn.XLOOKUP($C28,Assumptions!$B$36:$B$41,Assumptions!$B$36:$H$41))</f>
        <v>0</v>
      </c>
      <c r="CKM28">
        <f t="array" ref="CKM28">_xlfn.XLOOKUP(CKM$11,Assumptions!$B$35:$H$35,_xlfn.XLOOKUP($C28,Assumptions!$B$36:$B$41,Assumptions!$B$36:$H$41))</f>
        <v>0</v>
      </c>
      <c r="CKN28">
        <f t="array" ref="CKN28">_xlfn.XLOOKUP(CKN$11,Assumptions!$B$35:$H$35,_xlfn.XLOOKUP($C28,Assumptions!$B$36:$B$41,Assumptions!$B$36:$H$41))</f>
        <v>0</v>
      </c>
      <c r="CKO28">
        <f t="array" ref="CKO28">_xlfn.XLOOKUP(CKO$11,Assumptions!$B$35:$H$35,_xlfn.XLOOKUP($C28,Assumptions!$B$36:$B$41,Assumptions!$B$36:$H$41))</f>
        <v>0</v>
      </c>
      <c r="CKP28">
        <f t="array" ref="CKP28">_xlfn.XLOOKUP(CKP$11,Assumptions!$B$35:$H$35,_xlfn.XLOOKUP($C28,Assumptions!$B$36:$B$41,Assumptions!$B$36:$H$41))</f>
        <v>0</v>
      </c>
      <c r="CKQ28">
        <f t="array" ref="CKQ28">_xlfn.XLOOKUP(CKQ$11,Assumptions!$B$35:$H$35,_xlfn.XLOOKUP($C28,Assumptions!$B$36:$B$41,Assumptions!$B$36:$H$41))</f>
        <v>0</v>
      </c>
      <c r="CKR28">
        <f t="array" ref="CKR28">_xlfn.XLOOKUP(CKR$11,Assumptions!$B$35:$H$35,_xlfn.XLOOKUP($C28,Assumptions!$B$36:$B$41,Assumptions!$B$36:$H$41))</f>
        <v>0</v>
      </c>
      <c r="CKS28">
        <f t="array" ref="CKS28">_xlfn.XLOOKUP(CKS$11,Assumptions!$B$35:$H$35,_xlfn.XLOOKUP($C28,Assumptions!$B$36:$B$41,Assumptions!$B$36:$H$41))</f>
        <v>0</v>
      </c>
      <c r="CKT28">
        <f t="array" ref="CKT28">_xlfn.XLOOKUP(CKT$11,Assumptions!$B$35:$H$35,_xlfn.XLOOKUP($C28,Assumptions!$B$36:$B$41,Assumptions!$B$36:$H$41))</f>
        <v>0</v>
      </c>
      <c r="CKU28">
        <f t="array" ref="CKU28">_xlfn.XLOOKUP(CKU$11,Assumptions!$B$35:$H$35,_xlfn.XLOOKUP($C28,Assumptions!$B$36:$B$41,Assumptions!$B$36:$H$41))</f>
        <v>0</v>
      </c>
      <c r="CKV28">
        <f t="array" ref="CKV28">_xlfn.XLOOKUP(CKV$11,Assumptions!$B$35:$H$35,_xlfn.XLOOKUP($C28,Assumptions!$B$36:$B$41,Assumptions!$B$36:$H$41))</f>
        <v>0</v>
      </c>
      <c r="CKW28">
        <f t="array" ref="CKW28">_xlfn.XLOOKUP(CKW$11,Assumptions!$B$35:$H$35,_xlfn.XLOOKUP($C28,Assumptions!$B$36:$B$41,Assumptions!$B$36:$H$41))</f>
        <v>0</v>
      </c>
      <c r="CKX28">
        <f t="array" ref="CKX28">_xlfn.XLOOKUP(CKX$11,Assumptions!$B$35:$H$35,_xlfn.XLOOKUP($C28,Assumptions!$B$36:$B$41,Assumptions!$B$36:$H$41))</f>
        <v>0</v>
      </c>
      <c r="CKY28">
        <f t="array" ref="CKY28">_xlfn.XLOOKUP(CKY$11,Assumptions!$B$35:$H$35,_xlfn.XLOOKUP($C28,Assumptions!$B$36:$B$41,Assumptions!$B$36:$H$41))</f>
        <v>0</v>
      </c>
      <c r="CKZ28">
        <f t="array" ref="CKZ28">_xlfn.XLOOKUP(CKZ$11,Assumptions!$B$35:$H$35,_xlfn.XLOOKUP($C28,Assumptions!$B$36:$B$41,Assumptions!$B$36:$H$41))</f>
        <v>0</v>
      </c>
      <c r="CLA28">
        <f t="array" ref="CLA28">_xlfn.XLOOKUP(CLA$11,Assumptions!$B$35:$H$35,_xlfn.XLOOKUP($C28,Assumptions!$B$36:$B$41,Assumptions!$B$36:$H$41))</f>
        <v>0</v>
      </c>
      <c r="CLB28">
        <f t="array" ref="CLB28">_xlfn.XLOOKUP(CLB$11,Assumptions!$B$35:$H$35,_xlfn.XLOOKUP($C28,Assumptions!$B$36:$B$41,Assumptions!$B$36:$H$41))</f>
        <v>0</v>
      </c>
      <c r="CLC28">
        <f t="array" ref="CLC28">_xlfn.XLOOKUP(CLC$11,Assumptions!$B$35:$H$35,_xlfn.XLOOKUP($C28,Assumptions!$B$36:$B$41,Assumptions!$B$36:$H$41))</f>
        <v>0</v>
      </c>
      <c r="CLD28">
        <f t="array" ref="CLD28">_xlfn.XLOOKUP(CLD$11,Assumptions!$B$35:$H$35,_xlfn.XLOOKUP($C28,Assumptions!$B$36:$B$41,Assumptions!$B$36:$H$41))</f>
        <v>0</v>
      </c>
      <c r="CLE28">
        <f t="array" ref="CLE28">_xlfn.XLOOKUP(CLE$11,Assumptions!$B$35:$H$35,_xlfn.XLOOKUP($C28,Assumptions!$B$36:$B$41,Assumptions!$B$36:$H$41))</f>
        <v>0</v>
      </c>
      <c r="CLF28">
        <f t="array" ref="CLF28">_xlfn.XLOOKUP(CLF$11,Assumptions!$B$35:$H$35,_xlfn.XLOOKUP($C28,Assumptions!$B$36:$B$41,Assumptions!$B$36:$H$41))</f>
        <v>0</v>
      </c>
      <c r="CLG28">
        <f t="array" ref="CLG28">_xlfn.XLOOKUP(CLG$11,Assumptions!$B$35:$H$35,_xlfn.XLOOKUP($C28,Assumptions!$B$36:$B$41,Assumptions!$B$36:$H$41))</f>
        <v>0</v>
      </c>
      <c r="CLH28">
        <f t="array" ref="CLH28">_xlfn.XLOOKUP(CLH$11,Assumptions!$B$35:$H$35,_xlfn.XLOOKUP($C28,Assumptions!$B$36:$B$41,Assumptions!$B$36:$H$41))</f>
        <v>0</v>
      </c>
      <c r="CLI28">
        <f t="array" ref="CLI28">_xlfn.XLOOKUP(CLI$11,Assumptions!$B$35:$H$35,_xlfn.XLOOKUP($C28,Assumptions!$B$36:$B$41,Assumptions!$B$36:$H$41))</f>
        <v>0</v>
      </c>
      <c r="CLJ28">
        <f t="array" ref="CLJ28">_xlfn.XLOOKUP(CLJ$11,Assumptions!$B$35:$H$35,_xlfn.XLOOKUP($C28,Assumptions!$B$36:$B$41,Assumptions!$B$36:$H$41))</f>
        <v>0</v>
      </c>
      <c r="CLK28">
        <f t="array" ref="CLK28">_xlfn.XLOOKUP(CLK$11,Assumptions!$B$35:$H$35,_xlfn.XLOOKUP($C28,Assumptions!$B$36:$B$41,Assumptions!$B$36:$H$41))</f>
        <v>0</v>
      </c>
      <c r="CLL28">
        <f t="array" ref="CLL28">_xlfn.XLOOKUP(CLL$11,Assumptions!$B$35:$H$35,_xlfn.XLOOKUP($C28,Assumptions!$B$36:$B$41,Assumptions!$B$36:$H$41))</f>
        <v>0</v>
      </c>
      <c r="CLM28">
        <f t="array" ref="CLM28">_xlfn.XLOOKUP(CLM$11,Assumptions!$B$35:$H$35,_xlfn.XLOOKUP($C28,Assumptions!$B$36:$B$41,Assumptions!$B$36:$H$41))</f>
        <v>0</v>
      </c>
      <c r="CLN28">
        <f t="array" ref="CLN28">_xlfn.XLOOKUP(CLN$11,Assumptions!$B$35:$H$35,_xlfn.XLOOKUP($C28,Assumptions!$B$36:$B$41,Assumptions!$B$36:$H$41))</f>
        <v>0</v>
      </c>
      <c r="CLO28">
        <f t="array" ref="CLO28">_xlfn.XLOOKUP(CLO$11,Assumptions!$B$35:$H$35,_xlfn.XLOOKUP($C28,Assumptions!$B$36:$B$41,Assumptions!$B$36:$H$41))</f>
        <v>0</v>
      </c>
      <c r="CLP28">
        <f t="array" ref="CLP28">_xlfn.XLOOKUP(CLP$11,Assumptions!$B$35:$H$35,_xlfn.XLOOKUP($C28,Assumptions!$B$36:$B$41,Assumptions!$B$36:$H$41))</f>
        <v>0</v>
      </c>
      <c r="CLQ28">
        <f t="array" ref="CLQ28">_xlfn.XLOOKUP(CLQ$11,Assumptions!$B$35:$H$35,_xlfn.XLOOKUP($C28,Assumptions!$B$36:$B$41,Assumptions!$B$36:$H$41))</f>
        <v>0</v>
      </c>
      <c r="CLR28">
        <f t="array" ref="CLR28">_xlfn.XLOOKUP(CLR$11,Assumptions!$B$35:$H$35,_xlfn.XLOOKUP($C28,Assumptions!$B$36:$B$41,Assumptions!$B$36:$H$41))</f>
        <v>0</v>
      </c>
      <c r="CLS28">
        <f t="array" ref="CLS28">_xlfn.XLOOKUP(CLS$11,Assumptions!$B$35:$H$35,_xlfn.XLOOKUP($C28,Assumptions!$B$36:$B$41,Assumptions!$B$36:$H$41))</f>
        <v>0</v>
      </c>
      <c r="CLT28">
        <f t="array" ref="CLT28">_xlfn.XLOOKUP(CLT$11,Assumptions!$B$35:$H$35,_xlfn.XLOOKUP($C28,Assumptions!$B$36:$B$41,Assumptions!$B$36:$H$41))</f>
        <v>0</v>
      </c>
      <c r="CLU28">
        <f t="array" ref="CLU28">_xlfn.XLOOKUP(CLU$11,Assumptions!$B$35:$H$35,_xlfn.XLOOKUP($C28,Assumptions!$B$36:$B$41,Assumptions!$B$36:$H$41))</f>
        <v>0</v>
      </c>
      <c r="CLV28">
        <f t="array" ref="CLV28">_xlfn.XLOOKUP(CLV$11,Assumptions!$B$35:$H$35,_xlfn.XLOOKUP($C28,Assumptions!$B$36:$B$41,Assumptions!$B$36:$H$41))</f>
        <v>0</v>
      </c>
      <c r="CLW28">
        <f t="array" ref="CLW28">_xlfn.XLOOKUP(CLW$11,Assumptions!$B$35:$H$35,_xlfn.XLOOKUP($C28,Assumptions!$B$36:$B$41,Assumptions!$B$36:$H$41))</f>
        <v>0</v>
      </c>
      <c r="CLX28">
        <f t="array" ref="CLX28">_xlfn.XLOOKUP(CLX$11,Assumptions!$B$35:$H$35,_xlfn.XLOOKUP($C28,Assumptions!$B$36:$B$41,Assumptions!$B$36:$H$41))</f>
        <v>0</v>
      </c>
      <c r="CLY28">
        <f t="array" ref="CLY28">_xlfn.XLOOKUP(CLY$11,Assumptions!$B$35:$H$35,_xlfn.XLOOKUP($C28,Assumptions!$B$36:$B$41,Assumptions!$B$36:$H$41))</f>
        <v>0</v>
      </c>
      <c r="CLZ28">
        <f t="array" ref="CLZ28">_xlfn.XLOOKUP(CLZ$11,Assumptions!$B$35:$H$35,_xlfn.XLOOKUP($C28,Assumptions!$B$36:$B$41,Assumptions!$B$36:$H$41))</f>
        <v>0</v>
      </c>
      <c r="CMA28">
        <f t="array" ref="CMA28">_xlfn.XLOOKUP(CMA$11,Assumptions!$B$35:$H$35,_xlfn.XLOOKUP($C28,Assumptions!$B$36:$B$41,Assumptions!$B$36:$H$41))</f>
        <v>0</v>
      </c>
      <c r="CMB28">
        <f t="array" ref="CMB28">_xlfn.XLOOKUP(CMB$11,Assumptions!$B$35:$H$35,_xlfn.XLOOKUP($C28,Assumptions!$B$36:$B$41,Assumptions!$B$36:$H$41))</f>
        <v>0</v>
      </c>
      <c r="CMC28">
        <f t="array" ref="CMC28">_xlfn.XLOOKUP(CMC$11,Assumptions!$B$35:$H$35,_xlfn.XLOOKUP($C28,Assumptions!$B$36:$B$41,Assumptions!$B$36:$H$41))</f>
        <v>0</v>
      </c>
      <c r="CMD28">
        <f t="array" ref="CMD28">_xlfn.XLOOKUP(CMD$11,Assumptions!$B$35:$H$35,_xlfn.XLOOKUP($C28,Assumptions!$B$36:$B$41,Assumptions!$B$36:$H$41))</f>
        <v>0</v>
      </c>
      <c r="CME28">
        <f t="array" ref="CME28">_xlfn.XLOOKUP(CME$11,Assumptions!$B$35:$H$35,_xlfn.XLOOKUP($C28,Assumptions!$B$36:$B$41,Assumptions!$B$36:$H$41))</f>
        <v>0</v>
      </c>
      <c r="CMF28">
        <f t="array" ref="CMF28">_xlfn.XLOOKUP(CMF$11,Assumptions!$B$35:$H$35,_xlfn.XLOOKUP($C28,Assumptions!$B$36:$B$41,Assumptions!$B$36:$H$41))</f>
        <v>0</v>
      </c>
      <c r="CMG28">
        <f t="array" ref="CMG28">_xlfn.XLOOKUP(CMG$11,Assumptions!$B$35:$H$35,_xlfn.XLOOKUP($C28,Assumptions!$B$36:$B$41,Assumptions!$B$36:$H$41))</f>
        <v>0</v>
      </c>
      <c r="CMH28">
        <f t="array" ref="CMH28">_xlfn.XLOOKUP(CMH$11,Assumptions!$B$35:$H$35,_xlfn.XLOOKUP($C28,Assumptions!$B$36:$B$41,Assumptions!$B$36:$H$41))</f>
        <v>0</v>
      </c>
      <c r="CMI28">
        <f t="array" ref="CMI28">_xlfn.XLOOKUP(CMI$11,Assumptions!$B$35:$H$35,_xlfn.XLOOKUP($C28,Assumptions!$B$36:$B$41,Assumptions!$B$36:$H$41))</f>
        <v>0</v>
      </c>
      <c r="CMJ28">
        <f t="array" ref="CMJ28">_xlfn.XLOOKUP(CMJ$11,Assumptions!$B$35:$H$35,_xlfn.XLOOKUP($C28,Assumptions!$B$36:$B$41,Assumptions!$B$36:$H$41))</f>
        <v>0</v>
      </c>
      <c r="CMK28">
        <f t="array" ref="CMK28">_xlfn.XLOOKUP(CMK$11,Assumptions!$B$35:$H$35,_xlfn.XLOOKUP($C28,Assumptions!$B$36:$B$41,Assumptions!$B$36:$H$41))</f>
        <v>0</v>
      </c>
      <c r="CML28">
        <f t="array" ref="CML28">_xlfn.XLOOKUP(CML$11,Assumptions!$B$35:$H$35,_xlfn.XLOOKUP($C28,Assumptions!$B$36:$B$41,Assumptions!$B$36:$H$41))</f>
        <v>0</v>
      </c>
      <c r="CMM28">
        <f t="array" ref="CMM28">_xlfn.XLOOKUP(CMM$11,Assumptions!$B$35:$H$35,_xlfn.XLOOKUP($C28,Assumptions!$B$36:$B$41,Assumptions!$B$36:$H$41))</f>
        <v>0</v>
      </c>
      <c r="CMN28">
        <f t="array" ref="CMN28">_xlfn.XLOOKUP(CMN$11,Assumptions!$B$35:$H$35,_xlfn.XLOOKUP($C28,Assumptions!$B$36:$B$41,Assumptions!$B$36:$H$41))</f>
        <v>0</v>
      </c>
      <c r="CMO28">
        <f t="array" ref="CMO28">_xlfn.XLOOKUP(CMO$11,Assumptions!$B$35:$H$35,_xlfn.XLOOKUP($C28,Assumptions!$B$36:$B$41,Assumptions!$B$36:$H$41))</f>
        <v>0</v>
      </c>
      <c r="CMP28">
        <f t="array" ref="CMP28">_xlfn.XLOOKUP(CMP$11,Assumptions!$B$35:$H$35,_xlfn.XLOOKUP($C28,Assumptions!$B$36:$B$41,Assumptions!$B$36:$H$41))</f>
        <v>0</v>
      </c>
      <c r="CMQ28">
        <f t="array" ref="CMQ28">_xlfn.XLOOKUP(CMQ$11,Assumptions!$B$35:$H$35,_xlfn.XLOOKUP($C28,Assumptions!$B$36:$B$41,Assumptions!$B$36:$H$41))</f>
        <v>0</v>
      </c>
      <c r="CMR28">
        <f t="array" ref="CMR28">_xlfn.XLOOKUP(CMR$11,Assumptions!$B$35:$H$35,_xlfn.XLOOKUP($C28,Assumptions!$B$36:$B$41,Assumptions!$B$36:$H$41))</f>
        <v>0</v>
      </c>
      <c r="CMS28">
        <f t="array" ref="CMS28">_xlfn.XLOOKUP(CMS$11,Assumptions!$B$35:$H$35,_xlfn.XLOOKUP($C28,Assumptions!$B$36:$B$41,Assumptions!$B$36:$H$41))</f>
        <v>0</v>
      </c>
      <c r="CMT28">
        <f t="array" ref="CMT28">_xlfn.XLOOKUP(CMT$11,Assumptions!$B$35:$H$35,_xlfn.XLOOKUP($C28,Assumptions!$B$36:$B$41,Assumptions!$B$36:$H$41))</f>
        <v>0</v>
      </c>
      <c r="CMU28">
        <f t="array" ref="CMU28">_xlfn.XLOOKUP(CMU$11,Assumptions!$B$35:$H$35,_xlfn.XLOOKUP($C28,Assumptions!$B$36:$B$41,Assumptions!$B$36:$H$41))</f>
        <v>0</v>
      </c>
      <c r="CMV28">
        <f t="array" ref="CMV28">_xlfn.XLOOKUP(CMV$11,Assumptions!$B$35:$H$35,_xlfn.XLOOKUP($C28,Assumptions!$B$36:$B$41,Assumptions!$B$36:$H$41))</f>
        <v>0</v>
      </c>
      <c r="CMW28">
        <f t="array" ref="CMW28">_xlfn.XLOOKUP(CMW$11,Assumptions!$B$35:$H$35,_xlfn.XLOOKUP($C28,Assumptions!$B$36:$B$41,Assumptions!$B$36:$H$41))</f>
        <v>0</v>
      </c>
      <c r="CMX28">
        <f t="array" ref="CMX28">_xlfn.XLOOKUP(CMX$11,Assumptions!$B$35:$H$35,_xlfn.XLOOKUP($C28,Assumptions!$B$36:$B$41,Assumptions!$B$36:$H$41))</f>
        <v>0</v>
      </c>
      <c r="CMY28">
        <f t="array" ref="CMY28">_xlfn.XLOOKUP(CMY$11,Assumptions!$B$35:$H$35,_xlfn.XLOOKUP($C28,Assumptions!$B$36:$B$41,Assumptions!$B$36:$H$41))</f>
        <v>0</v>
      </c>
      <c r="CMZ28">
        <f t="array" ref="CMZ28">_xlfn.XLOOKUP(CMZ$11,Assumptions!$B$35:$H$35,_xlfn.XLOOKUP($C28,Assumptions!$B$36:$B$41,Assumptions!$B$36:$H$41))</f>
        <v>0</v>
      </c>
      <c r="CNA28">
        <f t="array" ref="CNA28">_xlfn.XLOOKUP(CNA$11,Assumptions!$B$35:$H$35,_xlfn.XLOOKUP($C28,Assumptions!$B$36:$B$41,Assumptions!$B$36:$H$41))</f>
        <v>0</v>
      </c>
      <c r="CNB28">
        <f t="array" ref="CNB28">_xlfn.XLOOKUP(CNB$11,Assumptions!$B$35:$H$35,_xlfn.XLOOKUP($C28,Assumptions!$B$36:$B$41,Assumptions!$B$36:$H$41))</f>
        <v>0</v>
      </c>
      <c r="CNC28">
        <f t="array" ref="CNC28">_xlfn.XLOOKUP(CNC$11,Assumptions!$B$35:$H$35,_xlfn.XLOOKUP($C28,Assumptions!$B$36:$B$41,Assumptions!$B$36:$H$41))</f>
        <v>0</v>
      </c>
      <c r="CND28">
        <f t="array" ref="CND28">_xlfn.XLOOKUP(CND$11,Assumptions!$B$35:$H$35,_xlfn.XLOOKUP($C28,Assumptions!$B$36:$B$41,Assumptions!$B$36:$H$41))</f>
        <v>0</v>
      </c>
      <c r="CNE28">
        <f t="array" ref="CNE28">_xlfn.XLOOKUP(CNE$11,Assumptions!$B$35:$H$35,_xlfn.XLOOKUP($C28,Assumptions!$B$36:$B$41,Assumptions!$B$36:$H$41))</f>
        <v>0</v>
      </c>
      <c r="CNF28">
        <f t="array" ref="CNF28">_xlfn.XLOOKUP(CNF$11,Assumptions!$B$35:$H$35,_xlfn.XLOOKUP($C28,Assumptions!$B$36:$B$41,Assumptions!$B$36:$H$41))</f>
        <v>0</v>
      </c>
      <c r="CNG28">
        <f t="array" ref="CNG28">_xlfn.XLOOKUP(CNG$11,Assumptions!$B$35:$H$35,_xlfn.XLOOKUP($C28,Assumptions!$B$36:$B$41,Assumptions!$B$36:$H$41))</f>
        <v>0</v>
      </c>
      <c r="CNH28">
        <f t="array" ref="CNH28">_xlfn.XLOOKUP(CNH$11,Assumptions!$B$35:$H$35,_xlfn.XLOOKUP($C28,Assumptions!$B$36:$B$41,Assumptions!$B$36:$H$41))</f>
        <v>0</v>
      </c>
      <c r="CNI28">
        <f t="array" ref="CNI28">_xlfn.XLOOKUP(CNI$11,Assumptions!$B$35:$H$35,_xlfn.XLOOKUP($C28,Assumptions!$B$36:$B$41,Assumptions!$B$36:$H$41))</f>
        <v>0</v>
      </c>
      <c r="CNJ28">
        <f t="array" ref="CNJ28">_xlfn.XLOOKUP(CNJ$11,Assumptions!$B$35:$H$35,_xlfn.XLOOKUP($C28,Assumptions!$B$36:$B$41,Assumptions!$B$36:$H$41))</f>
        <v>0</v>
      </c>
      <c r="CNK28">
        <f t="array" ref="CNK28">_xlfn.XLOOKUP(CNK$11,Assumptions!$B$35:$H$35,_xlfn.XLOOKUP($C28,Assumptions!$B$36:$B$41,Assumptions!$B$36:$H$41))</f>
        <v>0</v>
      </c>
      <c r="CNL28">
        <f t="array" ref="CNL28">_xlfn.XLOOKUP(CNL$11,Assumptions!$B$35:$H$35,_xlfn.XLOOKUP($C28,Assumptions!$B$36:$B$41,Assumptions!$B$36:$H$41))</f>
        <v>0</v>
      </c>
      <c r="CNM28">
        <f t="array" ref="CNM28">_xlfn.XLOOKUP(CNM$11,Assumptions!$B$35:$H$35,_xlfn.XLOOKUP($C28,Assumptions!$B$36:$B$41,Assumptions!$B$36:$H$41))</f>
        <v>0</v>
      </c>
      <c r="CNN28">
        <f t="array" ref="CNN28">_xlfn.XLOOKUP(CNN$11,Assumptions!$B$35:$H$35,_xlfn.XLOOKUP($C28,Assumptions!$B$36:$B$41,Assumptions!$B$36:$H$41))</f>
        <v>0</v>
      </c>
      <c r="CNO28">
        <f t="array" ref="CNO28">_xlfn.XLOOKUP(CNO$11,Assumptions!$B$35:$H$35,_xlfn.XLOOKUP($C28,Assumptions!$B$36:$B$41,Assumptions!$B$36:$H$41))</f>
        <v>0</v>
      </c>
      <c r="CNP28">
        <f t="array" ref="CNP28">_xlfn.XLOOKUP(CNP$11,Assumptions!$B$35:$H$35,_xlfn.XLOOKUP($C28,Assumptions!$B$36:$B$41,Assumptions!$B$36:$H$41))</f>
        <v>0</v>
      </c>
      <c r="CNQ28">
        <f t="array" ref="CNQ28">_xlfn.XLOOKUP(CNQ$11,Assumptions!$B$35:$H$35,_xlfn.XLOOKUP($C28,Assumptions!$B$36:$B$41,Assumptions!$B$36:$H$41))</f>
        <v>0</v>
      </c>
      <c r="CNR28">
        <f t="array" ref="CNR28">_xlfn.XLOOKUP(CNR$11,Assumptions!$B$35:$H$35,_xlfn.XLOOKUP($C28,Assumptions!$B$36:$B$41,Assumptions!$B$36:$H$41))</f>
        <v>0</v>
      </c>
      <c r="CNS28">
        <f t="array" ref="CNS28">_xlfn.XLOOKUP(CNS$11,Assumptions!$B$35:$H$35,_xlfn.XLOOKUP($C28,Assumptions!$B$36:$B$41,Assumptions!$B$36:$H$41))</f>
        <v>0</v>
      </c>
      <c r="CNT28">
        <f t="array" ref="CNT28">_xlfn.XLOOKUP(CNT$11,Assumptions!$B$35:$H$35,_xlfn.XLOOKUP($C28,Assumptions!$B$36:$B$41,Assumptions!$B$36:$H$41))</f>
        <v>0</v>
      </c>
      <c r="CNU28">
        <f t="array" ref="CNU28">_xlfn.XLOOKUP(CNU$11,Assumptions!$B$35:$H$35,_xlfn.XLOOKUP($C28,Assumptions!$B$36:$B$41,Assumptions!$B$36:$H$41))</f>
        <v>0</v>
      </c>
      <c r="CNV28">
        <f t="array" ref="CNV28">_xlfn.XLOOKUP(CNV$11,Assumptions!$B$35:$H$35,_xlfn.XLOOKUP($C28,Assumptions!$B$36:$B$41,Assumptions!$B$36:$H$41))</f>
        <v>0</v>
      </c>
      <c r="CNW28">
        <f t="array" ref="CNW28">_xlfn.XLOOKUP(CNW$11,Assumptions!$B$35:$H$35,_xlfn.XLOOKUP($C28,Assumptions!$B$36:$B$41,Assumptions!$B$36:$H$41))</f>
        <v>0</v>
      </c>
      <c r="CNX28">
        <f t="array" ref="CNX28">_xlfn.XLOOKUP(CNX$11,Assumptions!$B$35:$H$35,_xlfn.XLOOKUP($C28,Assumptions!$B$36:$B$41,Assumptions!$B$36:$H$41))</f>
        <v>0</v>
      </c>
      <c r="CNY28">
        <f t="array" ref="CNY28">_xlfn.XLOOKUP(CNY$11,Assumptions!$B$35:$H$35,_xlfn.XLOOKUP($C28,Assumptions!$B$36:$B$41,Assumptions!$B$36:$H$41))</f>
        <v>0</v>
      </c>
      <c r="CNZ28">
        <f t="array" ref="CNZ28">_xlfn.XLOOKUP(CNZ$11,Assumptions!$B$35:$H$35,_xlfn.XLOOKUP($C28,Assumptions!$B$36:$B$41,Assumptions!$B$36:$H$41))</f>
        <v>0</v>
      </c>
      <c r="COA28">
        <f t="array" ref="COA28">_xlfn.XLOOKUP(COA$11,Assumptions!$B$35:$H$35,_xlfn.XLOOKUP($C28,Assumptions!$B$36:$B$41,Assumptions!$B$36:$H$41))</f>
        <v>0</v>
      </c>
      <c r="COB28">
        <f t="array" ref="COB28">_xlfn.XLOOKUP(COB$11,Assumptions!$B$35:$H$35,_xlfn.XLOOKUP($C28,Assumptions!$B$36:$B$41,Assumptions!$B$36:$H$41))</f>
        <v>0</v>
      </c>
      <c r="COC28">
        <f t="array" ref="COC28">_xlfn.XLOOKUP(COC$11,Assumptions!$B$35:$H$35,_xlfn.XLOOKUP($C28,Assumptions!$B$36:$B$41,Assumptions!$B$36:$H$41))</f>
        <v>0</v>
      </c>
      <c r="COD28">
        <f t="array" ref="COD28">_xlfn.XLOOKUP(COD$11,Assumptions!$B$35:$H$35,_xlfn.XLOOKUP($C28,Assumptions!$B$36:$B$41,Assumptions!$B$36:$H$41))</f>
        <v>0</v>
      </c>
      <c r="COE28">
        <f t="array" ref="COE28">_xlfn.XLOOKUP(COE$11,Assumptions!$B$35:$H$35,_xlfn.XLOOKUP($C28,Assumptions!$B$36:$B$41,Assumptions!$B$36:$H$41))</f>
        <v>0</v>
      </c>
      <c r="COF28">
        <f t="array" ref="COF28">_xlfn.XLOOKUP(COF$11,Assumptions!$B$35:$H$35,_xlfn.XLOOKUP($C28,Assumptions!$B$36:$B$41,Assumptions!$B$36:$H$41))</f>
        <v>0</v>
      </c>
      <c r="COG28">
        <f t="array" ref="COG28">_xlfn.XLOOKUP(COG$11,Assumptions!$B$35:$H$35,_xlfn.XLOOKUP($C28,Assumptions!$B$36:$B$41,Assumptions!$B$36:$H$41))</f>
        <v>0</v>
      </c>
      <c r="COH28">
        <f t="array" ref="COH28">_xlfn.XLOOKUP(COH$11,Assumptions!$B$35:$H$35,_xlfn.XLOOKUP($C28,Assumptions!$B$36:$B$41,Assumptions!$B$36:$H$41))</f>
        <v>0</v>
      </c>
      <c r="COI28">
        <f t="array" ref="COI28">_xlfn.XLOOKUP(COI$11,Assumptions!$B$35:$H$35,_xlfn.XLOOKUP($C28,Assumptions!$B$36:$B$41,Assumptions!$B$36:$H$41))</f>
        <v>0</v>
      </c>
      <c r="COJ28">
        <f t="array" ref="COJ28">_xlfn.XLOOKUP(COJ$11,Assumptions!$B$35:$H$35,_xlfn.XLOOKUP($C28,Assumptions!$B$36:$B$41,Assumptions!$B$36:$H$41))</f>
        <v>0</v>
      </c>
      <c r="COK28">
        <f t="array" ref="COK28">_xlfn.XLOOKUP(COK$11,Assumptions!$B$35:$H$35,_xlfn.XLOOKUP($C28,Assumptions!$B$36:$B$41,Assumptions!$B$36:$H$41))</f>
        <v>0</v>
      </c>
      <c r="COL28">
        <f t="array" ref="COL28">_xlfn.XLOOKUP(COL$11,Assumptions!$B$35:$H$35,_xlfn.XLOOKUP($C28,Assumptions!$B$36:$B$41,Assumptions!$B$36:$H$41))</f>
        <v>0</v>
      </c>
      <c r="COM28">
        <f t="array" ref="COM28">_xlfn.XLOOKUP(COM$11,Assumptions!$B$35:$H$35,_xlfn.XLOOKUP($C28,Assumptions!$B$36:$B$41,Assumptions!$B$36:$H$41))</f>
        <v>0</v>
      </c>
      <c r="CON28">
        <f t="array" ref="CON28">_xlfn.XLOOKUP(CON$11,Assumptions!$B$35:$H$35,_xlfn.XLOOKUP($C28,Assumptions!$B$36:$B$41,Assumptions!$B$36:$H$41))</f>
        <v>0</v>
      </c>
      <c r="COO28">
        <f t="array" ref="COO28">_xlfn.XLOOKUP(COO$11,Assumptions!$B$35:$H$35,_xlfn.XLOOKUP($C28,Assumptions!$B$36:$B$41,Assumptions!$B$36:$H$41))</f>
        <v>0</v>
      </c>
      <c r="COP28">
        <f t="array" ref="COP28">_xlfn.XLOOKUP(COP$11,Assumptions!$B$35:$H$35,_xlfn.XLOOKUP($C28,Assumptions!$B$36:$B$41,Assumptions!$B$36:$H$41))</f>
        <v>0</v>
      </c>
      <c r="COQ28">
        <f t="array" ref="COQ28">_xlfn.XLOOKUP(COQ$11,Assumptions!$B$35:$H$35,_xlfn.XLOOKUP($C28,Assumptions!$B$36:$B$41,Assumptions!$B$36:$H$41))</f>
        <v>0</v>
      </c>
      <c r="COR28">
        <f t="array" ref="COR28">_xlfn.XLOOKUP(COR$11,Assumptions!$B$35:$H$35,_xlfn.XLOOKUP($C28,Assumptions!$B$36:$B$41,Assumptions!$B$36:$H$41))</f>
        <v>0</v>
      </c>
      <c r="COS28">
        <f t="array" ref="COS28">_xlfn.XLOOKUP(COS$11,Assumptions!$B$35:$H$35,_xlfn.XLOOKUP($C28,Assumptions!$B$36:$B$41,Assumptions!$B$36:$H$41))</f>
        <v>0</v>
      </c>
      <c r="COT28">
        <f t="array" ref="COT28">_xlfn.XLOOKUP(COT$11,Assumptions!$B$35:$H$35,_xlfn.XLOOKUP($C28,Assumptions!$B$36:$B$41,Assumptions!$B$36:$H$41))</f>
        <v>0</v>
      </c>
      <c r="COU28">
        <f t="array" ref="COU28">_xlfn.XLOOKUP(COU$11,Assumptions!$B$35:$H$35,_xlfn.XLOOKUP($C28,Assumptions!$B$36:$B$41,Assumptions!$B$36:$H$41))</f>
        <v>0</v>
      </c>
      <c r="COV28">
        <f t="array" ref="COV28">_xlfn.XLOOKUP(COV$11,Assumptions!$B$35:$H$35,_xlfn.XLOOKUP($C28,Assumptions!$B$36:$B$41,Assumptions!$B$36:$H$41))</f>
        <v>0</v>
      </c>
      <c r="COW28">
        <f t="array" ref="COW28">_xlfn.XLOOKUP(COW$11,Assumptions!$B$35:$H$35,_xlfn.XLOOKUP($C28,Assumptions!$B$36:$B$41,Assumptions!$B$36:$H$41))</f>
        <v>0</v>
      </c>
      <c r="COX28">
        <f t="array" ref="COX28">_xlfn.XLOOKUP(COX$11,Assumptions!$B$35:$H$35,_xlfn.XLOOKUP($C28,Assumptions!$B$36:$B$41,Assumptions!$B$36:$H$41))</f>
        <v>0</v>
      </c>
      <c r="COY28">
        <f t="array" ref="COY28">_xlfn.XLOOKUP(COY$11,Assumptions!$B$35:$H$35,_xlfn.XLOOKUP($C28,Assumptions!$B$36:$B$41,Assumptions!$B$36:$H$41))</f>
        <v>0</v>
      </c>
      <c r="COZ28">
        <f t="array" ref="COZ28">_xlfn.XLOOKUP(COZ$11,Assumptions!$B$35:$H$35,_xlfn.XLOOKUP($C28,Assumptions!$B$36:$B$41,Assumptions!$B$36:$H$41))</f>
        <v>0</v>
      </c>
      <c r="CPA28">
        <f t="array" ref="CPA28">_xlfn.XLOOKUP(CPA$11,Assumptions!$B$35:$H$35,_xlfn.XLOOKUP($C28,Assumptions!$B$36:$B$41,Assumptions!$B$36:$H$41))</f>
        <v>0</v>
      </c>
      <c r="CPB28">
        <f t="array" ref="CPB28">_xlfn.XLOOKUP(CPB$11,Assumptions!$B$35:$H$35,_xlfn.XLOOKUP($C28,Assumptions!$B$36:$B$41,Assumptions!$B$36:$H$41))</f>
        <v>0</v>
      </c>
      <c r="CPC28">
        <f t="array" ref="CPC28">_xlfn.XLOOKUP(CPC$11,Assumptions!$B$35:$H$35,_xlfn.XLOOKUP($C28,Assumptions!$B$36:$B$41,Assumptions!$B$36:$H$41))</f>
        <v>0</v>
      </c>
      <c r="CPD28">
        <f t="array" ref="CPD28">_xlfn.XLOOKUP(CPD$11,Assumptions!$B$35:$H$35,_xlfn.XLOOKUP($C28,Assumptions!$B$36:$B$41,Assumptions!$B$36:$H$41))</f>
        <v>0</v>
      </c>
      <c r="CPE28">
        <f t="array" ref="CPE28">_xlfn.XLOOKUP(CPE$11,Assumptions!$B$35:$H$35,_xlfn.XLOOKUP($C28,Assumptions!$B$36:$B$41,Assumptions!$B$36:$H$41))</f>
        <v>0</v>
      </c>
      <c r="CPF28">
        <f t="array" ref="CPF28">_xlfn.XLOOKUP(CPF$11,Assumptions!$B$35:$H$35,_xlfn.XLOOKUP($C28,Assumptions!$B$36:$B$41,Assumptions!$B$36:$H$41))</f>
        <v>0</v>
      </c>
      <c r="CPG28">
        <f t="array" ref="CPG28">_xlfn.XLOOKUP(CPG$11,Assumptions!$B$35:$H$35,_xlfn.XLOOKUP($C28,Assumptions!$B$36:$B$41,Assumptions!$B$36:$H$41))</f>
        <v>0</v>
      </c>
      <c r="CPH28">
        <f t="array" ref="CPH28">_xlfn.XLOOKUP(CPH$11,Assumptions!$B$35:$H$35,_xlfn.XLOOKUP($C28,Assumptions!$B$36:$B$41,Assumptions!$B$36:$H$41))</f>
        <v>0</v>
      </c>
      <c r="CPI28">
        <f t="array" ref="CPI28">_xlfn.XLOOKUP(CPI$11,Assumptions!$B$35:$H$35,_xlfn.XLOOKUP($C28,Assumptions!$B$36:$B$41,Assumptions!$B$36:$H$41))</f>
        <v>0</v>
      </c>
      <c r="CPJ28">
        <f t="array" ref="CPJ28">_xlfn.XLOOKUP(CPJ$11,Assumptions!$B$35:$H$35,_xlfn.XLOOKUP($C28,Assumptions!$B$36:$B$41,Assumptions!$B$36:$H$41))</f>
        <v>0</v>
      </c>
      <c r="CPK28">
        <f t="array" ref="CPK28">_xlfn.XLOOKUP(CPK$11,Assumptions!$B$35:$H$35,_xlfn.XLOOKUP($C28,Assumptions!$B$36:$B$41,Assumptions!$B$36:$H$41))</f>
        <v>0</v>
      </c>
      <c r="CPL28">
        <f t="array" ref="CPL28">_xlfn.XLOOKUP(CPL$11,Assumptions!$B$35:$H$35,_xlfn.XLOOKUP($C28,Assumptions!$B$36:$B$41,Assumptions!$B$36:$H$41))</f>
        <v>0</v>
      </c>
      <c r="CPM28">
        <f t="array" ref="CPM28">_xlfn.XLOOKUP(CPM$11,Assumptions!$B$35:$H$35,_xlfn.XLOOKUP($C28,Assumptions!$B$36:$B$41,Assumptions!$B$36:$H$41))</f>
        <v>0</v>
      </c>
      <c r="CPN28">
        <f t="array" ref="CPN28">_xlfn.XLOOKUP(CPN$11,Assumptions!$B$35:$H$35,_xlfn.XLOOKUP($C28,Assumptions!$B$36:$B$41,Assumptions!$B$36:$H$41))</f>
        <v>0</v>
      </c>
      <c r="CPO28">
        <f t="array" ref="CPO28">_xlfn.XLOOKUP(CPO$11,Assumptions!$B$35:$H$35,_xlfn.XLOOKUP($C28,Assumptions!$B$36:$B$41,Assumptions!$B$36:$H$41))</f>
        <v>0</v>
      </c>
      <c r="CPP28">
        <f t="array" ref="CPP28">_xlfn.XLOOKUP(CPP$11,Assumptions!$B$35:$H$35,_xlfn.XLOOKUP($C28,Assumptions!$B$36:$B$41,Assumptions!$B$36:$H$41))</f>
        <v>0</v>
      </c>
      <c r="CPQ28">
        <f t="array" ref="CPQ28">_xlfn.XLOOKUP(CPQ$11,Assumptions!$B$35:$H$35,_xlfn.XLOOKUP($C28,Assumptions!$B$36:$B$41,Assumptions!$B$36:$H$41))</f>
        <v>0</v>
      </c>
      <c r="CPR28">
        <f t="array" ref="CPR28">_xlfn.XLOOKUP(CPR$11,Assumptions!$B$35:$H$35,_xlfn.XLOOKUP($C28,Assumptions!$B$36:$B$41,Assumptions!$B$36:$H$41))</f>
        <v>0</v>
      </c>
      <c r="CPS28">
        <f t="array" ref="CPS28">_xlfn.XLOOKUP(CPS$11,Assumptions!$B$35:$H$35,_xlfn.XLOOKUP($C28,Assumptions!$B$36:$B$41,Assumptions!$B$36:$H$41))</f>
        <v>0</v>
      </c>
      <c r="CPT28">
        <f t="array" ref="CPT28">_xlfn.XLOOKUP(CPT$11,Assumptions!$B$35:$H$35,_xlfn.XLOOKUP($C28,Assumptions!$B$36:$B$41,Assumptions!$B$36:$H$41))</f>
        <v>0</v>
      </c>
      <c r="CPU28">
        <f t="array" ref="CPU28">_xlfn.XLOOKUP(CPU$11,Assumptions!$B$35:$H$35,_xlfn.XLOOKUP($C28,Assumptions!$B$36:$B$41,Assumptions!$B$36:$H$41))</f>
        <v>0</v>
      </c>
      <c r="CPV28">
        <f t="array" ref="CPV28">_xlfn.XLOOKUP(CPV$11,Assumptions!$B$35:$H$35,_xlfn.XLOOKUP($C28,Assumptions!$B$36:$B$41,Assumptions!$B$36:$H$41))</f>
        <v>0</v>
      </c>
      <c r="CPW28">
        <f t="array" ref="CPW28">_xlfn.XLOOKUP(CPW$11,Assumptions!$B$35:$H$35,_xlfn.XLOOKUP($C28,Assumptions!$B$36:$B$41,Assumptions!$B$36:$H$41))</f>
        <v>0</v>
      </c>
      <c r="CPX28">
        <f t="array" ref="CPX28">_xlfn.XLOOKUP(CPX$11,Assumptions!$B$35:$H$35,_xlfn.XLOOKUP($C28,Assumptions!$B$36:$B$41,Assumptions!$B$36:$H$41))</f>
        <v>0</v>
      </c>
      <c r="CPY28">
        <f t="array" ref="CPY28">_xlfn.XLOOKUP(CPY$11,Assumptions!$B$35:$H$35,_xlfn.XLOOKUP($C28,Assumptions!$B$36:$B$41,Assumptions!$B$36:$H$41))</f>
        <v>0</v>
      </c>
      <c r="CPZ28">
        <f t="array" ref="CPZ28">_xlfn.XLOOKUP(CPZ$11,Assumptions!$B$35:$H$35,_xlfn.XLOOKUP($C28,Assumptions!$B$36:$B$41,Assumptions!$B$36:$H$41))</f>
        <v>0</v>
      </c>
      <c r="CQA28">
        <f t="array" ref="CQA28">_xlfn.XLOOKUP(CQA$11,Assumptions!$B$35:$H$35,_xlfn.XLOOKUP($C28,Assumptions!$B$36:$B$41,Assumptions!$B$36:$H$41))</f>
        <v>0</v>
      </c>
      <c r="CQB28">
        <f t="array" ref="CQB28">_xlfn.XLOOKUP(CQB$11,Assumptions!$B$35:$H$35,_xlfn.XLOOKUP($C28,Assumptions!$B$36:$B$41,Assumptions!$B$36:$H$41))</f>
        <v>0</v>
      </c>
      <c r="CQC28">
        <f t="array" ref="CQC28">_xlfn.XLOOKUP(CQC$11,Assumptions!$B$35:$H$35,_xlfn.XLOOKUP($C28,Assumptions!$B$36:$B$41,Assumptions!$B$36:$H$41))</f>
        <v>0</v>
      </c>
      <c r="CQD28">
        <f t="array" ref="CQD28">_xlfn.XLOOKUP(CQD$11,Assumptions!$B$35:$H$35,_xlfn.XLOOKUP($C28,Assumptions!$B$36:$B$41,Assumptions!$B$36:$H$41))</f>
        <v>0</v>
      </c>
      <c r="CQE28">
        <f t="array" ref="CQE28">_xlfn.XLOOKUP(CQE$11,Assumptions!$B$35:$H$35,_xlfn.XLOOKUP($C28,Assumptions!$B$36:$B$41,Assumptions!$B$36:$H$41))</f>
        <v>0</v>
      </c>
      <c r="CQF28">
        <f t="array" ref="CQF28">_xlfn.XLOOKUP(CQF$11,Assumptions!$B$35:$H$35,_xlfn.XLOOKUP($C28,Assumptions!$B$36:$B$41,Assumptions!$B$36:$H$41))</f>
        <v>0</v>
      </c>
      <c r="CQG28">
        <f t="array" ref="CQG28">_xlfn.XLOOKUP(CQG$11,Assumptions!$B$35:$H$35,_xlfn.XLOOKUP($C28,Assumptions!$B$36:$B$41,Assumptions!$B$36:$H$41))</f>
        <v>0</v>
      </c>
      <c r="CQH28">
        <f t="array" ref="CQH28">_xlfn.XLOOKUP(CQH$11,Assumptions!$B$35:$H$35,_xlfn.XLOOKUP($C28,Assumptions!$B$36:$B$41,Assumptions!$B$36:$H$41))</f>
        <v>0</v>
      </c>
      <c r="CQI28">
        <f t="array" ref="CQI28">_xlfn.XLOOKUP(CQI$11,Assumptions!$B$35:$H$35,_xlfn.XLOOKUP($C28,Assumptions!$B$36:$B$41,Assumptions!$B$36:$H$41))</f>
        <v>0</v>
      </c>
      <c r="CQJ28">
        <f t="array" ref="CQJ28">_xlfn.XLOOKUP(CQJ$11,Assumptions!$B$35:$H$35,_xlfn.XLOOKUP($C28,Assumptions!$B$36:$B$41,Assumptions!$B$36:$H$41))</f>
        <v>0</v>
      </c>
      <c r="CQK28">
        <f t="array" ref="CQK28">_xlfn.XLOOKUP(CQK$11,Assumptions!$B$35:$H$35,_xlfn.XLOOKUP($C28,Assumptions!$B$36:$B$41,Assumptions!$B$36:$H$41))</f>
        <v>0</v>
      </c>
      <c r="CQL28">
        <f t="array" ref="CQL28">_xlfn.XLOOKUP(CQL$11,Assumptions!$B$35:$H$35,_xlfn.XLOOKUP($C28,Assumptions!$B$36:$B$41,Assumptions!$B$36:$H$41))</f>
        <v>0</v>
      </c>
      <c r="CQM28">
        <f t="array" ref="CQM28">_xlfn.XLOOKUP(CQM$11,Assumptions!$B$35:$H$35,_xlfn.XLOOKUP($C28,Assumptions!$B$36:$B$41,Assumptions!$B$36:$H$41))</f>
        <v>0</v>
      </c>
      <c r="CQN28">
        <f t="array" ref="CQN28">_xlfn.XLOOKUP(CQN$11,Assumptions!$B$35:$H$35,_xlfn.XLOOKUP($C28,Assumptions!$B$36:$B$41,Assumptions!$B$36:$H$41))</f>
        <v>0</v>
      </c>
      <c r="CQO28">
        <f t="array" ref="CQO28">_xlfn.XLOOKUP(CQO$11,Assumptions!$B$35:$H$35,_xlfn.XLOOKUP($C28,Assumptions!$B$36:$B$41,Assumptions!$B$36:$H$41))</f>
        <v>0</v>
      </c>
      <c r="CQP28">
        <f t="array" ref="CQP28">_xlfn.XLOOKUP(CQP$11,Assumptions!$B$35:$H$35,_xlfn.XLOOKUP($C28,Assumptions!$B$36:$B$41,Assumptions!$B$36:$H$41))</f>
        <v>0</v>
      </c>
      <c r="CQQ28">
        <f t="array" ref="CQQ28">_xlfn.XLOOKUP(CQQ$11,Assumptions!$B$35:$H$35,_xlfn.XLOOKUP($C28,Assumptions!$B$36:$B$41,Assumptions!$B$36:$H$41))</f>
        <v>0</v>
      </c>
      <c r="CQR28">
        <f t="array" ref="CQR28">_xlfn.XLOOKUP(CQR$11,Assumptions!$B$35:$H$35,_xlfn.XLOOKUP($C28,Assumptions!$B$36:$B$41,Assumptions!$B$36:$H$41))</f>
        <v>0</v>
      </c>
      <c r="CQS28">
        <f t="array" ref="CQS28">_xlfn.XLOOKUP(CQS$11,Assumptions!$B$35:$H$35,_xlfn.XLOOKUP($C28,Assumptions!$B$36:$B$41,Assumptions!$B$36:$H$41))</f>
        <v>0</v>
      </c>
      <c r="CQT28">
        <f t="array" ref="CQT28">_xlfn.XLOOKUP(CQT$11,Assumptions!$B$35:$H$35,_xlfn.XLOOKUP($C28,Assumptions!$B$36:$B$41,Assumptions!$B$36:$H$41))</f>
        <v>0</v>
      </c>
      <c r="CQU28">
        <f t="array" ref="CQU28">_xlfn.XLOOKUP(CQU$11,Assumptions!$B$35:$H$35,_xlfn.XLOOKUP($C28,Assumptions!$B$36:$B$41,Assumptions!$B$36:$H$41))</f>
        <v>0</v>
      </c>
      <c r="CQV28">
        <f t="array" ref="CQV28">_xlfn.XLOOKUP(CQV$11,Assumptions!$B$35:$H$35,_xlfn.XLOOKUP($C28,Assumptions!$B$36:$B$41,Assumptions!$B$36:$H$41))</f>
        <v>0</v>
      </c>
      <c r="CQW28">
        <f t="array" ref="CQW28">_xlfn.XLOOKUP(CQW$11,Assumptions!$B$35:$H$35,_xlfn.XLOOKUP($C28,Assumptions!$B$36:$B$41,Assumptions!$B$36:$H$41))</f>
        <v>0</v>
      </c>
      <c r="CQX28">
        <f t="array" ref="CQX28">_xlfn.XLOOKUP(CQX$11,Assumptions!$B$35:$H$35,_xlfn.XLOOKUP($C28,Assumptions!$B$36:$B$41,Assumptions!$B$36:$H$41))</f>
        <v>0</v>
      </c>
      <c r="CQY28">
        <f t="array" ref="CQY28">_xlfn.XLOOKUP(CQY$11,Assumptions!$B$35:$H$35,_xlfn.XLOOKUP($C28,Assumptions!$B$36:$B$41,Assumptions!$B$36:$H$41))</f>
        <v>0</v>
      </c>
      <c r="CQZ28">
        <f t="array" ref="CQZ28">_xlfn.XLOOKUP(CQZ$11,Assumptions!$B$35:$H$35,_xlfn.XLOOKUP($C28,Assumptions!$B$36:$B$41,Assumptions!$B$36:$H$41))</f>
        <v>0</v>
      </c>
      <c r="CRA28">
        <f t="array" ref="CRA28">_xlfn.XLOOKUP(CRA$11,Assumptions!$B$35:$H$35,_xlfn.XLOOKUP($C28,Assumptions!$B$36:$B$41,Assumptions!$B$36:$H$41))</f>
        <v>0</v>
      </c>
      <c r="CRB28">
        <f t="array" ref="CRB28">_xlfn.XLOOKUP(CRB$11,Assumptions!$B$35:$H$35,_xlfn.XLOOKUP($C28,Assumptions!$B$36:$B$41,Assumptions!$B$36:$H$41))</f>
        <v>0</v>
      </c>
      <c r="CRC28">
        <f t="array" ref="CRC28">_xlfn.XLOOKUP(CRC$11,Assumptions!$B$35:$H$35,_xlfn.XLOOKUP($C28,Assumptions!$B$36:$B$41,Assumptions!$B$36:$H$41))</f>
        <v>0</v>
      </c>
      <c r="CRD28">
        <f t="array" ref="CRD28">_xlfn.XLOOKUP(CRD$11,Assumptions!$B$35:$H$35,_xlfn.XLOOKUP($C28,Assumptions!$B$36:$B$41,Assumptions!$B$36:$H$41))</f>
        <v>0</v>
      </c>
      <c r="CRE28">
        <f t="array" ref="CRE28">_xlfn.XLOOKUP(CRE$11,Assumptions!$B$35:$H$35,_xlfn.XLOOKUP($C28,Assumptions!$B$36:$B$41,Assumptions!$B$36:$H$41))</f>
        <v>0</v>
      </c>
      <c r="CRF28">
        <f t="array" ref="CRF28">_xlfn.XLOOKUP(CRF$11,Assumptions!$B$35:$H$35,_xlfn.XLOOKUP($C28,Assumptions!$B$36:$B$41,Assumptions!$B$36:$H$41))</f>
        <v>0</v>
      </c>
      <c r="CRG28">
        <f t="array" ref="CRG28">_xlfn.XLOOKUP(CRG$11,Assumptions!$B$35:$H$35,_xlfn.XLOOKUP($C28,Assumptions!$B$36:$B$41,Assumptions!$B$36:$H$41))</f>
        <v>0</v>
      </c>
      <c r="CRH28">
        <f t="array" ref="CRH28">_xlfn.XLOOKUP(CRH$11,Assumptions!$B$35:$H$35,_xlfn.XLOOKUP($C28,Assumptions!$B$36:$B$41,Assumptions!$B$36:$H$41))</f>
        <v>0</v>
      </c>
      <c r="CRI28">
        <f t="array" ref="CRI28">_xlfn.XLOOKUP(CRI$11,Assumptions!$B$35:$H$35,_xlfn.XLOOKUP($C28,Assumptions!$B$36:$B$41,Assumptions!$B$36:$H$41))</f>
        <v>0</v>
      </c>
      <c r="CRJ28">
        <f t="array" ref="CRJ28">_xlfn.XLOOKUP(CRJ$11,Assumptions!$B$35:$H$35,_xlfn.XLOOKUP($C28,Assumptions!$B$36:$B$41,Assumptions!$B$36:$H$41))</f>
        <v>0</v>
      </c>
      <c r="CRK28">
        <f t="array" ref="CRK28">_xlfn.XLOOKUP(CRK$11,Assumptions!$B$35:$H$35,_xlfn.XLOOKUP($C28,Assumptions!$B$36:$B$41,Assumptions!$B$36:$H$41))</f>
        <v>0</v>
      </c>
      <c r="CRL28">
        <f t="array" ref="CRL28">_xlfn.XLOOKUP(CRL$11,Assumptions!$B$35:$H$35,_xlfn.XLOOKUP($C28,Assumptions!$B$36:$B$41,Assumptions!$B$36:$H$41))</f>
        <v>0</v>
      </c>
      <c r="CRM28">
        <f t="array" ref="CRM28">_xlfn.XLOOKUP(CRM$11,Assumptions!$B$35:$H$35,_xlfn.XLOOKUP($C28,Assumptions!$B$36:$B$41,Assumptions!$B$36:$H$41))</f>
        <v>0</v>
      </c>
      <c r="CRN28">
        <f t="array" ref="CRN28">_xlfn.XLOOKUP(CRN$11,Assumptions!$B$35:$H$35,_xlfn.XLOOKUP($C28,Assumptions!$B$36:$B$41,Assumptions!$B$36:$H$41))</f>
        <v>0</v>
      </c>
      <c r="CRO28">
        <f t="array" ref="CRO28">_xlfn.XLOOKUP(CRO$11,Assumptions!$B$35:$H$35,_xlfn.XLOOKUP($C28,Assumptions!$B$36:$B$41,Assumptions!$B$36:$H$41))</f>
        <v>0</v>
      </c>
      <c r="CRP28">
        <f t="array" ref="CRP28">_xlfn.XLOOKUP(CRP$11,Assumptions!$B$35:$H$35,_xlfn.XLOOKUP($C28,Assumptions!$B$36:$B$41,Assumptions!$B$36:$H$41))</f>
        <v>0</v>
      </c>
      <c r="CRQ28">
        <f t="array" ref="CRQ28">_xlfn.XLOOKUP(CRQ$11,Assumptions!$B$35:$H$35,_xlfn.XLOOKUP($C28,Assumptions!$B$36:$B$41,Assumptions!$B$36:$H$41))</f>
        <v>0</v>
      </c>
      <c r="CRR28">
        <f t="array" ref="CRR28">_xlfn.XLOOKUP(CRR$11,Assumptions!$B$35:$H$35,_xlfn.XLOOKUP($C28,Assumptions!$B$36:$B$41,Assumptions!$B$36:$H$41))</f>
        <v>0</v>
      </c>
      <c r="CRS28">
        <f t="array" ref="CRS28">_xlfn.XLOOKUP(CRS$11,Assumptions!$B$35:$H$35,_xlfn.XLOOKUP($C28,Assumptions!$B$36:$B$41,Assumptions!$B$36:$H$41))</f>
        <v>0</v>
      </c>
      <c r="CRT28">
        <f t="array" ref="CRT28">_xlfn.XLOOKUP(CRT$11,Assumptions!$B$35:$H$35,_xlfn.XLOOKUP($C28,Assumptions!$B$36:$B$41,Assumptions!$B$36:$H$41))</f>
        <v>0</v>
      </c>
      <c r="CRU28">
        <f t="array" ref="CRU28">_xlfn.XLOOKUP(CRU$11,Assumptions!$B$35:$H$35,_xlfn.XLOOKUP($C28,Assumptions!$B$36:$B$41,Assumptions!$B$36:$H$41))</f>
        <v>0</v>
      </c>
      <c r="CRV28">
        <f t="array" ref="CRV28">_xlfn.XLOOKUP(CRV$11,Assumptions!$B$35:$H$35,_xlfn.XLOOKUP($C28,Assumptions!$B$36:$B$41,Assumptions!$B$36:$H$41))</f>
        <v>0</v>
      </c>
      <c r="CRW28">
        <f t="array" ref="CRW28">_xlfn.XLOOKUP(CRW$11,Assumptions!$B$35:$H$35,_xlfn.XLOOKUP($C28,Assumptions!$B$36:$B$41,Assumptions!$B$36:$H$41))</f>
        <v>0</v>
      </c>
      <c r="CRX28">
        <f t="array" ref="CRX28">_xlfn.XLOOKUP(CRX$11,Assumptions!$B$35:$H$35,_xlfn.XLOOKUP($C28,Assumptions!$B$36:$B$41,Assumptions!$B$36:$H$41))</f>
        <v>0</v>
      </c>
      <c r="CRY28">
        <f t="array" ref="CRY28">_xlfn.XLOOKUP(CRY$11,Assumptions!$B$35:$H$35,_xlfn.XLOOKUP($C28,Assumptions!$B$36:$B$41,Assumptions!$B$36:$H$41))</f>
        <v>0</v>
      </c>
      <c r="CRZ28">
        <f t="array" ref="CRZ28">_xlfn.XLOOKUP(CRZ$11,Assumptions!$B$35:$H$35,_xlfn.XLOOKUP($C28,Assumptions!$B$36:$B$41,Assumptions!$B$36:$H$41))</f>
        <v>0</v>
      </c>
      <c r="CSA28">
        <f t="array" ref="CSA28">_xlfn.XLOOKUP(CSA$11,Assumptions!$B$35:$H$35,_xlfn.XLOOKUP($C28,Assumptions!$B$36:$B$41,Assumptions!$B$36:$H$41))</f>
        <v>0</v>
      </c>
      <c r="CSB28">
        <f t="array" ref="CSB28">_xlfn.XLOOKUP(CSB$11,Assumptions!$B$35:$H$35,_xlfn.XLOOKUP($C28,Assumptions!$B$36:$B$41,Assumptions!$B$36:$H$41))</f>
        <v>0</v>
      </c>
      <c r="CSC28">
        <f t="array" ref="CSC28">_xlfn.XLOOKUP(CSC$11,Assumptions!$B$35:$H$35,_xlfn.XLOOKUP($C28,Assumptions!$B$36:$B$41,Assumptions!$B$36:$H$41))</f>
        <v>0</v>
      </c>
      <c r="CSD28">
        <f t="array" ref="CSD28">_xlfn.XLOOKUP(CSD$11,Assumptions!$B$35:$H$35,_xlfn.XLOOKUP($C28,Assumptions!$B$36:$B$41,Assumptions!$B$36:$H$41))</f>
        <v>0</v>
      </c>
      <c r="CSE28">
        <f t="array" ref="CSE28">_xlfn.XLOOKUP(CSE$11,Assumptions!$B$35:$H$35,_xlfn.XLOOKUP($C28,Assumptions!$B$36:$B$41,Assumptions!$B$36:$H$41))</f>
        <v>0</v>
      </c>
      <c r="CSF28">
        <f t="array" ref="CSF28">_xlfn.XLOOKUP(CSF$11,Assumptions!$B$35:$H$35,_xlfn.XLOOKUP($C28,Assumptions!$B$36:$B$41,Assumptions!$B$36:$H$41))</f>
        <v>0</v>
      </c>
      <c r="CSG28">
        <f t="array" ref="CSG28">_xlfn.XLOOKUP(CSG$11,Assumptions!$B$35:$H$35,_xlfn.XLOOKUP($C28,Assumptions!$B$36:$B$41,Assumptions!$B$36:$H$41))</f>
        <v>0</v>
      </c>
      <c r="CSH28">
        <f t="array" ref="CSH28">_xlfn.XLOOKUP(CSH$11,Assumptions!$B$35:$H$35,_xlfn.XLOOKUP($C28,Assumptions!$B$36:$B$41,Assumptions!$B$36:$H$41))</f>
        <v>0</v>
      </c>
      <c r="CSI28">
        <f t="array" ref="CSI28">_xlfn.XLOOKUP(CSI$11,Assumptions!$B$35:$H$35,_xlfn.XLOOKUP($C28,Assumptions!$B$36:$B$41,Assumptions!$B$36:$H$41))</f>
        <v>0</v>
      </c>
      <c r="CSJ28">
        <f t="array" ref="CSJ28">_xlfn.XLOOKUP(CSJ$11,Assumptions!$B$35:$H$35,_xlfn.XLOOKUP($C28,Assumptions!$B$36:$B$41,Assumptions!$B$36:$H$41))</f>
        <v>0</v>
      </c>
      <c r="CSK28">
        <f t="array" ref="CSK28">_xlfn.XLOOKUP(CSK$11,Assumptions!$B$35:$H$35,_xlfn.XLOOKUP($C28,Assumptions!$B$36:$B$41,Assumptions!$B$36:$H$41))</f>
        <v>0</v>
      </c>
      <c r="CSL28">
        <f t="array" ref="CSL28">_xlfn.XLOOKUP(CSL$11,Assumptions!$B$35:$H$35,_xlfn.XLOOKUP($C28,Assumptions!$B$36:$B$41,Assumptions!$B$36:$H$41))</f>
        <v>0</v>
      </c>
      <c r="CSM28">
        <f t="array" ref="CSM28">_xlfn.XLOOKUP(CSM$11,Assumptions!$B$35:$H$35,_xlfn.XLOOKUP($C28,Assumptions!$B$36:$B$41,Assumptions!$B$36:$H$41))</f>
        <v>0</v>
      </c>
      <c r="CSN28">
        <f t="array" ref="CSN28">_xlfn.XLOOKUP(CSN$11,Assumptions!$B$35:$H$35,_xlfn.XLOOKUP($C28,Assumptions!$B$36:$B$41,Assumptions!$B$36:$H$41))</f>
        <v>0</v>
      </c>
      <c r="CSO28">
        <f t="array" ref="CSO28">_xlfn.XLOOKUP(CSO$11,Assumptions!$B$35:$H$35,_xlfn.XLOOKUP($C28,Assumptions!$B$36:$B$41,Assumptions!$B$36:$H$41))</f>
        <v>0</v>
      </c>
      <c r="CSP28">
        <f t="array" ref="CSP28">_xlfn.XLOOKUP(CSP$11,Assumptions!$B$35:$H$35,_xlfn.XLOOKUP($C28,Assumptions!$B$36:$B$41,Assumptions!$B$36:$H$41))</f>
        <v>0</v>
      </c>
      <c r="CSQ28">
        <f t="array" ref="CSQ28">_xlfn.XLOOKUP(CSQ$11,Assumptions!$B$35:$H$35,_xlfn.XLOOKUP($C28,Assumptions!$B$36:$B$41,Assumptions!$B$36:$H$41))</f>
        <v>0</v>
      </c>
      <c r="CSR28">
        <f t="array" ref="CSR28">_xlfn.XLOOKUP(CSR$11,Assumptions!$B$35:$H$35,_xlfn.XLOOKUP($C28,Assumptions!$B$36:$B$41,Assumptions!$B$36:$H$41))</f>
        <v>0</v>
      </c>
      <c r="CSS28">
        <f t="array" ref="CSS28">_xlfn.XLOOKUP(CSS$11,Assumptions!$B$35:$H$35,_xlfn.XLOOKUP($C28,Assumptions!$B$36:$B$41,Assumptions!$B$36:$H$41))</f>
        <v>0</v>
      </c>
      <c r="CST28">
        <f t="array" ref="CST28">_xlfn.XLOOKUP(CST$11,Assumptions!$B$35:$H$35,_xlfn.XLOOKUP($C28,Assumptions!$B$36:$B$41,Assumptions!$B$36:$H$41))</f>
        <v>0</v>
      </c>
      <c r="CSU28">
        <f t="array" ref="CSU28">_xlfn.XLOOKUP(CSU$11,Assumptions!$B$35:$H$35,_xlfn.XLOOKUP($C28,Assumptions!$B$36:$B$41,Assumptions!$B$36:$H$41))</f>
        <v>0</v>
      </c>
      <c r="CSV28">
        <f t="array" ref="CSV28">_xlfn.XLOOKUP(CSV$11,Assumptions!$B$35:$H$35,_xlfn.XLOOKUP($C28,Assumptions!$B$36:$B$41,Assumptions!$B$36:$H$41))</f>
        <v>0</v>
      </c>
      <c r="CSW28">
        <f t="array" ref="CSW28">_xlfn.XLOOKUP(CSW$11,Assumptions!$B$35:$H$35,_xlfn.XLOOKUP($C28,Assumptions!$B$36:$B$41,Assumptions!$B$36:$H$41))</f>
        <v>0</v>
      </c>
      <c r="CSX28">
        <f t="array" ref="CSX28">_xlfn.XLOOKUP(CSX$11,Assumptions!$B$35:$H$35,_xlfn.XLOOKUP($C28,Assumptions!$B$36:$B$41,Assumptions!$B$36:$H$41))</f>
        <v>0</v>
      </c>
      <c r="CSY28">
        <f t="array" ref="CSY28">_xlfn.XLOOKUP(CSY$11,Assumptions!$B$35:$H$35,_xlfn.XLOOKUP($C28,Assumptions!$B$36:$B$41,Assumptions!$B$36:$H$41))</f>
        <v>0</v>
      </c>
      <c r="CSZ28">
        <f t="array" ref="CSZ28">_xlfn.XLOOKUP(CSZ$11,Assumptions!$B$35:$H$35,_xlfn.XLOOKUP($C28,Assumptions!$B$36:$B$41,Assumptions!$B$36:$H$41))</f>
        <v>0</v>
      </c>
      <c r="CTA28">
        <f t="array" ref="CTA28">_xlfn.XLOOKUP(CTA$11,Assumptions!$B$35:$H$35,_xlfn.XLOOKUP($C28,Assumptions!$B$36:$B$41,Assumptions!$B$36:$H$41))</f>
        <v>0</v>
      </c>
      <c r="CTB28">
        <f t="array" ref="CTB28">_xlfn.XLOOKUP(CTB$11,Assumptions!$B$35:$H$35,_xlfn.XLOOKUP($C28,Assumptions!$B$36:$B$41,Assumptions!$B$36:$H$41))</f>
        <v>0</v>
      </c>
      <c r="CTC28">
        <f t="array" ref="CTC28">_xlfn.XLOOKUP(CTC$11,Assumptions!$B$35:$H$35,_xlfn.XLOOKUP($C28,Assumptions!$B$36:$B$41,Assumptions!$B$36:$H$41))</f>
        <v>0</v>
      </c>
      <c r="CTD28">
        <f t="array" ref="CTD28">_xlfn.XLOOKUP(CTD$11,Assumptions!$B$35:$H$35,_xlfn.XLOOKUP($C28,Assumptions!$B$36:$B$41,Assumptions!$B$36:$H$41))</f>
        <v>0</v>
      </c>
      <c r="CTE28">
        <f t="array" ref="CTE28">_xlfn.XLOOKUP(CTE$11,Assumptions!$B$35:$H$35,_xlfn.XLOOKUP($C28,Assumptions!$B$36:$B$41,Assumptions!$B$36:$H$41))</f>
        <v>0</v>
      </c>
      <c r="CTF28">
        <f t="array" ref="CTF28">_xlfn.XLOOKUP(CTF$11,Assumptions!$B$35:$H$35,_xlfn.XLOOKUP($C28,Assumptions!$B$36:$B$41,Assumptions!$B$36:$H$41))</f>
        <v>0</v>
      </c>
      <c r="CTG28">
        <f t="array" ref="CTG28">_xlfn.XLOOKUP(CTG$11,Assumptions!$B$35:$H$35,_xlfn.XLOOKUP($C28,Assumptions!$B$36:$B$41,Assumptions!$B$36:$H$41))</f>
        <v>0</v>
      </c>
      <c r="CTH28">
        <f t="array" ref="CTH28">_xlfn.XLOOKUP(CTH$11,Assumptions!$B$35:$H$35,_xlfn.XLOOKUP($C28,Assumptions!$B$36:$B$41,Assumptions!$B$36:$H$41))</f>
        <v>0</v>
      </c>
      <c r="CTI28">
        <f t="array" ref="CTI28">_xlfn.XLOOKUP(CTI$11,Assumptions!$B$35:$H$35,_xlfn.XLOOKUP($C28,Assumptions!$B$36:$B$41,Assumptions!$B$36:$H$41))</f>
        <v>0</v>
      </c>
      <c r="CTJ28">
        <f t="array" ref="CTJ28">_xlfn.XLOOKUP(CTJ$11,Assumptions!$B$35:$H$35,_xlfn.XLOOKUP($C28,Assumptions!$B$36:$B$41,Assumptions!$B$36:$H$41))</f>
        <v>0</v>
      </c>
      <c r="CTK28">
        <f t="array" ref="CTK28">_xlfn.XLOOKUP(CTK$11,Assumptions!$B$35:$H$35,_xlfn.XLOOKUP($C28,Assumptions!$B$36:$B$41,Assumptions!$B$36:$H$41))</f>
        <v>0</v>
      </c>
      <c r="CTL28">
        <f t="array" ref="CTL28">_xlfn.XLOOKUP(CTL$11,Assumptions!$B$35:$H$35,_xlfn.XLOOKUP($C28,Assumptions!$B$36:$B$41,Assumptions!$B$36:$H$41))</f>
        <v>0</v>
      </c>
      <c r="CTM28">
        <f t="array" ref="CTM28">_xlfn.XLOOKUP(CTM$11,Assumptions!$B$35:$H$35,_xlfn.XLOOKUP($C28,Assumptions!$B$36:$B$41,Assumptions!$B$36:$H$41))</f>
        <v>0</v>
      </c>
      <c r="CTN28">
        <f t="array" ref="CTN28">_xlfn.XLOOKUP(CTN$11,Assumptions!$B$35:$H$35,_xlfn.XLOOKUP($C28,Assumptions!$B$36:$B$41,Assumptions!$B$36:$H$41))</f>
        <v>0</v>
      </c>
      <c r="CTO28">
        <f t="array" ref="CTO28">_xlfn.XLOOKUP(CTO$11,Assumptions!$B$35:$H$35,_xlfn.XLOOKUP($C28,Assumptions!$B$36:$B$41,Assumptions!$B$36:$H$41))</f>
        <v>0</v>
      </c>
      <c r="CTP28">
        <f t="array" ref="CTP28">_xlfn.XLOOKUP(CTP$11,Assumptions!$B$35:$H$35,_xlfn.XLOOKUP($C28,Assumptions!$B$36:$B$41,Assumptions!$B$36:$H$41))</f>
        <v>0</v>
      </c>
      <c r="CTQ28">
        <f t="array" ref="CTQ28">_xlfn.XLOOKUP(CTQ$11,Assumptions!$B$35:$H$35,_xlfn.XLOOKUP($C28,Assumptions!$B$36:$B$41,Assumptions!$B$36:$H$41))</f>
        <v>0</v>
      </c>
      <c r="CTR28">
        <f t="array" ref="CTR28">_xlfn.XLOOKUP(CTR$11,Assumptions!$B$35:$H$35,_xlfn.XLOOKUP($C28,Assumptions!$B$36:$B$41,Assumptions!$B$36:$H$41))</f>
        <v>0</v>
      </c>
      <c r="CTS28">
        <f t="array" ref="CTS28">_xlfn.XLOOKUP(CTS$11,Assumptions!$B$35:$H$35,_xlfn.XLOOKUP($C28,Assumptions!$B$36:$B$41,Assumptions!$B$36:$H$41))</f>
        <v>0</v>
      </c>
      <c r="CTT28">
        <f t="array" ref="CTT28">_xlfn.XLOOKUP(CTT$11,Assumptions!$B$35:$H$35,_xlfn.XLOOKUP($C28,Assumptions!$B$36:$B$41,Assumptions!$B$36:$H$41))</f>
        <v>0</v>
      </c>
      <c r="CTU28">
        <f t="array" ref="CTU28">_xlfn.XLOOKUP(CTU$11,Assumptions!$B$35:$H$35,_xlfn.XLOOKUP($C28,Assumptions!$B$36:$B$41,Assumptions!$B$36:$H$41))</f>
        <v>0</v>
      </c>
      <c r="CTV28">
        <f t="array" ref="CTV28">_xlfn.XLOOKUP(CTV$11,Assumptions!$B$35:$H$35,_xlfn.XLOOKUP($C28,Assumptions!$B$36:$B$41,Assumptions!$B$36:$H$41))</f>
        <v>0</v>
      </c>
      <c r="CTW28">
        <f t="array" ref="CTW28">_xlfn.XLOOKUP(CTW$11,Assumptions!$B$35:$H$35,_xlfn.XLOOKUP($C28,Assumptions!$B$36:$B$41,Assumptions!$B$36:$H$41))</f>
        <v>0</v>
      </c>
      <c r="CTX28">
        <f t="array" ref="CTX28">_xlfn.XLOOKUP(CTX$11,Assumptions!$B$35:$H$35,_xlfn.XLOOKUP($C28,Assumptions!$B$36:$B$41,Assumptions!$B$36:$H$41))</f>
        <v>0</v>
      </c>
      <c r="CTY28">
        <f t="array" ref="CTY28">_xlfn.XLOOKUP(CTY$11,Assumptions!$B$35:$H$35,_xlfn.XLOOKUP($C28,Assumptions!$B$36:$B$41,Assumptions!$B$36:$H$41))</f>
        <v>0</v>
      </c>
      <c r="CTZ28">
        <f t="array" ref="CTZ28">_xlfn.XLOOKUP(CTZ$11,Assumptions!$B$35:$H$35,_xlfn.XLOOKUP($C28,Assumptions!$B$36:$B$41,Assumptions!$B$36:$H$41))</f>
        <v>0</v>
      </c>
      <c r="CUA28">
        <f t="array" ref="CUA28">_xlfn.XLOOKUP(CUA$11,Assumptions!$B$35:$H$35,_xlfn.XLOOKUP($C28,Assumptions!$B$36:$B$41,Assumptions!$B$36:$H$41))</f>
        <v>0</v>
      </c>
      <c r="CUB28">
        <f t="array" ref="CUB28">_xlfn.XLOOKUP(CUB$11,Assumptions!$B$35:$H$35,_xlfn.XLOOKUP($C28,Assumptions!$B$36:$B$41,Assumptions!$B$36:$H$41))</f>
        <v>0</v>
      </c>
      <c r="CUC28">
        <f t="array" ref="CUC28">_xlfn.XLOOKUP(CUC$11,Assumptions!$B$35:$H$35,_xlfn.XLOOKUP($C28,Assumptions!$B$36:$B$41,Assumptions!$B$36:$H$41))</f>
        <v>0</v>
      </c>
      <c r="CUD28">
        <f t="array" ref="CUD28">_xlfn.XLOOKUP(CUD$11,Assumptions!$B$35:$H$35,_xlfn.XLOOKUP($C28,Assumptions!$B$36:$B$41,Assumptions!$B$36:$H$41))</f>
        <v>0</v>
      </c>
      <c r="CUE28">
        <f t="array" ref="CUE28">_xlfn.XLOOKUP(CUE$11,Assumptions!$B$35:$H$35,_xlfn.XLOOKUP($C28,Assumptions!$B$36:$B$41,Assumptions!$B$36:$H$41))</f>
        <v>0</v>
      </c>
      <c r="CUF28">
        <f t="array" ref="CUF28">_xlfn.XLOOKUP(CUF$11,Assumptions!$B$35:$H$35,_xlfn.XLOOKUP($C28,Assumptions!$B$36:$B$41,Assumptions!$B$36:$H$41))</f>
        <v>0</v>
      </c>
      <c r="CUG28">
        <f t="array" ref="CUG28">_xlfn.XLOOKUP(CUG$11,Assumptions!$B$35:$H$35,_xlfn.XLOOKUP($C28,Assumptions!$B$36:$B$41,Assumptions!$B$36:$H$41))</f>
        <v>0</v>
      </c>
      <c r="CUH28">
        <f t="array" ref="CUH28">_xlfn.XLOOKUP(CUH$11,Assumptions!$B$35:$H$35,_xlfn.XLOOKUP($C28,Assumptions!$B$36:$B$41,Assumptions!$B$36:$H$41))</f>
        <v>0</v>
      </c>
      <c r="CUI28">
        <f t="array" ref="CUI28">_xlfn.XLOOKUP(CUI$11,Assumptions!$B$35:$H$35,_xlfn.XLOOKUP($C28,Assumptions!$B$36:$B$41,Assumptions!$B$36:$H$41))</f>
        <v>0</v>
      </c>
      <c r="CUJ28">
        <f t="array" ref="CUJ28">_xlfn.XLOOKUP(CUJ$11,Assumptions!$B$35:$H$35,_xlfn.XLOOKUP($C28,Assumptions!$B$36:$B$41,Assumptions!$B$36:$H$41))</f>
        <v>0</v>
      </c>
      <c r="CUK28">
        <f t="array" ref="CUK28">_xlfn.XLOOKUP(CUK$11,Assumptions!$B$35:$H$35,_xlfn.XLOOKUP($C28,Assumptions!$B$36:$B$41,Assumptions!$B$36:$H$41))</f>
        <v>0</v>
      </c>
      <c r="CUL28">
        <f t="array" ref="CUL28">_xlfn.XLOOKUP(CUL$11,Assumptions!$B$35:$H$35,_xlfn.XLOOKUP($C28,Assumptions!$B$36:$B$41,Assumptions!$B$36:$H$41))</f>
        <v>0</v>
      </c>
      <c r="CUM28">
        <f t="array" ref="CUM28">_xlfn.XLOOKUP(CUM$11,Assumptions!$B$35:$H$35,_xlfn.XLOOKUP($C28,Assumptions!$B$36:$B$41,Assumptions!$B$36:$H$41))</f>
        <v>0</v>
      </c>
      <c r="CUN28">
        <f t="array" ref="CUN28">_xlfn.XLOOKUP(CUN$11,Assumptions!$B$35:$H$35,_xlfn.XLOOKUP($C28,Assumptions!$B$36:$B$41,Assumptions!$B$36:$H$41))</f>
        <v>0</v>
      </c>
      <c r="CUO28">
        <f t="array" ref="CUO28">_xlfn.XLOOKUP(CUO$11,Assumptions!$B$35:$H$35,_xlfn.XLOOKUP($C28,Assumptions!$B$36:$B$41,Assumptions!$B$36:$H$41))</f>
        <v>0</v>
      </c>
      <c r="CUP28">
        <f t="array" ref="CUP28">_xlfn.XLOOKUP(CUP$11,Assumptions!$B$35:$H$35,_xlfn.XLOOKUP($C28,Assumptions!$B$36:$B$41,Assumptions!$B$36:$H$41))</f>
        <v>0</v>
      </c>
      <c r="CUQ28">
        <f t="array" ref="CUQ28">_xlfn.XLOOKUP(CUQ$11,Assumptions!$B$35:$H$35,_xlfn.XLOOKUP($C28,Assumptions!$B$36:$B$41,Assumptions!$B$36:$H$41))</f>
        <v>0</v>
      </c>
      <c r="CUR28">
        <f t="array" ref="CUR28">_xlfn.XLOOKUP(CUR$11,Assumptions!$B$35:$H$35,_xlfn.XLOOKUP($C28,Assumptions!$B$36:$B$41,Assumptions!$B$36:$H$41))</f>
        <v>0</v>
      </c>
      <c r="CUS28">
        <f t="array" ref="CUS28">_xlfn.XLOOKUP(CUS$11,Assumptions!$B$35:$H$35,_xlfn.XLOOKUP($C28,Assumptions!$B$36:$B$41,Assumptions!$B$36:$H$41))</f>
        <v>0</v>
      </c>
      <c r="CUT28">
        <f t="array" ref="CUT28">_xlfn.XLOOKUP(CUT$11,Assumptions!$B$35:$H$35,_xlfn.XLOOKUP($C28,Assumptions!$B$36:$B$41,Assumptions!$B$36:$H$41))</f>
        <v>0</v>
      </c>
      <c r="CUU28">
        <f t="array" ref="CUU28">_xlfn.XLOOKUP(CUU$11,Assumptions!$B$35:$H$35,_xlfn.XLOOKUP($C28,Assumptions!$B$36:$B$41,Assumptions!$B$36:$H$41))</f>
        <v>0</v>
      </c>
      <c r="CUV28">
        <f t="array" ref="CUV28">_xlfn.XLOOKUP(CUV$11,Assumptions!$B$35:$H$35,_xlfn.XLOOKUP($C28,Assumptions!$B$36:$B$41,Assumptions!$B$36:$H$41))</f>
        <v>0</v>
      </c>
      <c r="CUW28">
        <f t="array" ref="CUW28">_xlfn.XLOOKUP(CUW$11,Assumptions!$B$35:$H$35,_xlfn.XLOOKUP($C28,Assumptions!$B$36:$B$41,Assumptions!$B$36:$H$41))</f>
        <v>0</v>
      </c>
      <c r="CUX28">
        <f t="array" ref="CUX28">_xlfn.XLOOKUP(CUX$11,Assumptions!$B$35:$H$35,_xlfn.XLOOKUP($C28,Assumptions!$B$36:$B$41,Assumptions!$B$36:$H$41))</f>
        <v>0</v>
      </c>
      <c r="CUY28">
        <f t="array" ref="CUY28">_xlfn.XLOOKUP(CUY$11,Assumptions!$B$35:$H$35,_xlfn.XLOOKUP($C28,Assumptions!$B$36:$B$41,Assumptions!$B$36:$H$41))</f>
        <v>0</v>
      </c>
      <c r="CUZ28">
        <f t="array" ref="CUZ28">_xlfn.XLOOKUP(CUZ$11,Assumptions!$B$35:$H$35,_xlfn.XLOOKUP($C28,Assumptions!$B$36:$B$41,Assumptions!$B$36:$H$41))</f>
        <v>0</v>
      </c>
      <c r="CVA28">
        <f t="array" ref="CVA28">_xlfn.XLOOKUP(CVA$11,Assumptions!$B$35:$H$35,_xlfn.XLOOKUP($C28,Assumptions!$B$36:$B$41,Assumptions!$B$36:$H$41))</f>
        <v>0</v>
      </c>
      <c r="CVB28">
        <f t="array" ref="CVB28">_xlfn.XLOOKUP(CVB$11,Assumptions!$B$35:$H$35,_xlfn.XLOOKUP($C28,Assumptions!$B$36:$B$41,Assumptions!$B$36:$H$41))</f>
        <v>0</v>
      </c>
      <c r="CVC28">
        <f t="array" ref="CVC28">_xlfn.XLOOKUP(CVC$11,Assumptions!$B$35:$H$35,_xlfn.XLOOKUP($C28,Assumptions!$B$36:$B$41,Assumptions!$B$36:$H$41))</f>
        <v>0</v>
      </c>
      <c r="CVD28">
        <f t="array" ref="CVD28">_xlfn.XLOOKUP(CVD$11,Assumptions!$B$35:$H$35,_xlfn.XLOOKUP($C28,Assumptions!$B$36:$B$41,Assumptions!$B$36:$H$41))</f>
        <v>0</v>
      </c>
      <c r="CVE28">
        <f t="array" ref="CVE28">_xlfn.XLOOKUP(CVE$11,Assumptions!$B$35:$H$35,_xlfn.XLOOKUP($C28,Assumptions!$B$36:$B$41,Assumptions!$B$36:$H$41))</f>
        <v>0</v>
      </c>
      <c r="CVF28">
        <f t="array" ref="CVF28">_xlfn.XLOOKUP(CVF$11,Assumptions!$B$35:$H$35,_xlfn.XLOOKUP($C28,Assumptions!$B$36:$B$41,Assumptions!$B$36:$H$41))</f>
        <v>0</v>
      </c>
      <c r="CVG28">
        <f t="array" ref="CVG28">_xlfn.XLOOKUP(CVG$11,Assumptions!$B$35:$H$35,_xlfn.XLOOKUP($C28,Assumptions!$B$36:$B$41,Assumptions!$B$36:$H$41))</f>
        <v>0</v>
      </c>
      <c r="CVH28">
        <f t="array" ref="CVH28">_xlfn.XLOOKUP(CVH$11,Assumptions!$B$35:$H$35,_xlfn.XLOOKUP($C28,Assumptions!$B$36:$B$41,Assumptions!$B$36:$H$41))</f>
        <v>0</v>
      </c>
      <c r="CVI28">
        <f t="array" ref="CVI28">_xlfn.XLOOKUP(CVI$11,Assumptions!$B$35:$H$35,_xlfn.XLOOKUP($C28,Assumptions!$B$36:$B$41,Assumptions!$B$36:$H$41))</f>
        <v>0</v>
      </c>
      <c r="CVJ28">
        <f t="array" ref="CVJ28">_xlfn.XLOOKUP(CVJ$11,Assumptions!$B$35:$H$35,_xlfn.XLOOKUP($C28,Assumptions!$B$36:$B$41,Assumptions!$B$36:$H$41))</f>
        <v>0</v>
      </c>
      <c r="CVK28">
        <f t="array" ref="CVK28">_xlfn.XLOOKUP(CVK$11,Assumptions!$B$35:$H$35,_xlfn.XLOOKUP($C28,Assumptions!$B$36:$B$41,Assumptions!$B$36:$H$41))</f>
        <v>0</v>
      </c>
      <c r="CVL28">
        <f t="array" ref="CVL28">_xlfn.XLOOKUP(CVL$11,Assumptions!$B$35:$H$35,_xlfn.XLOOKUP($C28,Assumptions!$B$36:$B$41,Assumptions!$B$36:$H$41))</f>
        <v>0</v>
      </c>
      <c r="CVM28">
        <f t="array" ref="CVM28">_xlfn.XLOOKUP(CVM$11,Assumptions!$B$35:$H$35,_xlfn.XLOOKUP($C28,Assumptions!$B$36:$B$41,Assumptions!$B$36:$H$41))</f>
        <v>0</v>
      </c>
      <c r="CVN28">
        <f t="array" ref="CVN28">_xlfn.XLOOKUP(CVN$11,Assumptions!$B$35:$H$35,_xlfn.XLOOKUP($C28,Assumptions!$B$36:$B$41,Assumptions!$B$36:$H$41))</f>
        <v>0</v>
      </c>
      <c r="CVO28">
        <f t="array" ref="CVO28">_xlfn.XLOOKUP(CVO$11,Assumptions!$B$35:$H$35,_xlfn.XLOOKUP($C28,Assumptions!$B$36:$B$41,Assumptions!$B$36:$H$41))</f>
        <v>0</v>
      </c>
      <c r="CVP28">
        <f t="array" ref="CVP28">_xlfn.XLOOKUP(CVP$11,Assumptions!$B$35:$H$35,_xlfn.XLOOKUP($C28,Assumptions!$B$36:$B$41,Assumptions!$B$36:$H$41))</f>
        <v>0</v>
      </c>
      <c r="CVQ28">
        <f t="array" ref="CVQ28">_xlfn.XLOOKUP(CVQ$11,Assumptions!$B$35:$H$35,_xlfn.XLOOKUP($C28,Assumptions!$B$36:$B$41,Assumptions!$B$36:$H$41))</f>
        <v>0</v>
      </c>
      <c r="CVR28">
        <f t="array" ref="CVR28">_xlfn.XLOOKUP(CVR$11,Assumptions!$B$35:$H$35,_xlfn.XLOOKUP($C28,Assumptions!$B$36:$B$41,Assumptions!$B$36:$H$41))</f>
        <v>0</v>
      </c>
      <c r="CVS28">
        <f t="array" ref="CVS28">_xlfn.XLOOKUP(CVS$11,Assumptions!$B$35:$H$35,_xlfn.XLOOKUP($C28,Assumptions!$B$36:$B$41,Assumptions!$B$36:$H$41))</f>
        <v>0</v>
      </c>
      <c r="CVT28">
        <f t="array" ref="CVT28">_xlfn.XLOOKUP(CVT$11,Assumptions!$B$35:$H$35,_xlfn.XLOOKUP($C28,Assumptions!$B$36:$B$41,Assumptions!$B$36:$H$41))</f>
        <v>0</v>
      </c>
      <c r="CVU28">
        <f t="array" ref="CVU28">_xlfn.XLOOKUP(CVU$11,Assumptions!$B$35:$H$35,_xlfn.XLOOKUP($C28,Assumptions!$B$36:$B$41,Assumptions!$B$36:$H$41))</f>
        <v>0</v>
      </c>
      <c r="CVV28">
        <f t="array" ref="CVV28">_xlfn.XLOOKUP(CVV$11,Assumptions!$B$35:$H$35,_xlfn.XLOOKUP($C28,Assumptions!$B$36:$B$41,Assumptions!$B$36:$H$41))</f>
        <v>0</v>
      </c>
      <c r="CVW28">
        <f t="array" ref="CVW28">_xlfn.XLOOKUP(CVW$11,Assumptions!$B$35:$H$35,_xlfn.XLOOKUP($C28,Assumptions!$B$36:$B$41,Assumptions!$B$36:$H$41))</f>
        <v>0</v>
      </c>
      <c r="CVX28">
        <f t="array" ref="CVX28">_xlfn.XLOOKUP(CVX$11,Assumptions!$B$35:$H$35,_xlfn.XLOOKUP($C28,Assumptions!$B$36:$B$41,Assumptions!$B$36:$H$41))</f>
        <v>0</v>
      </c>
      <c r="CVY28">
        <f t="array" ref="CVY28">_xlfn.XLOOKUP(CVY$11,Assumptions!$B$35:$H$35,_xlfn.XLOOKUP($C28,Assumptions!$B$36:$B$41,Assumptions!$B$36:$H$41))</f>
        <v>0</v>
      </c>
      <c r="CVZ28">
        <f t="array" ref="CVZ28">_xlfn.XLOOKUP(CVZ$11,Assumptions!$B$35:$H$35,_xlfn.XLOOKUP($C28,Assumptions!$B$36:$B$41,Assumptions!$B$36:$H$41))</f>
        <v>0</v>
      </c>
      <c r="CWA28">
        <f t="array" ref="CWA28">_xlfn.XLOOKUP(CWA$11,Assumptions!$B$35:$H$35,_xlfn.XLOOKUP($C28,Assumptions!$B$36:$B$41,Assumptions!$B$36:$H$41))</f>
        <v>0</v>
      </c>
      <c r="CWB28">
        <f t="array" ref="CWB28">_xlfn.XLOOKUP(CWB$11,Assumptions!$B$35:$H$35,_xlfn.XLOOKUP($C28,Assumptions!$B$36:$B$41,Assumptions!$B$36:$H$41))</f>
        <v>0</v>
      </c>
      <c r="CWC28">
        <f t="array" ref="CWC28">_xlfn.XLOOKUP(CWC$11,Assumptions!$B$35:$H$35,_xlfn.XLOOKUP($C28,Assumptions!$B$36:$B$41,Assumptions!$B$36:$H$41))</f>
        <v>0</v>
      </c>
      <c r="CWD28">
        <f t="array" ref="CWD28">_xlfn.XLOOKUP(CWD$11,Assumptions!$B$35:$H$35,_xlfn.XLOOKUP($C28,Assumptions!$B$36:$B$41,Assumptions!$B$36:$H$41))</f>
        <v>0</v>
      </c>
      <c r="CWE28">
        <f t="array" ref="CWE28">_xlfn.XLOOKUP(CWE$11,Assumptions!$B$35:$H$35,_xlfn.XLOOKUP($C28,Assumptions!$B$36:$B$41,Assumptions!$B$36:$H$41))</f>
        <v>0</v>
      </c>
      <c r="CWF28">
        <f t="array" ref="CWF28">_xlfn.XLOOKUP(CWF$11,Assumptions!$B$35:$H$35,_xlfn.XLOOKUP($C28,Assumptions!$B$36:$B$41,Assumptions!$B$36:$H$41))</f>
        <v>0</v>
      </c>
      <c r="CWG28">
        <f t="array" ref="CWG28">_xlfn.XLOOKUP(CWG$11,Assumptions!$B$35:$H$35,_xlfn.XLOOKUP($C28,Assumptions!$B$36:$B$41,Assumptions!$B$36:$H$41))</f>
        <v>0</v>
      </c>
      <c r="CWH28">
        <f t="array" ref="CWH28">_xlfn.XLOOKUP(CWH$11,Assumptions!$B$35:$H$35,_xlfn.XLOOKUP($C28,Assumptions!$B$36:$B$41,Assumptions!$B$36:$H$41))</f>
        <v>0</v>
      </c>
      <c r="CWI28">
        <f t="array" ref="CWI28">_xlfn.XLOOKUP(CWI$11,Assumptions!$B$35:$H$35,_xlfn.XLOOKUP($C28,Assumptions!$B$36:$B$41,Assumptions!$B$36:$H$41))</f>
        <v>0</v>
      </c>
      <c r="CWJ28">
        <f t="array" ref="CWJ28">_xlfn.XLOOKUP(CWJ$11,Assumptions!$B$35:$H$35,_xlfn.XLOOKUP($C28,Assumptions!$B$36:$B$41,Assumptions!$B$36:$H$41))</f>
        <v>0</v>
      </c>
      <c r="CWK28">
        <f t="array" ref="CWK28">_xlfn.XLOOKUP(CWK$11,Assumptions!$B$35:$H$35,_xlfn.XLOOKUP($C28,Assumptions!$B$36:$B$41,Assumptions!$B$36:$H$41))</f>
        <v>0</v>
      </c>
      <c r="CWL28">
        <f t="array" ref="CWL28">_xlfn.XLOOKUP(CWL$11,Assumptions!$B$35:$H$35,_xlfn.XLOOKUP($C28,Assumptions!$B$36:$B$41,Assumptions!$B$36:$H$41))</f>
        <v>0</v>
      </c>
      <c r="CWM28">
        <f t="array" ref="CWM28">_xlfn.XLOOKUP(CWM$11,Assumptions!$B$35:$H$35,_xlfn.XLOOKUP($C28,Assumptions!$B$36:$B$41,Assumptions!$B$36:$H$41))</f>
        <v>0</v>
      </c>
      <c r="CWN28">
        <f t="array" ref="CWN28">_xlfn.XLOOKUP(CWN$11,Assumptions!$B$35:$H$35,_xlfn.XLOOKUP($C28,Assumptions!$B$36:$B$41,Assumptions!$B$36:$H$41))</f>
        <v>0</v>
      </c>
      <c r="CWO28">
        <f t="array" ref="CWO28">_xlfn.XLOOKUP(CWO$11,Assumptions!$B$35:$H$35,_xlfn.XLOOKUP($C28,Assumptions!$B$36:$B$41,Assumptions!$B$36:$H$41))</f>
        <v>0</v>
      </c>
      <c r="CWP28">
        <f t="array" ref="CWP28">_xlfn.XLOOKUP(CWP$11,Assumptions!$B$35:$H$35,_xlfn.XLOOKUP($C28,Assumptions!$B$36:$B$41,Assumptions!$B$36:$H$41))</f>
        <v>0</v>
      </c>
      <c r="CWQ28">
        <f t="array" ref="CWQ28">_xlfn.XLOOKUP(CWQ$11,Assumptions!$B$35:$H$35,_xlfn.XLOOKUP($C28,Assumptions!$B$36:$B$41,Assumptions!$B$36:$H$41))</f>
        <v>0</v>
      </c>
      <c r="CWR28">
        <f t="array" ref="CWR28">_xlfn.XLOOKUP(CWR$11,Assumptions!$B$35:$H$35,_xlfn.XLOOKUP($C28,Assumptions!$B$36:$B$41,Assumptions!$B$36:$H$41))</f>
        <v>0</v>
      </c>
      <c r="CWS28">
        <f t="array" ref="CWS28">_xlfn.XLOOKUP(CWS$11,Assumptions!$B$35:$H$35,_xlfn.XLOOKUP($C28,Assumptions!$B$36:$B$41,Assumptions!$B$36:$H$41))</f>
        <v>0</v>
      </c>
      <c r="CWT28">
        <f t="array" ref="CWT28">_xlfn.XLOOKUP(CWT$11,Assumptions!$B$35:$H$35,_xlfn.XLOOKUP($C28,Assumptions!$B$36:$B$41,Assumptions!$B$36:$H$41))</f>
        <v>0</v>
      </c>
      <c r="CWU28">
        <f t="array" ref="CWU28">_xlfn.XLOOKUP(CWU$11,Assumptions!$B$35:$H$35,_xlfn.XLOOKUP($C28,Assumptions!$B$36:$B$41,Assumptions!$B$36:$H$41))</f>
        <v>0</v>
      </c>
      <c r="CWV28">
        <f t="array" ref="CWV28">_xlfn.XLOOKUP(CWV$11,Assumptions!$B$35:$H$35,_xlfn.XLOOKUP($C28,Assumptions!$B$36:$B$41,Assumptions!$B$36:$H$41))</f>
        <v>0</v>
      </c>
      <c r="CWW28">
        <f t="array" ref="CWW28">_xlfn.XLOOKUP(CWW$11,Assumptions!$B$35:$H$35,_xlfn.XLOOKUP($C28,Assumptions!$B$36:$B$41,Assumptions!$B$36:$H$41))</f>
        <v>0</v>
      </c>
      <c r="CWX28">
        <f t="array" ref="CWX28">_xlfn.XLOOKUP(CWX$11,Assumptions!$B$35:$H$35,_xlfn.XLOOKUP($C28,Assumptions!$B$36:$B$41,Assumptions!$B$36:$H$41))</f>
        <v>0</v>
      </c>
      <c r="CWY28">
        <f t="array" ref="CWY28">_xlfn.XLOOKUP(CWY$11,Assumptions!$B$35:$H$35,_xlfn.XLOOKUP($C28,Assumptions!$B$36:$B$41,Assumptions!$B$36:$H$41))</f>
        <v>0</v>
      </c>
      <c r="CWZ28">
        <f t="array" ref="CWZ28">_xlfn.XLOOKUP(CWZ$11,Assumptions!$B$35:$H$35,_xlfn.XLOOKUP($C28,Assumptions!$B$36:$B$41,Assumptions!$B$36:$H$41))</f>
        <v>0</v>
      </c>
      <c r="CXA28">
        <f t="array" ref="CXA28">_xlfn.XLOOKUP(CXA$11,Assumptions!$B$35:$H$35,_xlfn.XLOOKUP($C28,Assumptions!$B$36:$B$41,Assumptions!$B$36:$H$41))</f>
        <v>0</v>
      </c>
      <c r="CXB28">
        <f t="array" ref="CXB28">_xlfn.XLOOKUP(CXB$11,Assumptions!$B$35:$H$35,_xlfn.XLOOKUP($C28,Assumptions!$B$36:$B$41,Assumptions!$B$36:$H$41))</f>
        <v>0</v>
      </c>
      <c r="CXC28">
        <f t="array" ref="CXC28">_xlfn.XLOOKUP(CXC$11,Assumptions!$B$35:$H$35,_xlfn.XLOOKUP($C28,Assumptions!$B$36:$B$41,Assumptions!$B$36:$H$41))</f>
        <v>0</v>
      </c>
      <c r="CXD28">
        <f t="array" ref="CXD28">_xlfn.XLOOKUP(CXD$11,Assumptions!$B$35:$H$35,_xlfn.XLOOKUP($C28,Assumptions!$B$36:$B$41,Assumptions!$B$36:$H$41))</f>
        <v>0</v>
      </c>
      <c r="CXE28">
        <f t="array" ref="CXE28">_xlfn.XLOOKUP(CXE$11,Assumptions!$B$35:$H$35,_xlfn.XLOOKUP($C28,Assumptions!$B$36:$B$41,Assumptions!$B$36:$H$41))</f>
        <v>0</v>
      </c>
      <c r="CXF28">
        <f t="array" ref="CXF28">_xlfn.XLOOKUP(CXF$11,Assumptions!$B$35:$H$35,_xlfn.XLOOKUP($C28,Assumptions!$B$36:$B$41,Assumptions!$B$36:$H$41))</f>
        <v>0</v>
      </c>
      <c r="CXG28">
        <f t="array" ref="CXG28">_xlfn.XLOOKUP(CXG$11,Assumptions!$B$35:$H$35,_xlfn.XLOOKUP($C28,Assumptions!$B$36:$B$41,Assumptions!$B$36:$H$41))</f>
        <v>0</v>
      </c>
      <c r="CXH28">
        <f t="array" ref="CXH28">_xlfn.XLOOKUP(CXH$11,Assumptions!$B$35:$H$35,_xlfn.XLOOKUP($C28,Assumptions!$B$36:$B$41,Assumptions!$B$36:$H$41))</f>
        <v>0</v>
      </c>
      <c r="CXI28">
        <f t="array" ref="CXI28">_xlfn.XLOOKUP(CXI$11,Assumptions!$B$35:$H$35,_xlfn.XLOOKUP($C28,Assumptions!$B$36:$B$41,Assumptions!$B$36:$H$41))</f>
        <v>0</v>
      </c>
      <c r="CXJ28">
        <f t="array" ref="CXJ28">_xlfn.XLOOKUP(CXJ$11,Assumptions!$B$35:$H$35,_xlfn.XLOOKUP($C28,Assumptions!$B$36:$B$41,Assumptions!$B$36:$H$41))</f>
        <v>0</v>
      </c>
      <c r="CXK28">
        <f t="array" ref="CXK28">_xlfn.XLOOKUP(CXK$11,Assumptions!$B$35:$H$35,_xlfn.XLOOKUP($C28,Assumptions!$B$36:$B$41,Assumptions!$B$36:$H$41))</f>
        <v>0</v>
      </c>
      <c r="CXL28">
        <f t="array" ref="CXL28">_xlfn.XLOOKUP(CXL$11,Assumptions!$B$35:$H$35,_xlfn.XLOOKUP($C28,Assumptions!$B$36:$B$41,Assumptions!$B$36:$H$41))</f>
        <v>0</v>
      </c>
      <c r="CXM28">
        <f t="array" ref="CXM28">_xlfn.XLOOKUP(CXM$11,Assumptions!$B$35:$H$35,_xlfn.XLOOKUP($C28,Assumptions!$B$36:$B$41,Assumptions!$B$36:$H$41))</f>
        <v>0</v>
      </c>
      <c r="CXN28">
        <f t="array" ref="CXN28">_xlfn.XLOOKUP(CXN$11,Assumptions!$B$35:$H$35,_xlfn.XLOOKUP($C28,Assumptions!$B$36:$B$41,Assumptions!$B$36:$H$41))</f>
        <v>0</v>
      </c>
      <c r="CXO28">
        <f t="array" ref="CXO28">_xlfn.XLOOKUP(CXO$11,Assumptions!$B$35:$H$35,_xlfn.XLOOKUP($C28,Assumptions!$B$36:$B$41,Assumptions!$B$36:$H$41))</f>
        <v>0</v>
      </c>
      <c r="CXP28">
        <f t="array" ref="CXP28">_xlfn.XLOOKUP(CXP$11,Assumptions!$B$35:$H$35,_xlfn.XLOOKUP($C28,Assumptions!$B$36:$B$41,Assumptions!$B$36:$H$41))</f>
        <v>0</v>
      </c>
      <c r="CXQ28">
        <f t="array" ref="CXQ28">_xlfn.XLOOKUP(CXQ$11,Assumptions!$B$35:$H$35,_xlfn.XLOOKUP($C28,Assumptions!$B$36:$B$41,Assumptions!$B$36:$H$41))</f>
        <v>0</v>
      </c>
      <c r="CXR28">
        <f t="array" ref="CXR28">_xlfn.XLOOKUP(CXR$11,Assumptions!$B$35:$H$35,_xlfn.XLOOKUP($C28,Assumptions!$B$36:$B$41,Assumptions!$B$36:$H$41))</f>
        <v>0</v>
      </c>
      <c r="CXS28">
        <f t="array" ref="CXS28">_xlfn.XLOOKUP(CXS$11,Assumptions!$B$35:$H$35,_xlfn.XLOOKUP($C28,Assumptions!$B$36:$B$41,Assumptions!$B$36:$H$41))</f>
        <v>0</v>
      </c>
      <c r="CXT28">
        <f t="array" ref="CXT28">_xlfn.XLOOKUP(CXT$11,Assumptions!$B$35:$H$35,_xlfn.XLOOKUP($C28,Assumptions!$B$36:$B$41,Assumptions!$B$36:$H$41))</f>
        <v>0</v>
      </c>
      <c r="CXU28">
        <f t="array" ref="CXU28">_xlfn.XLOOKUP(CXU$11,Assumptions!$B$35:$H$35,_xlfn.XLOOKUP($C28,Assumptions!$B$36:$B$41,Assumptions!$B$36:$H$41))</f>
        <v>0</v>
      </c>
      <c r="CXV28">
        <f t="array" ref="CXV28">_xlfn.XLOOKUP(CXV$11,Assumptions!$B$35:$H$35,_xlfn.XLOOKUP($C28,Assumptions!$B$36:$B$41,Assumptions!$B$36:$H$41))</f>
        <v>0</v>
      </c>
      <c r="CXW28">
        <f t="array" ref="CXW28">_xlfn.XLOOKUP(CXW$11,Assumptions!$B$35:$H$35,_xlfn.XLOOKUP($C28,Assumptions!$B$36:$B$41,Assumptions!$B$36:$H$41))</f>
        <v>0</v>
      </c>
      <c r="CXX28">
        <f t="array" ref="CXX28">_xlfn.XLOOKUP(CXX$11,Assumptions!$B$35:$H$35,_xlfn.XLOOKUP($C28,Assumptions!$B$36:$B$41,Assumptions!$B$36:$H$41))</f>
        <v>0</v>
      </c>
      <c r="CXY28">
        <f t="array" ref="CXY28">_xlfn.XLOOKUP(CXY$11,Assumptions!$B$35:$H$35,_xlfn.XLOOKUP($C28,Assumptions!$B$36:$B$41,Assumptions!$B$36:$H$41))</f>
        <v>0</v>
      </c>
      <c r="CXZ28">
        <f t="array" ref="CXZ28">_xlfn.XLOOKUP(CXZ$11,Assumptions!$B$35:$H$35,_xlfn.XLOOKUP($C28,Assumptions!$B$36:$B$41,Assumptions!$B$36:$H$41))</f>
        <v>0</v>
      </c>
      <c r="CYA28">
        <f t="array" ref="CYA28">_xlfn.XLOOKUP(CYA$11,Assumptions!$B$35:$H$35,_xlfn.XLOOKUP($C28,Assumptions!$B$36:$B$41,Assumptions!$B$36:$H$41))</f>
        <v>0</v>
      </c>
      <c r="CYB28">
        <f t="array" ref="CYB28">_xlfn.XLOOKUP(CYB$11,Assumptions!$B$35:$H$35,_xlfn.XLOOKUP($C28,Assumptions!$B$36:$B$41,Assumptions!$B$36:$H$41))</f>
        <v>0</v>
      </c>
      <c r="CYC28">
        <f t="array" ref="CYC28">_xlfn.XLOOKUP(CYC$11,Assumptions!$B$35:$H$35,_xlfn.XLOOKUP($C28,Assumptions!$B$36:$B$41,Assumptions!$B$36:$H$41))</f>
        <v>0</v>
      </c>
      <c r="CYD28">
        <f t="array" ref="CYD28">_xlfn.XLOOKUP(CYD$11,Assumptions!$B$35:$H$35,_xlfn.XLOOKUP($C28,Assumptions!$B$36:$B$41,Assumptions!$B$36:$H$41))</f>
        <v>0</v>
      </c>
      <c r="CYE28">
        <f t="array" ref="CYE28">_xlfn.XLOOKUP(CYE$11,Assumptions!$B$35:$H$35,_xlfn.XLOOKUP($C28,Assumptions!$B$36:$B$41,Assumptions!$B$36:$H$41))</f>
        <v>0</v>
      </c>
      <c r="CYF28">
        <f t="array" ref="CYF28">_xlfn.XLOOKUP(CYF$11,Assumptions!$B$35:$H$35,_xlfn.XLOOKUP($C28,Assumptions!$B$36:$B$41,Assumptions!$B$36:$H$41))</f>
        <v>0</v>
      </c>
      <c r="CYG28">
        <f t="array" ref="CYG28">_xlfn.XLOOKUP(CYG$11,Assumptions!$B$35:$H$35,_xlfn.XLOOKUP($C28,Assumptions!$B$36:$B$41,Assumptions!$B$36:$H$41))</f>
        <v>0</v>
      </c>
      <c r="CYH28">
        <f t="array" ref="CYH28">_xlfn.XLOOKUP(CYH$11,Assumptions!$B$35:$H$35,_xlfn.XLOOKUP($C28,Assumptions!$B$36:$B$41,Assumptions!$B$36:$H$41))</f>
        <v>0</v>
      </c>
      <c r="CYI28">
        <f t="array" ref="CYI28">_xlfn.XLOOKUP(CYI$11,Assumptions!$B$35:$H$35,_xlfn.XLOOKUP($C28,Assumptions!$B$36:$B$41,Assumptions!$B$36:$H$41))</f>
        <v>0</v>
      </c>
      <c r="CYJ28">
        <f t="array" ref="CYJ28">_xlfn.XLOOKUP(CYJ$11,Assumptions!$B$35:$H$35,_xlfn.XLOOKUP($C28,Assumptions!$B$36:$B$41,Assumptions!$B$36:$H$41))</f>
        <v>0</v>
      </c>
      <c r="CYK28">
        <f t="array" ref="CYK28">_xlfn.XLOOKUP(CYK$11,Assumptions!$B$35:$H$35,_xlfn.XLOOKUP($C28,Assumptions!$B$36:$B$41,Assumptions!$B$36:$H$41))</f>
        <v>0</v>
      </c>
      <c r="CYL28">
        <f t="array" ref="CYL28">_xlfn.XLOOKUP(CYL$11,Assumptions!$B$35:$H$35,_xlfn.XLOOKUP($C28,Assumptions!$B$36:$B$41,Assumptions!$B$36:$H$41))</f>
        <v>0</v>
      </c>
      <c r="CYM28">
        <f t="array" ref="CYM28">_xlfn.XLOOKUP(CYM$11,Assumptions!$B$35:$H$35,_xlfn.XLOOKUP($C28,Assumptions!$B$36:$B$41,Assumptions!$B$36:$H$41))</f>
        <v>0</v>
      </c>
      <c r="CYN28">
        <f t="array" ref="CYN28">_xlfn.XLOOKUP(CYN$11,Assumptions!$B$35:$H$35,_xlfn.XLOOKUP($C28,Assumptions!$B$36:$B$41,Assumptions!$B$36:$H$41))</f>
        <v>0</v>
      </c>
      <c r="CYO28">
        <f t="array" ref="CYO28">_xlfn.XLOOKUP(CYO$11,Assumptions!$B$35:$H$35,_xlfn.XLOOKUP($C28,Assumptions!$B$36:$B$41,Assumptions!$B$36:$H$41))</f>
        <v>0</v>
      </c>
      <c r="CYP28">
        <f t="array" ref="CYP28">_xlfn.XLOOKUP(CYP$11,Assumptions!$B$35:$H$35,_xlfn.XLOOKUP($C28,Assumptions!$B$36:$B$41,Assumptions!$B$36:$H$41))</f>
        <v>0</v>
      </c>
      <c r="CYQ28">
        <f t="array" ref="CYQ28">_xlfn.XLOOKUP(CYQ$11,Assumptions!$B$35:$H$35,_xlfn.XLOOKUP($C28,Assumptions!$B$36:$B$41,Assumptions!$B$36:$H$41))</f>
        <v>0</v>
      </c>
      <c r="CYR28">
        <f t="array" ref="CYR28">_xlfn.XLOOKUP(CYR$11,Assumptions!$B$35:$H$35,_xlfn.XLOOKUP($C28,Assumptions!$B$36:$B$41,Assumptions!$B$36:$H$41))</f>
        <v>0</v>
      </c>
      <c r="CYS28">
        <f t="array" ref="CYS28">_xlfn.XLOOKUP(CYS$11,Assumptions!$B$35:$H$35,_xlfn.XLOOKUP($C28,Assumptions!$B$36:$B$41,Assumptions!$B$36:$H$41))</f>
        <v>0</v>
      </c>
      <c r="CYT28">
        <f t="array" ref="CYT28">_xlfn.XLOOKUP(CYT$11,Assumptions!$B$35:$H$35,_xlfn.XLOOKUP($C28,Assumptions!$B$36:$B$41,Assumptions!$B$36:$H$41))</f>
        <v>0</v>
      </c>
      <c r="CYU28">
        <f t="array" ref="CYU28">_xlfn.XLOOKUP(CYU$11,Assumptions!$B$35:$H$35,_xlfn.XLOOKUP($C28,Assumptions!$B$36:$B$41,Assumptions!$B$36:$H$41))</f>
        <v>0</v>
      </c>
      <c r="CYV28">
        <f t="array" ref="CYV28">_xlfn.XLOOKUP(CYV$11,Assumptions!$B$35:$H$35,_xlfn.XLOOKUP($C28,Assumptions!$B$36:$B$41,Assumptions!$B$36:$H$41))</f>
        <v>0</v>
      </c>
      <c r="CYW28">
        <f t="array" ref="CYW28">_xlfn.XLOOKUP(CYW$11,Assumptions!$B$35:$H$35,_xlfn.XLOOKUP($C28,Assumptions!$B$36:$B$41,Assumptions!$B$36:$H$41))</f>
        <v>0</v>
      </c>
      <c r="CYX28">
        <f t="array" ref="CYX28">_xlfn.XLOOKUP(CYX$11,Assumptions!$B$35:$H$35,_xlfn.XLOOKUP($C28,Assumptions!$B$36:$B$41,Assumptions!$B$36:$H$41))</f>
        <v>0</v>
      </c>
      <c r="CYY28">
        <f t="array" ref="CYY28">_xlfn.XLOOKUP(CYY$11,Assumptions!$B$35:$H$35,_xlfn.XLOOKUP($C28,Assumptions!$B$36:$B$41,Assumptions!$B$36:$H$41))</f>
        <v>0</v>
      </c>
      <c r="CYZ28">
        <f t="array" ref="CYZ28">_xlfn.XLOOKUP(CYZ$11,Assumptions!$B$35:$H$35,_xlfn.XLOOKUP($C28,Assumptions!$B$36:$B$41,Assumptions!$B$36:$H$41))</f>
        <v>0</v>
      </c>
      <c r="CZA28">
        <f t="array" ref="CZA28">_xlfn.XLOOKUP(CZA$11,Assumptions!$B$35:$H$35,_xlfn.XLOOKUP($C28,Assumptions!$B$36:$B$41,Assumptions!$B$36:$H$41))</f>
        <v>0</v>
      </c>
      <c r="CZB28">
        <f t="array" ref="CZB28">_xlfn.XLOOKUP(CZB$11,Assumptions!$B$35:$H$35,_xlfn.XLOOKUP($C28,Assumptions!$B$36:$B$41,Assumptions!$B$36:$H$41))</f>
        <v>0</v>
      </c>
      <c r="CZC28">
        <f t="array" ref="CZC28">_xlfn.XLOOKUP(CZC$11,Assumptions!$B$35:$H$35,_xlfn.XLOOKUP($C28,Assumptions!$B$36:$B$41,Assumptions!$B$36:$H$41))</f>
        <v>0</v>
      </c>
      <c r="CZD28">
        <f t="array" ref="CZD28">_xlfn.XLOOKUP(CZD$11,Assumptions!$B$35:$H$35,_xlfn.XLOOKUP($C28,Assumptions!$B$36:$B$41,Assumptions!$B$36:$H$41))</f>
        <v>0</v>
      </c>
      <c r="CZE28">
        <f t="array" ref="CZE28">_xlfn.XLOOKUP(CZE$11,Assumptions!$B$35:$H$35,_xlfn.XLOOKUP($C28,Assumptions!$B$36:$B$41,Assumptions!$B$36:$H$41))</f>
        <v>0</v>
      </c>
      <c r="CZF28">
        <f t="array" ref="CZF28">_xlfn.XLOOKUP(CZF$11,Assumptions!$B$35:$H$35,_xlfn.XLOOKUP($C28,Assumptions!$B$36:$B$41,Assumptions!$B$36:$H$41))</f>
        <v>0</v>
      </c>
      <c r="CZG28">
        <f t="array" ref="CZG28">_xlfn.XLOOKUP(CZG$11,Assumptions!$B$35:$H$35,_xlfn.XLOOKUP($C28,Assumptions!$B$36:$B$41,Assumptions!$B$36:$H$41))</f>
        <v>0</v>
      </c>
      <c r="CZH28">
        <f t="array" ref="CZH28">_xlfn.XLOOKUP(CZH$11,Assumptions!$B$35:$H$35,_xlfn.XLOOKUP($C28,Assumptions!$B$36:$B$41,Assumptions!$B$36:$H$41))</f>
        <v>0</v>
      </c>
      <c r="CZI28">
        <f t="array" ref="CZI28">_xlfn.XLOOKUP(CZI$11,Assumptions!$B$35:$H$35,_xlfn.XLOOKUP($C28,Assumptions!$B$36:$B$41,Assumptions!$B$36:$H$41))</f>
        <v>0</v>
      </c>
      <c r="CZJ28">
        <f t="array" ref="CZJ28">_xlfn.XLOOKUP(CZJ$11,Assumptions!$B$35:$H$35,_xlfn.XLOOKUP($C28,Assumptions!$B$36:$B$41,Assumptions!$B$36:$H$41))</f>
        <v>0</v>
      </c>
      <c r="CZK28">
        <f t="array" ref="CZK28">_xlfn.XLOOKUP(CZK$11,Assumptions!$B$35:$H$35,_xlfn.XLOOKUP($C28,Assumptions!$B$36:$B$41,Assumptions!$B$36:$H$41))</f>
        <v>0</v>
      </c>
      <c r="CZL28">
        <f t="array" ref="CZL28">_xlfn.XLOOKUP(CZL$11,Assumptions!$B$35:$H$35,_xlfn.XLOOKUP($C28,Assumptions!$B$36:$B$41,Assumptions!$B$36:$H$41))</f>
        <v>0</v>
      </c>
      <c r="CZM28">
        <f t="array" ref="CZM28">_xlfn.XLOOKUP(CZM$11,Assumptions!$B$35:$H$35,_xlfn.XLOOKUP($C28,Assumptions!$B$36:$B$41,Assumptions!$B$36:$H$41))</f>
        <v>0</v>
      </c>
      <c r="CZN28">
        <f t="array" ref="CZN28">_xlfn.XLOOKUP(CZN$11,Assumptions!$B$35:$H$35,_xlfn.XLOOKUP($C28,Assumptions!$B$36:$B$41,Assumptions!$B$36:$H$41))</f>
        <v>0</v>
      </c>
      <c r="CZO28">
        <f t="array" ref="CZO28">_xlfn.XLOOKUP(CZO$11,Assumptions!$B$35:$H$35,_xlfn.XLOOKUP($C28,Assumptions!$B$36:$B$41,Assumptions!$B$36:$H$41))</f>
        <v>0</v>
      </c>
      <c r="CZP28">
        <f t="array" ref="CZP28">_xlfn.XLOOKUP(CZP$11,Assumptions!$B$35:$H$35,_xlfn.XLOOKUP($C28,Assumptions!$B$36:$B$41,Assumptions!$B$36:$H$41))</f>
        <v>0</v>
      </c>
      <c r="CZQ28">
        <f t="array" ref="CZQ28">_xlfn.XLOOKUP(CZQ$11,Assumptions!$B$35:$H$35,_xlfn.XLOOKUP($C28,Assumptions!$B$36:$B$41,Assumptions!$B$36:$H$41))</f>
        <v>0</v>
      </c>
      <c r="CZR28">
        <f t="array" ref="CZR28">_xlfn.XLOOKUP(CZR$11,Assumptions!$B$35:$H$35,_xlfn.XLOOKUP($C28,Assumptions!$B$36:$B$41,Assumptions!$B$36:$H$41))</f>
        <v>0</v>
      </c>
      <c r="CZS28">
        <f t="array" ref="CZS28">_xlfn.XLOOKUP(CZS$11,Assumptions!$B$35:$H$35,_xlfn.XLOOKUP($C28,Assumptions!$B$36:$B$41,Assumptions!$B$36:$H$41))</f>
        <v>0</v>
      </c>
      <c r="CZT28">
        <f t="array" ref="CZT28">_xlfn.XLOOKUP(CZT$11,Assumptions!$B$35:$H$35,_xlfn.XLOOKUP($C28,Assumptions!$B$36:$B$41,Assumptions!$B$36:$H$41))</f>
        <v>0</v>
      </c>
      <c r="CZU28">
        <f t="array" ref="CZU28">_xlfn.XLOOKUP(CZU$11,Assumptions!$B$35:$H$35,_xlfn.XLOOKUP($C28,Assumptions!$B$36:$B$41,Assumptions!$B$36:$H$41))</f>
        <v>0</v>
      </c>
      <c r="CZV28">
        <f t="array" ref="CZV28">_xlfn.XLOOKUP(CZV$11,Assumptions!$B$35:$H$35,_xlfn.XLOOKUP($C28,Assumptions!$B$36:$B$41,Assumptions!$B$36:$H$41))</f>
        <v>0</v>
      </c>
      <c r="CZW28">
        <f t="array" ref="CZW28">_xlfn.XLOOKUP(CZW$11,Assumptions!$B$35:$H$35,_xlfn.XLOOKUP($C28,Assumptions!$B$36:$B$41,Assumptions!$B$36:$H$41))</f>
        <v>0</v>
      </c>
      <c r="CZX28">
        <f t="array" ref="CZX28">_xlfn.XLOOKUP(CZX$11,Assumptions!$B$35:$H$35,_xlfn.XLOOKUP($C28,Assumptions!$B$36:$B$41,Assumptions!$B$36:$H$41))</f>
        <v>0</v>
      </c>
      <c r="CZY28">
        <f t="array" ref="CZY28">_xlfn.XLOOKUP(CZY$11,Assumptions!$B$35:$H$35,_xlfn.XLOOKUP($C28,Assumptions!$B$36:$B$41,Assumptions!$B$36:$H$41))</f>
        <v>0</v>
      </c>
      <c r="CZZ28">
        <f t="array" ref="CZZ28">_xlfn.XLOOKUP(CZZ$11,Assumptions!$B$35:$H$35,_xlfn.XLOOKUP($C28,Assumptions!$B$36:$B$41,Assumptions!$B$36:$H$41))</f>
        <v>0</v>
      </c>
      <c r="DAA28">
        <f t="array" ref="DAA28">_xlfn.XLOOKUP(DAA$11,Assumptions!$B$35:$H$35,_xlfn.XLOOKUP($C28,Assumptions!$B$36:$B$41,Assumptions!$B$36:$H$41))</f>
        <v>0</v>
      </c>
      <c r="DAB28">
        <f t="array" ref="DAB28">_xlfn.XLOOKUP(DAB$11,Assumptions!$B$35:$H$35,_xlfn.XLOOKUP($C28,Assumptions!$B$36:$B$41,Assumptions!$B$36:$H$41))</f>
        <v>0</v>
      </c>
      <c r="DAC28">
        <f t="array" ref="DAC28">_xlfn.XLOOKUP(DAC$11,Assumptions!$B$35:$H$35,_xlfn.XLOOKUP($C28,Assumptions!$B$36:$B$41,Assumptions!$B$36:$H$41))</f>
        <v>0</v>
      </c>
      <c r="DAD28">
        <f t="array" ref="DAD28">_xlfn.XLOOKUP(DAD$11,Assumptions!$B$35:$H$35,_xlfn.XLOOKUP($C28,Assumptions!$B$36:$B$41,Assumptions!$B$36:$H$41))</f>
        <v>0</v>
      </c>
      <c r="DAE28">
        <f t="array" ref="DAE28">_xlfn.XLOOKUP(DAE$11,Assumptions!$B$35:$H$35,_xlfn.XLOOKUP($C28,Assumptions!$B$36:$B$41,Assumptions!$B$36:$H$41))</f>
        <v>0</v>
      </c>
      <c r="DAF28">
        <f t="array" ref="DAF28">_xlfn.XLOOKUP(DAF$11,Assumptions!$B$35:$H$35,_xlfn.XLOOKUP($C28,Assumptions!$B$36:$B$41,Assumptions!$B$36:$H$41))</f>
        <v>0</v>
      </c>
      <c r="DAG28">
        <f t="array" ref="DAG28">_xlfn.XLOOKUP(DAG$11,Assumptions!$B$35:$H$35,_xlfn.XLOOKUP($C28,Assumptions!$B$36:$B$41,Assumptions!$B$36:$H$41))</f>
        <v>0</v>
      </c>
      <c r="DAH28">
        <f t="array" ref="DAH28">_xlfn.XLOOKUP(DAH$11,Assumptions!$B$35:$H$35,_xlfn.XLOOKUP($C28,Assumptions!$B$36:$B$41,Assumptions!$B$36:$H$41))</f>
        <v>0</v>
      </c>
      <c r="DAI28">
        <f t="array" ref="DAI28">_xlfn.XLOOKUP(DAI$11,Assumptions!$B$35:$H$35,_xlfn.XLOOKUP($C28,Assumptions!$B$36:$B$41,Assumptions!$B$36:$H$41))</f>
        <v>0</v>
      </c>
      <c r="DAJ28">
        <f t="array" ref="DAJ28">_xlfn.XLOOKUP(DAJ$11,Assumptions!$B$35:$H$35,_xlfn.XLOOKUP($C28,Assumptions!$B$36:$B$41,Assumptions!$B$36:$H$41))</f>
        <v>0</v>
      </c>
      <c r="DAK28">
        <f t="array" ref="DAK28">_xlfn.XLOOKUP(DAK$11,Assumptions!$B$35:$H$35,_xlfn.XLOOKUP($C28,Assumptions!$B$36:$B$41,Assumptions!$B$36:$H$41))</f>
        <v>0</v>
      </c>
      <c r="DAL28">
        <f t="array" ref="DAL28">_xlfn.XLOOKUP(DAL$11,Assumptions!$B$35:$H$35,_xlfn.XLOOKUP($C28,Assumptions!$B$36:$B$41,Assumptions!$B$36:$H$41))</f>
        <v>0</v>
      </c>
      <c r="DAM28">
        <f t="array" ref="DAM28">_xlfn.XLOOKUP(DAM$11,Assumptions!$B$35:$H$35,_xlfn.XLOOKUP($C28,Assumptions!$B$36:$B$41,Assumptions!$B$36:$H$41))</f>
        <v>0</v>
      </c>
      <c r="DAN28">
        <f t="array" ref="DAN28">_xlfn.XLOOKUP(DAN$11,Assumptions!$B$35:$H$35,_xlfn.XLOOKUP($C28,Assumptions!$B$36:$B$41,Assumptions!$B$36:$H$41))</f>
        <v>0</v>
      </c>
      <c r="DAO28">
        <f t="array" ref="DAO28">_xlfn.XLOOKUP(DAO$11,Assumptions!$B$35:$H$35,_xlfn.XLOOKUP($C28,Assumptions!$B$36:$B$41,Assumptions!$B$36:$H$41))</f>
        <v>0</v>
      </c>
      <c r="DAP28">
        <f t="array" ref="DAP28">_xlfn.XLOOKUP(DAP$11,Assumptions!$B$35:$H$35,_xlfn.XLOOKUP($C28,Assumptions!$B$36:$B$41,Assumptions!$B$36:$H$41))</f>
        <v>0</v>
      </c>
      <c r="DAQ28">
        <f t="array" ref="DAQ28">_xlfn.XLOOKUP(DAQ$11,Assumptions!$B$35:$H$35,_xlfn.XLOOKUP($C28,Assumptions!$B$36:$B$41,Assumptions!$B$36:$H$41))</f>
        <v>0</v>
      </c>
      <c r="DAR28">
        <f t="array" ref="DAR28">_xlfn.XLOOKUP(DAR$11,Assumptions!$B$35:$H$35,_xlfn.XLOOKUP($C28,Assumptions!$B$36:$B$41,Assumptions!$B$36:$H$41))</f>
        <v>0</v>
      </c>
      <c r="DAS28">
        <f t="array" ref="DAS28">_xlfn.XLOOKUP(DAS$11,Assumptions!$B$35:$H$35,_xlfn.XLOOKUP($C28,Assumptions!$B$36:$B$41,Assumptions!$B$36:$H$41))</f>
        <v>0</v>
      </c>
      <c r="DAT28">
        <f t="array" ref="DAT28">_xlfn.XLOOKUP(DAT$11,Assumptions!$B$35:$H$35,_xlfn.XLOOKUP($C28,Assumptions!$B$36:$B$41,Assumptions!$B$36:$H$41))</f>
        <v>0</v>
      </c>
      <c r="DAU28">
        <f t="array" ref="DAU28">_xlfn.XLOOKUP(DAU$11,Assumptions!$B$35:$H$35,_xlfn.XLOOKUP($C28,Assumptions!$B$36:$B$41,Assumptions!$B$36:$H$41))</f>
        <v>0</v>
      </c>
      <c r="DAV28">
        <f t="array" ref="DAV28">_xlfn.XLOOKUP(DAV$11,Assumptions!$B$35:$H$35,_xlfn.XLOOKUP($C28,Assumptions!$B$36:$B$41,Assumptions!$B$36:$H$41))</f>
        <v>0</v>
      </c>
      <c r="DAW28">
        <f t="array" ref="DAW28">_xlfn.XLOOKUP(DAW$11,Assumptions!$B$35:$H$35,_xlfn.XLOOKUP($C28,Assumptions!$B$36:$B$41,Assumptions!$B$36:$H$41))</f>
        <v>0</v>
      </c>
      <c r="DAX28">
        <f t="array" ref="DAX28">_xlfn.XLOOKUP(DAX$11,Assumptions!$B$35:$H$35,_xlfn.XLOOKUP($C28,Assumptions!$B$36:$B$41,Assumptions!$B$36:$H$41))</f>
        <v>0</v>
      </c>
      <c r="DAY28">
        <f t="array" ref="DAY28">_xlfn.XLOOKUP(DAY$11,Assumptions!$B$35:$H$35,_xlfn.XLOOKUP($C28,Assumptions!$B$36:$B$41,Assumptions!$B$36:$H$41))</f>
        <v>0</v>
      </c>
      <c r="DAZ28">
        <f t="array" ref="DAZ28">_xlfn.XLOOKUP(DAZ$11,Assumptions!$B$35:$H$35,_xlfn.XLOOKUP($C28,Assumptions!$B$36:$B$41,Assumptions!$B$36:$H$41))</f>
        <v>0</v>
      </c>
      <c r="DBA28">
        <f t="array" ref="DBA28">_xlfn.XLOOKUP(DBA$11,Assumptions!$B$35:$H$35,_xlfn.XLOOKUP($C28,Assumptions!$B$36:$B$41,Assumptions!$B$36:$H$41))</f>
        <v>0</v>
      </c>
      <c r="DBB28">
        <f t="array" ref="DBB28">_xlfn.XLOOKUP(DBB$11,Assumptions!$B$35:$H$35,_xlfn.XLOOKUP($C28,Assumptions!$B$36:$B$41,Assumptions!$B$36:$H$41))</f>
        <v>0</v>
      </c>
      <c r="DBC28">
        <f t="array" ref="DBC28">_xlfn.XLOOKUP(DBC$11,Assumptions!$B$35:$H$35,_xlfn.XLOOKUP($C28,Assumptions!$B$36:$B$41,Assumptions!$B$36:$H$41))</f>
        <v>0</v>
      </c>
      <c r="DBD28">
        <f t="array" ref="DBD28">_xlfn.XLOOKUP(DBD$11,Assumptions!$B$35:$H$35,_xlfn.XLOOKUP($C28,Assumptions!$B$36:$B$41,Assumptions!$B$36:$H$41))</f>
        <v>0</v>
      </c>
      <c r="DBE28">
        <f t="array" ref="DBE28">_xlfn.XLOOKUP(DBE$11,Assumptions!$B$35:$H$35,_xlfn.XLOOKUP($C28,Assumptions!$B$36:$B$41,Assumptions!$B$36:$H$41))</f>
        <v>0</v>
      </c>
      <c r="DBF28">
        <f t="array" ref="DBF28">_xlfn.XLOOKUP(DBF$11,Assumptions!$B$35:$H$35,_xlfn.XLOOKUP($C28,Assumptions!$B$36:$B$41,Assumptions!$B$36:$H$41))</f>
        <v>0</v>
      </c>
      <c r="DBG28">
        <f t="array" ref="DBG28">_xlfn.XLOOKUP(DBG$11,Assumptions!$B$35:$H$35,_xlfn.XLOOKUP($C28,Assumptions!$B$36:$B$41,Assumptions!$B$36:$H$41))</f>
        <v>0</v>
      </c>
      <c r="DBH28">
        <f t="array" ref="DBH28">_xlfn.XLOOKUP(DBH$11,Assumptions!$B$35:$H$35,_xlfn.XLOOKUP($C28,Assumptions!$B$36:$B$41,Assumptions!$B$36:$H$41))</f>
        <v>0</v>
      </c>
      <c r="DBI28">
        <f t="array" ref="DBI28">_xlfn.XLOOKUP(DBI$11,Assumptions!$B$35:$H$35,_xlfn.XLOOKUP($C28,Assumptions!$B$36:$B$41,Assumptions!$B$36:$H$41))</f>
        <v>0</v>
      </c>
      <c r="DBJ28">
        <f t="array" ref="DBJ28">_xlfn.XLOOKUP(DBJ$11,Assumptions!$B$35:$H$35,_xlfn.XLOOKUP($C28,Assumptions!$B$36:$B$41,Assumptions!$B$36:$H$41))</f>
        <v>0</v>
      </c>
      <c r="DBK28">
        <f t="array" ref="DBK28">_xlfn.XLOOKUP(DBK$11,Assumptions!$B$35:$H$35,_xlfn.XLOOKUP($C28,Assumptions!$B$36:$B$41,Assumptions!$B$36:$H$41))</f>
        <v>0</v>
      </c>
      <c r="DBL28">
        <f t="array" ref="DBL28">_xlfn.XLOOKUP(DBL$11,Assumptions!$B$35:$H$35,_xlfn.XLOOKUP($C28,Assumptions!$B$36:$B$41,Assumptions!$B$36:$H$41))</f>
        <v>0</v>
      </c>
      <c r="DBM28">
        <f t="array" ref="DBM28">_xlfn.XLOOKUP(DBM$11,Assumptions!$B$35:$H$35,_xlfn.XLOOKUP($C28,Assumptions!$B$36:$B$41,Assumptions!$B$36:$H$41))</f>
        <v>0</v>
      </c>
      <c r="DBN28">
        <f t="array" ref="DBN28">_xlfn.XLOOKUP(DBN$11,Assumptions!$B$35:$H$35,_xlfn.XLOOKUP($C28,Assumptions!$B$36:$B$41,Assumptions!$B$36:$H$41))</f>
        <v>0</v>
      </c>
      <c r="DBO28">
        <f t="array" ref="DBO28">_xlfn.XLOOKUP(DBO$11,Assumptions!$B$35:$H$35,_xlfn.XLOOKUP($C28,Assumptions!$B$36:$B$41,Assumptions!$B$36:$H$41))</f>
        <v>0</v>
      </c>
      <c r="DBP28">
        <f t="array" ref="DBP28">_xlfn.XLOOKUP(DBP$11,Assumptions!$B$35:$H$35,_xlfn.XLOOKUP($C28,Assumptions!$B$36:$B$41,Assumptions!$B$36:$H$41))</f>
        <v>0</v>
      </c>
      <c r="DBQ28">
        <f t="array" ref="DBQ28">_xlfn.XLOOKUP(DBQ$11,Assumptions!$B$35:$H$35,_xlfn.XLOOKUP($C28,Assumptions!$B$36:$B$41,Assumptions!$B$36:$H$41))</f>
        <v>0</v>
      </c>
      <c r="DBR28">
        <f t="array" ref="DBR28">_xlfn.XLOOKUP(DBR$11,Assumptions!$B$35:$H$35,_xlfn.XLOOKUP($C28,Assumptions!$B$36:$B$41,Assumptions!$B$36:$H$41))</f>
        <v>0</v>
      </c>
      <c r="DBS28">
        <f t="array" ref="DBS28">_xlfn.XLOOKUP(DBS$11,Assumptions!$B$35:$H$35,_xlfn.XLOOKUP($C28,Assumptions!$B$36:$B$41,Assumptions!$B$36:$H$41))</f>
        <v>0</v>
      </c>
      <c r="DBT28">
        <f t="array" ref="DBT28">_xlfn.XLOOKUP(DBT$11,Assumptions!$B$35:$H$35,_xlfn.XLOOKUP($C28,Assumptions!$B$36:$B$41,Assumptions!$B$36:$H$41))</f>
        <v>0</v>
      </c>
      <c r="DBU28">
        <f t="array" ref="DBU28">_xlfn.XLOOKUP(DBU$11,Assumptions!$B$35:$H$35,_xlfn.XLOOKUP($C28,Assumptions!$B$36:$B$41,Assumptions!$B$36:$H$41))</f>
        <v>0</v>
      </c>
      <c r="DBV28">
        <f t="array" ref="DBV28">_xlfn.XLOOKUP(DBV$11,Assumptions!$B$35:$H$35,_xlfn.XLOOKUP($C28,Assumptions!$B$36:$B$41,Assumptions!$B$36:$H$41))</f>
        <v>0</v>
      </c>
      <c r="DBW28">
        <f t="array" ref="DBW28">_xlfn.XLOOKUP(DBW$11,Assumptions!$B$35:$H$35,_xlfn.XLOOKUP($C28,Assumptions!$B$36:$B$41,Assumptions!$B$36:$H$41))</f>
        <v>0</v>
      </c>
      <c r="DBX28">
        <f t="array" ref="DBX28">_xlfn.XLOOKUP(DBX$11,Assumptions!$B$35:$H$35,_xlfn.XLOOKUP($C28,Assumptions!$B$36:$B$41,Assumptions!$B$36:$H$41))</f>
        <v>0</v>
      </c>
      <c r="DBY28">
        <f t="array" ref="DBY28">_xlfn.XLOOKUP(DBY$11,Assumptions!$B$35:$H$35,_xlfn.XLOOKUP($C28,Assumptions!$B$36:$B$41,Assumptions!$B$36:$H$41))</f>
        <v>0</v>
      </c>
      <c r="DBZ28">
        <f t="array" ref="DBZ28">_xlfn.XLOOKUP(DBZ$11,Assumptions!$B$35:$H$35,_xlfn.XLOOKUP($C28,Assumptions!$B$36:$B$41,Assumptions!$B$36:$H$41))</f>
        <v>0</v>
      </c>
      <c r="DCA28">
        <f t="array" ref="DCA28">_xlfn.XLOOKUP(DCA$11,Assumptions!$B$35:$H$35,_xlfn.XLOOKUP($C28,Assumptions!$B$36:$B$41,Assumptions!$B$36:$H$41))</f>
        <v>0</v>
      </c>
      <c r="DCB28">
        <f t="array" ref="DCB28">_xlfn.XLOOKUP(DCB$11,Assumptions!$B$35:$H$35,_xlfn.XLOOKUP($C28,Assumptions!$B$36:$B$41,Assumptions!$B$36:$H$41))</f>
        <v>0</v>
      </c>
      <c r="DCC28">
        <f t="array" ref="DCC28">_xlfn.XLOOKUP(DCC$11,Assumptions!$B$35:$H$35,_xlfn.XLOOKUP($C28,Assumptions!$B$36:$B$41,Assumptions!$B$36:$H$41))</f>
        <v>0</v>
      </c>
      <c r="DCD28">
        <f t="array" ref="DCD28">_xlfn.XLOOKUP(DCD$11,Assumptions!$B$35:$H$35,_xlfn.XLOOKUP($C28,Assumptions!$B$36:$B$41,Assumptions!$B$36:$H$41))</f>
        <v>0</v>
      </c>
      <c r="DCE28">
        <f t="array" ref="DCE28">_xlfn.XLOOKUP(DCE$11,Assumptions!$B$35:$H$35,_xlfn.XLOOKUP($C28,Assumptions!$B$36:$B$41,Assumptions!$B$36:$H$41))</f>
        <v>0</v>
      </c>
      <c r="DCF28">
        <f t="array" ref="DCF28">_xlfn.XLOOKUP(DCF$11,Assumptions!$B$35:$H$35,_xlfn.XLOOKUP($C28,Assumptions!$B$36:$B$41,Assumptions!$B$36:$H$41))</f>
        <v>0</v>
      </c>
      <c r="DCG28">
        <f t="array" ref="DCG28">_xlfn.XLOOKUP(DCG$11,Assumptions!$B$35:$H$35,_xlfn.XLOOKUP($C28,Assumptions!$B$36:$B$41,Assumptions!$B$36:$H$41))</f>
        <v>0</v>
      </c>
      <c r="DCH28">
        <f t="array" ref="DCH28">_xlfn.XLOOKUP(DCH$11,Assumptions!$B$35:$H$35,_xlfn.XLOOKUP($C28,Assumptions!$B$36:$B$41,Assumptions!$B$36:$H$41))</f>
        <v>0</v>
      </c>
      <c r="DCI28">
        <f t="array" ref="DCI28">_xlfn.XLOOKUP(DCI$11,Assumptions!$B$35:$H$35,_xlfn.XLOOKUP($C28,Assumptions!$B$36:$B$41,Assumptions!$B$36:$H$41))</f>
        <v>0</v>
      </c>
      <c r="DCJ28">
        <f t="array" ref="DCJ28">_xlfn.XLOOKUP(DCJ$11,Assumptions!$B$35:$H$35,_xlfn.XLOOKUP($C28,Assumptions!$B$36:$B$41,Assumptions!$B$36:$H$41))</f>
        <v>0</v>
      </c>
      <c r="DCK28">
        <f t="array" ref="DCK28">_xlfn.XLOOKUP(DCK$11,Assumptions!$B$35:$H$35,_xlfn.XLOOKUP($C28,Assumptions!$B$36:$B$41,Assumptions!$B$36:$H$41))</f>
        <v>0</v>
      </c>
      <c r="DCL28">
        <f t="array" ref="DCL28">_xlfn.XLOOKUP(DCL$11,Assumptions!$B$35:$H$35,_xlfn.XLOOKUP($C28,Assumptions!$B$36:$B$41,Assumptions!$B$36:$H$41))</f>
        <v>0</v>
      </c>
      <c r="DCM28">
        <f t="array" ref="DCM28">_xlfn.XLOOKUP(DCM$11,Assumptions!$B$35:$H$35,_xlfn.XLOOKUP($C28,Assumptions!$B$36:$B$41,Assumptions!$B$36:$H$41))</f>
        <v>0</v>
      </c>
      <c r="DCN28">
        <f t="array" ref="DCN28">_xlfn.XLOOKUP(DCN$11,Assumptions!$B$35:$H$35,_xlfn.XLOOKUP($C28,Assumptions!$B$36:$B$41,Assumptions!$B$36:$H$41))</f>
        <v>0</v>
      </c>
      <c r="DCO28">
        <f t="array" ref="DCO28">_xlfn.XLOOKUP(DCO$11,Assumptions!$B$35:$H$35,_xlfn.XLOOKUP($C28,Assumptions!$B$36:$B$41,Assumptions!$B$36:$H$41))</f>
        <v>0</v>
      </c>
      <c r="DCP28">
        <f t="array" ref="DCP28">_xlfn.XLOOKUP(DCP$11,Assumptions!$B$35:$H$35,_xlfn.XLOOKUP($C28,Assumptions!$B$36:$B$41,Assumptions!$B$36:$H$41))</f>
        <v>0</v>
      </c>
      <c r="DCQ28">
        <f t="array" ref="DCQ28">_xlfn.XLOOKUP(DCQ$11,Assumptions!$B$35:$H$35,_xlfn.XLOOKUP($C28,Assumptions!$B$36:$B$41,Assumptions!$B$36:$H$41))</f>
        <v>0</v>
      </c>
      <c r="DCR28">
        <f t="array" ref="DCR28">_xlfn.XLOOKUP(DCR$11,Assumptions!$B$35:$H$35,_xlfn.XLOOKUP($C28,Assumptions!$B$36:$B$41,Assumptions!$B$36:$H$41))</f>
        <v>0</v>
      </c>
      <c r="DCS28">
        <f t="array" ref="DCS28">_xlfn.XLOOKUP(DCS$11,Assumptions!$B$35:$H$35,_xlfn.XLOOKUP($C28,Assumptions!$B$36:$B$41,Assumptions!$B$36:$H$41))</f>
        <v>0</v>
      </c>
      <c r="DCT28">
        <f t="array" ref="DCT28">_xlfn.XLOOKUP(DCT$11,Assumptions!$B$35:$H$35,_xlfn.XLOOKUP($C28,Assumptions!$B$36:$B$41,Assumptions!$B$36:$H$41))</f>
        <v>0</v>
      </c>
      <c r="DCU28">
        <f t="array" ref="DCU28">_xlfn.XLOOKUP(DCU$11,Assumptions!$B$35:$H$35,_xlfn.XLOOKUP($C28,Assumptions!$B$36:$B$41,Assumptions!$B$36:$H$41))</f>
        <v>0</v>
      </c>
      <c r="DCV28">
        <f t="array" ref="DCV28">_xlfn.XLOOKUP(DCV$11,Assumptions!$B$35:$H$35,_xlfn.XLOOKUP($C28,Assumptions!$B$36:$B$41,Assumptions!$B$36:$H$41))</f>
        <v>0</v>
      </c>
      <c r="DCW28">
        <f t="array" ref="DCW28">_xlfn.XLOOKUP(DCW$11,Assumptions!$B$35:$H$35,_xlfn.XLOOKUP($C28,Assumptions!$B$36:$B$41,Assumptions!$B$36:$H$41))</f>
        <v>0</v>
      </c>
      <c r="DCX28">
        <f t="array" ref="DCX28">_xlfn.XLOOKUP(DCX$11,Assumptions!$B$35:$H$35,_xlfn.XLOOKUP($C28,Assumptions!$B$36:$B$41,Assumptions!$B$36:$H$41))</f>
        <v>0</v>
      </c>
      <c r="DCY28">
        <f t="array" ref="DCY28">_xlfn.XLOOKUP(DCY$11,Assumptions!$B$35:$H$35,_xlfn.XLOOKUP($C28,Assumptions!$B$36:$B$41,Assumptions!$B$36:$H$41))</f>
        <v>0</v>
      </c>
      <c r="DCZ28">
        <f t="array" ref="DCZ28">_xlfn.XLOOKUP(DCZ$11,Assumptions!$B$35:$H$35,_xlfn.XLOOKUP($C28,Assumptions!$B$36:$B$41,Assumptions!$B$36:$H$41))</f>
        <v>0</v>
      </c>
      <c r="DDA28">
        <f t="array" ref="DDA28">_xlfn.XLOOKUP(DDA$11,Assumptions!$B$35:$H$35,_xlfn.XLOOKUP($C28,Assumptions!$B$36:$B$41,Assumptions!$B$36:$H$41))</f>
        <v>0</v>
      </c>
      <c r="DDB28">
        <f t="array" ref="DDB28">_xlfn.XLOOKUP(DDB$11,Assumptions!$B$35:$H$35,_xlfn.XLOOKUP($C28,Assumptions!$B$36:$B$41,Assumptions!$B$36:$H$41))</f>
        <v>0</v>
      </c>
      <c r="DDC28">
        <f t="array" ref="DDC28">_xlfn.XLOOKUP(DDC$11,Assumptions!$B$35:$H$35,_xlfn.XLOOKUP($C28,Assumptions!$B$36:$B$41,Assumptions!$B$36:$H$41))</f>
        <v>0</v>
      </c>
      <c r="DDD28">
        <f t="array" ref="DDD28">_xlfn.XLOOKUP(DDD$11,Assumptions!$B$35:$H$35,_xlfn.XLOOKUP($C28,Assumptions!$B$36:$B$41,Assumptions!$B$36:$H$41))</f>
        <v>0</v>
      </c>
      <c r="DDE28">
        <f t="array" ref="DDE28">_xlfn.XLOOKUP(DDE$11,Assumptions!$B$35:$H$35,_xlfn.XLOOKUP($C28,Assumptions!$B$36:$B$41,Assumptions!$B$36:$H$41))</f>
        <v>0</v>
      </c>
      <c r="DDF28">
        <f t="array" ref="DDF28">_xlfn.XLOOKUP(DDF$11,Assumptions!$B$35:$H$35,_xlfn.XLOOKUP($C28,Assumptions!$B$36:$B$41,Assumptions!$B$36:$H$41))</f>
        <v>0</v>
      </c>
      <c r="DDG28">
        <f t="array" ref="DDG28">_xlfn.XLOOKUP(DDG$11,Assumptions!$B$35:$H$35,_xlfn.XLOOKUP($C28,Assumptions!$B$36:$B$41,Assumptions!$B$36:$H$41))</f>
        <v>0</v>
      </c>
      <c r="DDH28">
        <f t="array" ref="DDH28">_xlfn.XLOOKUP(DDH$11,Assumptions!$B$35:$H$35,_xlfn.XLOOKUP($C28,Assumptions!$B$36:$B$41,Assumptions!$B$36:$H$41))</f>
        <v>0</v>
      </c>
      <c r="DDI28">
        <f t="array" ref="DDI28">_xlfn.XLOOKUP(DDI$11,Assumptions!$B$35:$H$35,_xlfn.XLOOKUP($C28,Assumptions!$B$36:$B$41,Assumptions!$B$36:$H$41))</f>
        <v>0</v>
      </c>
      <c r="DDJ28">
        <f t="array" ref="DDJ28">_xlfn.XLOOKUP(DDJ$11,Assumptions!$B$35:$H$35,_xlfn.XLOOKUP($C28,Assumptions!$B$36:$B$41,Assumptions!$B$36:$H$41))</f>
        <v>0</v>
      </c>
      <c r="DDK28">
        <f t="array" ref="DDK28">_xlfn.XLOOKUP(DDK$11,Assumptions!$B$35:$H$35,_xlfn.XLOOKUP($C28,Assumptions!$B$36:$B$41,Assumptions!$B$36:$H$41))</f>
        <v>0</v>
      </c>
      <c r="DDL28">
        <f t="array" ref="DDL28">_xlfn.XLOOKUP(DDL$11,Assumptions!$B$35:$H$35,_xlfn.XLOOKUP($C28,Assumptions!$B$36:$B$41,Assumptions!$B$36:$H$41))</f>
        <v>0</v>
      </c>
      <c r="DDM28">
        <f t="array" ref="DDM28">_xlfn.XLOOKUP(DDM$11,Assumptions!$B$35:$H$35,_xlfn.XLOOKUP($C28,Assumptions!$B$36:$B$41,Assumptions!$B$36:$H$41))</f>
        <v>0</v>
      </c>
      <c r="DDN28">
        <f t="array" ref="DDN28">_xlfn.XLOOKUP(DDN$11,Assumptions!$B$35:$H$35,_xlfn.XLOOKUP($C28,Assumptions!$B$36:$B$41,Assumptions!$B$36:$H$41))</f>
        <v>0</v>
      </c>
      <c r="DDO28">
        <f t="array" ref="DDO28">_xlfn.XLOOKUP(DDO$11,Assumptions!$B$35:$H$35,_xlfn.XLOOKUP($C28,Assumptions!$B$36:$B$41,Assumptions!$B$36:$H$41))</f>
        <v>0</v>
      </c>
      <c r="DDP28">
        <f t="array" ref="DDP28">_xlfn.XLOOKUP(DDP$11,Assumptions!$B$35:$H$35,_xlfn.XLOOKUP($C28,Assumptions!$B$36:$B$41,Assumptions!$B$36:$H$41))</f>
        <v>0</v>
      </c>
      <c r="DDQ28">
        <f t="array" ref="DDQ28">_xlfn.XLOOKUP(DDQ$11,Assumptions!$B$35:$H$35,_xlfn.XLOOKUP($C28,Assumptions!$B$36:$B$41,Assumptions!$B$36:$H$41))</f>
        <v>0</v>
      </c>
      <c r="DDR28">
        <f t="array" ref="DDR28">_xlfn.XLOOKUP(DDR$11,Assumptions!$B$35:$H$35,_xlfn.XLOOKUP($C28,Assumptions!$B$36:$B$41,Assumptions!$B$36:$H$41))</f>
        <v>0</v>
      </c>
      <c r="DDS28">
        <f t="array" ref="DDS28">_xlfn.XLOOKUP(DDS$11,Assumptions!$B$35:$H$35,_xlfn.XLOOKUP($C28,Assumptions!$B$36:$B$41,Assumptions!$B$36:$H$41))</f>
        <v>0</v>
      </c>
      <c r="DDT28">
        <f t="array" ref="DDT28">_xlfn.XLOOKUP(DDT$11,Assumptions!$B$35:$H$35,_xlfn.XLOOKUP($C28,Assumptions!$B$36:$B$41,Assumptions!$B$36:$H$41))</f>
        <v>0</v>
      </c>
      <c r="DDU28">
        <f t="array" ref="DDU28">_xlfn.XLOOKUP(DDU$11,Assumptions!$B$35:$H$35,_xlfn.XLOOKUP($C28,Assumptions!$B$36:$B$41,Assumptions!$B$36:$H$41))</f>
        <v>0</v>
      </c>
      <c r="DDV28">
        <f t="array" ref="DDV28">_xlfn.XLOOKUP(DDV$11,Assumptions!$B$35:$H$35,_xlfn.XLOOKUP($C28,Assumptions!$B$36:$B$41,Assumptions!$B$36:$H$41))</f>
        <v>0</v>
      </c>
      <c r="DDW28">
        <f t="array" ref="DDW28">_xlfn.XLOOKUP(DDW$11,Assumptions!$B$35:$H$35,_xlfn.XLOOKUP($C28,Assumptions!$B$36:$B$41,Assumptions!$B$36:$H$41))</f>
        <v>0</v>
      </c>
      <c r="DDX28">
        <f t="array" ref="DDX28">_xlfn.XLOOKUP(DDX$11,Assumptions!$B$35:$H$35,_xlfn.XLOOKUP($C28,Assumptions!$B$36:$B$41,Assumptions!$B$36:$H$41))</f>
        <v>0</v>
      </c>
      <c r="DDY28">
        <f t="array" ref="DDY28">_xlfn.XLOOKUP(DDY$11,Assumptions!$B$35:$H$35,_xlfn.XLOOKUP($C28,Assumptions!$B$36:$B$41,Assumptions!$B$36:$H$41))</f>
        <v>0</v>
      </c>
      <c r="DDZ28">
        <f t="array" ref="DDZ28">_xlfn.XLOOKUP(DDZ$11,Assumptions!$B$35:$H$35,_xlfn.XLOOKUP($C28,Assumptions!$B$36:$B$41,Assumptions!$B$36:$H$41))</f>
        <v>0</v>
      </c>
      <c r="DEA28">
        <f t="array" ref="DEA28">_xlfn.XLOOKUP(DEA$11,Assumptions!$B$35:$H$35,_xlfn.XLOOKUP($C28,Assumptions!$B$36:$B$41,Assumptions!$B$36:$H$41))</f>
        <v>0</v>
      </c>
      <c r="DEB28">
        <f t="array" ref="DEB28">_xlfn.XLOOKUP(DEB$11,Assumptions!$B$35:$H$35,_xlfn.XLOOKUP($C28,Assumptions!$B$36:$B$41,Assumptions!$B$36:$H$41))</f>
        <v>0</v>
      </c>
      <c r="DEC28">
        <f t="array" ref="DEC28">_xlfn.XLOOKUP(DEC$11,Assumptions!$B$35:$H$35,_xlfn.XLOOKUP($C28,Assumptions!$B$36:$B$41,Assumptions!$B$36:$H$41))</f>
        <v>0</v>
      </c>
      <c r="DED28">
        <f t="array" ref="DED28">_xlfn.XLOOKUP(DED$11,Assumptions!$B$35:$H$35,_xlfn.XLOOKUP($C28,Assumptions!$B$36:$B$41,Assumptions!$B$36:$H$41))</f>
        <v>0</v>
      </c>
      <c r="DEE28">
        <f t="array" ref="DEE28">_xlfn.XLOOKUP(DEE$11,Assumptions!$B$35:$H$35,_xlfn.XLOOKUP($C28,Assumptions!$B$36:$B$41,Assumptions!$B$36:$H$41))</f>
        <v>0</v>
      </c>
      <c r="DEF28">
        <f t="array" ref="DEF28">_xlfn.XLOOKUP(DEF$11,Assumptions!$B$35:$H$35,_xlfn.XLOOKUP($C28,Assumptions!$B$36:$B$41,Assumptions!$B$36:$H$41))</f>
        <v>0</v>
      </c>
      <c r="DEG28">
        <f t="array" ref="DEG28">_xlfn.XLOOKUP(DEG$11,Assumptions!$B$35:$H$35,_xlfn.XLOOKUP($C28,Assumptions!$B$36:$B$41,Assumptions!$B$36:$H$41))</f>
        <v>0</v>
      </c>
      <c r="DEH28">
        <f t="array" ref="DEH28">_xlfn.XLOOKUP(DEH$11,Assumptions!$B$35:$H$35,_xlfn.XLOOKUP($C28,Assumptions!$B$36:$B$41,Assumptions!$B$36:$H$41))</f>
        <v>0</v>
      </c>
      <c r="DEI28">
        <f t="array" ref="DEI28">_xlfn.XLOOKUP(DEI$11,Assumptions!$B$35:$H$35,_xlfn.XLOOKUP($C28,Assumptions!$B$36:$B$41,Assumptions!$B$36:$H$41))</f>
        <v>0</v>
      </c>
      <c r="DEJ28">
        <f t="array" ref="DEJ28">_xlfn.XLOOKUP(DEJ$11,Assumptions!$B$35:$H$35,_xlfn.XLOOKUP($C28,Assumptions!$B$36:$B$41,Assumptions!$B$36:$H$41))</f>
        <v>0</v>
      </c>
      <c r="DEK28">
        <f t="array" ref="DEK28">_xlfn.XLOOKUP(DEK$11,Assumptions!$B$35:$H$35,_xlfn.XLOOKUP($C28,Assumptions!$B$36:$B$41,Assumptions!$B$36:$H$41))</f>
        <v>0</v>
      </c>
      <c r="DEL28">
        <f t="array" ref="DEL28">_xlfn.XLOOKUP(DEL$11,Assumptions!$B$35:$H$35,_xlfn.XLOOKUP($C28,Assumptions!$B$36:$B$41,Assumptions!$B$36:$H$41))</f>
        <v>0</v>
      </c>
      <c r="DEM28">
        <f t="array" ref="DEM28">_xlfn.XLOOKUP(DEM$11,Assumptions!$B$35:$H$35,_xlfn.XLOOKUP($C28,Assumptions!$B$36:$B$41,Assumptions!$B$36:$H$41))</f>
        <v>0</v>
      </c>
      <c r="DEN28">
        <f t="array" ref="DEN28">_xlfn.XLOOKUP(DEN$11,Assumptions!$B$35:$H$35,_xlfn.XLOOKUP($C28,Assumptions!$B$36:$B$41,Assumptions!$B$36:$H$41))</f>
        <v>0</v>
      </c>
      <c r="DEO28">
        <f t="array" ref="DEO28">_xlfn.XLOOKUP(DEO$11,Assumptions!$B$35:$H$35,_xlfn.XLOOKUP($C28,Assumptions!$B$36:$B$41,Assumptions!$B$36:$H$41))</f>
        <v>0</v>
      </c>
      <c r="DEP28">
        <f t="array" ref="DEP28">_xlfn.XLOOKUP(DEP$11,Assumptions!$B$35:$H$35,_xlfn.XLOOKUP($C28,Assumptions!$B$36:$B$41,Assumptions!$B$36:$H$41))</f>
        <v>0</v>
      </c>
      <c r="DEQ28">
        <f t="array" ref="DEQ28">_xlfn.XLOOKUP(DEQ$11,Assumptions!$B$35:$H$35,_xlfn.XLOOKUP($C28,Assumptions!$B$36:$B$41,Assumptions!$B$36:$H$41))</f>
        <v>0</v>
      </c>
      <c r="DER28">
        <f t="array" ref="DER28">_xlfn.XLOOKUP(DER$11,Assumptions!$B$35:$H$35,_xlfn.XLOOKUP($C28,Assumptions!$B$36:$B$41,Assumptions!$B$36:$H$41))</f>
        <v>0</v>
      </c>
      <c r="DES28">
        <f t="array" ref="DES28">_xlfn.XLOOKUP(DES$11,Assumptions!$B$35:$H$35,_xlfn.XLOOKUP($C28,Assumptions!$B$36:$B$41,Assumptions!$B$36:$H$41))</f>
        <v>0</v>
      </c>
      <c r="DET28">
        <f t="array" ref="DET28">_xlfn.XLOOKUP(DET$11,Assumptions!$B$35:$H$35,_xlfn.XLOOKUP($C28,Assumptions!$B$36:$B$41,Assumptions!$B$36:$H$41))</f>
        <v>0</v>
      </c>
      <c r="DEU28">
        <f t="array" ref="DEU28">_xlfn.XLOOKUP(DEU$11,Assumptions!$B$35:$H$35,_xlfn.XLOOKUP($C28,Assumptions!$B$36:$B$41,Assumptions!$B$36:$H$41))</f>
        <v>0</v>
      </c>
      <c r="DEV28">
        <f t="array" ref="DEV28">_xlfn.XLOOKUP(DEV$11,Assumptions!$B$35:$H$35,_xlfn.XLOOKUP($C28,Assumptions!$B$36:$B$41,Assumptions!$B$36:$H$41))</f>
        <v>0</v>
      </c>
      <c r="DEW28">
        <f t="array" ref="DEW28">_xlfn.XLOOKUP(DEW$11,Assumptions!$B$35:$H$35,_xlfn.XLOOKUP($C28,Assumptions!$B$36:$B$41,Assumptions!$B$36:$H$41))</f>
        <v>0</v>
      </c>
      <c r="DEX28">
        <f t="array" ref="DEX28">_xlfn.XLOOKUP(DEX$11,Assumptions!$B$35:$H$35,_xlfn.XLOOKUP($C28,Assumptions!$B$36:$B$41,Assumptions!$B$36:$H$41))</f>
        <v>0</v>
      </c>
      <c r="DEY28">
        <f t="array" ref="DEY28">_xlfn.XLOOKUP(DEY$11,Assumptions!$B$35:$H$35,_xlfn.XLOOKUP($C28,Assumptions!$B$36:$B$41,Assumptions!$B$36:$H$41))</f>
        <v>0</v>
      </c>
      <c r="DEZ28">
        <f t="array" ref="DEZ28">_xlfn.XLOOKUP(DEZ$11,Assumptions!$B$35:$H$35,_xlfn.XLOOKUP($C28,Assumptions!$B$36:$B$41,Assumptions!$B$36:$H$41))</f>
        <v>0</v>
      </c>
      <c r="DFA28">
        <f t="array" ref="DFA28">_xlfn.XLOOKUP(DFA$11,Assumptions!$B$35:$H$35,_xlfn.XLOOKUP($C28,Assumptions!$B$36:$B$41,Assumptions!$B$36:$H$41))</f>
        <v>0</v>
      </c>
      <c r="DFB28">
        <f t="array" ref="DFB28">_xlfn.XLOOKUP(DFB$11,Assumptions!$B$35:$H$35,_xlfn.XLOOKUP($C28,Assumptions!$B$36:$B$41,Assumptions!$B$36:$H$41))</f>
        <v>0</v>
      </c>
      <c r="DFC28">
        <f t="array" ref="DFC28">_xlfn.XLOOKUP(DFC$11,Assumptions!$B$35:$H$35,_xlfn.XLOOKUP($C28,Assumptions!$B$36:$B$41,Assumptions!$B$36:$H$41))</f>
        <v>0</v>
      </c>
      <c r="DFD28">
        <f t="array" ref="DFD28">_xlfn.XLOOKUP(DFD$11,Assumptions!$B$35:$H$35,_xlfn.XLOOKUP($C28,Assumptions!$B$36:$B$41,Assumptions!$B$36:$H$41))</f>
        <v>0</v>
      </c>
      <c r="DFE28">
        <f t="array" ref="DFE28">_xlfn.XLOOKUP(DFE$11,Assumptions!$B$35:$H$35,_xlfn.XLOOKUP($C28,Assumptions!$B$36:$B$41,Assumptions!$B$36:$H$41))</f>
        <v>0</v>
      </c>
      <c r="DFF28">
        <f t="array" ref="DFF28">_xlfn.XLOOKUP(DFF$11,Assumptions!$B$35:$H$35,_xlfn.XLOOKUP($C28,Assumptions!$B$36:$B$41,Assumptions!$B$36:$H$41))</f>
        <v>0</v>
      </c>
      <c r="DFG28">
        <f t="array" ref="DFG28">_xlfn.XLOOKUP(DFG$11,Assumptions!$B$35:$H$35,_xlfn.XLOOKUP($C28,Assumptions!$B$36:$B$41,Assumptions!$B$36:$H$41))</f>
        <v>0</v>
      </c>
      <c r="DFH28">
        <f t="array" ref="DFH28">_xlfn.XLOOKUP(DFH$11,Assumptions!$B$35:$H$35,_xlfn.XLOOKUP($C28,Assumptions!$B$36:$B$41,Assumptions!$B$36:$H$41))</f>
        <v>0</v>
      </c>
      <c r="DFI28">
        <f t="array" ref="DFI28">_xlfn.XLOOKUP(DFI$11,Assumptions!$B$35:$H$35,_xlfn.XLOOKUP($C28,Assumptions!$B$36:$B$41,Assumptions!$B$36:$H$41))</f>
        <v>0</v>
      </c>
      <c r="DFJ28">
        <f t="array" ref="DFJ28">_xlfn.XLOOKUP(DFJ$11,Assumptions!$B$35:$H$35,_xlfn.XLOOKUP($C28,Assumptions!$B$36:$B$41,Assumptions!$B$36:$H$41))</f>
        <v>0</v>
      </c>
      <c r="DFK28">
        <f t="array" ref="DFK28">_xlfn.XLOOKUP(DFK$11,Assumptions!$B$35:$H$35,_xlfn.XLOOKUP($C28,Assumptions!$B$36:$B$41,Assumptions!$B$36:$H$41))</f>
        <v>0</v>
      </c>
      <c r="DFL28">
        <f t="array" ref="DFL28">_xlfn.XLOOKUP(DFL$11,Assumptions!$B$35:$H$35,_xlfn.XLOOKUP($C28,Assumptions!$B$36:$B$41,Assumptions!$B$36:$H$41))</f>
        <v>0</v>
      </c>
      <c r="DFM28">
        <f t="array" ref="DFM28">_xlfn.XLOOKUP(DFM$11,Assumptions!$B$35:$H$35,_xlfn.XLOOKUP($C28,Assumptions!$B$36:$B$41,Assumptions!$B$36:$H$41))</f>
        <v>0</v>
      </c>
      <c r="DFN28">
        <f t="array" ref="DFN28">_xlfn.XLOOKUP(DFN$11,Assumptions!$B$35:$H$35,_xlfn.XLOOKUP($C28,Assumptions!$B$36:$B$41,Assumptions!$B$36:$H$41))</f>
        <v>0</v>
      </c>
      <c r="DFO28">
        <f t="array" ref="DFO28">_xlfn.XLOOKUP(DFO$11,Assumptions!$B$35:$H$35,_xlfn.XLOOKUP($C28,Assumptions!$B$36:$B$41,Assumptions!$B$36:$H$41))</f>
        <v>0</v>
      </c>
      <c r="DFP28">
        <f t="array" ref="DFP28">_xlfn.XLOOKUP(DFP$11,Assumptions!$B$35:$H$35,_xlfn.XLOOKUP($C28,Assumptions!$B$36:$B$41,Assumptions!$B$36:$H$41))</f>
        <v>0</v>
      </c>
      <c r="DFQ28">
        <f t="array" ref="DFQ28">_xlfn.XLOOKUP(DFQ$11,Assumptions!$B$35:$H$35,_xlfn.XLOOKUP($C28,Assumptions!$B$36:$B$41,Assumptions!$B$36:$H$41))</f>
        <v>0</v>
      </c>
      <c r="DFR28">
        <f t="array" ref="DFR28">_xlfn.XLOOKUP(DFR$11,Assumptions!$B$35:$H$35,_xlfn.XLOOKUP($C28,Assumptions!$B$36:$B$41,Assumptions!$B$36:$H$41))</f>
        <v>0</v>
      </c>
      <c r="DFS28">
        <f t="array" ref="DFS28">_xlfn.XLOOKUP(DFS$11,Assumptions!$B$35:$H$35,_xlfn.XLOOKUP($C28,Assumptions!$B$36:$B$41,Assumptions!$B$36:$H$41))</f>
        <v>0</v>
      </c>
      <c r="DFT28">
        <f t="array" ref="DFT28">_xlfn.XLOOKUP(DFT$11,Assumptions!$B$35:$H$35,_xlfn.XLOOKUP($C28,Assumptions!$B$36:$B$41,Assumptions!$B$36:$H$41))</f>
        <v>0</v>
      </c>
      <c r="DFU28">
        <f t="array" ref="DFU28">_xlfn.XLOOKUP(DFU$11,Assumptions!$B$35:$H$35,_xlfn.XLOOKUP($C28,Assumptions!$B$36:$B$41,Assumptions!$B$36:$H$41))</f>
        <v>0</v>
      </c>
      <c r="DFV28">
        <f t="array" ref="DFV28">_xlfn.XLOOKUP(DFV$11,Assumptions!$B$35:$H$35,_xlfn.XLOOKUP($C28,Assumptions!$B$36:$B$41,Assumptions!$B$36:$H$41))</f>
        <v>0</v>
      </c>
      <c r="DFW28">
        <f t="array" ref="DFW28">_xlfn.XLOOKUP(DFW$11,Assumptions!$B$35:$H$35,_xlfn.XLOOKUP($C28,Assumptions!$B$36:$B$41,Assumptions!$B$36:$H$41))</f>
        <v>0</v>
      </c>
      <c r="DFX28">
        <f t="array" ref="DFX28">_xlfn.XLOOKUP(DFX$11,Assumptions!$B$35:$H$35,_xlfn.XLOOKUP($C28,Assumptions!$B$36:$B$41,Assumptions!$B$36:$H$41))</f>
        <v>0</v>
      </c>
      <c r="DFY28">
        <f t="array" ref="DFY28">_xlfn.XLOOKUP(DFY$11,Assumptions!$B$35:$H$35,_xlfn.XLOOKUP($C28,Assumptions!$B$36:$B$41,Assumptions!$B$36:$H$41))</f>
        <v>0</v>
      </c>
      <c r="DFZ28">
        <f t="array" ref="DFZ28">_xlfn.XLOOKUP(DFZ$11,Assumptions!$B$35:$H$35,_xlfn.XLOOKUP($C28,Assumptions!$B$36:$B$41,Assumptions!$B$36:$H$41))</f>
        <v>0</v>
      </c>
      <c r="DGA28">
        <f t="array" ref="DGA28">_xlfn.XLOOKUP(DGA$11,Assumptions!$B$35:$H$35,_xlfn.XLOOKUP($C28,Assumptions!$B$36:$B$41,Assumptions!$B$36:$H$41))</f>
        <v>0</v>
      </c>
      <c r="DGB28">
        <f t="array" ref="DGB28">_xlfn.XLOOKUP(DGB$11,Assumptions!$B$35:$H$35,_xlfn.XLOOKUP($C28,Assumptions!$B$36:$B$41,Assumptions!$B$36:$H$41))</f>
        <v>0</v>
      </c>
      <c r="DGC28">
        <f t="array" ref="DGC28">_xlfn.XLOOKUP(DGC$11,Assumptions!$B$35:$H$35,_xlfn.XLOOKUP($C28,Assumptions!$B$36:$B$41,Assumptions!$B$36:$H$41))</f>
        <v>0</v>
      </c>
      <c r="DGD28">
        <f t="array" ref="DGD28">_xlfn.XLOOKUP(DGD$11,Assumptions!$B$35:$H$35,_xlfn.XLOOKUP($C28,Assumptions!$B$36:$B$41,Assumptions!$B$36:$H$41))</f>
        <v>0</v>
      </c>
      <c r="DGE28">
        <f t="array" ref="DGE28">_xlfn.XLOOKUP(DGE$11,Assumptions!$B$35:$H$35,_xlfn.XLOOKUP($C28,Assumptions!$B$36:$B$41,Assumptions!$B$36:$H$41))</f>
        <v>0</v>
      </c>
      <c r="DGF28">
        <f t="array" ref="DGF28">_xlfn.XLOOKUP(DGF$11,Assumptions!$B$35:$H$35,_xlfn.XLOOKUP($C28,Assumptions!$B$36:$B$41,Assumptions!$B$36:$H$41))</f>
        <v>0</v>
      </c>
      <c r="DGG28">
        <f t="array" ref="DGG28">_xlfn.XLOOKUP(DGG$11,Assumptions!$B$35:$H$35,_xlfn.XLOOKUP($C28,Assumptions!$B$36:$B$41,Assumptions!$B$36:$H$41))</f>
        <v>0</v>
      </c>
      <c r="DGH28">
        <f t="array" ref="DGH28">_xlfn.XLOOKUP(DGH$11,Assumptions!$B$35:$H$35,_xlfn.XLOOKUP($C28,Assumptions!$B$36:$B$41,Assumptions!$B$36:$H$41))</f>
        <v>0</v>
      </c>
      <c r="DGI28">
        <f t="array" ref="DGI28">_xlfn.XLOOKUP(DGI$11,Assumptions!$B$35:$H$35,_xlfn.XLOOKUP($C28,Assumptions!$B$36:$B$41,Assumptions!$B$36:$H$41))</f>
        <v>0</v>
      </c>
      <c r="DGJ28">
        <f t="array" ref="DGJ28">_xlfn.XLOOKUP(DGJ$11,Assumptions!$B$35:$H$35,_xlfn.XLOOKUP($C28,Assumptions!$B$36:$B$41,Assumptions!$B$36:$H$41))</f>
        <v>0</v>
      </c>
      <c r="DGK28">
        <f t="array" ref="DGK28">_xlfn.XLOOKUP(DGK$11,Assumptions!$B$35:$H$35,_xlfn.XLOOKUP($C28,Assumptions!$B$36:$B$41,Assumptions!$B$36:$H$41))</f>
        <v>0</v>
      </c>
      <c r="DGL28">
        <f t="array" ref="DGL28">_xlfn.XLOOKUP(DGL$11,Assumptions!$B$35:$H$35,_xlfn.XLOOKUP($C28,Assumptions!$B$36:$B$41,Assumptions!$B$36:$H$41))</f>
        <v>0</v>
      </c>
      <c r="DGM28">
        <f t="array" ref="DGM28">_xlfn.XLOOKUP(DGM$11,Assumptions!$B$35:$H$35,_xlfn.XLOOKUP($C28,Assumptions!$B$36:$B$41,Assumptions!$B$36:$H$41))</f>
        <v>0</v>
      </c>
      <c r="DGN28">
        <f t="array" ref="DGN28">_xlfn.XLOOKUP(DGN$11,Assumptions!$B$35:$H$35,_xlfn.XLOOKUP($C28,Assumptions!$B$36:$B$41,Assumptions!$B$36:$H$41))</f>
        <v>0</v>
      </c>
      <c r="DGO28">
        <f t="array" ref="DGO28">_xlfn.XLOOKUP(DGO$11,Assumptions!$B$35:$H$35,_xlfn.XLOOKUP($C28,Assumptions!$B$36:$B$41,Assumptions!$B$36:$H$41))</f>
        <v>0</v>
      </c>
      <c r="DGP28">
        <f t="array" ref="DGP28">_xlfn.XLOOKUP(DGP$11,Assumptions!$B$35:$H$35,_xlfn.XLOOKUP($C28,Assumptions!$B$36:$B$41,Assumptions!$B$36:$H$41))</f>
        <v>0</v>
      </c>
      <c r="DGQ28">
        <f t="array" ref="DGQ28">_xlfn.XLOOKUP(DGQ$11,Assumptions!$B$35:$H$35,_xlfn.XLOOKUP($C28,Assumptions!$B$36:$B$41,Assumptions!$B$36:$H$41))</f>
        <v>0</v>
      </c>
      <c r="DGR28">
        <f t="array" ref="DGR28">_xlfn.XLOOKUP(DGR$11,Assumptions!$B$35:$H$35,_xlfn.XLOOKUP($C28,Assumptions!$B$36:$B$41,Assumptions!$B$36:$H$41))</f>
        <v>0</v>
      </c>
      <c r="DGS28">
        <f t="array" ref="DGS28">_xlfn.XLOOKUP(DGS$11,Assumptions!$B$35:$H$35,_xlfn.XLOOKUP($C28,Assumptions!$B$36:$B$41,Assumptions!$B$36:$H$41))</f>
        <v>0</v>
      </c>
      <c r="DGT28">
        <f t="array" ref="DGT28">_xlfn.XLOOKUP(DGT$11,Assumptions!$B$35:$H$35,_xlfn.XLOOKUP($C28,Assumptions!$B$36:$B$41,Assumptions!$B$36:$H$41))</f>
        <v>0</v>
      </c>
      <c r="DGU28">
        <f t="array" ref="DGU28">_xlfn.XLOOKUP(DGU$11,Assumptions!$B$35:$H$35,_xlfn.XLOOKUP($C28,Assumptions!$B$36:$B$41,Assumptions!$B$36:$H$41))</f>
        <v>0</v>
      </c>
      <c r="DGV28">
        <f t="array" ref="DGV28">_xlfn.XLOOKUP(DGV$11,Assumptions!$B$35:$H$35,_xlfn.XLOOKUP($C28,Assumptions!$B$36:$B$41,Assumptions!$B$36:$H$41))</f>
        <v>0</v>
      </c>
      <c r="DGW28">
        <f t="array" ref="DGW28">_xlfn.XLOOKUP(DGW$11,Assumptions!$B$35:$H$35,_xlfn.XLOOKUP($C28,Assumptions!$B$36:$B$41,Assumptions!$B$36:$H$41))</f>
        <v>0</v>
      </c>
      <c r="DGX28">
        <f t="array" ref="DGX28">_xlfn.XLOOKUP(DGX$11,Assumptions!$B$35:$H$35,_xlfn.XLOOKUP($C28,Assumptions!$B$36:$B$41,Assumptions!$B$36:$H$41))</f>
        <v>0</v>
      </c>
      <c r="DGY28">
        <f t="array" ref="DGY28">_xlfn.XLOOKUP(DGY$11,Assumptions!$B$35:$H$35,_xlfn.XLOOKUP($C28,Assumptions!$B$36:$B$41,Assumptions!$B$36:$H$41))</f>
        <v>0</v>
      </c>
      <c r="DGZ28">
        <f t="array" ref="DGZ28">_xlfn.XLOOKUP(DGZ$11,Assumptions!$B$35:$H$35,_xlfn.XLOOKUP($C28,Assumptions!$B$36:$B$41,Assumptions!$B$36:$H$41))</f>
        <v>0</v>
      </c>
      <c r="DHA28">
        <f t="array" ref="DHA28">_xlfn.XLOOKUP(DHA$11,Assumptions!$B$35:$H$35,_xlfn.XLOOKUP($C28,Assumptions!$B$36:$B$41,Assumptions!$B$36:$H$41))</f>
        <v>0</v>
      </c>
      <c r="DHB28">
        <f t="array" ref="DHB28">_xlfn.XLOOKUP(DHB$11,Assumptions!$B$35:$H$35,_xlfn.XLOOKUP($C28,Assumptions!$B$36:$B$41,Assumptions!$B$36:$H$41))</f>
        <v>0</v>
      </c>
      <c r="DHC28">
        <f t="array" ref="DHC28">_xlfn.XLOOKUP(DHC$11,Assumptions!$B$35:$H$35,_xlfn.XLOOKUP($C28,Assumptions!$B$36:$B$41,Assumptions!$B$36:$H$41))</f>
        <v>0</v>
      </c>
      <c r="DHD28">
        <f t="array" ref="DHD28">_xlfn.XLOOKUP(DHD$11,Assumptions!$B$35:$H$35,_xlfn.XLOOKUP($C28,Assumptions!$B$36:$B$41,Assumptions!$B$36:$H$41))</f>
        <v>0</v>
      </c>
      <c r="DHE28">
        <f t="array" ref="DHE28">_xlfn.XLOOKUP(DHE$11,Assumptions!$B$35:$H$35,_xlfn.XLOOKUP($C28,Assumptions!$B$36:$B$41,Assumptions!$B$36:$H$41))</f>
        <v>0</v>
      </c>
      <c r="DHF28">
        <f t="array" ref="DHF28">_xlfn.XLOOKUP(DHF$11,Assumptions!$B$35:$H$35,_xlfn.XLOOKUP($C28,Assumptions!$B$36:$B$41,Assumptions!$B$36:$H$41))</f>
        <v>0</v>
      </c>
      <c r="DHG28">
        <f t="array" ref="DHG28">_xlfn.XLOOKUP(DHG$11,Assumptions!$B$35:$H$35,_xlfn.XLOOKUP($C28,Assumptions!$B$36:$B$41,Assumptions!$B$36:$H$41))</f>
        <v>0</v>
      </c>
      <c r="DHH28">
        <f t="array" ref="DHH28">_xlfn.XLOOKUP(DHH$11,Assumptions!$B$35:$H$35,_xlfn.XLOOKUP($C28,Assumptions!$B$36:$B$41,Assumptions!$B$36:$H$41))</f>
        <v>0</v>
      </c>
      <c r="DHI28">
        <f t="array" ref="DHI28">_xlfn.XLOOKUP(DHI$11,Assumptions!$B$35:$H$35,_xlfn.XLOOKUP($C28,Assumptions!$B$36:$B$41,Assumptions!$B$36:$H$41))</f>
        <v>0</v>
      </c>
      <c r="DHJ28">
        <f t="array" ref="DHJ28">_xlfn.XLOOKUP(DHJ$11,Assumptions!$B$35:$H$35,_xlfn.XLOOKUP($C28,Assumptions!$B$36:$B$41,Assumptions!$B$36:$H$41))</f>
        <v>0</v>
      </c>
      <c r="DHK28">
        <f t="array" ref="DHK28">_xlfn.XLOOKUP(DHK$11,Assumptions!$B$35:$H$35,_xlfn.XLOOKUP($C28,Assumptions!$B$36:$B$41,Assumptions!$B$36:$H$41))</f>
        <v>0</v>
      </c>
      <c r="DHL28">
        <f t="array" ref="DHL28">_xlfn.XLOOKUP(DHL$11,Assumptions!$B$35:$H$35,_xlfn.XLOOKUP($C28,Assumptions!$B$36:$B$41,Assumptions!$B$36:$H$41))</f>
        <v>0</v>
      </c>
      <c r="DHM28">
        <f t="array" ref="DHM28">_xlfn.XLOOKUP(DHM$11,Assumptions!$B$35:$H$35,_xlfn.XLOOKUP($C28,Assumptions!$B$36:$B$41,Assumptions!$B$36:$H$41))</f>
        <v>0</v>
      </c>
      <c r="DHN28">
        <f t="array" ref="DHN28">_xlfn.XLOOKUP(DHN$11,Assumptions!$B$35:$H$35,_xlfn.XLOOKUP($C28,Assumptions!$B$36:$B$41,Assumptions!$B$36:$H$41))</f>
        <v>0</v>
      </c>
      <c r="DHO28">
        <f t="array" ref="DHO28">_xlfn.XLOOKUP(DHO$11,Assumptions!$B$35:$H$35,_xlfn.XLOOKUP($C28,Assumptions!$B$36:$B$41,Assumptions!$B$36:$H$41))</f>
        <v>0</v>
      </c>
      <c r="DHP28">
        <f t="array" ref="DHP28">_xlfn.XLOOKUP(DHP$11,Assumptions!$B$35:$H$35,_xlfn.XLOOKUP($C28,Assumptions!$B$36:$B$41,Assumptions!$B$36:$H$41))</f>
        <v>0</v>
      </c>
      <c r="DHQ28">
        <f t="array" ref="DHQ28">_xlfn.XLOOKUP(DHQ$11,Assumptions!$B$35:$H$35,_xlfn.XLOOKUP($C28,Assumptions!$B$36:$B$41,Assumptions!$B$36:$H$41))</f>
        <v>0</v>
      </c>
      <c r="DHR28">
        <f t="array" ref="DHR28">_xlfn.XLOOKUP(DHR$11,Assumptions!$B$35:$H$35,_xlfn.XLOOKUP($C28,Assumptions!$B$36:$B$41,Assumptions!$B$36:$H$41))</f>
        <v>0</v>
      </c>
      <c r="DHS28">
        <f t="array" ref="DHS28">_xlfn.XLOOKUP(DHS$11,Assumptions!$B$35:$H$35,_xlfn.XLOOKUP($C28,Assumptions!$B$36:$B$41,Assumptions!$B$36:$H$41))</f>
        <v>0</v>
      </c>
      <c r="DHT28">
        <f t="array" ref="DHT28">_xlfn.XLOOKUP(DHT$11,Assumptions!$B$35:$H$35,_xlfn.XLOOKUP($C28,Assumptions!$B$36:$B$41,Assumptions!$B$36:$H$41))</f>
        <v>0</v>
      </c>
      <c r="DHU28">
        <f t="array" ref="DHU28">_xlfn.XLOOKUP(DHU$11,Assumptions!$B$35:$H$35,_xlfn.XLOOKUP($C28,Assumptions!$B$36:$B$41,Assumptions!$B$36:$H$41))</f>
        <v>0</v>
      </c>
      <c r="DHV28">
        <f t="array" ref="DHV28">_xlfn.XLOOKUP(DHV$11,Assumptions!$B$35:$H$35,_xlfn.XLOOKUP($C28,Assumptions!$B$36:$B$41,Assumptions!$B$36:$H$41))</f>
        <v>0</v>
      </c>
      <c r="DHW28">
        <f t="array" ref="DHW28">_xlfn.XLOOKUP(DHW$11,Assumptions!$B$35:$H$35,_xlfn.XLOOKUP($C28,Assumptions!$B$36:$B$41,Assumptions!$B$36:$H$41))</f>
        <v>0</v>
      </c>
      <c r="DHX28">
        <f t="array" ref="DHX28">_xlfn.XLOOKUP(DHX$11,Assumptions!$B$35:$H$35,_xlfn.XLOOKUP($C28,Assumptions!$B$36:$B$41,Assumptions!$B$36:$H$41))</f>
        <v>0</v>
      </c>
      <c r="DHY28">
        <f t="array" ref="DHY28">_xlfn.XLOOKUP(DHY$11,Assumptions!$B$35:$H$35,_xlfn.XLOOKUP($C28,Assumptions!$B$36:$B$41,Assumptions!$B$36:$H$41))</f>
        <v>0</v>
      </c>
      <c r="DHZ28">
        <f t="array" ref="DHZ28">_xlfn.XLOOKUP(DHZ$11,Assumptions!$B$35:$H$35,_xlfn.XLOOKUP($C28,Assumptions!$B$36:$B$41,Assumptions!$B$36:$H$41))</f>
        <v>0</v>
      </c>
      <c r="DIA28">
        <f t="array" ref="DIA28">_xlfn.XLOOKUP(DIA$11,Assumptions!$B$35:$H$35,_xlfn.XLOOKUP($C28,Assumptions!$B$36:$B$41,Assumptions!$B$36:$H$41))</f>
        <v>0</v>
      </c>
      <c r="DIB28">
        <f t="array" ref="DIB28">_xlfn.XLOOKUP(DIB$11,Assumptions!$B$35:$H$35,_xlfn.XLOOKUP($C28,Assumptions!$B$36:$B$41,Assumptions!$B$36:$H$41))</f>
        <v>0</v>
      </c>
      <c r="DIC28">
        <f t="array" ref="DIC28">_xlfn.XLOOKUP(DIC$11,Assumptions!$B$35:$H$35,_xlfn.XLOOKUP($C28,Assumptions!$B$36:$B$41,Assumptions!$B$36:$H$41))</f>
        <v>0</v>
      </c>
      <c r="DID28">
        <f t="array" ref="DID28">_xlfn.XLOOKUP(DID$11,Assumptions!$B$35:$H$35,_xlfn.XLOOKUP($C28,Assumptions!$B$36:$B$41,Assumptions!$B$36:$H$41))</f>
        <v>0</v>
      </c>
      <c r="DIE28">
        <f t="array" ref="DIE28">_xlfn.XLOOKUP(DIE$11,Assumptions!$B$35:$H$35,_xlfn.XLOOKUP($C28,Assumptions!$B$36:$B$41,Assumptions!$B$36:$H$41))</f>
        <v>0</v>
      </c>
      <c r="DIF28">
        <f t="array" ref="DIF28">_xlfn.XLOOKUP(DIF$11,Assumptions!$B$35:$H$35,_xlfn.XLOOKUP($C28,Assumptions!$B$36:$B$41,Assumptions!$B$36:$H$41))</f>
        <v>0</v>
      </c>
      <c r="DIG28">
        <f t="array" ref="DIG28">_xlfn.XLOOKUP(DIG$11,Assumptions!$B$35:$H$35,_xlfn.XLOOKUP($C28,Assumptions!$B$36:$B$41,Assumptions!$B$36:$H$41))</f>
        <v>0</v>
      </c>
      <c r="DIH28">
        <f t="array" ref="DIH28">_xlfn.XLOOKUP(DIH$11,Assumptions!$B$35:$H$35,_xlfn.XLOOKUP($C28,Assumptions!$B$36:$B$41,Assumptions!$B$36:$H$41))</f>
        <v>0</v>
      </c>
      <c r="DII28">
        <f t="array" ref="DII28">_xlfn.XLOOKUP(DII$11,Assumptions!$B$35:$H$35,_xlfn.XLOOKUP($C28,Assumptions!$B$36:$B$41,Assumptions!$B$36:$H$41))</f>
        <v>0</v>
      </c>
      <c r="DIJ28">
        <f t="array" ref="DIJ28">_xlfn.XLOOKUP(DIJ$11,Assumptions!$B$35:$H$35,_xlfn.XLOOKUP($C28,Assumptions!$B$36:$B$41,Assumptions!$B$36:$H$41))</f>
        <v>0</v>
      </c>
      <c r="DIK28">
        <f t="array" ref="DIK28">_xlfn.XLOOKUP(DIK$11,Assumptions!$B$35:$H$35,_xlfn.XLOOKUP($C28,Assumptions!$B$36:$B$41,Assumptions!$B$36:$H$41))</f>
        <v>0</v>
      </c>
      <c r="DIL28">
        <f t="array" ref="DIL28">_xlfn.XLOOKUP(DIL$11,Assumptions!$B$35:$H$35,_xlfn.XLOOKUP($C28,Assumptions!$B$36:$B$41,Assumptions!$B$36:$H$41))</f>
        <v>0</v>
      </c>
      <c r="DIM28">
        <f t="array" ref="DIM28">_xlfn.XLOOKUP(DIM$11,Assumptions!$B$35:$H$35,_xlfn.XLOOKUP($C28,Assumptions!$B$36:$B$41,Assumptions!$B$36:$H$41))</f>
        <v>0</v>
      </c>
      <c r="DIN28">
        <f t="array" ref="DIN28">_xlfn.XLOOKUP(DIN$11,Assumptions!$B$35:$H$35,_xlfn.XLOOKUP($C28,Assumptions!$B$36:$B$41,Assumptions!$B$36:$H$41))</f>
        <v>0</v>
      </c>
      <c r="DIO28">
        <f t="array" ref="DIO28">_xlfn.XLOOKUP(DIO$11,Assumptions!$B$35:$H$35,_xlfn.XLOOKUP($C28,Assumptions!$B$36:$B$41,Assumptions!$B$36:$H$41))</f>
        <v>0</v>
      </c>
      <c r="DIP28">
        <f t="array" ref="DIP28">_xlfn.XLOOKUP(DIP$11,Assumptions!$B$35:$H$35,_xlfn.XLOOKUP($C28,Assumptions!$B$36:$B$41,Assumptions!$B$36:$H$41))</f>
        <v>0</v>
      </c>
      <c r="DIQ28">
        <f t="array" ref="DIQ28">_xlfn.XLOOKUP(DIQ$11,Assumptions!$B$35:$H$35,_xlfn.XLOOKUP($C28,Assumptions!$B$36:$B$41,Assumptions!$B$36:$H$41))</f>
        <v>0</v>
      </c>
      <c r="DIR28">
        <f t="array" ref="DIR28">_xlfn.XLOOKUP(DIR$11,Assumptions!$B$35:$H$35,_xlfn.XLOOKUP($C28,Assumptions!$B$36:$B$41,Assumptions!$B$36:$H$41))</f>
        <v>0</v>
      </c>
      <c r="DIS28">
        <f t="array" ref="DIS28">_xlfn.XLOOKUP(DIS$11,Assumptions!$B$35:$H$35,_xlfn.XLOOKUP($C28,Assumptions!$B$36:$B$41,Assumptions!$B$36:$H$41))</f>
        <v>0</v>
      </c>
      <c r="DIT28">
        <f t="array" ref="DIT28">_xlfn.XLOOKUP(DIT$11,Assumptions!$B$35:$H$35,_xlfn.XLOOKUP($C28,Assumptions!$B$36:$B$41,Assumptions!$B$36:$H$41))</f>
        <v>0</v>
      </c>
      <c r="DIU28">
        <f t="array" ref="DIU28">_xlfn.XLOOKUP(DIU$11,Assumptions!$B$35:$H$35,_xlfn.XLOOKUP($C28,Assumptions!$B$36:$B$41,Assumptions!$B$36:$H$41))</f>
        <v>0</v>
      </c>
      <c r="DIV28">
        <f t="array" ref="DIV28">_xlfn.XLOOKUP(DIV$11,Assumptions!$B$35:$H$35,_xlfn.XLOOKUP($C28,Assumptions!$B$36:$B$41,Assumptions!$B$36:$H$41))</f>
        <v>0</v>
      </c>
      <c r="DIW28">
        <f t="array" ref="DIW28">_xlfn.XLOOKUP(DIW$11,Assumptions!$B$35:$H$35,_xlfn.XLOOKUP($C28,Assumptions!$B$36:$B$41,Assumptions!$B$36:$H$41))</f>
        <v>0</v>
      </c>
      <c r="DIX28">
        <f t="array" ref="DIX28">_xlfn.XLOOKUP(DIX$11,Assumptions!$B$35:$H$35,_xlfn.XLOOKUP($C28,Assumptions!$B$36:$B$41,Assumptions!$B$36:$H$41))</f>
        <v>0</v>
      </c>
      <c r="DIY28">
        <f t="array" ref="DIY28">_xlfn.XLOOKUP(DIY$11,Assumptions!$B$35:$H$35,_xlfn.XLOOKUP($C28,Assumptions!$B$36:$B$41,Assumptions!$B$36:$H$41))</f>
        <v>0</v>
      </c>
      <c r="DIZ28">
        <f t="array" ref="DIZ28">_xlfn.XLOOKUP(DIZ$11,Assumptions!$B$35:$H$35,_xlfn.XLOOKUP($C28,Assumptions!$B$36:$B$41,Assumptions!$B$36:$H$41))</f>
        <v>0</v>
      </c>
      <c r="DJA28">
        <f t="array" ref="DJA28">_xlfn.XLOOKUP(DJA$11,Assumptions!$B$35:$H$35,_xlfn.XLOOKUP($C28,Assumptions!$B$36:$B$41,Assumptions!$B$36:$H$41))</f>
        <v>0</v>
      </c>
      <c r="DJB28">
        <f t="array" ref="DJB28">_xlfn.XLOOKUP(DJB$11,Assumptions!$B$35:$H$35,_xlfn.XLOOKUP($C28,Assumptions!$B$36:$B$41,Assumptions!$B$36:$H$41))</f>
        <v>0</v>
      </c>
      <c r="DJC28">
        <f t="array" ref="DJC28">_xlfn.XLOOKUP(DJC$11,Assumptions!$B$35:$H$35,_xlfn.XLOOKUP($C28,Assumptions!$B$36:$B$41,Assumptions!$B$36:$H$41))</f>
        <v>0</v>
      </c>
      <c r="DJD28">
        <f t="array" ref="DJD28">_xlfn.XLOOKUP(DJD$11,Assumptions!$B$35:$H$35,_xlfn.XLOOKUP($C28,Assumptions!$B$36:$B$41,Assumptions!$B$36:$H$41))</f>
        <v>0</v>
      </c>
      <c r="DJE28">
        <f t="array" ref="DJE28">_xlfn.XLOOKUP(DJE$11,Assumptions!$B$35:$H$35,_xlfn.XLOOKUP($C28,Assumptions!$B$36:$B$41,Assumptions!$B$36:$H$41))</f>
        <v>0</v>
      </c>
      <c r="DJF28">
        <f t="array" ref="DJF28">_xlfn.XLOOKUP(DJF$11,Assumptions!$B$35:$H$35,_xlfn.XLOOKUP($C28,Assumptions!$B$36:$B$41,Assumptions!$B$36:$H$41))</f>
        <v>0</v>
      </c>
      <c r="DJG28">
        <f t="array" ref="DJG28">_xlfn.XLOOKUP(DJG$11,Assumptions!$B$35:$H$35,_xlfn.XLOOKUP($C28,Assumptions!$B$36:$B$41,Assumptions!$B$36:$H$41))</f>
        <v>0</v>
      </c>
      <c r="DJH28">
        <f t="array" ref="DJH28">_xlfn.XLOOKUP(DJH$11,Assumptions!$B$35:$H$35,_xlfn.XLOOKUP($C28,Assumptions!$B$36:$B$41,Assumptions!$B$36:$H$41))</f>
        <v>0</v>
      </c>
      <c r="DJI28">
        <f t="array" ref="DJI28">_xlfn.XLOOKUP(DJI$11,Assumptions!$B$35:$H$35,_xlfn.XLOOKUP($C28,Assumptions!$B$36:$B$41,Assumptions!$B$36:$H$41))</f>
        <v>0</v>
      </c>
      <c r="DJJ28">
        <f t="array" ref="DJJ28">_xlfn.XLOOKUP(DJJ$11,Assumptions!$B$35:$H$35,_xlfn.XLOOKUP($C28,Assumptions!$B$36:$B$41,Assumptions!$B$36:$H$41))</f>
        <v>0</v>
      </c>
      <c r="DJK28">
        <f t="array" ref="DJK28">_xlfn.XLOOKUP(DJK$11,Assumptions!$B$35:$H$35,_xlfn.XLOOKUP($C28,Assumptions!$B$36:$B$41,Assumptions!$B$36:$H$41))</f>
        <v>0</v>
      </c>
      <c r="DJL28">
        <f t="array" ref="DJL28">_xlfn.XLOOKUP(DJL$11,Assumptions!$B$35:$H$35,_xlfn.XLOOKUP($C28,Assumptions!$B$36:$B$41,Assumptions!$B$36:$H$41))</f>
        <v>0</v>
      </c>
      <c r="DJM28">
        <f t="array" ref="DJM28">_xlfn.XLOOKUP(DJM$11,Assumptions!$B$35:$H$35,_xlfn.XLOOKUP($C28,Assumptions!$B$36:$B$41,Assumptions!$B$36:$H$41))</f>
        <v>0</v>
      </c>
      <c r="DJN28">
        <f t="array" ref="DJN28">_xlfn.XLOOKUP(DJN$11,Assumptions!$B$35:$H$35,_xlfn.XLOOKUP($C28,Assumptions!$B$36:$B$41,Assumptions!$B$36:$H$41))</f>
        <v>0</v>
      </c>
      <c r="DJO28">
        <f t="array" ref="DJO28">_xlfn.XLOOKUP(DJO$11,Assumptions!$B$35:$H$35,_xlfn.XLOOKUP($C28,Assumptions!$B$36:$B$41,Assumptions!$B$36:$H$41))</f>
        <v>0</v>
      </c>
      <c r="DJP28">
        <f t="array" ref="DJP28">_xlfn.XLOOKUP(DJP$11,Assumptions!$B$35:$H$35,_xlfn.XLOOKUP($C28,Assumptions!$B$36:$B$41,Assumptions!$B$36:$H$41))</f>
        <v>0</v>
      </c>
      <c r="DJQ28">
        <f t="array" ref="DJQ28">_xlfn.XLOOKUP(DJQ$11,Assumptions!$B$35:$H$35,_xlfn.XLOOKUP($C28,Assumptions!$B$36:$B$41,Assumptions!$B$36:$H$41))</f>
        <v>0</v>
      </c>
      <c r="DJR28">
        <f t="array" ref="DJR28">_xlfn.XLOOKUP(DJR$11,Assumptions!$B$35:$H$35,_xlfn.XLOOKUP($C28,Assumptions!$B$36:$B$41,Assumptions!$B$36:$H$41))</f>
        <v>0</v>
      </c>
      <c r="DJS28">
        <f t="array" ref="DJS28">_xlfn.XLOOKUP(DJS$11,Assumptions!$B$35:$H$35,_xlfn.XLOOKUP($C28,Assumptions!$B$36:$B$41,Assumptions!$B$36:$H$41))</f>
        <v>0</v>
      </c>
      <c r="DJT28">
        <f t="array" ref="DJT28">_xlfn.XLOOKUP(DJT$11,Assumptions!$B$35:$H$35,_xlfn.XLOOKUP($C28,Assumptions!$B$36:$B$41,Assumptions!$B$36:$H$41))</f>
        <v>0</v>
      </c>
      <c r="DJU28">
        <f t="array" ref="DJU28">_xlfn.XLOOKUP(DJU$11,Assumptions!$B$35:$H$35,_xlfn.XLOOKUP($C28,Assumptions!$B$36:$B$41,Assumptions!$B$36:$H$41))</f>
        <v>0</v>
      </c>
      <c r="DJV28">
        <f t="array" ref="DJV28">_xlfn.XLOOKUP(DJV$11,Assumptions!$B$35:$H$35,_xlfn.XLOOKUP($C28,Assumptions!$B$36:$B$41,Assumptions!$B$36:$H$41))</f>
        <v>0</v>
      </c>
      <c r="DJW28">
        <f t="array" ref="DJW28">_xlfn.XLOOKUP(DJW$11,Assumptions!$B$35:$H$35,_xlfn.XLOOKUP($C28,Assumptions!$B$36:$B$41,Assumptions!$B$36:$H$41))</f>
        <v>0</v>
      </c>
      <c r="DJX28">
        <f t="array" ref="DJX28">_xlfn.XLOOKUP(DJX$11,Assumptions!$B$35:$H$35,_xlfn.XLOOKUP($C28,Assumptions!$B$36:$B$41,Assumptions!$B$36:$H$41))</f>
        <v>0</v>
      </c>
      <c r="DJY28">
        <f t="array" ref="DJY28">_xlfn.XLOOKUP(DJY$11,Assumptions!$B$35:$H$35,_xlfn.XLOOKUP($C28,Assumptions!$B$36:$B$41,Assumptions!$B$36:$H$41))</f>
        <v>0</v>
      </c>
      <c r="DJZ28">
        <f t="array" ref="DJZ28">_xlfn.XLOOKUP(DJZ$11,Assumptions!$B$35:$H$35,_xlfn.XLOOKUP($C28,Assumptions!$B$36:$B$41,Assumptions!$B$36:$H$41))</f>
        <v>0</v>
      </c>
      <c r="DKA28">
        <f t="array" ref="DKA28">_xlfn.XLOOKUP(DKA$11,Assumptions!$B$35:$H$35,_xlfn.XLOOKUP($C28,Assumptions!$B$36:$B$41,Assumptions!$B$36:$H$41))</f>
        <v>0</v>
      </c>
      <c r="DKB28">
        <f t="array" ref="DKB28">_xlfn.XLOOKUP(DKB$11,Assumptions!$B$35:$H$35,_xlfn.XLOOKUP($C28,Assumptions!$B$36:$B$41,Assumptions!$B$36:$H$41))</f>
        <v>0</v>
      </c>
      <c r="DKC28">
        <f t="array" ref="DKC28">_xlfn.XLOOKUP(DKC$11,Assumptions!$B$35:$H$35,_xlfn.XLOOKUP($C28,Assumptions!$B$36:$B$41,Assumptions!$B$36:$H$41))</f>
        <v>0</v>
      </c>
      <c r="DKD28">
        <f t="array" ref="DKD28">_xlfn.XLOOKUP(DKD$11,Assumptions!$B$35:$H$35,_xlfn.XLOOKUP($C28,Assumptions!$B$36:$B$41,Assumptions!$B$36:$H$41))</f>
        <v>0</v>
      </c>
      <c r="DKE28">
        <f t="array" ref="DKE28">_xlfn.XLOOKUP(DKE$11,Assumptions!$B$35:$H$35,_xlfn.XLOOKUP($C28,Assumptions!$B$36:$B$41,Assumptions!$B$36:$H$41))</f>
        <v>0</v>
      </c>
      <c r="DKF28">
        <f t="array" ref="DKF28">_xlfn.XLOOKUP(DKF$11,Assumptions!$B$35:$H$35,_xlfn.XLOOKUP($C28,Assumptions!$B$36:$B$41,Assumptions!$B$36:$H$41))</f>
        <v>0</v>
      </c>
      <c r="DKG28">
        <f t="array" ref="DKG28">_xlfn.XLOOKUP(DKG$11,Assumptions!$B$35:$H$35,_xlfn.XLOOKUP($C28,Assumptions!$B$36:$B$41,Assumptions!$B$36:$H$41))</f>
        <v>0</v>
      </c>
      <c r="DKH28">
        <f t="array" ref="DKH28">_xlfn.XLOOKUP(DKH$11,Assumptions!$B$35:$H$35,_xlfn.XLOOKUP($C28,Assumptions!$B$36:$B$41,Assumptions!$B$36:$H$41))</f>
        <v>0</v>
      </c>
      <c r="DKI28">
        <f t="array" ref="DKI28">_xlfn.XLOOKUP(DKI$11,Assumptions!$B$35:$H$35,_xlfn.XLOOKUP($C28,Assumptions!$B$36:$B$41,Assumptions!$B$36:$H$41))</f>
        <v>0</v>
      </c>
      <c r="DKJ28">
        <f t="array" ref="DKJ28">_xlfn.XLOOKUP(DKJ$11,Assumptions!$B$35:$H$35,_xlfn.XLOOKUP($C28,Assumptions!$B$36:$B$41,Assumptions!$B$36:$H$41))</f>
        <v>0</v>
      </c>
      <c r="DKK28">
        <f t="array" ref="DKK28">_xlfn.XLOOKUP(DKK$11,Assumptions!$B$35:$H$35,_xlfn.XLOOKUP($C28,Assumptions!$B$36:$B$41,Assumptions!$B$36:$H$41))</f>
        <v>0</v>
      </c>
      <c r="DKL28">
        <f t="array" ref="DKL28">_xlfn.XLOOKUP(DKL$11,Assumptions!$B$35:$H$35,_xlfn.XLOOKUP($C28,Assumptions!$B$36:$B$41,Assumptions!$B$36:$H$41))</f>
        <v>0</v>
      </c>
      <c r="DKM28">
        <f t="array" ref="DKM28">_xlfn.XLOOKUP(DKM$11,Assumptions!$B$35:$H$35,_xlfn.XLOOKUP($C28,Assumptions!$B$36:$B$41,Assumptions!$B$36:$H$41))</f>
        <v>0</v>
      </c>
      <c r="DKN28">
        <f t="array" ref="DKN28">_xlfn.XLOOKUP(DKN$11,Assumptions!$B$35:$H$35,_xlfn.XLOOKUP($C28,Assumptions!$B$36:$B$41,Assumptions!$B$36:$H$41))</f>
        <v>0</v>
      </c>
      <c r="DKO28">
        <f t="array" ref="DKO28">_xlfn.XLOOKUP(DKO$11,Assumptions!$B$35:$H$35,_xlfn.XLOOKUP($C28,Assumptions!$B$36:$B$41,Assumptions!$B$36:$H$41))</f>
        <v>0</v>
      </c>
      <c r="DKP28">
        <f t="array" ref="DKP28">_xlfn.XLOOKUP(DKP$11,Assumptions!$B$35:$H$35,_xlfn.XLOOKUP($C28,Assumptions!$B$36:$B$41,Assumptions!$B$36:$H$41))</f>
        <v>0</v>
      </c>
      <c r="DKQ28">
        <f t="array" ref="DKQ28">_xlfn.XLOOKUP(DKQ$11,Assumptions!$B$35:$H$35,_xlfn.XLOOKUP($C28,Assumptions!$B$36:$B$41,Assumptions!$B$36:$H$41))</f>
        <v>0</v>
      </c>
      <c r="DKR28">
        <f t="array" ref="DKR28">_xlfn.XLOOKUP(DKR$11,Assumptions!$B$35:$H$35,_xlfn.XLOOKUP($C28,Assumptions!$B$36:$B$41,Assumptions!$B$36:$H$41))</f>
        <v>0</v>
      </c>
      <c r="DKS28">
        <f t="array" ref="DKS28">_xlfn.XLOOKUP(DKS$11,Assumptions!$B$35:$H$35,_xlfn.XLOOKUP($C28,Assumptions!$B$36:$B$41,Assumptions!$B$36:$H$41))</f>
        <v>0</v>
      </c>
      <c r="DKT28">
        <f t="array" ref="DKT28">_xlfn.XLOOKUP(DKT$11,Assumptions!$B$35:$H$35,_xlfn.XLOOKUP($C28,Assumptions!$B$36:$B$41,Assumptions!$B$36:$H$41))</f>
        <v>0</v>
      </c>
      <c r="DKU28">
        <f t="array" ref="DKU28">_xlfn.XLOOKUP(DKU$11,Assumptions!$B$35:$H$35,_xlfn.XLOOKUP($C28,Assumptions!$B$36:$B$41,Assumptions!$B$36:$H$41))</f>
        <v>0</v>
      </c>
      <c r="DKV28">
        <f t="array" ref="DKV28">_xlfn.XLOOKUP(DKV$11,Assumptions!$B$35:$H$35,_xlfn.XLOOKUP($C28,Assumptions!$B$36:$B$41,Assumptions!$B$36:$H$41))</f>
        <v>0</v>
      </c>
      <c r="DKW28">
        <f t="array" ref="DKW28">_xlfn.XLOOKUP(DKW$11,Assumptions!$B$35:$H$35,_xlfn.XLOOKUP($C28,Assumptions!$B$36:$B$41,Assumptions!$B$36:$H$41))</f>
        <v>0</v>
      </c>
      <c r="DKX28">
        <f t="array" ref="DKX28">_xlfn.XLOOKUP(DKX$11,Assumptions!$B$35:$H$35,_xlfn.XLOOKUP($C28,Assumptions!$B$36:$B$41,Assumptions!$B$36:$H$41))</f>
        <v>0</v>
      </c>
      <c r="DKY28">
        <f t="array" ref="DKY28">_xlfn.XLOOKUP(DKY$11,Assumptions!$B$35:$H$35,_xlfn.XLOOKUP($C28,Assumptions!$B$36:$B$41,Assumptions!$B$36:$H$41))</f>
        <v>0</v>
      </c>
      <c r="DKZ28">
        <f t="array" ref="DKZ28">_xlfn.XLOOKUP(DKZ$11,Assumptions!$B$35:$H$35,_xlfn.XLOOKUP($C28,Assumptions!$B$36:$B$41,Assumptions!$B$36:$H$41))</f>
        <v>0</v>
      </c>
      <c r="DLA28">
        <f t="array" ref="DLA28">_xlfn.XLOOKUP(DLA$11,Assumptions!$B$35:$H$35,_xlfn.XLOOKUP($C28,Assumptions!$B$36:$B$41,Assumptions!$B$36:$H$41))</f>
        <v>0</v>
      </c>
      <c r="DLB28">
        <f t="array" ref="DLB28">_xlfn.XLOOKUP(DLB$11,Assumptions!$B$35:$H$35,_xlfn.XLOOKUP($C28,Assumptions!$B$36:$B$41,Assumptions!$B$36:$H$41))</f>
        <v>0</v>
      </c>
      <c r="DLC28">
        <f t="array" ref="DLC28">_xlfn.XLOOKUP(DLC$11,Assumptions!$B$35:$H$35,_xlfn.XLOOKUP($C28,Assumptions!$B$36:$B$41,Assumptions!$B$36:$H$41))</f>
        <v>0</v>
      </c>
      <c r="DLD28">
        <f t="array" ref="DLD28">_xlfn.XLOOKUP(DLD$11,Assumptions!$B$35:$H$35,_xlfn.XLOOKUP($C28,Assumptions!$B$36:$B$41,Assumptions!$B$36:$H$41))</f>
        <v>0</v>
      </c>
      <c r="DLE28">
        <f t="array" ref="DLE28">_xlfn.XLOOKUP(DLE$11,Assumptions!$B$35:$H$35,_xlfn.XLOOKUP($C28,Assumptions!$B$36:$B$41,Assumptions!$B$36:$H$41))</f>
        <v>0</v>
      </c>
      <c r="DLF28">
        <f t="array" ref="DLF28">_xlfn.XLOOKUP(DLF$11,Assumptions!$B$35:$H$35,_xlfn.XLOOKUP($C28,Assumptions!$B$36:$B$41,Assumptions!$B$36:$H$41))</f>
        <v>0</v>
      </c>
      <c r="DLG28">
        <f t="array" ref="DLG28">_xlfn.XLOOKUP(DLG$11,Assumptions!$B$35:$H$35,_xlfn.XLOOKUP($C28,Assumptions!$B$36:$B$41,Assumptions!$B$36:$H$41))</f>
        <v>0</v>
      </c>
      <c r="DLH28">
        <f t="array" ref="DLH28">_xlfn.XLOOKUP(DLH$11,Assumptions!$B$35:$H$35,_xlfn.XLOOKUP($C28,Assumptions!$B$36:$B$41,Assumptions!$B$36:$H$41))</f>
        <v>0</v>
      </c>
      <c r="DLI28">
        <f t="array" ref="DLI28">_xlfn.XLOOKUP(DLI$11,Assumptions!$B$35:$H$35,_xlfn.XLOOKUP($C28,Assumptions!$B$36:$B$41,Assumptions!$B$36:$H$41))</f>
        <v>0</v>
      </c>
      <c r="DLJ28">
        <f t="array" ref="DLJ28">_xlfn.XLOOKUP(DLJ$11,Assumptions!$B$35:$H$35,_xlfn.XLOOKUP($C28,Assumptions!$B$36:$B$41,Assumptions!$B$36:$H$41))</f>
        <v>0</v>
      </c>
      <c r="DLK28">
        <f t="array" ref="DLK28">_xlfn.XLOOKUP(DLK$11,Assumptions!$B$35:$H$35,_xlfn.XLOOKUP($C28,Assumptions!$B$36:$B$41,Assumptions!$B$36:$H$41))</f>
        <v>0</v>
      </c>
      <c r="DLL28">
        <f t="array" ref="DLL28">_xlfn.XLOOKUP(DLL$11,Assumptions!$B$35:$H$35,_xlfn.XLOOKUP($C28,Assumptions!$B$36:$B$41,Assumptions!$B$36:$H$41))</f>
        <v>0</v>
      </c>
      <c r="DLM28">
        <f t="array" ref="DLM28">_xlfn.XLOOKUP(DLM$11,Assumptions!$B$35:$H$35,_xlfn.XLOOKUP($C28,Assumptions!$B$36:$B$41,Assumptions!$B$36:$H$41))</f>
        <v>0</v>
      </c>
      <c r="DLN28">
        <f t="array" ref="DLN28">_xlfn.XLOOKUP(DLN$11,Assumptions!$B$35:$H$35,_xlfn.XLOOKUP($C28,Assumptions!$B$36:$B$41,Assumptions!$B$36:$H$41))</f>
        <v>0</v>
      </c>
      <c r="DLO28">
        <f t="array" ref="DLO28">_xlfn.XLOOKUP(DLO$11,Assumptions!$B$35:$H$35,_xlfn.XLOOKUP($C28,Assumptions!$B$36:$B$41,Assumptions!$B$36:$H$41))</f>
        <v>0</v>
      </c>
      <c r="DLP28">
        <f t="array" ref="DLP28">_xlfn.XLOOKUP(DLP$11,Assumptions!$B$35:$H$35,_xlfn.XLOOKUP($C28,Assumptions!$B$36:$B$41,Assumptions!$B$36:$H$41))</f>
        <v>0</v>
      </c>
      <c r="DLQ28">
        <f t="array" ref="DLQ28">_xlfn.XLOOKUP(DLQ$11,Assumptions!$B$35:$H$35,_xlfn.XLOOKUP($C28,Assumptions!$B$36:$B$41,Assumptions!$B$36:$H$41))</f>
        <v>0</v>
      </c>
      <c r="DLR28">
        <f t="array" ref="DLR28">_xlfn.XLOOKUP(DLR$11,Assumptions!$B$35:$H$35,_xlfn.XLOOKUP($C28,Assumptions!$B$36:$B$41,Assumptions!$B$36:$H$41))</f>
        <v>0</v>
      </c>
      <c r="DLS28">
        <f t="array" ref="DLS28">_xlfn.XLOOKUP(DLS$11,Assumptions!$B$35:$H$35,_xlfn.XLOOKUP($C28,Assumptions!$B$36:$B$41,Assumptions!$B$36:$H$41))</f>
        <v>0</v>
      </c>
      <c r="DLT28">
        <f t="array" ref="DLT28">_xlfn.XLOOKUP(DLT$11,Assumptions!$B$35:$H$35,_xlfn.XLOOKUP($C28,Assumptions!$B$36:$B$41,Assumptions!$B$36:$H$41))</f>
        <v>0</v>
      </c>
      <c r="DLU28">
        <f t="array" ref="DLU28">_xlfn.XLOOKUP(DLU$11,Assumptions!$B$35:$H$35,_xlfn.XLOOKUP($C28,Assumptions!$B$36:$B$41,Assumptions!$B$36:$H$41))</f>
        <v>0</v>
      </c>
      <c r="DLV28">
        <f t="array" ref="DLV28">_xlfn.XLOOKUP(DLV$11,Assumptions!$B$35:$H$35,_xlfn.XLOOKUP($C28,Assumptions!$B$36:$B$41,Assumptions!$B$36:$H$41))</f>
        <v>0</v>
      </c>
      <c r="DLW28">
        <f t="array" ref="DLW28">_xlfn.XLOOKUP(DLW$11,Assumptions!$B$35:$H$35,_xlfn.XLOOKUP($C28,Assumptions!$B$36:$B$41,Assumptions!$B$36:$H$41))</f>
        <v>0</v>
      </c>
      <c r="DLX28">
        <f t="array" ref="DLX28">_xlfn.XLOOKUP(DLX$11,Assumptions!$B$35:$H$35,_xlfn.XLOOKUP($C28,Assumptions!$B$36:$B$41,Assumptions!$B$36:$H$41))</f>
        <v>0</v>
      </c>
      <c r="DLY28">
        <f t="array" ref="DLY28">_xlfn.XLOOKUP(DLY$11,Assumptions!$B$35:$H$35,_xlfn.XLOOKUP($C28,Assumptions!$B$36:$B$41,Assumptions!$B$36:$H$41))</f>
        <v>0</v>
      </c>
      <c r="DLZ28">
        <f t="array" ref="DLZ28">_xlfn.XLOOKUP(DLZ$11,Assumptions!$B$35:$H$35,_xlfn.XLOOKUP($C28,Assumptions!$B$36:$B$41,Assumptions!$B$36:$H$41))</f>
        <v>0</v>
      </c>
      <c r="DMA28">
        <f t="array" ref="DMA28">_xlfn.XLOOKUP(DMA$11,Assumptions!$B$35:$H$35,_xlfn.XLOOKUP($C28,Assumptions!$B$36:$B$41,Assumptions!$B$36:$H$41))</f>
        <v>0</v>
      </c>
      <c r="DMB28">
        <f t="array" ref="DMB28">_xlfn.XLOOKUP(DMB$11,Assumptions!$B$35:$H$35,_xlfn.XLOOKUP($C28,Assumptions!$B$36:$B$41,Assumptions!$B$36:$H$41))</f>
        <v>0</v>
      </c>
      <c r="DMC28">
        <f t="array" ref="DMC28">_xlfn.XLOOKUP(DMC$11,Assumptions!$B$35:$H$35,_xlfn.XLOOKUP($C28,Assumptions!$B$36:$B$41,Assumptions!$B$36:$H$41))</f>
        <v>0</v>
      </c>
      <c r="DMD28">
        <f t="array" ref="DMD28">_xlfn.XLOOKUP(DMD$11,Assumptions!$B$35:$H$35,_xlfn.XLOOKUP($C28,Assumptions!$B$36:$B$41,Assumptions!$B$36:$H$41))</f>
        <v>0</v>
      </c>
      <c r="DME28">
        <f t="array" ref="DME28">_xlfn.XLOOKUP(DME$11,Assumptions!$B$35:$H$35,_xlfn.XLOOKUP($C28,Assumptions!$B$36:$B$41,Assumptions!$B$36:$H$41))</f>
        <v>0</v>
      </c>
      <c r="DMF28">
        <f t="array" ref="DMF28">_xlfn.XLOOKUP(DMF$11,Assumptions!$B$35:$H$35,_xlfn.XLOOKUP($C28,Assumptions!$B$36:$B$41,Assumptions!$B$36:$H$41))</f>
        <v>0</v>
      </c>
      <c r="DMG28">
        <f t="array" ref="DMG28">_xlfn.XLOOKUP(DMG$11,Assumptions!$B$35:$H$35,_xlfn.XLOOKUP($C28,Assumptions!$B$36:$B$41,Assumptions!$B$36:$H$41))</f>
        <v>0</v>
      </c>
      <c r="DMH28">
        <f t="array" ref="DMH28">_xlfn.XLOOKUP(DMH$11,Assumptions!$B$35:$H$35,_xlfn.XLOOKUP($C28,Assumptions!$B$36:$B$41,Assumptions!$B$36:$H$41))</f>
        <v>0</v>
      </c>
      <c r="DMI28">
        <f t="array" ref="DMI28">_xlfn.XLOOKUP(DMI$11,Assumptions!$B$35:$H$35,_xlfn.XLOOKUP($C28,Assumptions!$B$36:$B$41,Assumptions!$B$36:$H$41))</f>
        <v>0</v>
      </c>
      <c r="DMJ28">
        <f t="array" ref="DMJ28">_xlfn.XLOOKUP(DMJ$11,Assumptions!$B$35:$H$35,_xlfn.XLOOKUP($C28,Assumptions!$B$36:$B$41,Assumptions!$B$36:$H$41))</f>
        <v>0</v>
      </c>
      <c r="DMK28">
        <f t="array" ref="DMK28">_xlfn.XLOOKUP(DMK$11,Assumptions!$B$35:$H$35,_xlfn.XLOOKUP($C28,Assumptions!$B$36:$B$41,Assumptions!$B$36:$H$41))</f>
        <v>0</v>
      </c>
      <c r="DML28">
        <f t="array" ref="DML28">_xlfn.XLOOKUP(DML$11,Assumptions!$B$35:$H$35,_xlfn.XLOOKUP($C28,Assumptions!$B$36:$B$41,Assumptions!$B$36:$H$41))</f>
        <v>0</v>
      </c>
      <c r="DMM28">
        <f t="array" ref="DMM28">_xlfn.XLOOKUP(DMM$11,Assumptions!$B$35:$H$35,_xlfn.XLOOKUP($C28,Assumptions!$B$36:$B$41,Assumptions!$B$36:$H$41))</f>
        <v>0</v>
      </c>
      <c r="DMN28">
        <f t="array" ref="DMN28">_xlfn.XLOOKUP(DMN$11,Assumptions!$B$35:$H$35,_xlfn.XLOOKUP($C28,Assumptions!$B$36:$B$41,Assumptions!$B$36:$H$41))</f>
        <v>0</v>
      </c>
      <c r="DMO28">
        <f t="array" ref="DMO28">_xlfn.XLOOKUP(DMO$11,Assumptions!$B$35:$H$35,_xlfn.XLOOKUP($C28,Assumptions!$B$36:$B$41,Assumptions!$B$36:$H$41))</f>
        <v>0</v>
      </c>
      <c r="DMP28">
        <f t="array" ref="DMP28">_xlfn.XLOOKUP(DMP$11,Assumptions!$B$35:$H$35,_xlfn.XLOOKUP($C28,Assumptions!$B$36:$B$41,Assumptions!$B$36:$H$41))</f>
        <v>0</v>
      </c>
      <c r="DMQ28">
        <f t="array" ref="DMQ28">_xlfn.XLOOKUP(DMQ$11,Assumptions!$B$35:$H$35,_xlfn.XLOOKUP($C28,Assumptions!$B$36:$B$41,Assumptions!$B$36:$H$41))</f>
        <v>0</v>
      </c>
      <c r="DMR28">
        <f t="array" ref="DMR28">_xlfn.XLOOKUP(DMR$11,Assumptions!$B$35:$H$35,_xlfn.XLOOKUP($C28,Assumptions!$B$36:$B$41,Assumptions!$B$36:$H$41))</f>
        <v>0</v>
      </c>
      <c r="DMS28">
        <f t="array" ref="DMS28">_xlfn.XLOOKUP(DMS$11,Assumptions!$B$35:$H$35,_xlfn.XLOOKUP($C28,Assumptions!$B$36:$B$41,Assumptions!$B$36:$H$41))</f>
        <v>0</v>
      </c>
      <c r="DMT28">
        <f t="array" ref="DMT28">_xlfn.XLOOKUP(DMT$11,Assumptions!$B$35:$H$35,_xlfn.XLOOKUP($C28,Assumptions!$B$36:$B$41,Assumptions!$B$36:$H$41))</f>
        <v>0</v>
      </c>
      <c r="DMU28">
        <f t="array" ref="DMU28">_xlfn.XLOOKUP(DMU$11,Assumptions!$B$35:$H$35,_xlfn.XLOOKUP($C28,Assumptions!$B$36:$B$41,Assumptions!$B$36:$H$41))</f>
        <v>0</v>
      </c>
      <c r="DMV28">
        <f t="array" ref="DMV28">_xlfn.XLOOKUP(DMV$11,Assumptions!$B$35:$H$35,_xlfn.XLOOKUP($C28,Assumptions!$B$36:$B$41,Assumptions!$B$36:$H$41))</f>
        <v>0</v>
      </c>
      <c r="DMW28">
        <f t="array" ref="DMW28">_xlfn.XLOOKUP(DMW$11,Assumptions!$B$35:$H$35,_xlfn.XLOOKUP($C28,Assumptions!$B$36:$B$41,Assumptions!$B$36:$H$41))</f>
        <v>0</v>
      </c>
      <c r="DMX28">
        <f t="array" ref="DMX28">_xlfn.XLOOKUP(DMX$11,Assumptions!$B$35:$H$35,_xlfn.XLOOKUP($C28,Assumptions!$B$36:$B$41,Assumptions!$B$36:$H$41))</f>
        <v>0</v>
      </c>
      <c r="DMY28">
        <f t="array" ref="DMY28">_xlfn.XLOOKUP(DMY$11,Assumptions!$B$35:$H$35,_xlfn.XLOOKUP($C28,Assumptions!$B$36:$B$41,Assumptions!$B$36:$H$41))</f>
        <v>0</v>
      </c>
      <c r="DMZ28">
        <f t="array" ref="DMZ28">_xlfn.XLOOKUP(DMZ$11,Assumptions!$B$35:$H$35,_xlfn.XLOOKUP($C28,Assumptions!$B$36:$B$41,Assumptions!$B$36:$H$41))</f>
        <v>0</v>
      </c>
      <c r="DNA28">
        <f t="array" ref="DNA28">_xlfn.XLOOKUP(DNA$11,Assumptions!$B$35:$H$35,_xlfn.XLOOKUP($C28,Assumptions!$B$36:$B$41,Assumptions!$B$36:$H$41))</f>
        <v>0</v>
      </c>
      <c r="DNB28">
        <f t="array" ref="DNB28">_xlfn.XLOOKUP(DNB$11,Assumptions!$B$35:$H$35,_xlfn.XLOOKUP($C28,Assumptions!$B$36:$B$41,Assumptions!$B$36:$H$41))</f>
        <v>0</v>
      </c>
      <c r="DNC28">
        <f t="array" ref="DNC28">_xlfn.XLOOKUP(DNC$11,Assumptions!$B$35:$H$35,_xlfn.XLOOKUP($C28,Assumptions!$B$36:$B$41,Assumptions!$B$36:$H$41))</f>
        <v>0</v>
      </c>
      <c r="DND28">
        <f t="array" ref="DND28">_xlfn.XLOOKUP(DND$11,Assumptions!$B$35:$H$35,_xlfn.XLOOKUP($C28,Assumptions!$B$36:$B$41,Assumptions!$B$36:$H$41))</f>
        <v>0</v>
      </c>
      <c r="DNE28">
        <f t="array" ref="DNE28">_xlfn.XLOOKUP(DNE$11,Assumptions!$B$35:$H$35,_xlfn.XLOOKUP($C28,Assumptions!$B$36:$B$41,Assumptions!$B$36:$H$41))</f>
        <v>0</v>
      </c>
      <c r="DNF28">
        <f t="array" ref="DNF28">_xlfn.XLOOKUP(DNF$11,Assumptions!$B$35:$H$35,_xlfn.XLOOKUP($C28,Assumptions!$B$36:$B$41,Assumptions!$B$36:$H$41))</f>
        <v>0</v>
      </c>
      <c r="DNG28">
        <f t="array" ref="DNG28">_xlfn.XLOOKUP(DNG$11,Assumptions!$B$35:$H$35,_xlfn.XLOOKUP($C28,Assumptions!$B$36:$B$41,Assumptions!$B$36:$H$41))</f>
        <v>0</v>
      </c>
      <c r="DNH28">
        <f t="array" ref="DNH28">_xlfn.XLOOKUP(DNH$11,Assumptions!$B$35:$H$35,_xlfn.XLOOKUP($C28,Assumptions!$B$36:$B$41,Assumptions!$B$36:$H$41))</f>
        <v>0</v>
      </c>
      <c r="DNI28">
        <f t="array" ref="DNI28">_xlfn.XLOOKUP(DNI$11,Assumptions!$B$35:$H$35,_xlfn.XLOOKUP($C28,Assumptions!$B$36:$B$41,Assumptions!$B$36:$H$41))</f>
        <v>0</v>
      </c>
      <c r="DNJ28">
        <f t="array" ref="DNJ28">_xlfn.XLOOKUP(DNJ$11,Assumptions!$B$35:$H$35,_xlfn.XLOOKUP($C28,Assumptions!$B$36:$B$41,Assumptions!$B$36:$H$41))</f>
        <v>0</v>
      </c>
      <c r="DNK28">
        <f t="array" ref="DNK28">_xlfn.XLOOKUP(DNK$11,Assumptions!$B$35:$H$35,_xlfn.XLOOKUP($C28,Assumptions!$B$36:$B$41,Assumptions!$B$36:$H$41))</f>
        <v>0</v>
      </c>
      <c r="DNL28">
        <f t="array" ref="DNL28">_xlfn.XLOOKUP(DNL$11,Assumptions!$B$35:$H$35,_xlfn.XLOOKUP($C28,Assumptions!$B$36:$B$41,Assumptions!$B$36:$H$41))</f>
        <v>0</v>
      </c>
      <c r="DNM28">
        <f t="array" ref="DNM28">_xlfn.XLOOKUP(DNM$11,Assumptions!$B$35:$H$35,_xlfn.XLOOKUP($C28,Assumptions!$B$36:$B$41,Assumptions!$B$36:$H$41))</f>
        <v>0</v>
      </c>
      <c r="DNN28">
        <f t="array" ref="DNN28">_xlfn.XLOOKUP(DNN$11,Assumptions!$B$35:$H$35,_xlfn.XLOOKUP($C28,Assumptions!$B$36:$B$41,Assumptions!$B$36:$H$41))</f>
        <v>0</v>
      </c>
      <c r="DNO28">
        <f t="array" ref="DNO28">_xlfn.XLOOKUP(DNO$11,Assumptions!$B$35:$H$35,_xlfn.XLOOKUP($C28,Assumptions!$B$36:$B$41,Assumptions!$B$36:$H$41))</f>
        <v>0</v>
      </c>
      <c r="DNP28">
        <f t="array" ref="DNP28">_xlfn.XLOOKUP(DNP$11,Assumptions!$B$35:$H$35,_xlfn.XLOOKUP($C28,Assumptions!$B$36:$B$41,Assumptions!$B$36:$H$41))</f>
        <v>0</v>
      </c>
      <c r="DNQ28">
        <f t="array" ref="DNQ28">_xlfn.XLOOKUP(DNQ$11,Assumptions!$B$35:$H$35,_xlfn.XLOOKUP($C28,Assumptions!$B$36:$B$41,Assumptions!$B$36:$H$41))</f>
        <v>0</v>
      </c>
      <c r="DNR28">
        <f t="array" ref="DNR28">_xlfn.XLOOKUP(DNR$11,Assumptions!$B$35:$H$35,_xlfn.XLOOKUP($C28,Assumptions!$B$36:$B$41,Assumptions!$B$36:$H$41))</f>
        <v>0</v>
      </c>
      <c r="DNS28">
        <f t="array" ref="DNS28">_xlfn.XLOOKUP(DNS$11,Assumptions!$B$35:$H$35,_xlfn.XLOOKUP($C28,Assumptions!$B$36:$B$41,Assumptions!$B$36:$H$41))</f>
        <v>0</v>
      </c>
      <c r="DNT28">
        <f t="array" ref="DNT28">_xlfn.XLOOKUP(DNT$11,Assumptions!$B$35:$H$35,_xlfn.XLOOKUP($C28,Assumptions!$B$36:$B$41,Assumptions!$B$36:$H$41))</f>
        <v>0</v>
      </c>
      <c r="DNU28">
        <f t="array" ref="DNU28">_xlfn.XLOOKUP(DNU$11,Assumptions!$B$35:$H$35,_xlfn.XLOOKUP($C28,Assumptions!$B$36:$B$41,Assumptions!$B$36:$H$41))</f>
        <v>0</v>
      </c>
      <c r="DNV28">
        <f t="array" ref="DNV28">_xlfn.XLOOKUP(DNV$11,Assumptions!$B$35:$H$35,_xlfn.XLOOKUP($C28,Assumptions!$B$36:$B$41,Assumptions!$B$36:$H$41))</f>
        <v>0</v>
      </c>
      <c r="DNW28">
        <f t="array" ref="DNW28">_xlfn.XLOOKUP(DNW$11,Assumptions!$B$35:$H$35,_xlfn.XLOOKUP($C28,Assumptions!$B$36:$B$41,Assumptions!$B$36:$H$41))</f>
        <v>0</v>
      </c>
      <c r="DNX28">
        <f t="array" ref="DNX28">_xlfn.XLOOKUP(DNX$11,Assumptions!$B$35:$H$35,_xlfn.XLOOKUP($C28,Assumptions!$B$36:$B$41,Assumptions!$B$36:$H$41))</f>
        <v>0</v>
      </c>
      <c r="DNY28">
        <f t="array" ref="DNY28">_xlfn.XLOOKUP(DNY$11,Assumptions!$B$35:$H$35,_xlfn.XLOOKUP($C28,Assumptions!$B$36:$B$41,Assumptions!$B$36:$H$41))</f>
        <v>0</v>
      </c>
      <c r="DNZ28">
        <f t="array" ref="DNZ28">_xlfn.XLOOKUP(DNZ$11,Assumptions!$B$35:$H$35,_xlfn.XLOOKUP($C28,Assumptions!$B$36:$B$41,Assumptions!$B$36:$H$41))</f>
        <v>0</v>
      </c>
      <c r="DOA28">
        <f t="array" ref="DOA28">_xlfn.XLOOKUP(DOA$11,Assumptions!$B$35:$H$35,_xlfn.XLOOKUP($C28,Assumptions!$B$36:$B$41,Assumptions!$B$36:$H$41))</f>
        <v>0</v>
      </c>
      <c r="DOB28">
        <f t="array" ref="DOB28">_xlfn.XLOOKUP(DOB$11,Assumptions!$B$35:$H$35,_xlfn.XLOOKUP($C28,Assumptions!$B$36:$B$41,Assumptions!$B$36:$H$41))</f>
        <v>0</v>
      </c>
      <c r="DOC28">
        <f t="array" ref="DOC28">_xlfn.XLOOKUP(DOC$11,Assumptions!$B$35:$H$35,_xlfn.XLOOKUP($C28,Assumptions!$B$36:$B$41,Assumptions!$B$36:$H$41))</f>
        <v>0</v>
      </c>
      <c r="DOD28">
        <f t="array" ref="DOD28">_xlfn.XLOOKUP(DOD$11,Assumptions!$B$35:$H$35,_xlfn.XLOOKUP($C28,Assumptions!$B$36:$B$41,Assumptions!$B$36:$H$41))</f>
        <v>0</v>
      </c>
      <c r="DOE28">
        <f t="array" ref="DOE28">_xlfn.XLOOKUP(DOE$11,Assumptions!$B$35:$H$35,_xlfn.XLOOKUP($C28,Assumptions!$B$36:$B$41,Assumptions!$B$36:$H$41))</f>
        <v>0</v>
      </c>
      <c r="DOF28">
        <f t="array" ref="DOF28">_xlfn.XLOOKUP(DOF$11,Assumptions!$B$35:$H$35,_xlfn.XLOOKUP($C28,Assumptions!$B$36:$B$41,Assumptions!$B$36:$H$41))</f>
        <v>0</v>
      </c>
      <c r="DOG28">
        <f t="array" ref="DOG28">_xlfn.XLOOKUP(DOG$11,Assumptions!$B$35:$H$35,_xlfn.XLOOKUP($C28,Assumptions!$B$36:$B$41,Assumptions!$B$36:$H$41))</f>
        <v>0</v>
      </c>
      <c r="DOH28">
        <f t="array" ref="DOH28">_xlfn.XLOOKUP(DOH$11,Assumptions!$B$35:$H$35,_xlfn.XLOOKUP($C28,Assumptions!$B$36:$B$41,Assumptions!$B$36:$H$41))</f>
        <v>0</v>
      </c>
      <c r="DOI28">
        <f t="array" ref="DOI28">_xlfn.XLOOKUP(DOI$11,Assumptions!$B$35:$H$35,_xlfn.XLOOKUP($C28,Assumptions!$B$36:$B$41,Assumptions!$B$36:$H$41))</f>
        <v>0</v>
      </c>
      <c r="DOJ28">
        <f t="array" ref="DOJ28">_xlfn.XLOOKUP(DOJ$11,Assumptions!$B$35:$H$35,_xlfn.XLOOKUP($C28,Assumptions!$B$36:$B$41,Assumptions!$B$36:$H$41))</f>
        <v>0</v>
      </c>
      <c r="DOK28">
        <f t="array" ref="DOK28">_xlfn.XLOOKUP(DOK$11,Assumptions!$B$35:$H$35,_xlfn.XLOOKUP($C28,Assumptions!$B$36:$B$41,Assumptions!$B$36:$H$41))</f>
        <v>0</v>
      </c>
      <c r="DOL28">
        <f t="array" ref="DOL28">_xlfn.XLOOKUP(DOL$11,Assumptions!$B$35:$H$35,_xlfn.XLOOKUP($C28,Assumptions!$B$36:$B$41,Assumptions!$B$36:$H$41))</f>
        <v>0</v>
      </c>
      <c r="DOM28">
        <f t="array" ref="DOM28">_xlfn.XLOOKUP(DOM$11,Assumptions!$B$35:$H$35,_xlfn.XLOOKUP($C28,Assumptions!$B$36:$B$41,Assumptions!$B$36:$H$41))</f>
        <v>0</v>
      </c>
      <c r="DON28">
        <f t="array" ref="DON28">_xlfn.XLOOKUP(DON$11,Assumptions!$B$35:$H$35,_xlfn.XLOOKUP($C28,Assumptions!$B$36:$B$41,Assumptions!$B$36:$H$41))</f>
        <v>0</v>
      </c>
      <c r="DOO28">
        <f t="array" ref="DOO28">_xlfn.XLOOKUP(DOO$11,Assumptions!$B$35:$H$35,_xlfn.XLOOKUP($C28,Assumptions!$B$36:$B$41,Assumptions!$B$36:$H$41))</f>
        <v>0</v>
      </c>
      <c r="DOP28">
        <f t="array" ref="DOP28">_xlfn.XLOOKUP(DOP$11,Assumptions!$B$35:$H$35,_xlfn.XLOOKUP($C28,Assumptions!$B$36:$B$41,Assumptions!$B$36:$H$41))</f>
        <v>0</v>
      </c>
      <c r="DOQ28">
        <f t="array" ref="DOQ28">_xlfn.XLOOKUP(DOQ$11,Assumptions!$B$35:$H$35,_xlfn.XLOOKUP($C28,Assumptions!$B$36:$B$41,Assumptions!$B$36:$H$41))</f>
        <v>0</v>
      </c>
      <c r="DOR28">
        <f t="array" ref="DOR28">_xlfn.XLOOKUP(DOR$11,Assumptions!$B$35:$H$35,_xlfn.XLOOKUP($C28,Assumptions!$B$36:$B$41,Assumptions!$B$36:$H$41))</f>
        <v>0</v>
      </c>
      <c r="DOS28">
        <f t="array" ref="DOS28">_xlfn.XLOOKUP(DOS$11,Assumptions!$B$35:$H$35,_xlfn.XLOOKUP($C28,Assumptions!$B$36:$B$41,Assumptions!$B$36:$H$41))</f>
        <v>0</v>
      </c>
      <c r="DOT28">
        <f t="array" ref="DOT28">_xlfn.XLOOKUP(DOT$11,Assumptions!$B$35:$H$35,_xlfn.XLOOKUP($C28,Assumptions!$B$36:$B$41,Assumptions!$B$36:$H$41))</f>
        <v>0</v>
      </c>
      <c r="DOU28">
        <f t="array" ref="DOU28">_xlfn.XLOOKUP(DOU$11,Assumptions!$B$35:$H$35,_xlfn.XLOOKUP($C28,Assumptions!$B$36:$B$41,Assumptions!$B$36:$H$41))</f>
        <v>0</v>
      </c>
      <c r="DOV28">
        <f t="array" ref="DOV28">_xlfn.XLOOKUP(DOV$11,Assumptions!$B$35:$H$35,_xlfn.XLOOKUP($C28,Assumptions!$B$36:$B$41,Assumptions!$B$36:$H$41))</f>
        <v>0</v>
      </c>
      <c r="DOW28">
        <f t="array" ref="DOW28">_xlfn.XLOOKUP(DOW$11,Assumptions!$B$35:$H$35,_xlfn.XLOOKUP($C28,Assumptions!$B$36:$B$41,Assumptions!$B$36:$H$41))</f>
        <v>0</v>
      </c>
      <c r="DOX28">
        <f t="array" ref="DOX28">_xlfn.XLOOKUP(DOX$11,Assumptions!$B$35:$H$35,_xlfn.XLOOKUP($C28,Assumptions!$B$36:$B$41,Assumptions!$B$36:$H$41))</f>
        <v>0</v>
      </c>
      <c r="DOY28">
        <f t="array" ref="DOY28">_xlfn.XLOOKUP(DOY$11,Assumptions!$B$35:$H$35,_xlfn.XLOOKUP($C28,Assumptions!$B$36:$B$41,Assumptions!$B$36:$H$41))</f>
        <v>0</v>
      </c>
      <c r="DOZ28">
        <f t="array" ref="DOZ28">_xlfn.XLOOKUP(DOZ$11,Assumptions!$B$35:$H$35,_xlfn.XLOOKUP($C28,Assumptions!$B$36:$B$41,Assumptions!$B$36:$H$41))</f>
        <v>0</v>
      </c>
      <c r="DPA28">
        <f t="array" ref="DPA28">_xlfn.XLOOKUP(DPA$11,Assumptions!$B$35:$H$35,_xlfn.XLOOKUP($C28,Assumptions!$B$36:$B$41,Assumptions!$B$36:$H$41))</f>
        <v>0</v>
      </c>
      <c r="DPB28">
        <f t="array" ref="DPB28">_xlfn.XLOOKUP(DPB$11,Assumptions!$B$35:$H$35,_xlfn.XLOOKUP($C28,Assumptions!$B$36:$B$41,Assumptions!$B$36:$H$41))</f>
        <v>0</v>
      </c>
      <c r="DPC28">
        <f t="array" ref="DPC28">_xlfn.XLOOKUP(DPC$11,Assumptions!$B$35:$H$35,_xlfn.XLOOKUP($C28,Assumptions!$B$36:$B$41,Assumptions!$B$36:$H$41))</f>
        <v>0</v>
      </c>
      <c r="DPD28">
        <f t="array" ref="DPD28">_xlfn.XLOOKUP(DPD$11,Assumptions!$B$35:$H$35,_xlfn.XLOOKUP($C28,Assumptions!$B$36:$B$41,Assumptions!$B$36:$H$41))</f>
        <v>0</v>
      </c>
      <c r="DPE28">
        <f t="array" ref="DPE28">_xlfn.XLOOKUP(DPE$11,Assumptions!$B$35:$H$35,_xlfn.XLOOKUP($C28,Assumptions!$B$36:$B$41,Assumptions!$B$36:$H$41))</f>
        <v>0</v>
      </c>
      <c r="DPF28">
        <f t="array" ref="DPF28">_xlfn.XLOOKUP(DPF$11,Assumptions!$B$35:$H$35,_xlfn.XLOOKUP($C28,Assumptions!$B$36:$B$41,Assumptions!$B$36:$H$41))</f>
        <v>0</v>
      </c>
      <c r="DPG28">
        <f t="array" ref="DPG28">_xlfn.XLOOKUP(DPG$11,Assumptions!$B$35:$H$35,_xlfn.XLOOKUP($C28,Assumptions!$B$36:$B$41,Assumptions!$B$36:$H$41))</f>
        <v>0</v>
      </c>
      <c r="DPH28">
        <f t="array" ref="DPH28">_xlfn.XLOOKUP(DPH$11,Assumptions!$B$35:$H$35,_xlfn.XLOOKUP($C28,Assumptions!$B$36:$B$41,Assumptions!$B$36:$H$41))</f>
        <v>0</v>
      </c>
      <c r="DPI28">
        <f t="array" ref="DPI28">_xlfn.XLOOKUP(DPI$11,Assumptions!$B$35:$H$35,_xlfn.XLOOKUP($C28,Assumptions!$B$36:$B$41,Assumptions!$B$36:$H$41))</f>
        <v>0</v>
      </c>
      <c r="DPJ28">
        <f t="array" ref="DPJ28">_xlfn.XLOOKUP(DPJ$11,Assumptions!$B$35:$H$35,_xlfn.XLOOKUP($C28,Assumptions!$B$36:$B$41,Assumptions!$B$36:$H$41))</f>
        <v>0</v>
      </c>
      <c r="DPK28">
        <f t="array" ref="DPK28">_xlfn.XLOOKUP(DPK$11,Assumptions!$B$35:$H$35,_xlfn.XLOOKUP($C28,Assumptions!$B$36:$B$41,Assumptions!$B$36:$H$41))</f>
        <v>0</v>
      </c>
      <c r="DPL28">
        <f t="array" ref="DPL28">_xlfn.XLOOKUP(DPL$11,Assumptions!$B$35:$H$35,_xlfn.XLOOKUP($C28,Assumptions!$B$36:$B$41,Assumptions!$B$36:$H$41))</f>
        <v>0</v>
      </c>
      <c r="DPM28">
        <f t="array" ref="DPM28">_xlfn.XLOOKUP(DPM$11,Assumptions!$B$35:$H$35,_xlfn.XLOOKUP($C28,Assumptions!$B$36:$B$41,Assumptions!$B$36:$H$41))</f>
        <v>0</v>
      </c>
      <c r="DPN28">
        <f t="array" ref="DPN28">_xlfn.XLOOKUP(DPN$11,Assumptions!$B$35:$H$35,_xlfn.XLOOKUP($C28,Assumptions!$B$36:$B$41,Assumptions!$B$36:$H$41))</f>
        <v>0</v>
      </c>
      <c r="DPO28">
        <f t="array" ref="DPO28">_xlfn.XLOOKUP(DPO$11,Assumptions!$B$35:$H$35,_xlfn.XLOOKUP($C28,Assumptions!$B$36:$B$41,Assumptions!$B$36:$H$41))</f>
        <v>0</v>
      </c>
      <c r="DPP28">
        <f t="array" ref="DPP28">_xlfn.XLOOKUP(DPP$11,Assumptions!$B$35:$H$35,_xlfn.XLOOKUP($C28,Assumptions!$B$36:$B$41,Assumptions!$B$36:$H$41))</f>
        <v>0</v>
      </c>
      <c r="DPQ28">
        <f t="array" ref="DPQ28">_xlfn.XLOOKUP(DPQ$11,Assumptions!$B$35:$H$35,_xlfn.XLOOKUP($C28,Assumptions!$B$36:$B$41,Assumptions!$B$36:$H$41))</f>
        <v>0</v>
      </c>
      <c r="DPR28">
        <f t="array" ref="DPR28">_xlfn.XLOOKUP(DPR$11,Assumptions!$B$35:$H$35,_xlfn.XLOOKUP($C28,Assumptions!$B$36:$B$41,Assumptions!$B$36:$H$41))</f>
        <v>0</v>
      </c>
      <c r="DPS28">
        <f t="array" ref="DPS28">_xlfn.XLOOKUP(DPS$11,Assumptions!$B$35:$H$35,_xlfn.XLOOKUP($C28,Assumptions!$B$36:$B$41,Assumptions!$B$36:$H$41))</f>
        <v>0</v>
      </c>
      <c r="DPT28">
        <f t="array" ref="DPT28">_xlfn.XLOOKUP(DPT$11,Assumptions!$B$35:$H$35,_xlfn.XLOOKUP($C28,Assumptions!$B$36:$B$41,Assumptions!$B$36:$H$41))</f>
        <v>0</v>
      </c>
      <c r="DPU28">
        <f t="array" ref="DPU28">_xlfn.XLOOKUP(DPU$11,Assumptions!$B$35:$H$35,_xlfn.XLOOKUP($C28,Assumptions!$B$36:$B$41,Assumptions!$B$36:$H$41))</f>
        <v>0</v>
      </c>
      <c r="DPV28">
        <f t="array" ref="DPV28">_xlfn.XLOOKUP(DPV$11,Assumptions!$B$35:$H$35,_xlfn.XLOOKUP($C28,Assumptions!$B$36:$B$41,Assumptions!$B$36:$H$41))</f>
        <v>0</v>
      </c>
      <c r="DPW28">
        <f t="array" ref="DPW28">_xlfn.XLOOKUP(DPW$11,Assumptions!$B$35:$H$35,_xlfn.XLOOKUP($C28,Assumptions!$B$36:$B$41,Assumptions!$B$36:$H$41))</f>
        <v>0</v>
      </c>
      <c r="DPX28">
        <f t="array" ref="DPX28">_xlfn.XLOOKUP(DPX$11,Assumptions!$B$35:$H$35,_xlfn.XLOOKUP($C28,Assumptions!$B$36:$B$41,Assumptions!$B$36:$H$41))</f>
        <v>0</v>
      </c>
      <c r="DPY28">
        <f t="array" ref="DPY28">_xlfn.XLOOKUP(DPY$11,Assumptions!$B$35:$H$35,_xlfn.XLOOKUP($C28,Assumptions!$B$36:$B$41,Assumptions!$B$36:$H$41))</f>
        <v>0</v>
      </c>
      <c r="DPZ28">
        <f t="array" ref="DPZ28">_xlfn.XLOOKUP(DPZ$11,Assumptions!$B$35:$H$35,_xlfn.XLOOKUP($C28,Assumptions!$B$36:$B$41,Assumptions!$B$36:$H$41))</f>
        <v>0</v>
      </c>
      <c r="DQA28">
        <f t="array" ref="DQA28">_xlfn.XLOOKUP(DQA$11,Assumptions!$B$35:$H$35,_xlfn.XLOOKUP($C28,Assumptions!$B$36:$B$41,Assumptions!$B$36:$H$41))</f>
        <v>0</v>
      </c>
      <c r="DQB28">
        <f t="array" ref="DQB28">_xlfn.XLOOKUP(DQB$11,Assumptions!$B$35:$H$35,_xlfn.XLOOKUP($C28,Assumptions!$B$36:$B$41,Assumptions!$B$36:$H$41))</f>
        <v>0</v>
      </c>
      <c r="DQC28">
        <f t="array" ref="DQC28">_xlfn.XLOOKUP(DQC$11,Assumptions!$B$35:$H$35,_xlfn.XLOOKUP($C28,Assumptions!$B$36:$B$41,Assumptions!$B$36:$H$41))</f>
        <v>0</v>
      </c>
      <c r="DQD28">
        <f t="array" ref="DQD28">_xlfn.XLOOKUP(DQD$11,Assumptions!$B$35:$H$35,_xlfn.XLOOKUP($C28,Assumptions!$B$36:$B$41,Assumptions!$B$36:$H$41))</f>
        <v>0</v>
      </c>
      <c r="DQE28">
        <f t="array" ref="DQE28">_xlfn.XLOOKUP(DQE$11,Assumptions!$B$35:$H$35,_xlfn.XLOOKUP($C28,Assumptions!$B$36:$B$41,Assumptions!$B$36:$H$41))</f>
        <v>0</v>
      </c>
      <c r="DQF28">
        <f t="array" ref="DQF28">_xlfn.XLOOKUP(DQF$11,Assumptions!$B$35:$H$35,_xlfn.XLOOKUP($C28,Assumptions!$B$36:$B$41,Assumptions!$B$36:$H$41))</f>
        <v>0</v>
      </c>
      <c r="DQG28">
        <f t="array" ref="DQG28">_xlfn.XLOOKUP(DQG$11,Assumptions!$B$35:$H$35,_xlfn.XLOOKUP($C28,Assumptions!$B$36:$B$41,Assumptions!$B$36:$H$41))</f>
        <v>0</v>
      </c>
      <c r="DQH28">
        <f t="array" ref="DQH28">_xlfn.XLOOKUP(DQH$11,Assumptions!$B$35:$H$35,_xlfn.XLOOKUP($C28,Assumptions!$B$36:$B$41,Assumptions!$B$36:$H$41))</f>
        <v>0</v>
      </c>
      <c r="DQI28">
        <f t="array" ref="DQI28">_xlfn.XLOOKUP(DQI$11,Assumptions!$B$35:$H$35,_xlfn.XLOOKUP($C28,Assumptions!$B$36:$B$41,Assumptions!$B$36:$H$41))</f>
        <v>0</v>
      </c>
      <c r="DQJ28">
        <f t="array" ref="DQJ28">_xlfn.XLOOKUP(DQJ$11,Assumptions!$B$35:$H$35,_xlfn.XLOOKUP($C28,Assumptions!$B$36:$B$41,Assumptions!$B$36:$H$41))</f>
        <v>0</v>
      </c>
      <c r="DQK28">
        <f t="array" ref="DQK28">_xlfn.XLOOKUP(DQK$11,Assumptions!$B$35:$H$35,_xlfn.XLOOKUP($C28,Assumptions!$B$36:$B$41,Assumptions!$B$36:$H$41))</f>
        <v>0</v>
      </c>
      <c r="DQL28">
        <f t="array" ref="DQL28">_xlfn.XLOOKUP(DQL$11,Assumptions!$B$35:$H$35,_xlfn.XLOOKUP($C28,Assumptions!$B$36:$B$41,Assumptions!$B$36:$H$41))</f>
        <v>0</v>
      </c>
      <c r="DQM28">
        <f t="array" ref="DQM28">_xlfn.XLOOKUP(DQM$11,Assumptions!$B$35:$H$35,_xlfn.XLOOKUP($C28,Assumptions!$B$36:$B$41,Assumptions!$B$36:$H$41))</f>
        <v>0</v>
      </c>
      <c r="DQN28">
        <f t="array" ref="DQN28">_xlfn.XLOOKUP(DQN$11,Assumptions!$B$35:$H$35,_xlfn.XLOOKUP($C28,Assumptions!$B$36:$B$41,Assumptions!$B$36:$H$41))</f>
        <v>0</v>
      </c>
      <c r="DQO28">
        <f t="array" ref="DQO28">_xlfn.XLOOKUP(DQO$11,Assumptions!$B$35:$H$35,_xlfn.XLOOKUP($C28,Assumptions!$B$36:$B$41,Assumptions!$B$36:$H$41))</f>
        <v>0</v>
      </c>
      <c r="DQP28">
        <f t="array" ref="DQP28">_xlfn.XLOOKUP(DQP$11,Assumptions!$B$35:$H$35,_xlfn.XLOOKUP($C28,Assumptions!$B$36:$B$41,Assumptions!$B$36:$H$41))</f>
        <v>0</v>
      </c>
      <c r="DQQ28">
        <f t="array" ref="DQQ28">_xlfn.XLOOKUP(DQQ$11,Assumptions!$B$35:$H$35,_xlfn.XLOOKUP($C28,Assumptions!$B$36:$B$41,Assumptions!$B$36:$H$41))</f>
        <v>0</v>
      </c>
      <c r="DQR28">
        <f t="array" ref="DQR28">_xlfn.XLOOKUP(DQR$11,Assumptions!$B$35:$H$35,_xlfn.XLOOKUP($C28,Assumptions!$B$36:$B$41,Assumptions!$B$36:$H$41))</f>
        <v>0</v>
      </c>
      <c r="DQS28">
        <f t="array" ref="DQS28">_xlfn.XLOOKUP(DQS$11,Assumptions!$B$35:$H$35,_xlfn.XLOOKUP($C28,Assumptions!$B$36:$B$41,Assumptions!$B$36:$H$41))</f>
        <v>0</v>
      </c>
      <c r="DQT28">
        <f t="array" ref="DQT28">_xlfn.XLOOKUP(DQT$11,Assumptions!$B$35:$H$35,_xlfn.XLOOKUP($C28,Assumptions!$B$36:$B$41,Assumptions!$B$36:$H$41))</f>
        <v>0</v>
      </c>
      <c r="DQU28">
        <f t="array" ref="DQU28">_xlfn.XLOOKUP(DQU$11,Assumptions!$B$35:$H$35,_xlfn.XLOOKUP($C28,Assumptions!$B$36:$B$41,Assumptions!$B$36:$H$41))</f>
        <v>0</v>
      </c>
      <c r="DQV28">
        <f t="array" ref="DQV28">_xlfn.XLOOKUP(DQV$11,Assumptions!$B$35:$H$35,_xlfn.XLOOKUP($C28,Assumptions!$B$36:$B$41,Assumptions!$B$36:$H$41))</f>
        <v>0</v>
      </c>
      <c r="DQW28">
        <f t="array" ref="DQW28">_xlfn.XLOOKUP(DQW$11,Assumptions!$B$35:$H$35,_xlfn.XLOOKUP($C28,Assumptions!$B$36:$B$41,Assumptions!$B$36:$H$41))</f>
        <v>0</v>
      </c>
      <c r="DQX28">
        <f t="array" ref="DQX28">_xlfn.XLOOKUP(DQX$11,Assumptions!$B$35:$H$35,_xlfn.XLOOKUP($C28,Assumptions!$B$36:$B$41,Assumptions!$B$36:$H$41))</f>
        <v>0</v>
      </c>
      <c r="DQY28">
        <f t="array" ref="DQY28">_xlfn.XLOOKUP(DQY$11,Assumptions!$B$35:$H$35,_xlfn.XLOOKUP($C28,Assumptions!$B$36:$B$41,Assumptions!$B$36:$H$41))</f>
        <v>0</v>
      </c>
      <c r="DQZ28">
        <f t="array" ref="DQZ28">_xlfn.XLOOKUP(DQZ$11,Assumptions!$B$35:$H$35,_xlfn.XLOOKUP($C28,Assumptions!$B$36:$B$41,Assumptions!$B$36:$H$41))</f>
        <v>0</v>
      </c>
      <c r="DRA28">
        <f t="array" ref="DRA28">_xlfn.XLOOKUP(DRA$11,Assumptions!$B$35:$H$35,_xlfn.XLOOKUP($C28,Assumptions!$B$36:$B$41,Assumptions!$B$36:$H$41))</f>
        <v>0</v>
      </c>
      <c r="DRB28">
        <f t="array" ref="DRB28">_xlfn.XLOOKUP(DRB$11,Assumptions!$B$35:$H$35,_xlfn.XLOOKUP($C28,Assumptions!$B$36:$B$41,Assumptions!$B$36:$H$41))</f>
        <v>0</v>
      </c>
      <c r="DRC28">
        <f t="array" ref="DRC28">_xlfn.XLOOKUP(DRC$11,Assumptions!$B$35:$H$35,_xlfn.XLOOKUP($C28,Assumptions!$B$36:$B$41,Assumptions!$B$36:$H$41))</f>
        <v>0</v>
      </c>
      <c r="DRD28">
        <f t="array" ref="DRD28">_xlfn.XLOOKUP(DRD$11,Assumptions!$B$35:$H$35,_xlfn.XLOOKUP($C28,Assumptions!$B$36:$B$41,Assumptions!$B$36:$H$41))</f>
        <v>0</v>
      </c>
      <c r="DRE28">
        <f t="array" ref="DRE28">_xlfn.XLOOKUP(DRE$11,Assumptions!$B$35:$H$35,_xlfn.XLOOKUP($C28,Assumptions!$B$36:$B$41,Assumptions!$B$36:$H$41))</f>
        <v>0</v>
      </c>
      <c r="DRF28">
        <f t="array" ref="DRF28">_xlfn.XLOOKUP(DRF$11,Assumptions!$B$35:$H$35,_xlfn.XLOOKUP($C28,Assumptions!$B$36:$B$41,Assumptions!$B$36:$H$41))</f>
        <v>0</v>
      </c>
      <c r="DRG28">
        <f t="array" ref="DRG28">_xlfn.XLOOKUP(DRG$11,Assumptions!$B$35:$H$35,_xlfn.XLOOKUP($C28,Assumptions!$B$36:$B$41,Assumptions!$B$36:$H$41))</f>
        <v>0</v>
      </c>
      <c r="DRH28">
        <f t="array" ref="DRH28">_xlfn.XLOOKUP(DRH$11,Assumptions!$B$35:$H$35,_xlfn.XLOOKUP($C28,Assumptions!$B$36:$B$41,Assumptions!$B$36:$H$41))</f>
        <v>0</v>
      </c>
      <c r="DRI28">
        <f t="array" ref="DRI28">_xlfn.XLOOKUP(DRI$11,Assumptions!$B$35:$H$35,_xlfn.XLOOKUP($C28,Assumptions!$B$36:$B$41,Assumptions!$B$36:$H$41))</f>
        <v>0</v>
      </c>
      <c r="DRJ28">
        <f t="array" ref="DRJ28">_xlfn.XLOOKUP(DRJ$11,Assumptions!$B$35:$H$35,_xlfn.XLOOKUP($C28,Assumptions!$B$36:$B$41,Assumptions!$B$36:$H$41))</f>
        <v>0</v>
      </c>
      <c r="DRK28">
        <f t="array" ref="DRK28">_xlfn.XLOOKUP(DRK$11,Assumptions!$B$35:$H$35,_xlfn.XLOOKUP($C28,Assumptions!$B$36:$B$41,Assumptions!$B$36:$H$41))</f>
        <v>0</v>
      </c>
      <c r="DRL28">
        <f t="array" ref="DRL28">_xlfn.XLOOKUP(DRL$11,Assumptions!$B$35:$H$35,_xlfn.XLOOKUP($C28,Assumptions!$B$36:$B$41,Assumptions!$B$36:$H$41))</f>
        <v>0</v>
      </c>
      <c r="DRM28">
        <f t="array" ref="DRM28">_xlfn.XLOOKUP(DRM$11,Assumptions!$B$35:$H$35,_xlfn.XLOOKUP($C28,Assumptions!$B$36:$B$41,Assumptions!$B$36:$H$41))</f>
        <v>0</v>
      </c>
      <c r="DRN28">
        <f t="array" ref="DRN28">_xlfn.XLOOKUP(DRN$11,Assumptions!$B$35:$H$35,_xlfn.XLOOKUP($C28,Assumptions!$B$36:$B$41,Assumptions!$B$36:$H$41))</f>
        <v>0</v>
      </c>
      <c r="DRO28">
        <f t="array" ref="DRO28">_xlfn.XLOOKUP(DRO$11,Assumptions!$B$35:$H$35,_xlfn.XLOOKUP($C28,Assumptions!$B$36:$B$41,Assumptions!$B$36:$H$41))</f>
        <v>0</v>
      </c>
      <c r="DRP28">
        <f t="array" ref="DRP28">_xlfn.XLOOKUP(DRP$11,Assumptions!$B$35:$H$35,_xlfn.XLOOKUP($C28,Assumptions!$B$36:$B$41,Assumptions!$B$36:$H$41))</f>
        <v>0</v>
      </c>
      <c r="DRQ28">
        <f t="array" ref="DRQ28">_xlfn.XLOOKUP(DRQ$11,Assumptions!$B$35:$H$35,_xlfn.XLOOKUP($C28,Assumptions!$B$36:$B$41,Assumptions!$B$36:$H$41))</f>
        <v>0</v>
      </c>
      <c r="DRR28">
        <f t="array" ref="DRR28">_xlfn.XLOOKUP(DRR$11,Assumptions!$B$35:$H$35,_xlfn.XLOOKUP($C28,Assumptions!$B$36:$B$41,Assumptions!$B$36:$H$41))</f>
        <v>0</v>
      </c>
      <c r="DRS28">
        <f t="array" ref="DRS28">_xlfn.XLOOKUP(DRS$11,Assumptions!$B$35:$H$35,_xlfn.XLOOKUP($C28,Assumptions!$B$36:$B$41,Assumptions!$B$36:$H$41))</f>
        <v>0</v>
      </c>
      <c r="DRT28">
        <f t="array" ref="DRT28">_xlfn.XLOOKUP(DRT$11,Assumptions!$B$35:$H$35,_xlfn.XLOOKUP($C28,Assumptions!$B$36:$B$41,Assumptions!$B$36:$H$41))</f>
        <v>0</v>
      </c>
      <c r="DRU28">
        <f t="array" ref="DRU28">_xlfn.XLOOKUP(DRU$11,Assumptions!$B$35:$H$35,_xlfn.XLOOKUP($C28,Assumptions!$B$36:$B$41,Assumptions!$B$36:$H$41))</f>
        <v>0</v>
      </c>
      <c r="DRV28">
        <f t="array" ref="DRV28">_xlfn.XLOOKUP(DRV$11,Assumptions!$B$35:$H$35,_xlfn.XLOOKUP($C28,Assumptions!$B$36:$B$41,Assumptions!$B$36:$H$41))</f>
        <v>0</v>
      </c>
      <c r="DRW28">
        <f t="array" ref="DRW28">_xlfn.XLOOKUP(DRW$11,Assumptions!$B$35:$H$35,_xlfn.XLOOKUP($C28,Assumptions!$B$36:$B$41,Assumptions!$B$36:$H$41))</f>
        <v>0</v>
      </c>
      <c r="DRX28">
        <f t="array" ref="DRX28">_xlfn.XLOOKUP(DRX$11,Assumptions!$B$35:$H$35,_xlfn.XLOOKUP($C28,Assumptions!$B$36:$B$41,Assumptions!$B$36:$H$41))</f>
        <v>0</v>
      </c>
      <c r="DRY28">
        <f t="array" ref="DRY28">_xlfn.XLOOKUP(DRY$11,Assumptions!$B$35:$H$35,_xlfn.XLOOKUP($C28,Assumptions!$B$36:$B$41,Assumptions!$B$36:$H$41))</f>
        <v>0</v>
      </c>
      <c r="DRZ28">
        <f t="array" ref="DRZ28">_xlfn.XLOOKUP(DRZ$11,Assumptions!$B$35:$H$35,_xlfn.XLOOKUP($C28,Assumptions!$B$36:$B$41,Assumptions!$B$36:$H$41))</f>
        <v>0</v>
      </c>
      <c r="DSA28">
        <f t="array" ref="DSA28">_xlfn.XLOOKUP(DSA$11,Assumptions!$B$35:$H$35,_xlfn.XLOOKUP($C28,Assumptions!$B$36:$B$41,Assumptions!$B$36:$H$41))</f>
        <v>0</v>
      </c>
      <c r="DSB28">
        <f t="array" ref="DSB28">_xlfn.XLOOKUP(DSB$11,Assumptions!$B$35:$H$35,_xlfn.XLOOKUP($C28,Assumptions!$B$36:$B$41,Assumptions!$B$36:$H$41))</f>
        <v>0</v>
      </c>
      <c r="DSC28">
        <f t="array" ref="DSC28">_xlfn.XLOOKUP(DSC$11,Assumptions!$B$35:$H$35,_xlfn.XLOOKUP($C28,Assumptions!$B$36:$B$41,Assumptions!$B$36:$H$41))</f>
        <v>0</v>
      </c>
      <c r="DSD28">
        <f t="array" ref="DSD28">_xlfn.XLOOKUP(DSD$11,Assumptions!$B$35:$H$35,_xlfn.XLOOKUP($C28,Assumptions!$B$36:$B$41,Assumptions!$B$36:$H$41))</f>
        <v>0</v>
      </c>
      <c r="DSE28">
        <f t="array" ref="DSE28">_xlfn.XLOOKUP(DSE$11,Assumptions!$B$35:$H$35,_xlfn.XLOOKUP($C28,Assumptions!$B$36:$B$41,Assumptions!$B$36:$H$41))</f>
        <v>0</v>
      </c>
      <c r="DSF28">
        <f t="array" ref="DSF28">_xlfn.XLOOKUP(DSF$11,Assumptions!$B$35:$H$35,_xlfn.XLOOKUP($C28,Assumptions!$B$36:$B$41,Assumptions!$B$36:$H$41))</f>
        <v>0</v>
      </c>
      <c r="DSG28">
        <f t="array" ref="DSG28">_xlfn.XLOOKUP(DSG$11,Assumptions!$B$35:$H$35,_xlfn.XLOOKUP($C28,Assumptions!$B$36:$B$41,Assumptions!$B$36:$H$41))</f>
        <v>0</v>
      </c>
      <c r="DSH28">
        <f t="array" ref="DSH28">_xlfn.XLOOKUP(DSH$11,Assumptions!$B$35:$H$35,_xlfn.XLOOKUP($C28,Assumptions!$B$36:$B$41,Assumptions!$B$36:$H$41))</f>
        <v>0</v>
      </c>
      <c r="DSI28">
        <f t="array" ref="DSI28">_xlfn.XLOOKUP(DSI$11,Assumptions!$B$35:$H$35,_xlfn.XLOOKUP($C28,Assumptions!$B$36:$B$41,Assumptions!$B$36:$H$41))</f>
        <v>0</v>
      </c>
      <c r="DSJ28">
        <f t="array" ref="DSJ28">_xlfn.XLOOKUP(DSJ$11,Assumptions!$B$35:$H$35,_xlfn.XLOOKUP($C28,Assumptions!$B$36:$B$41,Assumptions!$B$36:$H$41))</f>
        <v>0</v>
      </c>
      <c r="DSK28">
        <f t="array" ref="DSK28">_xlfn.XLOOKUP(DSK$11,Assumptions!$B$35:$H$35,_xlfn.XLOOKUP($C28,Assumptions!$B$36:$B$41,Assumptions!$B$36:$H$41))</f>
        <v>0</v>
      </c>
      <c r="DSL28">
        <f t="array" ref="DSL28">_xlfn.XLOOKUP(DSL$11,Assumptions!$B$35:$H$35,_xlfn.XLOOKUP($C28,Assumptions!$B$36:$B$41,Assumptions!$B$36:$H$41))</f>
        <v>0</v>
      </c>
      <c r="DSM28">
        <f t="array" ref="DSM28">_xlfn.XLOOKUP(DSM$11,Assumptions!$B$35:$H$35,_xlfn.XLOOKUP($C28,Assumptions!$B$36:$B$41,Assumptions!$B$36:$H$41))</f>
        <v>0</v>
      </c>
      <c r="DSN28">
        <f t="array" ref="DSN28">_xlfn.XLOOKUP(DSN$11,Assumptions!$B$35:$H$35,_xlfn.XLOOKUP($C28,Assumptions!$B$36:$B$41,Assumptions!$B$36:$H$41))</f>
        <v>0</v>
      </c>
      <c r="DSO28">
        <f t="array" ref="DSO28">_xlfn.XLOOKUP(DSO$11,Assumptions!$B$35:$H$35,_xlfn.XLOOKUP($C28,Assumptions!$B$36:$B$41,Assumptions!$B$36:$H$41))</f>
        <v>0</v>
      </c>
      <c r="DSP28">
        <f t="array" ref="DSP28">_xlfn.XLOOKUP(DSP$11,Assumptions!$B$35:$H$35,_xlfn.XLOOKUP($C28,Assumptions!$B$36:$B$41,Assumptions!$B$36:$H$41))</f>
        <v>0</v>
      </c>
      <c r="DSQ28">
        <f t="array" ref="DSQ28">_xlfn.XLOOKUP(DSQ$11,Assumptions!$B$35:$H$35,_xlfn.XLOOKUP($C28,Assumptions!$B$36:$B$41,Assumptions!$B$36:$H$41))</f>
        <v>0</v>
      </c>
      <c r="DSR28">
        <f t="array" ref="DSR28">_xlfn.XLOOKUP(DSR$11,Assumptions!$B$35:$H$35,_xlfn.XLOOKUP($C28,Assumptions!$B$36:$B$41,Assumptions!$B$36:$H$41))</f>
        <v>0</v>
      </c>
      <c r="DSS28">
        <f t="array" ref="DSS28">_xlfn.XLOOKUP(DSS$11,Assumptions!$B$35:$H$35,_xlfn.XLOOKUP($C28,Assumptions!$B$36:$B$41,Assumptions!$B$36:$H$41))</f>
        <v>0</v>
      </c>
      <c r="DST28">
        <f t="array" ref="DST28">_xlfn.XLOOKUP(DST$11,Assumptions!$B$35:$H$35,_xlfn.XLOOKUP($C28,Assumptions!$B$36:$B$41,Assumptions!$B$36:$H$41))</f>
        <v>0</v>
      </c>
      <c r="DSU28">
        <f t="array" ref="DSU28">_xlfn.XLOOKUP(DSU$11,Assumptions!$B$35:$H$35,_xlfn.XLOOKUP($C28,Assumptions!$B$36:$B$41,Assumptions!$B$36:$H$41))</f>
        <v>0</v>
      </c>
      <c r="DSV28">
        <f t="array" ref="DSV28">_xlfn.XLOOKUP(DSV$11,Assumptions!$B$35:$H$35,_xlfn.XLOOKUP($C28,Assumptions!$B$36:$B$41,Assumptions!$B$36:$H$41))</f>
        <v>0</v>
      </c>
      <c r="DSW28">
        <f t="array" ref="DSW28">_xlfn.XLOOKUP(DSW$11,Assumptions!$B$35:$H$35,_xlfn.XLOOKUP($C28,Assumptions!$B$36:$B$41,Assumptions!$B$36:$H$41))</f>
        <v>0</v>
      </c>
      <c r="DSX28">
        <f t="array" ref="DSX28">_xlfn.XLOOKUP(DSX$11,Assumptions!$B$35:$H$35,_xlfn.XLOOKUP($C28,Assumptions!$B$36:$B$41,Assumptions!$B$36:$H$41))</f>
        <v>0</v>
      </c>
      <c r="DSY28">
        <f t="array" ref="DSY28">_xlfn.XLOOKUP(DSY$11,Assumptions!$B$35:$H$35,_xlfn.XLOOKUP($C28,Assumptions!$B$36:$B$41,Assumptions!$B$36:$H$41))</f>
        <v>0</v>
      </c>
      <c r="DSZ28">
        <f t="array" ref="DSZ28">_xlfn.XLOOKUP(DSZ$11,Assumptions!$B$35:$H$35,_xlfn.XLOOKUP($C28,Assumptions!$B$36:$B$41,Assumptions!$B$36:$H$41))</f>
        <v>0</v>
      </c>
      <c r="DTA28">
        <f t="array" ref="DTA28">_xlfn.XLOOKUP(DTA$11,Assumptions!$B$35:$H$35,_xlfn.XLOOKUP($C28,Assumptions!$B$36:$B$41,Assumptions!$B$36:$H$41))</f>
        <v>0</v>
      </c>
      <c r="DTB28">
        <f t="array" ref="DTB28">_xlfn.XLOOKUP(DTB$11,Assumptions!$B$35:$H$35,_xlfn.XLOOKUP($C28,Assumptions!$B$36:$B$41,Assumptions!$B$36:$H$41))</f>
        <v>0</v>
      </c>
      <c r="DTC28">
        <f t="array" ref="DTC28">_xlfn.XLOOKUP(DTC$11,Assumptions!$B$35:$H$35,_xlfn.XLOOKUP($C28,Assumptions!$B$36:$B$41,Assumptions!$B$36:$H$41))</f>
        <v>0</v>
      </c>
      <c r="DTD28">
        <f t="array" ref="DTD28">_xlfn.XLOOKUP(DTD$11,Assumptions!$B$35:$H$35,_xlfn.XLOOKUP($C28,Assumptions!$B$36:$B$41,Assumptions!$B$36:$H$41))</f>
        <v>0</v>
      </c>
      <c r="DTE28">
        <f t="array" ref="DTE28">_xlfn.XLOOKUP(DTE$11,Assumptions!$B$35:$H$35,_xlfn.XLOOKUP($C28,Assumptions!$B$36:$B$41,Assumptions!$B$36:$H$41))</f>
        <v>0</v>
      </c>
      <c r="DTF28">
        <f t="array" ref="DTF28">_xlfn.XLOOKUP(DTF$11,Assumptions!$B$35:$H$35,_xlfn.XLOOKUP($C28,Assumptions!$B$36:$B$41,Assumptions!$B$36:$H$41))</f>
        <v>0</v>
      </c>
      <c r="DTG28">
        <f t="array" ref="DTG28">_xlfn.XLOOKUP(DTG$11,Assumptions!$B$35:$H$35,_xlfn.XLOOKUP($C28,Assumptions!$B$36:$B$41,Assumptions!$B$36:$H$41))</f>
        <v>0</v>
      </c>
      <c r="DTH28">
        <f t="array" ref="DTH28">_xlfn.XLOOKUP(DTH$11,Assumptions!$B$35:$H$35,_xlfn.XLOOKUP($C28,Assumptions!$B$36:$B$41,Assumptions!$B$36:$H$41))</f>
        <v>0</v>
      </c>
      <c r="DTI28">
        <f t="array" ref="DTI28">_xlfn.XLOOKUP(DTI$11,Assumptions!$B$35:$H$35,_xlfn.XLOOKUP($C28,Assumptions!$B$36:$B$41,Assumptions!$B$36:$H$41))</f>
        <v>0</v>
      </c>
      <c r="DTJ28">
        <f t="array" ref="DTJ28">_xlfn.XLOOKUP(DTJ$11,Assumptions!$B$35:$H$35,_xlfn.XLOOKUP($C28,Assumptions!$B$36:$B$41,Assumptions!$B$36:$H$41))</f>
        <v>0</v>
      </c>
      <c r="DTK28">
        <f t="array" ref="DTK28">_xlfn.XLOOKUP(DTK$11,Assumptions!$B$35:$H$35,_xlfn.XLOOKUP($C28,Assumptions!$B$36:$B$41,Assumptions!$B$36:$H$41))</f>
        <v>0</v>
      </c>
      <c r="DTL28">
        <f t="array" ref="DTL28">_xlfn.XLOOKUP(DTL$11,Assumptions!$B$35:$H$35,_xlfn.XLOOKUP($C28,Assumptions!$B$36:$B$41,Assumptions!$B$36:$H$41))</f>
        <v>0</v>
      </c>
      <c r="DTM28">
        <f t="array" ref="DTM28">_xlfn.XLOOKUP(DTM$11,Assumptions!$B$35:$H$35,_xlfn.XLOOKUP($C28,Assumptions!$B$36:$B$41,Assumptions!$B$36:$H$41))</f>
        <v>0</v>
      </c>
      <c r="DTN28">
        <f t="array" ref="DTN28">_xlfn.XLOOKUP(DTN$11,Assumptions!$B$35:$H$35,_xlfn.XLOOKUP($C28,Assumptions!$B$36:$B$41,Assumptions!$B$36:$H$41))</f>
        <v>0</v>
      </c>
      <c r="DTO28">
        <f t="array" ref="DTO28">_xlfn.XLOOKUP(DTO$11,Assumptions!$B$35:$H$35,_xlfn.XLOOKUP($C28,Assumptions!$B$36:$B$41,Assumptions!$B$36:$H$41))</f>
        <v>0</v>
      </c>
      <c r="DTP28">
        <f t="array" ref="DTP28">_xlfn.XLOOKUP(DTP$11,Assumptions!$B$35:$H$35,_xlfn.XLOOKUP($C28,Assumptions!$B$36:$B$41,Assumptions!$B$36:$H$41))</f>
        <v>0</v>
      </c>
      <c r="DTQ28">
        <f t="array" ref="DTQ28">_xlfn.XLOOKUP(DTQ$11,Assumptions!$B$35:$H$35,_xlfn.XLOOKUP($C28,Assumptions!$B$36:$B$41,Assumptions!$B$36:$H$41))</f>
        <v>0</v>
      </c>
      <c r="DTR28">
        <f t="array" ref="DTR28">_xlfn.XLOOKUP(DTR$11,Assumptions!$B$35:$H$35,_xlfn.XLOOKUP($C28,Assumptions!$B$36:$B$41,Assumptions!$B$36:$H$41))</f>
        <v>0</v>
      </c>
      <c r="DTS28">
        <f t="array" ref="DTS28">_xlfn.XLOOKUP(DTS$11,Assumptions!$B$35:$H$35,_xlfn.XLOOKUP($C28,Assumptions!$B$36:$B$41,Assumptions!$B$36:$H$41))</f>
        <v>0</v>
      </c>
      <c r="DTT28">
        <f t="array" ref="DTT28">_xlfn.XLOOKUP(DTT$11,Assumptions!$B$35:$H$35,_xlfn.XLOOKUP($C28,Assumptions!$B$36:$B$41,Assumptions!$B$36:$H$41))</f>
        <v>0</v>
      </c>
      <c r="DTU28">
        <f t="array" ref="DTU28">_xlfn.XLOOKUP(DTU$11,Assumptions!$B$35:$H$35,_xlfn.XLOOKUP($C28,Assumptions!$B$36:$B$41,Assumptions!$B$36:$H$41))</f>
        <v>0</v>
      </c>
      <c r="DTV28">
        <f t="array" ref="DTV28">_xlfn.XLOOKUP(DTV$11,Assumptions!$B$35:$H$35,_xlfn.XLOOKUP($C28,Assumptions!$B$36:$B$41,Assumptions!$B$36:$H$41))</f>
        <v>0</v>
      </c>
      <c r="DTW28">
        <f t="array" ref="DTW28">_xlfn.XLOOKUP(DTW$11,Assumptions!$B$35:$H$35,_xlfn.XLOOKUP($C28,Assumptions!$B$36:$B$41,Assumptions!$B$36:$H$41))</f>
        <v>0</v>
      </c>
      <c r="DTX28">
        <f t="array" ref="DTX28">_xlfn.XLOOKUP(DTX$11,Assumptions!$B$35:$H$35,_xlfn.XLOOKUP($C28,Assumptions!$B$36:$B$41,Assumptions!$B$36:$H$41))</f>
        <v>0</v>
      </c>
      <c r="DTY28">
        <f t="array" ref="DTY28">_xlfn.XLOOKUP(DTY$11,Assumptions!$B$35:$H$35,_xlfn.XLOOKUP($C28,Assumptions!$B$36:$B$41,Assumptions!$B$36:$H$41))</f>
        <v>0</v>
      </c>
      <c r="DTZ28">
        <f t="array" ref="DTZ28">_xlfn.XLOOKUP(DTZ$11,Assumptions!$B$35:$H$35,_xlfn.XLOOKUP($C28,Assumptions!$B$36:$B$41,Assumptions!$B$36:$H$41))</f>
        <v>0</v>
      </c>
      <c r="DUA28">
        <f t="array" ref="DUA28">_xlfn.XLOOKUP(DUA$11,Assumptions!$B$35:$H$35,_xlfn.XLOOKUP($C28,Assumptions!$B$36:$B$41,Assumptions!$B$36:$H$41))</f>
        <v>0</v>
      </c>
      <c r="DUB28">
        <f t="array" ref="DUB28">_xlfn.XLOOKUP(DUB$11,Assumptions!$B$35:$H$35,_xlfn.XLOOKUP($C28,Assumptions!$B$36:$B$41,Assumptions!$B$36:$H$41))</f>
        <v>0</v>
      </c>
      <c r="DUC28">
        <f t="array" ref="DUC28">_xlfn.XLOOKUP(DUC$11,Assumptions!$B$35:$H$35,_xlfn.XLOOKUP($C28,Assumptions!$B$36:$B$41,Assumptions!$B$36:$H$41))</f>
        <v>0</v>
      </c>
      <c r="DUD28">
        <f t="array" ref="DUD28">_xlfn.XLOOKUP(DUD$11,Assumptions!$B$35:$H$35,_xlfn.XLOOKUP($C28,Assumptions!$B$36:$B$41,Assumptions!$B$36:$H$41))</f>
        <v>0</v>
      </c>
      <c r="DUE28">
        <f t="array" ref="DUE28">_xlfn.XLOOKUP(DUE$11,Assumptions!$B$35:$H$35,_xlfn.XLOOKUP($C28,Assumptions!$B$36:$B$41,Assumptions!$B$36:$H$41))</f>
        <v>0</v>
      </c>
      <c r="DUF28">
        <f t="array" ref="DUF28">_xlfn.XLOOKUP(DUF$11,Assumptions!$B$35:$H$35,_xlfn.XLOOKUP($C28,Assumptions!$B$36:$B$41,Assumptions!$B$36:$H$41))</f>
        <v>0</v>
      </c>
      <c r="DUG28">
        <f t="array" ref="DUG28">_xlfn.XLOOKUP(DUG$11,Assumptions!$B$35:$H$35,_xlfn.XLOOKUP($C28,Assumptions!$B$36:$B$41,Assumptions!$B$36:$H$41))</f>
        <v>0</v>
      </c>
      <c r="DUH28">
        <f t="array" ref="DUH28">_xlfn.XLOOKUP(DUH$11,Assumptions!$B$35:$H$35,_xlfn.XLOOKUP($C28,Assumptions!$B$36:$B$41,Assumptions!$B$36:$H$41))</f>
        <v>0</v>
      </c>
      <c r="DUI28">
        <f t="array" ref="DUI28">_xlfn.XLOOKUP(DUI$11,Assumptions!$B$35:$H$35,_xlfn.XLOOKUP($C28,Assumptions!$B$36:$B$41,Assumptions!$B$36:$H$41))</f>
        <v>0</v>
      </c>
      <c r="DUJ28">
        <f t="array" ref="DUJ28">_xlfn.XLOOKUP(DUJ$11,Assumptions!$B$35:$H$35,_xlfn.XLOOKUP($C28,Assumptions!$B$36:$B$41,Assumptions!$B$36:$H$41))</f>
        <v>0</v>
      </c>
      <c r="DUK28">
        <f t="array" ref="DUK28">_xlfn.XLOOKUP(DUK$11,Assumptions!$B$35:$H$35,_xlfn.XLOOKUP($C28,Assumptions!$B$36:$B$41,Assumptions!$B$36:$H$41))</f>
        <v>0</v>
      </c>
      <c r="DUL28">
        <f t="array" ref="DUL28">_xlfn.XLOOKUP(DUL$11,Assumptions!$B$35:$H$35,_xlfn.XLOOKUP($C28,Assumptions!$B$36:$B$41,Assumptions!$B$36:$H$41))</f>
        <v>0</v>
      </c>
      <c r="DUM28">
        <f t="array" ref="DUM28">_xlfn.XLOOKUP(DUM$11,Assumptions!$B$35:$H$35,_xlfn.XLOOKUP($C28,Assumptions!$B$36:$B$41,Assumptions!$B$36:$H$41))</f>
        <v>0</v>
      </c>
      <c r="DUN28">
        <f t="array" ref="DUN28">_xlfn.XLOOKUP(DUN$11,Assumptions!$B$35:$H$35,_xlfn.XLOOKUP($C28,Assumptions!$B$36:$B$41,Assumptions!$B$36:$H$41))</f>
        <v>0</v>
      </c>
      <c r="DUO28">
        <f t="array" ref="DUO28">_xlfn.XLOOKUP(DUO$11,Assumptions!$B$35:$H$35,_xlfn.XLOOKUP($C28,Assumptions!$B$36:$B$41,Assumptions!$B$36:$H$41))</f>
        <v>0</v>
      </c>
      <c r="DUP28">
        <f t="array" ref="DUP28">_xlfn.XLOOKUP(DUP$11,Assumptions!$B$35:$H$35,_xlfn.XLOOKUP($C28,Assumptions!$B$36:$B$41,Assumptions!$B$36:$H$41))</f>
        <v>0</v>
      </c>
      <c r="DUQ28">
        <f t="array" ref="DUQ28">_xlfn.XLOOKUP(DUQ$11,Assumptions!$B$35:$H$35,_xlfn.XLOOKUP($C28,Assumptions!$B$36:$B$41,Assumptions!$B$36:$H$41))</f>
        <v>0</v>
      </c>
      <c r="DUR28">
        <f t="array" ref="DUR28">_xlfn.XLOOKUP(DUR$11,Assumptions!$B$35:$H$35,_xlfn.XLOOKUP($C28,Assumptions!$B$36:$B$41,Assumptions!$B$36:$H$41))</f>
        <v>0</v>
      </c>
      <c r="DUS28">
        <f t="array" ref="DUS28">_xlfn.XLOOKUP(DUS$11,Assumptions!$B$35:$H$35,_xlfn.XLOOKUP($C28,Assumptions!$B$36:$B$41,Assumptions!$B$36:$H$41))</f>
        <v>0</v>
      </c>
      <c r="DUT28">
        <f t="array" ref="DUT28">_xlfn.XLOOKUP(DUT$11,Assumptions!$B$35:$H$35,_xlfn.XLOOKUP($C28,Assumptions!$B$36:$B$41,Assumptions!$B$36:$H$41))</f>
        <v>0</v>
      </c>
      <c r="DUU28">
        <f t="array" ref="DUU28">_xlfn.XLOOKUP(DUU$11,Assumptions!$B$35:$H$35,_xlfn.XLOOKUP($C28,Assumptions!$B$36:$B$41,Assumptions!$B$36:$H$41))</f>
        <v>0</v>
      </c>
      <c r="DUV28">
        <f t="array" ref="DUV28">_xlfn.XLOOKUP(DUV$11,Assumptions!$B$35:$H$35,_xlfn.XLOOKUP($C28,Assumptions!$B$36:$B$41,Assumptions!$B$36:$H$41))</f>
        <v>0</v>
      </c>
      <c r="DUW28">
        <f t="array" ref="DUW28">_xlfn.XLOOKUP(DUW$11,Assumptions!$B$35:$H$35,_xlfn.XLOOKUP($C28,Assumptions!$B$36:$B$41,Assumptions!$B$36:$H$41))</f>
        <v>0</v>
      </c>
      <c r="DUX28">
        <f t="array" ref="DUX28">_xlfn.XLOOKUP(DUX$11,Assumptions!$B$35:$H$35,_xlfn.XLOOKUP($C28,Assumptions!$B$36:$B$41,Assumptions!$B$36:$H$41))</f>
        <v>0</v>
      </c>
      <c r="DUY28">
        <f t="array" ref="DUY28">_xlfn.XLOOKUP(DUY$11,Assumptions!$B$35:$H$35,_xlfn.XLOOKUP($C28,Assumptions!$B$36:$B$41,Assumptions!$B$36:$H$41))</f>
        <v>0</v>
      </c>
      <c r="DUZ28">
        <f t="array" ref="DUZ28">_xlfn.XLOOKUP(DUZ$11,Assumptions!$B$35:$H$35,_xlfn.XLOOKUP($C28,Assumptions!$B$36:$B$41,Assumptions!$B$36:$H$41))</f>
        <v>0</v>
      </c>
      <c r="DVA28">
        <f t="array" ref="DVA28">_xlfn.XLOOKUP(DVA$11,Assumptions!$B$35:$H$35,_xlfn.XLOOKUP($C28,Assumptions!$B$36:$B$41,Assumptions!$B$36:$H$41))</f>
        <v>0</v>
      </c>
      <c r="DVB28">
        <f t="array" ref="DVB28">_xlfn.XLOOKUP(DVB$11,Assumptions!$B$35:$H$35,_xlfn.XLOOKUP($C28,Assumptions!$B$36:$B$41,Assumptions!$B$36:$H$41))</f>
        <v>0</v>
      </c>
      <c r="DVC28">
        <f t="array" ref="DVC28">_xlfn.XLOOKUP(DVC$11,Assumptions!$B$35:$H$35,_xlfn.XLOOKUP($C28,Assumptions!$B$36:$B$41,Assumptions!$B$36:$H$41))</f>
        <v>0</v>
      </c>
      <c r="DVD28">
        <f t="array" ref="DVD28">_xlfn.XLOOKUP(DVD$11,Assumptions!$B$35:$H$35,_xlfn.XLOOKUP($C28,Assumptions!$B$36:$B$41,Assumptions!$B$36:$H$41))</f>
        <v>0</v>
      </c>
      <c r="DVE28">
        <f t="array" ref="DVE28">_xlfn.XLOOKUP(DVE$11,Assumptions!$B$35:$H$35,_xlfn.XLOOKUP($C28,Assumptions!$B$36:$B$41,Assumptions!$B$36:$H$41))</f>
        <v>0</v>
      </c>
      <c r="DVF28">
        <f t="array" ref="DVF28">_xlfn.XLOOKUP(DVF$11,Assumptions!$B$35:$H$35,_xlfn.XLOOKUP($C28,Assumptions!$B$36:$B$41,Assumptions!$B$36:$H$41))</f>
        <v>0</v>
      </c>
      <c r="DVG28">
        <f t="array" ref="DVG28">_xlfn.XLOOKUP(DVG$11,Assumptions!$B$35:$H$35,_xlfn.XLOOKUP($C28,Assumptions!$B$36:$B$41,Assumptions!$B$36:$H$41))</f>
        <v>0</v>
      </c>
      <c r="DVH28">
        <f t="array" ref="DVH28">_xlfn.XLOOKUP(DVH$11,Assumptions!$B$35:$H$35,_xlfn.XLOOKUP($C28,Assumptions!$B$36:$B$41,Assumptions!$B$36:$H$41))</f>
        <v>0</v>
      </c>
      <c r="DVI28">
        <f t="array" ref="DVI28">_xlfn.XLOOKUP(DVI$11,Assumptions!$B$35:$H$35,_xlfn.XLOOKUP($C28,Assumptions!$B$36:$B$41,Assumptions!$B$36:$H$41))</f>
        <v>0</v>
      </c>
      <c r="DVJ28">
        <f t="array" ref="DVJ28">_xlfn.XLOOKUP(DVJ$11,Assumptions!$B$35:$H$35,_xlfn.XLOOKUP($C28,Assumptions!$B$36:$B$41,Assumptions!$B$36:$H$41))</f>
        <v>0</v>
      </c>
      <c r="DVK28">
        <f t="array" ref="DVK28">_xlfn.XLOOKUP(DVK$11,Assumptions!$B$35:$H$35,_xlfn.XLOOKUP($C28,Assumptions!$B$36:$B$41,Assumptions!$B$36:$H$41))</f>
        <v>0</v>
      </c>
      <c r="DVL28">
        <f t="array" ref="DVL28">_xlfn.XLOOKUP(DVL$11,Assumptions!$B$35:$H$35,_xlfn.XLOOKUP($C28,Assumptions!$B$36:$B$41,Assumptions!$B$36:$H$41))</f>
        <v>0</v>
      </c>
      <c r="DVM28">
        <f t="array" ref="DVM28">_xlfn.XLOOKUP(DVM$11,Assumptions!$B$35:$H$35,_xlfn.XLOOKUP($C28,Assumptions!$B$36:$B$41,Assumptions!$B$36:$H$41))</f>
        <v>0</v>
      </c>
      <c r="DVN28">
        <f t="array" ref="DVN28">_xlfn.XLOOKUP(DVN$11,Assumptions!$B$35:$H$35,_xlfn.XLOOKUP($C28,Assumptions!$B$36:$B$41,Assumptions!$B$36:$H$41))</f>
        <v>0</v>
      </c>
      <c r="DVO28">
        <f t="array" ref="DVO28">_xlfn.XLOOKUP(DVO$11,Assumptions!$B$35:$H$35,_xlfn.XLOOKUP($C28,Assumptions!$B$36:$B$41,Assumptions!$B$36:$H$41))</f>
        <v>0</v>
      </c>
      <c r="DVP28">
        <f t="array" ref="DVP28">_xlfn.XLOOKUP(DVP$11,Assumptions!$B$35:$H$35,_xlfn.XLOOKUP($C28,Assumptions!$B$36:$B$41,Assumptions!$B$36:$H$41))</f>
        <v>0</v>
      </c>
      <c r="DVQ28">
        <f t="array" ref="DVQ28">_xlfn.XLOOKUP(DVQ$11,Assumptions!$B$35:$H$35,_xlfn.XLOOKUP($C28,Assumptions!$B$36:$B$41,Assumptions!$B$36:$H$41))</f>
        <v>0</v>
      </c>
      <c r="DVR28">
        <f t="array" ref="DVR28">_xlfn.XLOOKUP(DVR$11,Assumptions!$B$35:$H$35,_xlfn.XLOOKUP($C28,Assumptions!$B$36:$B$41,Assumptions!$B$36:$H$41))</f>
        <v>0</v>
      </c>
      <c r="DVS28">
        <f t="array" ref="DVS28">_xlfn.XLOOKUP(DVS$11,Assumptions!$B$35:$H$35,_xlfn.XLOOKUP($C28,Assumptions!$B$36:$B$41,Assumptions!$B$36:$H$41))</f>
        <v>0</v>
      </c>
      <c r="DVT28">
        <f t="array" ref="DVT28">_xlfn.XLOOKUP(DVT$11,Assumptions!$B$35:$H$35,_xlfn.XLOOKUP($C28,Assumptions!$B$36:$B$41,Assumptions!$B$36:$H$41))</f>
        <v>0</v>
      </c>
      <c r="DVU28">
        <f t="array" ref="DVU28">_xlfn.XLOOKUP(DVU$11,Assumptions!$B$35:$H$35,_xlfn.XLOOKUP($C28,Assumptions!$B$36:$B$41,Assumptions!$B$36:$H$41))</f>
        <v>0</v>
      </c>
      <c r="DVV28">
        <f t="array" ref="DVV28">_xlfn.XLOOKUP(DVV$11,Assumptions!$B$35:$H$35,_xlfn.XLOOKUP($C28,Assumptions!$B$36:$B$41,Assumptions!$B$36:$H$41))</f>
        <v>0</v>
      </c>
      <c r="DVW28">
        <f t="array" ref="DVW28">_xlfn.XLOOKUP(DVW$11,Assumptions!$B$35:$H$35,_xlfn.XLOOKUP($C28,Assumptions!$B$36:$B$41,Assumptions!$B$36:$H$41))</f>
        <v>0</v>
      </c>
      <c r="DVX28">
        <f t="array" ref="DVX28">_xlfn.XLOOKUP(DVX$11,Assumptions!$B$35:$H$35,_xlfn.XLOOKUP($C28,Assumptions!$B$36:$B$41,Assumptions!$B$36:$H$41))</f>
        <v>0</v>
      </c>
      <c r="DVY28">
        <f t="array" ref="DVY28">_xlfn.XLOOKUP(DVY$11,Assumptions!$B$35:$H$35,_xlfn.XLOOKUP($C28,Assumptions!$B$36:$B$41,Assumptions!$B$36:$H$41))</f>
        <v>0</v>
      </c>
      <c r="DVZ28">
        <f t="array" ref="DVZ28">_xlfn.XLOOKUP(DVZ$11,Assumptions!$B$35:$H$35,_xlfn.XLOOKUP($C28,Assumptions!$B$36:$B$41,Assumptions!$B$36:$H$41))</f>
        <v>0</v>
      </c>
      <c r="DWA28">
        <f t="array" ref="DWA28">_xlfn.XLOOKUP(DWA$11,Assumptions!$B$35:$H$35,_xlfn.XLOOKUP($C28,Assumptions!$B$36:$B$41,Assumptions!$B$36:$H$41))</f>
        <v>0</v>
      </c>
      <c r="DWB28">
        <f t="array" ref="DWB28">_xlfn.XLOOKUP(DWB$11,Assumptions!$B$35:$H$35,_xlfn.XLOOKUP($C28,Assumptions!$B$36:$B$41,Assumptions!$B$36:$H$41))</f>
        <v>0</v>
      </c>
      <c r="DWC28">
        <f t="array" ref="DWC28">_xlfn.XLOOKUP(DWC$11,Assumptions!$B$35:$H$35,_xlfn.XLOOKUP($C28,Assumptions!$B$36:$B$41,Assumptions!$B$36:$H$41))</f>
        <v>0</v>
      </c>
      <c r="DWD28">
        <f t="array" ref="DWD28">_xlfn.XLOOKUP(DWD$11,Assumptions!$B$35:$H$35,_xlfn.XLOOKUP($C28,Assumptions!$B$36:$B$41,Assumptions!$B$36:$H$41))</f>
        <v>0</v>
      </c>
      <c r="DWE28">
        <f t="array" ref="DWE28">_xlfn.XLOOKUP(DWE$11,Assumptions!$B$35:$H$35,_xlfn.XLOOKUP($C28,Assumptions!$B$36:$B$41,Assumptions!$B$36:$H$41))</f>
        <v>0</v>
      </c>
      <c r="DWF28">
        <f t="array" ref="DWF28">_xlfn.XLOOKUP(DWF$11,Assumptions!$B$35:$H$35,_xlfn.XLOOKUP($C28,Assumptions!$B$36:$B$41,Assumptions!$B$36:$H$41))</f>
        <v>0</v>
      </c>
      <c r="DWG28">
        <f t="array" ref="DWG28">_xlfn.XLOOKUP(DWG$11,Assumptions!$B$35:$H$35,_xlfn.XLOOKUP($C28,Assumptions!$B$36:$B$41,Assumptions!$B$36:$H$41))</f>
        <v>0</v>
      </c>
      <c r="DWH28">
        <f t="array" ref="DWH28">_xlfn.XLOOKUP(DWH$11,Assumptions!$B$35:$H$35,_xlfn.XLOOKUP($C28,Assumptions!$B$36:$B$41,Assumptions!$B$36:$H$41))</f>
        <v>0</v>
      </c>
      <c r="DWI28">
        <f t="array" ref="DWI28">_xlfn.XLOOKUP(DWI$11,Assumptions!$B$35:$H$35,_xlfn.XLOOKUP($C28,Assumptions!$B$36:$B$41,Assumptions!$B$36:$H$41))</f>
        <v>0</v>
      </c>
      <c r="DWJ28">
        <f t="array" ref="DWJ28">_xlfn.XLOOKUP(DWJ$11,Assumptions!$B$35:$H$35,_xlfn.XLOOKUP($C28,Assumptions!$B$36:$B$41,Assumptions!$B$36:$H$41))</f>
        <v>0</v>
      </c>
      <c r="DWK28">
        <f t="array" ref="DWK28">_xlfn.XLOOKUP(DWK$11,Assumptions!$B$35:$H$35,_xlfn.XLOOKUP($C28,Assumptions!$B$36:$B$41,Assumptions!$B$36:$H$41))</f>
        <v>0</v>
      </c>
      <c r="DWL28">
        <f t="array" ref="DWL28">_xlfn.XLOOKUP(DWL$11,Assumptions!$B$35:$H$35,_xlfn.XLOOKUP($C28,Assumptions!$B$36:$B$41,Assumptions!$B$36:$H$41))</f>
        <v>0</v>
      </c>
      <c r="DWM28">
        <f t="array" ref="DWM28">_xlfn.XLOOKUP(DWM$11,Assumptions!$B$35:$H$35,_xlfn.XLOOKUP($C28,Assumptions!$B$36:$B$41,Assumptions!$B$36:$H$41))</f>
        <v>0</v>
      </c>
      <c r="DWN28">
        <f t="array" ref="DWN28">_xlfn.XLOOKUP(DWN$11,Assumptions!$B$35:$H$35,_xlfn.XLOOKUP($C28,Assumptions!$B$36:$B$41,Assumptions!$B$36:$H$41))</f>
        <v>0</v>
      </c>
      <c r="DWO28">
        <f t="array" ref="DWO28">_xlfn.XLOOKUP(DWO$11,Assumptions!$B$35:$H$35,_xlfn.XLOOKUP($C28,Assumptions!$B$36:$B$41,Assumptions!$B$36:$H$41))</f>
        <v>0</v>
      </c>
      <c r="DWP28">
        <f t="array" ref="DWP28">_xlfn.XLOOKUP(DWP$11,Assumptions!$B$35:$H$35,_xlfn.XLOOKUP($C28,Assumptions!$B$36:$B$41,Assumptions!$B$36:$H$41))</f>
        <v>0</v>
      </c>
      <c r="DWQ28">
        <f t="array" ref="DWQ28">_xlfn.XLOOKUP(DWQ$11,Assumptions!$B$35:$H$35,_xlfn.XLOOKUP($C28,Assumptions!$B$36:$B$41,Assumptions!$B$36:$H$41))</f>
        <v>0</v>
      </c>
      <c r="DWR28">
        <f t="array" ref="DWR28">_xlfn.XLOOKUP(DWR$11,Assumptions!$B$35:$H$35,_xlfn.XLOOKUP($C28,Assumptions!$B$36:$B$41,Assumptions!$B$36:$H$41))</f>
        <v>0</v>
      </c>
      <c r="DWS28">
        <f t="array" ref="DWS28">_xlfn.XLOOKUP(DWS$11,Assumptions!$B$35:$H$35,_xlfn.XLOOKUP($C28,Assumptions!$B$36:$B$41,Assumptions!$B$36:$H$41))</f>
        <v>0</v>
      </c>
      <c r="DWT28">
        <f t="array" ref="DWT28">_xlfn.XLOOKUP(DWT$11,Assumptions!$B$35:$H$35,_xlfn.XLOOKUP($C28,Assumptions!$B$36:$B$41,Assumptions!$B$36:$H$41))</f>
        <v>0</v>
      </c>
      <c r="DWU28">
        <f t="array" ref="DWU28">_xlfn.XLOOKUP(DWU$11,Assumptions!$B$35:$H$35,_xlfn.XLOOKUP($C28,Assumptions!$B$36:$B$41,Assumptions!$B$36:$H$41))</f>
        <v>0</v>
      </c>
      <c r="DWV28">
        <f t="array" ref="DWV28">_xlfn.XLOOKUP(DWV$11,Assumptions!$B$35:$H$35,_xlfn.XLOOKUP($C28,Assumptions!$B$36:$B$41,Assumptions!$B$36:$H$41))</f>
        <v>0</v>
      </c>
      <c r="DWW28">
        <f t="array" ref="DWW28">_xlfn.XLOOKUP(DWW$11,Assumptions!$B$35:$H$35,_xlfn.XLOOKUP($C28,Assumptions!$B$36:$B$41,Assumptions!$B$36:$H$41))</f>
        <v>0</v>
      </c>
      <c r="DWX28">
        <f t="array" ref="DWX28">_xlfn.XLOOKUP(DWX$11,Assumptions!$B$35:$H$35,_xlfn.XLOOKUP($C28,Assumptions!$B$36:$B$41,Assumptions!$B$36:$H$41))</f>
        <v>0</v>
      </c>
      <c r="DWY28">
        <f t="array" ref="DWY28">_xlfn.XLOOKUP(DWY$11,Assumptions!$B$35:$H$35,_xlfn.XLOOKUP($C28,Assumptions!$B$36:$B$41,Assumptions!$B$36:$H$41))</f>
        <v>0</v>
      </c>
      <c r="DWZ28">
        <f t="array" ref="DWZ28">_xlfn.XLOOKUP(DWZ$11,Assumptions!$B$35:$H$35,_xlfn.XLOOKUP($C28,Assumptions!$B$36:$B$41,Assumptions!$B$36:$H$41))</f>
        <v>0</v>
      </c>
      <c r="DXA28">
        <f t="array" ref="DXA28">_xlfn.XLOOKUP(DXA$11,Assumptions!$B$35:$H$35,_xlfn.XLOOKUP($C28,Assumptions!$B$36:$B$41,Assumptions!$B$36:$H$41))</f>
        <v>0</v>
      </c>
      <c r="DXB28">
        <f t="array" ref="DXB28">_xlfn.XLOOKUP(DXB$11,Assumptions!$B$35:$H$35,_xlfn.XLOOKUP($C28,Assumptions!$B$36:$B$41,Assumptions!$B$36:$H$41))</f>
        <v>0</v>
      </c>
      <c r="DXC28">
        <f t="array" ref="DXC28">_xlfn.XLOOKUP(DXC$11,Assumptions!$B$35:$H$35,_xlfn.XLOOKUP($C28,Assumptions!$B$36:$B$41,Assumptions!$B$36:$H$41))</f>
        <v>0</v>
      </c>
      <c r="DXD28">
        <f t="array" ref="DXD28">_xlfn.XLOOKUP(DXD$11,Assumptions!$B$35:$H$35,_xlfn.XLOOKUP($C28,Assumptions!$B$36:$B$41,Assumptions!$B$36:$H$41))</f>
        <v>0</v>
      </c>
      <c r="DXE28">
        <f t="array" ref="DXE28">_xlfn.XLOOKUP(DXE$11,Assumptions!$B$35:$H$35,_xlfn.XLOOKUP($C28,Assumptions!$B$36:$B$41,Assumptions!$B$36:$H$41))</f>
        <v>0</v>
      </c>
      <c r="DXF28">
        <f t="array" ref="DXF28">_xlfn.XLOOKUP(DXF$11,Assumptions!$B$35:$H$35,_xlfn.XLOOKUP($C28,Assumptions!$B$36:$B$41,Assumptions!$B$36:$H$41))</f>
        <v>0</v>
      </c>
      <c r="DXG28">
        <f t="array" ref="DXG28">_xlfn.XLOOKUP(DXG$11,Assumptions!$B$35:$H$35,_xlfn.XLOOKUP($C28,Assumptions!$B$36:$B$41,Assumptions!$B$36:$H$41))</f>
        <v>0</v>
      </c>
      <c r="DXH28">
        <f t="array" ref="DXH28">_xlfn.XLOOKUP(DXH$11,Assumptions!$B$35:$H$35,_xlfn.XLOOKUP($C28,Assumptions!$B$36:$B$41,Assumptions!$B$36:$H$41))</f>
        <v>0</v>
      </c>
      <c r="DXI28">
        <f t="array" ref="DXI28">_xlfn.XLOOKUP(DXI$11,Assumptions!$B$35:$H$35,_xlfn.XLOOKUP($C28,Assumptions!$B$36:$B$41,Assumptions!$B$36:$H$41))</f>
        <v>0</v>
      </c>
      <c r="DXJ28">
        <f t="array" ref="DXJ28">_xlfn.XLOOKUP(DXJ$11,Assumptions!$B$35:$H$35,_xlfn.XLOOKUP($C28,Assumptions!$B$36:$B$41,Assumptions!$B$36:$H$41))</f>
        <v>0</v>
      </c>
      <c r="DXK28">
        <f t="array" ref="DXK28">_xlfn.XLOOKUP(DXK$11,Assumptions!$B$35:$H$35,_xlfn.XLOOKUP($C28,Assumptions!$B$36:$B$41,Assumptions!$B$36:$H$41))</f>
        <v>0</v>
      </c>
      <c r="DXL28">
        <f t="array" ref="DXL28">_xlfn.XLOOKUP(DXL$11,Assumptions!$B$35:$H$35,_xlfn.XLOOKUP($C28,Assumptions!$B$36:$B$41,Assumptions!$B$36:$H$41))</f>
        <v>0</v>
      </c>
      <c r="DXM28">
        <f t="array" ref="DXM28">_xlfn.XLOOKUP(DXM$11,Assumptions!$B$35:$H$35,_xlfn.XLOOKUP($C28,Assumptions!$B$36:$B$41,Assumptions!$B$36:$H$41))</f>
        <v>0</v>
      </c>
      <c r="DXN28">
        <f t="array" ref="DXN28">_xlfn.XLOOKUP(DXN$11,Assumptions!$B$35:$H$35,_xlfn.XLOOKUP($C28,Assumptions!$B$36:$B$41,Assumptions!$B$36:$H$41))</f>
        <v>0</v>
      </c>
      <c r="DXO28">
        <f t="array" ref="DXO28">_xlfn.XLOOKUP(DXO$11,Assumptions!$B$35:$H$35,_xlfn.XLOOKUP($C28,Assumptions!$B$36:$B$41,Assumptions!$B$36:$H$41))</f>
        <v>0</v>
      </c>
      <c r="DXP28">
        <f t="array" ref="DXP28">_xlfn.XLOOKUP(DXP$11,Assumptions!$B$35:$H$35,_xlfn.XLOOKUP($C28,Assumptions!$B$36:$B$41,Assumptions!$B$36:$H$41))</f>
        <v>0</v>
      </c>
      <c r="DXQ28">
        <f t="array" ref="DXQ28">_xlfn.XLOOKUP(DXQ$11,Assumptions!$B$35:$H$35,_xlfn.XLOOKUP($C28,Assumptions!$B$36:$B$41,Assumptions!$B$36:$H$41))</f>
        <v>0</v>
      </c>
      <c r="DXR28">
        <f t="array" ref="DXR28">_xlfn.XLOOKUP(DXR$11,Assumptions!$B$35:$H$35,_xlfn.XLOOKUP($C28,Assumptions!$B$36:$B$41,Assumptions!$B$36:$H$41))</f>
        <v>0</v>
      </c>
      <c r="DXS28">
        <f t="array" ref="DXS28">_xlfn.XLOOKUP(DXS$11,Assumptions!$B$35:$H$35,_xlfn.XLOOKUP($C28,Assumptions!$B$36:$B$41,Assumptions!$B$36:$H$41))</f>
        <v>0</v>
      </c>
      <c r="DXT28">
        <f t="array" ref="DXT28">_xlfn.XLOOKUP(DXT$11,Assumptions!$B$35:$H$35,_xlfn.XLOOKUP($C28,Assumptions!$B$36:$B$41,Assumptions!$B$36:$H$41))</f>
        <v>0</v>
      </c>
      <c r="DXU28">
        <f t="array" ref="DXU28">_xlfn.XLOOKUP(DXU$11,Assumptions!$B$35:$H$35,_xlfn.XLOOKUP($C28,Assumptions!$B$36:$B$41,Assumptions!$B$36:$H$41))</f>
        <v>0</v>
      </c>
      <c r="DXV28">
        <f t="array" ref="DXV28">_xlfn.XLOOKUP(DXV$11,Assumptions!$B$35:$H$35,_xlfn.XLOOKUP($C28,Assumptions!$B$36:$B$41,Assumptions!$B$36:$H$41))</f>
        <v>0</v>
      </c>
      <c r="DXW28">
        <f t="array" ref="DXW28">_xlfn.XLOOKUP(DXW$11,Assumptions!$B$35:$H$35,_xlfn.XLOOKUP($C28,Assumptions!$B$36:$B$41,Assumptions!$B$36:$H$41))</f>
        <v>0</v>
      </c>
      <c r="DXX28">
        <f t="array" ref="DXX28">_xlfn.XLOOKUP(DXX$11,Assumptions!$B$35:$H$35,_xlfn.XLOOKUP($C28,Assumptions!$B$36:$B$41,Assumptions!$B$36:$H$41))</f>
        <v>0</v>
      </c>
      <c r="DXY28">
        <f t="array" ref="DXY28">_xlfn.XLOOKUP(DXY$11,Assumptions!$B$35:$H$35,_xlfn.XLOOKUP($C28,Assumptions!$B$36:$B$41,Assumptions!$B$36:$H$41))</f>
        <v>0</v>
      </c>
      <c r="DXZ28">
        <f t="array" ref="DXZ28">_xlfn.XLOOKUP(DXZ$11,Assumptions!$B$35:$H$35,_xlfn.XLOOKUP($C28,Assumptions!$B$36:$B$41,Assumptions!$B$36:$H$41))</f>
        <v>0</v>
      </c>
      <c r="DYA28">
        <f t="array" ref="DYA28">_xlfn.XLOOKUP(DYA$11,Assumptions!$B$35:$H$35,_xlfn.XLOOKUP($C28,Assumptions!$B$36:$B$41,Assumptions!$B$36:$H$41))</f>
        <v>0</v>
      </c>
      <c r="DYB28">
        <f t="array" ref="DYB28">_xlfn.XLOOKUP(DYB$11,Assumptions!$B$35:$H$35,_xlfn.XLOOKUP($C28,Assumptions!$B$36:$B$41,Assumptions!$B$36:$H$41))</f>
        <v>0</v>
      </c>
      <c r="DYC28">
        <f t="array" ref="DYC28">_xlfn.XLOOKUP(DYC$11,Assumptions!$B$35:$H$35,_xlfn.XLOOKUP($C28,Assumptions!$B$36:$B$41,Assumptions!$B$36:$H$41))</f>
        <v>0</v>
      </c>
      <c r="DYD28">
        <f t="array" ref="DYD28">_xlfn.XLOOKUP(DYD$11,Assumptions!$B$35:$H$35,_xlfn.XLOOKUP($C28,Assumptions!$B$36:$B$41,Assumptions!$B$36:$H$41))</f>
        <v>0</v>
      </c>
      <c r="DYE28">
        <f t="array" ref="DYE28">_xlfn.XLOOKUP(DYE$11,Assumptions!$B$35:$H$35,_xlfn.XLOOKUP($C28,Assumptions!$B$36:$B$41,Assumptions!$B$36:$H$41))</f>
        <v>0</v>
      </c>
      <c r="DYF28">
        <f t="array" ref="DYF28">_xlfn.XLOOKUP(DYF$11,Assumptions!$B$35:$H$35,_xlfn.XLOOKUP($C28,Assumptions!$B$36:$B$41,Assumptions!$B$36:$H$41))</f>
        <v>0</v>
      </c>
      <c r="DYG28">
        <f t="array" ref="DYG28">_xlfn.XLOOKUP(DYG$11,Assumptions!$B$35:$H$35,_xlfn.XLOOKUP($C28,Assumptions!$B$36:$B$41,Assumptions!$B$36:$H$41))</f>
        <v>0</v>
      </c>
      <c r="DYH28">
        <f t="array" ref="DYH28">_xlfn.XLOOKUP(DYH$11,Assumptions!$B$35:$H$35,_xlfn.XLOOKUP($C28,Assumptions!$B$36:$B$41,Assumptions!$B$36:$H$41))</f>
        <v>0</v>
      </c>
      <c r="DYI28">
        <f t="array" ref="DYI28">_xlfn.XLOOKUP(DYI$11,Assumptions!$B$35:$H$35,_xlfn.XLOOKUP($C28,Assumptions!$B$36:$B$41,Assumptions!$B$36:$H$41))</f>
        <v>0</v>
      </c>
      <c r="DYJ28">
        <f t="array" ref="DYJ28">_xlfn.XLOOKUP(DYJ$11,Assumptions!$B$35:$H$35,_xlfn.XLOOKUP($C28,Assumptions!$B$36:$B$41,Assumptions!$B$36:$H$41))</f>
        <v>0</v>
      </c>
      <c r="DYK28">
        <f t="array" ref="DYK28">_xlfn.XLOOKUP(DYK$11,Assumptions!$B$35:$H$35,_xlfn.XLOOKUP($C28,Assumptions!$B$36:$B$41,Assumptions!$B$36:$H$41))</f>
        <v>0</v>
      </c>
      <c r="DYL28">
        <f t="array" ref="DYL28">_xlfn.XLOOKUP(DYL$11,Assumptions!$B$35:$H$35,_xlfn.XLOOKUP($C28,Assumptions!$B$36:$B$41,Assumptions!$B$36:$H$41))</f>
        <v>0</v>
      </c>
      <c r="DYM28">
        <f t="array" ref="DYM28">_xlfn.XLOOKUP(DYM$11,Assumptions!$B$35:$H$35,_xlfn.XLOOKUP($C28,Assumptions!$B$36:$B$41,Assumptions!$B$36:$H$41))</f>
        <v>0</v>
      </c>
      <c r="DYN28">
        <f t="array" ref="DYN28">_xlfn.XLOOKUP(DYN$11,Assumptions!$B$35:$H$35,_xlfn.XLOOKUP($C28,Assumptions!$B$36:$B$41,Assumptions!$B$36:$H$41))</f>
        <v>0</v>
      </c>
      <c r="DYO28">
        <f t="array" ref="DYO28">_xlfn.XLOOKUP(DYO$11,Assumptions!$B$35:$H$35,_xlfn.XLOOKUP($C28,Assumptions!$B$36:$B$41,Assumptions!$B$36:$H$41))</f>
        <v>0</v>
      </c>
      <c r="DYP28">
        <f t="array" ref="DYP28">_xlfn.XLOOKUP(DYP$11,Assumptions!$B$35:$H$35,_xlfn.XLOOKUP($C28,Assumptions!$B$36:$B$41,Assumptions!$B$36:$H$41))</f>
        <v>0</v>
      </c>
      <c r="DYQ28">
        <f t="array" ref="DYQ28">_xlfn.XLOOKUP(DYQ$11,Assumptions!$B$35:$H$35,_xlfn.XLOOKUP($C28,Assumptions!$B$36:$B$41,Assumptions!$B$36:$H$41))</f>
        <v>0</v>
      </c>
      <c r="DYR28">
        <f t="array" ref="DYR28">_xlfn.XLOOKUP(DYR$11,Assumptions!$B$35:$H$35,_xlfn.XLOOKUP($C28,Assumptions!$B$36:$B$41,Assumptions!$B$36:$H$41))</f>
        <v>0</v>
      </c>
      <c r="DYS28">
        <f t="array" ref="DYS28">_xlfn.XLOOKUP(DYS$11,Assumptions!$B$35:$H$35,_xlfn.XLOOKUP($C28,Assumptions!$B$36:$B$41,Assumptions!$B$36:$H$41))</f>
        <v>0</v>
      </c>
      <c r="DYT28">
        <f t="array" ref="DYT28">_xlfn.XLOOKUP(DYT$11,Assumptions!$B$35:$H$35,_xlfn.XLOOKUP($C28,Assumptions!$B$36:$B$41,Assumptions!$B$36:$H$41))</f>
        <v>0</v>
      </c>
      <c r="DYU28">
        <f t="array" ref="DYU28">_xlfn.XLOOKUP(DYU$11,Assumptions!$B$35:$H$35,_xlfn.XLOOKUP($C28,Assumptions!$B$36:$B$41,Assumptions!$B$36:$H$41))</f>
        <v>0</v>
      </c>
      <c r="DYV28">
        <f t="array" ref="DYV28">_xlfn.XLOOKUP(DYV$11,Assumptions!$B$35:$H$35,_xlfn.XLOOKUP($C28,Assumptions!$B$36:$B$41,Assumptions!$B$36:$H$41))</f>
        <v>0</v>
      </c>
      <c r="DYW28">
        <f t="array" ref="DYW28">_xlfn.XLOOKUP(DYW$11,Assumptions!$B$35:$H$35,_xlfn.XLOOKUP($C28,Assumptions!$B$36:$B$41,Assumptions!$B$36:$H$41))</f>
        <v>0</v>
      </c>
      <c r="DYX28">
        <f t="array" ref="DYX28">_xlfn.XLOOKUP(DYX$11,Assumptions!$B$35:$H$35,_xlfn.XLOOKUP($C28,Assumptions!$B$36:$B$41,Assumptions!$B$36:$H$41))</f>
        <v>0</v>
      </c>
      <c r="DYY28">
        <f t="array" ref="DYY28">_xlfn.XLOOKUP(DYY$11,Assumptions!$B$35:$H$35,_xlfn.XLOOKUP($C28,Assumptions!$B$36:$B$41,Assumptions!$B$36:$H$41))</f>
        <v>0</v>
      </c>
      <c r="DYZ28">
        <f t="array" ref="DYZ28">_xlfn.XLOOKUP(DYZ$11,Assumptions!$B$35:$H$35,_xlfn.XLOOKUP($C28,Assumptions!$B$36:$B$41,Assumptions!$B$36:$H$41))</f>
        <v>0</v>
      </c>
      <c r="DZA28">
        <f t="array" ref="DZA28">_xlfn.XLOOKUP(DZA$11,Assumptions!$B$35:$H$35,_xlfn.XLOOKUP($C28,Assumptions!$B$36:$B$41,Assumptions!$B$36:$H$41))</f>
        <v>0</v>
      </c>
      <c r="DZB28">
        <f t="array" ref="DZB28">_xlfn.XLOOKUP(DZB$11,Assumptions!$B$35:$H$35,_xlfn.XLOOKUP($C28,Assumptions!$B$36:$B$41,Assumptions!$B$36:$H$41))</f>
        <v>0</v>
      </c>
      <c r="DZC28">
        <f t="array" ref="DZC28">_xlfn.XLOOKUP(DZC$11,Assumptions!$B$35:$H$35,_xlfn.XLOOKUP($C28,Assumptions!$B$36:$B$41,Assumptions!$B$36:$H$41))</f>
        <v>0</v>
      </c>
      <c r="DZD28">
        <f t="array" ref="DZD28">_xlfn.XLOOKUP(DZD$11,Assumptions!$B$35:$H$35,_xlfn.XLOOKUP($C28,Assumptions!$B$36:$B$41,Assumptions!$B$36:$H$41))</f>
        <v>0</v>
      </c>
      <c r="DZE28">
        <f t="array" ref="DZE28">_xlfn.XLOOKUP(DZE$11,Assumptions!$B$35:$H$35,_xlfn.XLOOKUP($C28,Assumptions!$B$36:$B$41,Assumptions!$B$36:$H$41))</f>
        <v>0</v>
      </c>
      <c r="DZF28">
        <f t="array" ref="DZF28">_xlfn.XLOOKUP(DZF$11,Assumptions!$B$35:$H$35,_xlfn.XLOOKUP($C28,Assumptions!$B$36:$B$41,Assumptions!$B$36:$H$41))</f>
        <v>0</v>
      </c>
      <c r="DZG28">
        <f t="array" ref="DZG28">_xlfn.XLOOKUP(DZG$11,Assumptions!$B$35:$H$35,_xlfn.XLOOKUP($C28,Assumptions!$B$36:$B$41,Assumptions!$B$36:$H$41))</f>
        <v>0</v>
      </c>
      <c r="DZH28">
        <f t="array" ref="DZH28">_xlfn.XLOOKUP(DZH$11,Assumptions!$B$35:$H$35,_xlfn.XLOOKUP($C28,Assumptions!$B$36:$B$41,Assumptions!$B$36:$H$41))</f>
        <v>0</v>
      </c>
      <c r="DZI28">
        <f t="array" ref="DZI28">_xlfn.XLOOKUP(DZI$11,Assumptions!$B$35:$H$35,_xlfn.XLOOKUP($C28,Assumptions!$B$36:$B$41,Assumptions!$B$36:$H$41))</f>
        <v>0</v>
      </c>
      <c r="DZJ28">
        <f t="array" ref="DZJ28">_xlfn.XLOOKUP(DZJ$11,Assumptions!$B$35:$H$35,_xlfn.XLOOKUP($C28,Assumptions!$B$36:$B$41,Assumptions!$B$36:$H$41))</f>
        <v>0</v>
      </c>
      <c r="DZK28">
        <f t="array" ref="DZK28">_xlfn.XLOOKUP(DZK$11,Assumptions!$B$35:$H$35,_xlfn.XLOOKUP($C28,Assumptions!$B$36:$B$41,Assumptions!$B$36:$H$41))</f>
        <v>0</v>
      </c>
      <c r="DZL28">
        <f t="array" ref="DZL28">_xlfn.XLOOKUP(DZL$11,Assumptions!$B$35:$H$35,_xlfn.XLOOKUP($C28,Assumptions!$B$36:$B$41,Assumptions!$B$36:$H$41))</f>
        <v>0</v>
      </c>
      <c r="DZM28">
        <f t="array" ref="DZM28">_xlfn.XLOOKUP(DZM$11,Assumptions!$B$35:$H$35,_xlfn.XLOOKUP($C28,Assumptions!$B$36:$B$41,Assumptions!$B$36:$H$41))</f>
        <v>0</v>
      </c>
      <c r="DZN28">
        <f t="array" ref="DZN28">_xlfn.XLOOKUP(DZN$11,Assumptions!$B$35:$H$35,_xlfn.XLOOKUP($C28,Assumptions!$B$36:$B$41,Assumptions!$B$36:$H$41))</f>
        <v>0</v>
      </c>
      <c r="DZO28">
        <f t="array" ref="DZO28">_xlfn.XLOOKUP(DZO$11,Assumptions!$B$35:$H$35,_xlfn.XLOOKUP($C28,Assumptions!$B$36:$B$41,Assumptions!$B$36:$H$41))</f>
        <v>0</v>
      </c>
      <c r="DZP28">
        <f t="array" ref="DZP28">_xlfn.XLOOKUP(DZP$11,Assumptions!$B$35:$H$35,_xlfn.XLOOKUP($C28,Assumptions!$B$36:$B$41,Assumptions!$B$36:$H$41))</f>
        <v>0</v>
      </c>
      <c r="DZQ28">
        <f t="array" ref="DZQ28">_xlfn.XLOOKUP(DZQ$11,Assumptions!$B$35:$H$35,_xlfn.XLOOKUP($C28,Assumptions!$B$36:$B$41,Assumptions!$B$36:$H$41))</f>
        <v>0</v>
      </c>
      <c r="DZR28">
        <f t="array" ref="DZR28">_xlfn.XLOOKUP(DZR$11,Assumptions!$B$35:$H$35,_xlfn.XLOOKUP($C28,Assumptions!$B$36:$B$41,Assumptions!$B$36:$H$41))</f>
        <v>0</v>
      </c>
      <c r="DZS28">
        <f t="array" ref="DZS28">_xlfn.XLOOKUP(DZS$11,Assumptions!$B$35:$H$35,_xlfn.XLOOKUP($C28,Assumptions!$B$36:$B$41,Assumptions!$B$36:$H$41))</f>
        <v>0</v>
      </c>
      <c r="DZT28">
        <f t="array" ref="DZT28">_xlfn.XLOOKUP(DZT$11,Assumptions!$B$35:$H$35,_xlfn.XLOOKUP($C28,Assumptions!$B$36:$B$41,Assumptions!$B$36:$H$41))</f>
        <v>0</v>
      </c>
      <c r="DZU28">
        <f t="array" ref="DZU28">_xlfn.XLOOKUP(DZU$11,Assumptions!$B$35:$H$35,_xlfn.XLOOKUP($C28,Assumptions!$B$36:$B$41,Assumptions!$B$36:$H$41))</f>
        <v>0</v>
      </c>
      <c r="DZV28">
        <f t="array" ref="DZV28">_xlfn.XLOOKUP(DZV$11,Assumptions!$B$35:$H$35,_xlfn.XLOOKUP($C28,Assumptions!$B$36:$B$41,Assumptions!$B$36:$H$41))</f>
        <v>0</v>
      </c>
      <c r="DZW28">
        <f t="array" ref="DZW28">_xlfn.XLOOKUP(DZW$11,Assumptions!$B$35:$H$35,_xlfn.XLOOKUP($C28,Assumptions!$B$36:$B$41,Assumptions!$B$36:$H$41))</f>
        <v>0</v>
      </c>
      <c r="DZX28">
        <f t="array" ref="DZX28">_xlfn.XLOOKUP(DZX$11,Assumptions!$B$35:$H$35,_xlfn.XLOOKUP($C28,Assumptions!$B$36:$B$41,Assumptions!$B$36:$H$41))</f>
        <v>0</v>
      </c>
      <c r="DZY28">
        <f t="array" ref="DZY28">_xlfn.XLOOKUP(DZY$11,Assumptions!$B$35:$H$35,_xlfn.XLOOKUP($C28,Assumptions!$B$36:$B$41,Assumptions!$B$36:$H$41))</f>
        <v>0</v>
      </c>
      <c r="DZZ28">
        <f t="array" ref="DZZ28">_xlfn.XLOOKUP(DZZ$11,Assumptions!$B$35:$H$35,_xlfn.XLOOKUP($C28,Assumptions!$B$36:$B$41,Assumptions!$B$36:$H$41))</f>
        <v>0</v>
      </c>
      <c r="EAA28">
        <f t="array" ref="EAA28">_xlfn.XLOOKUP(EAA$11,Assumptions!$B$35:$H$35,_xlfn.XLOOKUP($C28,Assumptions!$B$36:$B$41,Assumptions!$B$36:$H$41))</f>
        <v>0</v>
      </c>
      <c r="EAB28">
        <f t="array" ref="EAB28">_xlfn.XLOOKUP(EAB$11,Assumptions!$B$35:$H$35,_xlfn.XLOOKUP($C28,Assumptions!$B$36:$B$41,Assumptions!$B$36:$H$41))</f>
        <v>0</v>
      </c>
      <c r="EAC28">
        <f t="array" ref="EAC28">_xlfn.XLOOKUP(EAC$11,Assumptions!$B$35:$H$35,_xlfn.XLOOKUP($C28,Assumptions!$B$36:$B$41,Assumptions!$B$36:$H$41))</f>
        <v>0</v>
      </c>
      <c r="EAD28">
        <f t="array" ref="EAD28">_xlfn.XLOOKUP(EAD$11,Assumptions!$B$35:$H$35,_xlfn.XLOOKUP($C28,Assumptions!$B$36:$B$41,Assumptions!$B$36:$H$41))</f>
        <v>0</v>
      </c>
      <c r="EAE28">
        <f t="array" ref="EAE28">_xlfn.XLOOKUP(EAE$11,Assumptions!$B$35:$H$35,_xlfn.XLOOKUP($C28,Assumptions!$B$36:$B$41,Assumptions!$B$36:$H$41))</f>
        <v>0</v>
      </c>
      <c r="EAF28">
        <f t="array" ref="EAF28">_xlfn.XLOOKUP(EAF$11,Assumptions!$B$35:$H$35,_xlfn.XLOOKUP($C28,Assumptions!$B$36:$B$41,Assumptions!$B$36:$H$41))</f>
        <v>0</v>
      </c>
      <c r="EAG28">
        <f t="array" ref="EAG28">_xlfn.XLOOKUP(EAG$11,Assumptions!$B$35:$H$35,_xlfn.XLOOKUP($C28,Assumptions!$B$36:$B$41,Assumptions!$B$36:$H$41))</f>
        <v>0</v>
      </c>
      <c r="EAH28">
        <f t="array" ref="EAH28">_xlfn.XLOOKUP(EAH$11,Assumptions!$B$35:$H$35,_xlfn.XLOOKUP($C28,Assumptions!$B$36:$B$41,Assumptions!$B$36:$H$41))</f>
        <v>0</v>
      </c>
      <c r="EAI28">
        <f t="array" ref="EAI28">_xlfn.XLOOKUP(EAI$11,Assumptions!$B$35:$H$35,_xlfn.XLOOKUP($C28,Assumptions!$B$36:$B$41,Assumptions!$B$36:$H$41))</f>
        <v>0</v>
      </c>
      <c r="EAJ28">
        <f t="array" ref="EAJ28">_xlfn.XLOOKUP(EAJ$11,Assumptions!$B$35:$H$35,_xlfn.XLOOKUP($C28,Assumptions!$B$36:$B$41,Assumptions!$B$36:$H$41))</f>
        <v>0</v>
      </c>
      <c r="EAK28">
        <f t="array" ref="EAK28">_xlfn.XLOOKUP(EAK$11,Assumptions!$B$35:$H$35,_xlfn.XLOOKUP($C28,Assumptions!$B$36:$B$41,Assumptions!$B$36:$H$41))</f>
        <v>0</v>
      </c>
      <c r="EAL28">
        <f t="array" ref="EAL28">_xlfn.XLOOKUP(EAL$11,Assumptions!$B$35:$H$35,_xlfn.XLOOKUP($C28,Assumptions!$B$36:$B$41,Assumptions!$B$36:$H$41))</f>
        <v>0</v>
      </c>
      <c r="EAM28">
        <f t="array" ref="EAM28">_xlfn.XLOOKUP(EAM$11,Assumptions!$B$35:$H$35,_xlfn.XLOOKUP($C28,Assumptions!$B$36:$B$41,Assumptions!$B$36:$H$41))</f>
        <v>0</v>
      </c>
      <c r="EAN28">
        <f t="array" ref="EAN28">_xlfn.XLOOKUP(EAN$11,Assumptions!$B$35:$H$35,_xlfn.XLOOKUP($C28,Assumptions!$B$36:$B$41,Assumptions!$B$36:$H$41))</f>
        <v>0</v>
      </c>
      <c r="EAO28">
        <f t="array" ref="EAO28">_xlfn.XLOOKUP(EAO$11,Assumptions!$B$35:$H$35,_xlfn.XLOOKUP($C28,Assumptions!$B$36:$B$41,Assumptions!$B$36:$H$41))</f>
        <v>0</v>
      </c>
      <c r="EAP28">
        <f t="array" ref="EAP28">_xlfn.XLOOKUP(EAP$11,Assumptions!$B$35:$H$35,_xlfn.XLOOKUP($C28,Assumptions!$B$36:$B$41,Assumptions!$B$36:$H$41))</f>
        <v>0</v>
      </c>
      <c r="EAQ28">
        <f t="array" ref="EAQ28">_xlfn.XLOOKUP(EAQ$11,Assumptions!$B$35:$H$35,_xlfn.XLOOKUP($C28,Assumptions!$B$36:$B$41,Assumptions!$B$36:$H$41))</f>
        <v>0</v>
      </c>
      <c r="EAR28">
        <f t="array" ref="EAR28">_xlfn.XLOOKUP(EAR$11,Assumptions!$B$35:$H$35,_xlfn.XLOOKUP($C28,Assumptions!$B$36:$B$41,Assumptions!$B$36:$H$41))</f>
        <v>0</v>
      </c>
      <c r="EAS28">
        <f t="array" ref="EAS28">_xlfn.XLOOKUP(EAS$11,Assumptions!$B$35:$H$35,_xlfn.XLOOKUP($C28,Assumptions!$B$36:$B$41,Assumptions!$B$36:$H$41))</f>
        <v>0</v>
      </c>
      <c r="EAT28">
        <f t="array" ref="EAT28">_xlfn.XLOOKUP(EAT$11,Assumptions!$B$35:$H$35,_xlfn.XLOOKUP($C28,Assumptions!$B$36:$B$41,Assumptions!$B$36:$H$41))</f>
        <v>0</v>
      </c>
      <c r="EAU28">
        <f t="array" ref="EAU28">_xlfn.XLOOKUP(EAU$11,Assumptions!$B$35:$H$35,_xlfn.XLOOKUP($C28,Assumptions!$B$36:$B$41,Assumptions!$B$36:$H$41))</f>
        <v>0</v>
      </c>
      <c r="EAV28">
        <f t="array" ref="EAV28">_xlfn.XLOOKUP(EAV$11,Assumptions!$B$35:$H$35,_xlfn.XLOOKUP($C28,Assumptions!$B$36:$B$41,Assumptions!$B$36:$H$41))</f>
        <v>0</v>
      </c>
      <c r="EAW28">
        <f t="array" ref="EAW28">_xlfn.XLOOKUP(EAW$11,Assumptions!$B$35:$H$35,_xlfn.XLOOKUP($C28,Assumptions!$B$36:$B$41,Assumptions!$B$36:$H$41))</f>
        <v>0</v>
      </c>
      <c r="EAX28">
        <f t="array" ref="EAX28">_xlfn.XLOOKUP(EAX$11,Assumptions!$B$35:$H$35,_xlfn.XLOOKUP($C28,Assumptions!$B$36:$B$41,Assumptions!$B$36:$H$41))</f>
        <v>0</v>
      </c>
      <c r="EAY28">
        <f t="array" ref="EAY28">_xlfn.XLOOKUP(EAY$11,Assumptions!$B$35:$H$35,_xlfn.XLOOKUP($C28,Assumptions!$B$36:$B$41,Assumptions!$B$36:$H$41))</f>
        <v>0</v>
      </c>
      <c r="EAZ28">
        <f t="array" ref="EAZ28">_xlfn.XLOOKUP(EAZ$11,Assumptions!$B$35:$H$35,_xlfn.XLOOKUP($C28,Assumptions!$B$36:$B$41,Assumptions!$B$36:$H$41))</f>
        <v>0</v>
      </c>
      <c r="EBA28">
        <f t="array" ref="EBA28">_xlfn.XLOOKUP(EBA$11,Assumptions!$B$35:$H$35,_xlfn.XLOOKUP($C28,Assumptions!$B$36:$B$41,Assumptions!$B$36:$H$41))</f>
        <v>0</v>
      </c>
      <c r="EBB28">
        <f t="array" ref="EBB28">_xlfn.XLOOKUP(EBB$11,Assumptions!$B$35:$H$35,_xlfn.XLOOKUP($C28,Assumptions!$B$36:$B$41,Assumptions!$B$36:$H$41))</f>
        <v>0</v>
      </c>
      <c r="EBC28">
        <f t="array" ref="EBC28">_xlfn.XLOOKUP(EBC$11,Assumptions!$B$35:$H$35,_xlfn.XLOOKUP($C28,Assumptions!$B$36:$B$41,Assumptions!$B$36:$H$41))</f>
        <v>0</v>
      </c>
      <c r="EBD28">
        <f t="array" ref="EBD28">_xlfn.XLOOKUP(EBD$11,Assumptions!$B$35:$H$35,_xlfn.XLOOKUP($C28,Assumptions!$B$36:$B$41,Assumptions!$B$36:$H$41))</f>
        <v>0</v>
      </c>
      <c r="EBE28">
        <f t="array" ref="EBE28">_xlfn.XLOOKUP(EBE$11,Assumptions!$B$35:$H$35,_xlfn.XLOOKUP($C28,Assumptions!$B$36:$B$41,Assumptions!$B$36:$H$41))</f>
        <v>0</v>
      </c>
      <c r="EBF28">
        <f t="array" ref="EBF28">_xlfn.XLOOKUP(EBF$11,Assumptions!$B$35:$H$35,_xlfn.XLOOKUP($C28,Assumptions!$B$36:$B$41,Assumptions!$B$36:$H$41))</f>
        <v>0</v>
      </c>
      <c r="EBG28">
        <f t="array" ref="EBG28">_xlfn.XLOOKUP(EBG$11,Assumptions!$B$35:$H$35,_xlfn.XLOOKUP($C28,Assumptions!$B$36:$B$41,Assumptions!$B$36:$H$41))</f>
        <v>0</v>
      </c>
      <c r="EBH28">
        <f t="array" ref="EBH28">_xlfn.XLOOKUP(EBH$11,Assumptions!$B$35:$H$35,_xlfn.XLOOKUP($C28,Assumptions!$B$36:$B$41,Assumptions!$B$36:$H$41))</f>
        <v>0</v>
      </c>
      <c r="EBI28">
        <f t="array" ref="EBI28">_xlfn.XLOOKUP(EBI$11,Assumptions!$B$35:$H$35,_xlfn.XLOOKUP($C28,Assumptions!$B$36:$B$41,Assumptions!$B$36:$H$41))</f>
        <v>0</v>
      </c>
      <c r="EBJ28">
        <f t="array" ref="EBJ28">_xlfn.XLOOKUP(EBJ$11,Assumptions!$B$35:$H$35,_xlfn.XLOOKUP($C28,Assumptions!$B$36:$B$41,Assumptions!$B$36:$H$41))</f>
        <v>0</v>
      </c>
      <c r="EBK28">
        <f t="array" ref="EBK28">_xlfn.XLOOKUP(EBK$11,Assumptions!$B$35:$H$35,_xlfn.XLOOKUP($C28,Assumptions!$B$36:$B$41,Assumptions!$B$36:$H$41))</f>
        <v>0</v>
      </c>
      <c r="EBL28">
        <f t="array" ref="EBL28">_xlfn.XLOOKUP(EBL$11,Assumptions!$B$35:$H$35,_xlfn.XLOOKUP($C28,Assumptions!$B$36:$B$41,Assumptions!$B$36:$H$41))</f>
        <v>0</v>
      </c>
      <c r="EBM28">
        <f t="array" ref="EBM28">_xlfn.XLOOKUP(EBM$11,Assumptions!$B$35:$H$35,_xlfn.XLOOKUP($C28,Assumptions!$B$36:$B$41,Assumptions!$B$36:$H$41))</f>
        <v>0</v>
      </c>
      <c r="EBN28">
        <f t="array" ref="EBN28">_xlfn.XLOOKUP(EBN$11,Assumptions!$B$35:$H$35,_xlfn.XLOOKUP($C28,Assumptions!$B$36:$B$41,Assumptions!$B$36:$H$41))</f>
        <v>0</v>
      </c>
      <c r="EBO28">
        <f t="array" ref="EBO28">_xlfn.XLOOKUP(EBO$11,Assumptions!$B$35:$H$35,_xlfn.XLOOKUP($C28,Assumptions!$B$36:$B$41,Assumptions!$B$36:$H$41))</f>
        <v>0</v>
      </c>
      <c r="EBP28">
        <f t="array" ref="EBP28">_xlfn.XLOOKUP(EBP$11,Assumptions!$B$35:$H$35,_xlfn.XLOOKUP($C28,Assumptions!$B$36:$B$41,Assumptions!$B$36:$H$41))</f>
        <v>0</v>
      </c>
      <c r="EBQ28">
        <f t="array" ref="EBQ28">_xlfn.XLOOKUP(EBQ$11,Assumptions!$B$35:$H$35,_xlfn.XLOOKUP($C28,Assumptions!$B$36:$B$41,Assumptions!$B$36:$H$41))</f>
        <v>0</v>
      </c>
      <c r="EBR28">
        <f t="array" ref="EBR28">_xlfn.XLOOKUP(EBR$11,Assumptions!$B$35:$H$35,_xlfn.XLOOKUP($C28,Assumptions!$B$36:$B$41,Assumptions!$B$36:$H$41))</f>
        <v>0</v>
      </c>
      <c r="EBS28">
        <f t="array" ref="EBS28">_xlfn.XLOOKUP(EBS$11,Assumptions!$B$35:$H$35,_xlfn.XLOOKUP($C28,Assumptions!$B$36:$B$41,Assumptions!$B$36:$H$41))</f>
        <v>0</v>
      </c>
      <c r="EBT28">
        <f t="array" ref="EBT28">_xlfn.XLOOKUP(EBT$11,Assumptions!$B$35:$H$35,_xlfn.XLOOKUP($C28,Assumptions!$B$36:$B$41,Assumptions!$B$36:$H$41))</f>
        <v>0</v>
      </c>
      <c r="EBU28">
        <f t="array" ref="EBU28">_xlfn.XLOOKUP(EBU$11,Assumptions!$B$35:$H$35,_xlfn.XLOOKUP($C28,Assumptions!$B$36:$B$41,Assumptions!$B$36:$H$41))</f>
        <v>0</v>
      </c>
      <c r="EBV28">
        <f t="array" ref="EBV28">_xlfn.XLOOKUP(EBV$11,Assumptions!$B$35:$H$35,_xlfn.XLOOKUP($C28,Assumptions!$B$36:$B$41,Assumptions!$B$36:$H$41))</f>
        <v>0</v>
      </c>
      <c r="EBW28">
        <f t="array" ref="EBW28">_xlfn.XLOOKUP(EBW$11,Assumptions!$B$35:$H$35,_xlfn.XLOOKUP($C28,Assumptions!$B$36:$B$41,Assumptions!$B$36:$H$41))</f>
        <v>0</v>
      </c>
      <c r="EBX28">
        <f t="array" ref="EBX28">_xlfn.XLOOKUP(EBX$11,Assumptions!$B$35:$H$35,_xlfn.XLOOKUP($C28,Assumptions!$B$36:$B$41,Assumptions!$B$36:$H$41))</f>
        <v>0</v>
      </c>
      <c r="EBY28">
        <f t="array" ref="EBY28">_xlfn.XLOOKUP(EBY$11,Assumptions!$B$35:$H$35,_xlfn.XLOOKUP($C28,Assumptions!$B$36:$B$41,Assumptions!$B$36:$H$41))</f>
        <v>0</v>
      </c>
      <c r="EBZ28">
        <f t="array" ref="EBZ28">_xlfn.XLOOKUP(EBZ$11,Assumptions!$B$35:$H$35,_xlfn.XLOOKUP($C28,Assumptions!$B$36:$B$41,Assumptions!$B$36:$H$41))</f>
        <v>0</v>
      </c>
      <c r="ECA28">
        <f t="array" ref="ECA28">_xlfn.XLOOKUP(ECA$11,Assumptions!$B$35:$H$35,_xlfn.XLOOKUP($C28,Assumptions!$B$36:$B$41,Assumptions!$B$36:$H$41))</f>
        <v>0</v>
      </c>
      <c r="ECB28">
        <f t="array" ref="ECB28">_xlfn.XLOOKUP(ECB$11,Assumptions!$B$35:$H$35,_xlfn.XLOOKUP($C28,Assumptions!$B$36:$B$41,Assumptions!$B$36:$H$41))</f>
        <v>0</v>
      </c>
      <c r="ECC28">
        <f t="array" ref="ECC28">_xlfn.XLOOKUP(ECC$11,Assumptions!$B$35:$H$35,_xlfn.XLOOKUP($C28,Assumptions!$B$36:$B$41,Assumptions!$B$36:$H$41))</f>
        <v>0</v>
      </c>
      <c r="ECD28">
        <f t="array" ref="ECD28">_xlfn.XLOOKUP(ECD$11,Assumptions!$B$35:$H$35,_xlfn.XLOOKUP($C28,Assumptions!$B$36:$B$41,Assumptions!$B$36:$H$41))</f>
        <v>0</v>
      </c>
      <c r="ECE28">
        <f t="array" ref="ECE28">_xlfn.XLOOKUP(ECE$11,Assumptions!$B$35:$H$35,_xlfn.XLOOKUP($C28,Assumptions!$B$36:$B$41,Assumptions!$B$36:$H$41))</f>
        <v>0</v>
      </c>
      <c r="ECF28">
        <f t="array" ref="ECF28">_xlfn.XLOOKUP(ECF$11,Assumptions!$B$35:$H$35,_xlfn.XLOOKUP($C28,Assumptions!$B$36:$B$41,Assumptions!$B$36:$H$41))</f>
        <v>0</v>
      </c>
      <c r="ECG28">
        <f t="array" ref="ECG28">_xlfn.XLOOKUP(ECG$11,Assumptions!$B$35:$H$35,_xlfn.XLOOKUP($C28,Assumptions!$B$36:$B$41,Assumptions!$B$36:$H$41))</f>
        <v>0</v>
      </c>
      <c r="ECH28">
        <f t="array" ref="ECH28">_xlfn.XLOOKUP(ECH$11,Assumptions!$B$35:$H$35,_xlfn.XLOOKUP($C28,Assumptions!$B$36:$B$41,Assumptions!$B$36:$H$41))</f>
        <v>0</v>
      </c>
      <c r="ECI28">
        <f t="array" ref="ECI28">_xlfn.XLOOKUP(ECI$11,Assumptions!$B$35:$H$35,_xlfn.XLOOKUP($C28,Assumptions!$B$36:$B$41,Assumptions!$B$36:$H$41))</f>
        <v>0</v>
      </c>
      <c r="ECJ28">
        <f t="array" ref="ECJ28">_xlfn.XLOOKUP(ECJ$11,Assumptions!$B$35:$H$35,_xlfn.XLOOKUP($C28,Assumptions!$B$36:$B$41,Assumptions!$B$36:$H$41))</f>
        <v>0</v>
      </c>
      <c r="ECK28">
        <f t="array" ref="ECK28">_xlfn.XLOOKUP(ECK$11,Assumptions!$B$35:$H$35,_xlfn.XLOOKUP($C28,Assumptions!$B$36:$B$41,Assumptions!$B$36:$H$41))</f>
        <v>0</v>
      </c>
      <c r="ECL28">
        <f t="array" ref="ECL28">_xlfn.XLOOKUP(ECL$11,Assumptions!$B$35:$H$35,_xlfn.XLOOKUP($C28,Assumptions!$B$36:$B$41,Assumptions!$B$36:$H$41))</f>
        <v>0</v>
      </c>
      <c r="ECM28">
        <f t="array" ref="ECM28">_xlfn.XLOOKUP(ECM$11,Assumptions!$B$35:$H$35,_xlfn.XLOOKUP($C28,Assumptions!$B$36:$B$41,Assumptions!$B$36:$H$41))</f>
        <v>0</v>
      </c>
      <c r="ECN28">
        <f t="array" ref="ECN28">_xlfn.XLOOKUP(ECN$11,Assumptions!$B$35:$H$35,_xlfn.XLOOKUP($C28,Assumptions!$B$36:$B$41,Assumptions!$B$36:$H$41))</f>
        <v>0</v>
      </c>
      <c r="ECO28">
        <f t="array" ref="ECO28">_xlfn.XLOOKUP(ECO$11,Assumptions!$B$35:$H$35,_xlfn.XLOOKUP($C28,Assumptions!$B$36:$B$41,Assumptions!$B$36:$H$41))</f>
        <v>0</v>
      </c>
      <c r="ECP28">
        <f t="array" ref="ECP28">_xlfn.XLOOKUP(ECP$11,Assumptions!$B$35:$H$35,_xlfn.XLOOKUP($C28,Assumptions!$B$36:$B$41,Assumptions!$B$36:$H$41))</f>
        <v>0</v>
      </c>
      <c r="ECQ28">
        <f t="array" ref="ECQ28">_xlfn.XLOOKUP(ECQ$11,Assumptions!$B$35:$H$35,_xlfn.XLOOKUP($C28,Assumptions!$B$36:$B$41,Assumptions!$B$36:$H$41))</f>
        <v>0</v>
      </c>
      <c r="ECR28">
        <f t="array" ref="ECR28">_xlfn.XLOOKUP(ECR$11,Assumptions!$B$35:$H$35,_xlfn.XLOOKUP($C28,Assumptions!$B$36:$B$41,Assumptions!$B$36:$H$41))</f>
        <v>0</v>
      </c>
      <c r="ECS28">
        <f t="array" ref="ECS28">_xlfn.XLOOKUP(ECS$11,Assumptions!$B$35:$H$35,_xlfn.XLOOKUP($C28,Assumptions!$B$36:$B$41,Assumptions!$B$36:$H$41))</f>
        <v>0</v>
      </c>
      <c r="ECT28">
        <f t="array" ref="ECT28">_xlfn.XLOOKUP(ECT$11,Assumptions!$B$35:$H$35,_xlfn.XLOOKUP($C28,Assumptions!$B$36:$B$41,Assumptions!$B$36:$H$41))</f>
        <v>0</v>
      </c>
      <c r="ECU28">
        <f t="array" ref="ECU28">_xlfn.XLOOKUP(ECU$11,Assumptions!$B$35:$H$35,_xlfn.XLOOKUP($C28,Assumptions!$B$36:$B$41,Assumptions!$B$36:$H$41))</f>
        <v>0</v>
      </c>
      <c r="ECV28">
        <f t="array" ref="ECV28">_xlfn.XLOOKUP(ECV$11,Assumptions!$B$35:$H$35,_xlfn.XLOOKUP($C28,Assumptions!$B$36:$B$41,Assumptions!$B$36:$H$41))</f>
        <v>0</v>
      </c>
      <c r="ECW28">
        <f t="array" ref="ECW28">_xlfn.XLOOKUP(ECW$11,Assumptions!$B$35:$H$35,_xlfn.XLOOKUP($C28,Assumptions!$B$36:$B$41,Assumptions!$B$36:$H$41))</f>
        <v>0</v>
      </c>
      <c r="ECX28">
        <f t="array" ref="ECX28">_xlfn.XLOOKUP(ECX$11,Assumptions!$B$35:$H$35,_xlfn.XLOOKUP($C28,Assumptions!$B$36:$B$41,Assumptions!$B$36:$H$41))</f>
        <v>0</v>
      </c>
      <c r="ECY28">
        <f t="array" ref="ECY28">_xlfn.XLOOKUP(ECY$11,Assumptions!$B$35:$H$35,_xlfn.XLOOKUP($C28,Assumptions!$B$36:$B$41,Assumptions!$B$36:$H$41))</f>
        <v>0</v>
      </c>
      <c r="ECZ28">
        <f t="array" ref="ECZ28">_xlfn.XLOOKUP(ECZ$11,Assumptions!$B$35:$H$35,_xlfn.XLOOKUP($C28,Assumptions!$B$36:$B$41,Assumptions!$B$36:$H$41))</f>
        <v>0</v>
      </c>
      <c r="EDA28">
        <f t="array" ref="EDA28">_xlfn.XLOOKUP(EDA$11,Assumptions!$B$35:$H$35,_xlfn.XLOOKUP($C28,Assumptions!$B$36:$B$41,Assumptions!$B$36:$H$41))</f>
        <v>0</v>
      </c>
      <c r="EDB28">
        <f t="array" ref="EDB28">_xlfn.XLOOKUP(EDB$11,Assumptions!$B$35:$H$35,_xlfn.XLOOKUP($C28,Assumptions!$B$36:$B$41,Assumptions!$B$36:$H$41))</f>
        <v>0</v>
      </c>
      <c r="EDC28">
        <f t="array" ref="EDC28">_xlfn.XLOOKUP(EDC$11,Assumptions!$B$35:$H$35,_xlfn.XLOOKUP($C28,Assumptions!$B$36:$B$41,Assumptions!$B$36:$H$41))</f>
        <v>0</v>
      </c>
      <c r="EDD28">
        <f t="array" ref="EDD28">_xlfn.XLOOKUP(EDD$11,Assumptions!$B$35:$H$35,_xlfn.XLOOKUP($C28,Assumptions!$B$36:$B$41,Assumptions!$B$36:$H$41))</f>
        <v>0</v>
      </c>
      <c r="EDE28">
        <f t="array" ref="EDE28">_xlfn.XLOOKUP(EDE$11,Assumptions!$B$35:$H$35,_xlfn.XLOOKUP($C28,Assumptions!$B$36:$B$41,Assumptions!$B$36:$H$41))</f>
        <v>0</v>
      </c>
      <c r="EDF28">
        <f t="array" ref="EDF28">_xlfn.XLOOKUP(EDF$11,Assumptions!$B$35:$H$35,_xlfn.XLOOKUP($C28,Assumptions!$B$36:$B$41,Assumptions!$B$36:$H$41))</f>
        <v>0</v>
      </c>
      <c r="EDG28">
        <f t="array" ref="EDG28">_xlfn.XLOOKUP(EDG$11,Assumptions!$B$35:$H$35,_xlfn.XLOOKUP($C28,Assumptions!$B$36:$B$41,Assumptions!$B$36:$H$41))</f>
        <v>0</v>
      </c>
      <c r="EDH28">
        <f t="array" ref="EDH28">_xlfn.XLOOKUP(EDH$11,Assumptions!$B$35:$H$35,_xlfn.XLOOKUP($C28,Assumptions!$B$36:$B$41,Assumptions!$B$36:$H$41))</f>
        <v>0</v>
      </c>
      <c r="EDI28">
        <f t="array" ref="EDI28">_xlfn.XLOOKUP(EDI$11,Assumptions!$B$35:$H$35,_xlfn.XLOOKUP($C28,Assumptions!$B$36:$B$41,Assumptions!$B$36:$H$41))</f>
        <v>0</v>
      </c>
      <c r="EDJ28">
        <f t="array" ref="EDJ28">_xlfn.XLOOKUP(EDJ$11,Assumptions!$B$35:$H$35,_xlfn.XLOOKUP($C28,Assumptions!$B$36:$B$41,Assumptions!$B$36:$H$41))</f>
        <v>0</v>
      </c>
      <c r="EDK28">
        <f t="array" ref="EDK28">_xlfn.XLOOKUP(EDK$11,Assumptions!$B$35:$H$35,_xlfn.XLOOKUP($C28,Assumptions!$B$36:$B$41,Assumptions!$B$36:$H$41))</f>
        <v>0</v>
      </c>
      <c r="EDL28">
        <f t="array" ref="EDL28">_xlfn.XLOOKUP(EDL$11,Assumptions!$B$35:$H$35,_xlfn.XLOOKUP($C28,Assumptions!$B$36:$B$41,Assumptions!$B$36:$H$41))</f>
        <v>0</v>
      </c>
      <c r="EDM28">
        <f t="array" ref="EDM28">_xlfn.XLOOKUP(EDM$11,Assumptions!$B$35:$H$35,_xlfn.XLOOKUP($C28,Assumptions!$B$36:$B$41,Assumptions!$B$36:$H$41))</f>
        <v>0</v>
      </c>
      <c r="EDN28">
        <f t="array" ref="EDN28">_xlfn.XLOOKUP(EDN$11,Assumptions!$B$35:$H$35,_xlfn.XLOOKUP($C28,Assumptions!$B$36:$B$41,Assumptions!$B$36:$H$41))</f>
        <v>0</v>
      </c>
      <c r="EDO28">
        <f t="array" ref="EDO28">_xlfn.XLOOKUP(EDO$11,Assumptions!$B$35:$H$35,_xlfn.XLOOKUP($C28,Assumptions!$B$36:$B$41,Assumptions!$B$36:$H$41))</f>
        <v>0</v>
      </c>
      <c r="EDP28">
        <f t="array" ref="EDP28">_xlfn.XLOOKUP(EDP$11,Assumptions!$B$35:$H$35,_xlfn.XLOOKUP($C28,Assumptions!$B$36:$B$41,Assumptions!$B$36:$H$41))</f>
        <v>0</v>
      </c>
      <c r="EDQ28">
        <f t="array" ref="EDQ28">_xlfn.XLOOKUP(EDQ$11,Assumptions!$B$35:$H$35,_xlfn.XLOOKUP($C28,Assumptions!$B$36:$B$41,Assumptions!$B$36:$H$41))</f>
        <v>0</v>
      </c>
      <c r="EDR28">
        <f t="array" ref="EDR28">_xlfn.XLOOKUP(EDR$11,Assumptions!$B$35:$H$35,_xlfn.XLOOKUP($C28,Assumptions!$B$36:$B$41,Assumptions!$B$36:$H$41))</f>
        <v>0</v>
      </c>
      <c r="EDS28">
        <f t="array" ref="EDS28">_xlfn.XLOOKUP(EDS$11,Assumptions!$B$35:$H$35,_xlfn.XLOOKUP($C28,Assumptions!$B$36:$B$41,Assumptions!$B$36:$H$41))</f>
        <v>0</v>
      </c>
      <c r="EDT28">
        <f t="array" ref="EDT28">_xlfn.XLOOKUP(EDT$11,Assumptions!$B$35:$H$35,_xlfn.XLOOKUP($C28,Assumptions!$B$36:$B$41,Assumptions!$B$36:$H$41))</f>
        <v>0</v>
      </c>
      <c r="EDU28">
        <f t="array" ref="EDU28">_xlfn.XLOOKUP(EDU$11,Assumptions!$B$35:$H$35,_xlfn.XLOOKUP($C28,Assumptions!$B$36:$B$41,Assumptions!$B$36:$H$41))</f>
        <v>0</v>
      </c>
      <c r="EDV28">
        <f t="array" ref="EDV28">_xlfn.XLOOKUP(EDV$11,Assumptions!$B$35:$H$35,_xlfn.XLOOKUP($C28,Assumptions!$B$36:$B$41,Assumptions!$B$36:$H$41))</f>
        <v>0</v>
      </c>
      <c r="EDW28">
        <f t="array" ref="EDW28">_xlfn.XLOOKUP(EDW$11,Assumptions!$B$35:$H$35,_xlfn.XLOOKUP($C28,Assumptions!$B$36:$B$41,Assumptions!$B$36:$H$41))</f>
        <v>0</v>
      </c>
      <c r="EDX28">
        <f t="array" ref="EDX28">_xlfn.XLOOKUP(EDX$11,Assumptions!$B$35:$H$35,_xlfn.XLOOKUP($C28,Assumptions!$B$36:$B$41,Assumptions!$B$36:$H$41))</f>
        <v>0</v>
      </c>
      <c r="EDY28">
        <f t="array" ref="EDY28">_xlfn.XLOOKUP(EDY$11,Assumptions!$B$35:$H$35,_xlfn.XLOOKUP($C28,Assumptions!$B$36:$B$41,Assumptions!$B$36:$H$41))</f>
        <v>0</v>
      </c>
      <c r="EDZ28">
        <f t="array" ref="EDZ28">_xlfn.XLOOKUP(EDZ$11,Assumptions!$B$35:$H$35,_xlfn.XLOOKUP($C28,Assumptions!$B$36:$B$41,Assumptions!$B$36:$H$41))</f>
        <v>0</v>
      </c>
      <c r="EEA28">
        <f t="array" ref="EEA28">_xlfn.XLOOKUP(EEA$11,Assumptions!$B$35:$H$35,_xlfn.XLOOKUP($C28,Assumptions!$B$36:$B$41,Assumptions!$B$36:$H$41))</f>
        <v>0</v>
      </c>
      <c r="EEB28">
        <f t="array" ref="EEB28">_xlfn.XLOOKUP(EEB$11,Assumptions!$B$35:$H$35,_xlfn.XLOOKUP($C28,Assumptions!$B$36:$B$41,Assumptions!$B$36:$H$41))</f>
        <v>0</v>
      </c>
      <c r="EEC28">
        <f t="array" ref="EEC28">_xlfn.XLOOKUP(EEC$11,Assumptions!$B$35:$H$35,_xlfn.XLOOKUP($C28,Assumptions!$B$36:$B$41,Assumptions!$B$36:$H$41))</f>
        <v>0</v>
      </c>
      <c r="EED28">
        <f t="array" ref="EED28">_xlfn.XLOOKUP(EED$11,Assumptions!$B$35:$H$35,_xlfn.XLOOKUP($C28,Assumptions!$B$36:$B$41,Assumptions!$B$36:$H$41))</f>
        <v>0</v>
      </c>
      <c r="EEE28">
        <f t="array" ref="EEE28">_xlfn.XLOOKUP(EEE$11,Assumptions!$B$35:$H$35,_xlfn.XLOOKUP($C28,Assumptions!$B$36:$B$41,Assumptions!$B$36:$H$41))</f>
        <v>0</v>
      </c>
      <c r="EEF28">
        <f t="array" ref="EEF28">_xlfn.XLOOKUP(EEF$11,Assumptions!$B$35:$H$35,_xlfn.XLOOKUP($C28,Assumptions!$B$36:$B$41,Assumptions!$B$36:$H$41))</f>
        <v>0</v>
      </c>
      <c r="EEG28">
        <f t="array" ref="EEG28">_xlfn.XLOOKUP(EEG$11,Assumptions!$B$35:$H$35,_xlfn.XLOOKUP($C28,Assumptions!$B$36:$B$41,Assumptions!$B$36:$H$41))</f>
        <v>0</v>
      </c>
      <c r="EEH28">
        <f t="array" ref="EEH28">_xlfn.XLOOKUP(EEH$11,Assumptions!$B$35:$H$35,_xlfn.XLOOKUP($C28,Assumptions!$B$36:$B$41,Assumptions!$B$36:$H$41))</f>
        <v>0</v>
      </c>
      <c r="EEI28">
        <f t="array" ref="EEI28">_xlfn.XLOOKUP(EEI$11,Assumptions!$B$35:$H$35,_xlfn.XLOOKUP($C28,Assumptions!$B$36:$B$41,Assumptions!$B$36:$H$41))</f>
        <v>0</v>
      </c>
      <c r="EEJ28">
        <f t="array" ref="EEJ28">_xlfn.XLOOKUP(EEJ$11,Assumptions!$B$35:$H$35,_xlfn.XLOOKUP($C28,Assumptions!$B$36:$B$41,Assumptions!$B$36:$H$41))</f>
        <v>0</v>
      </c>
      <c r="EEK28">
        <f t="array" ref="EEK28">_xlfn.XLOOKUP(EEK$11,Assumptions!$B$35:$H$35,_xlfn.XLOOKUP($C28,Assumptions!$B$36:$B$41,Assumptions!$B$36:$H$41))</f>
        <v>0</v>
      </c>
      <c r="EEL28">
        <f t="array" ref="EEL28">_xlfn.XLOOKUP(EEL$11,Assumptions!$B$35:$H$35,_xlfn.XLOOKUP($C28,Assumptions!$B$36:$B$41,Assumptions!$B$36:$H$41))</f>
        <v>0</v>
      </c>
      <c r="EEM28">
        <f t="array" ref="EEM28">_xlfn.XLOOKUP(EEM$11,Assumptions!$B$35:$H$35,_xlfn.XLOOKUP($C28,Assumptions!$B$36:$B$41,Assumptions!$B$36:$H$41))</f>
        <v>0</v>
      </c>
      <c r="EEN28">
        <f t="array" ref="EEN28">_xlfn.XLOOKUP(EEN$11,Assumptions!$B$35:$H$35,_xlfn.XLOOKUP($C28,Assumptions!$B$36:$B$41,Assumptions!$B$36:$H$41))</f>
        <v>0</v>
      </c>
      <c r="EEO28">
        <f t="array" ref="EEO28">_xlfn.XLOOKUP(EEO$11,Assumptions!$B$35:$H$35,_xlfn.XLOOKUP($C28,Assumptions!$B$36:$B$41,Assumptions!$B$36:$H$41))</f>
        <v>0</v>
      </c>
      <c r="EEP28">
        <f t="array" ref="EEP28">_xlfn.XLOOKUP(EEP$11,Assumptions!$B$35:$H$35,_xlfn.XLOOKUP($C28,Assumptions!$B$36:$B$41,Assumptions!$B$36:$H$41))</f>
        <v>0</v>
      </c>
      <c r="EEQ28">
        <f t="array" ref="EEQ28">_xlfn.XLOOKUP(EEQ$11,Assumptions!$B$35:$H$35,_xlfn.XLOOKUP($C28,Assumptions!$B$36:$B$41,Assumptions!$B$36:$H$41))</f>
        <v>0</v>
      </c>
      <c r="EER28">
        <f t="array" ref="EER28">_xlfn.XLOOKUP(EER$11,Assumptions!$B$35:$H$35,_xlfn.XLOOKUP($C28,Assumptions!$B$36:$B$41,Assumptions!$B$36:$H$41))</f>
        <v>0</v>
      </c>
      <c r="EES28">
        <f t="array" ref="EES28">_xlfn.XLOOKUP(EES$11,Assumptions!$B$35:$H$35,_xlfn.XLOOKUP($C28,Assumptions!$B$36:$B$41,Assumptions!$B$36:$H$41))</f>
        <v>0</v>
      </c>
      <c r="EET28">
        <f t="array" ref="EET28">_xlfn.XLOOKUP(EET$11,Assumptions!$B$35:$H$35,_xlfn.XLOOKUP($C28,Assumptions!$B$36:$B$41,Assumptions!$B$36:$H$41))</f>
        <v>0</v>
      </c>
      <c r="EEU28">
        <f t="array" ref="EEU28">_xlfn.XLOOKUP(EEU$11,Assumptions!$B$35:$H$35,_xlfn.XLOOKUP($C28,Assumptions!$B$36:$B$41,Assumptions!$B$36:$H$41))</f>
        <v>0</v>
      </c>
      <c r="EEV28">
        <f t="array" ref="EEV28">_xlfn.XLOOKUP(EEV$11,Assumptions!$B$35:$H$35,_xlfn.XLOOKUP($C28,Assumptions!$B$36:$B$41,Assumptions!$B$36:$H$41))</f>
        <v>0</v>
      </c>
      <c r="EEW28">
        <f t="array" ref="EEW28">_xlfn.XLOOKUP(EEW$11,Assumptions!$B$35:$H$35,_xlfn.XLOOKUP($C28,Assumptions!$B$36:$B$41,Assumptions!$B$36:$H$41))</f>
        <v>0</v>
      </c>
      <c r="EEX28">
        <f t="array" ref="EEX28">_xlfn.XLOOKUP(EEX$11,Assumptions!$B$35:$H$35,_xlfn.XLOOKUP($C28,Assumptions!$B$36:$B$41,Assumptions!$B$36:$H$41))</f>
        <v>0</v>
      </c>
      <c r="EEY28">
        <f t="array" ref="EEY28">_xlfn.XLOOKUP(EEY$11,Assumptions!$B$35:$H$35,_xlfn.XLOOKUP($C28,Assumptions!$B$36:$B$41,Assumptions!$B$36:$H$41))</f>
        <v>0</v>
      </c>
      <c r="EEZ28">
        <f t="array" ref="EEZ28">_xlfn.XLOOKUP(EEZ$11,Assumptions!$B$35:$H$35,_xlfn.XLOOKUP($C28,Assumptions!$B$36:$B$41,Assumptions!$B$36:$H$41))</f>
        <v>0</v>
      </c>
      <c r="EFA28">
        <f t="array" ref="EFA28">_xlfn.XLOOKUP(EFA$11,Assumptions!$B$35:$H$35,_xlfn.XLOOKUP($C28,Assumptions!$B$36:$B$41,Assumptions!$B$36:$H$41))</f>
        <v>0</v>
      </c>
      <c r="EFB28">
        <f t="array" ref="EFB28">_xlfn.XLOOKUP(EFB$11,Assumptions!$B$35:$H$35,_xlfn.XLOOKUP($C28,Assumptions!$B$36:$B$41,Assumptions!$B$36:$H$41))</f>
        <v>0</v>
      </c>
      <c r="EFC28">
        <f t="array" ref="EFC28">_xlfn.XLOOKUP(EFC$11,Assumptions!$B$35:$H$35,_xlfn.XLOOKUP($C28,Assumptions!$B$36:$B$41,Assumptions!$B$36:$H$41))</f>
        <v>0</v>
      </c>
      <c r="EFD28">
        <f t="array" ref="EFD28">_xlfn.XLOOKUP(EFD$11,Assumptions!$B$35:$H$35,_xlfn.XLOOKUP($C28,Assumptions!$B$36:$B$41,Assumptions!$B$36:$H$41))</f>
        <v>0</v>
      </c>
      <c r="EFE28">
        <f t="array" ref="EFE28">_xlfn.XLOOKUP(EFE$11,Assumptions!$B$35:$H$35,_xlfn.XLOOKUP($C28,Assumptions!$B$36:$B$41,Assumptions!$B$36:$H$41))</f>
        <v>0</v>
      </c>
      <c r="EFF28">
        <f t="array" ref="EFF28">_xlfn.XLOOKUP(EFF$11,Assumptions!$B$35:$H$35,_xlfn.XLOOKUP($C28,Assumptions!$B$36:$B$41,Assumptions!$B$36:$H$41))</f>
        <v>0</v>
      </c>
      <c r="EFG28">
        <f t="array" ref="EFG28">_xlfn.XLOOKUP(EFG$11,Assumptions!$B$35:$H$35,_xlfn.XLOOKUP($C28,Assumptions!$B$36:$B$41,Assumptions!$B$36:$H$41))</f>
        <v>0</v>
      </c>
      <c r="EFH28">
        <f t="array" ref="EFH28">_xlfn.XLOOKUP(EFH$11,Assumptions!$B$35:$H$35,_xlfn.XLOOKUP($C28,Assumptions!$B$36:$B$41,Assumptions!$B$36:$H$41))</f>
        <v>0</v>
      </c>
      <c r="EFI28">
        <f t="array" ref="EFI28">_xlfn.XLOOKUP(EFI$11,Assumptions!$B$35:$H$35,_xlfn.XLOOKUP($C28,Assumptions!$B$36:$B$41,Assumptions!$B$36:$H$41))</f>
        <v>0</v>
      </c>
      <c r="EFJ28">
        <f t="array" ref="EFJ28">_xlfn.XLOOKUP(EFJ$11,Assumptions!$B$35:$H$35,_xlfn.XLOOKUP($C28,Assumptions!$B$36:$B$41,Assumptions!$B$36:$H$41))</f>
        <v>0</v>
      </c>
      <c r="EFK28">
        <f t="array" ref="EFK28">_xlfn.XLOOKUP(EFK$11,Assumptions!$B$35:$H$35,_xlfn.XLOOKUP($C28,Assumptions!$B$36:$B$41,Assumptions!$B$36:$H$41))</f>
        <v>0</v>
      </c>
      <c r="EFL28">
        <f t="array" ref="EFL28">_xlfn.XLOOKUP(EFL$11,Assumptions!$B$35:$H$35,_xlfn.XLOOKUP($C28,Assumptions!$B$36:$B$41,Assumptions!$B$36:$H$41))</f>
        <v>0</v>
      </c>
      <c r="EFM28">
        <f t="array" ref="EFM28">_xlfn.XLOOKUP(EFM$11,Assumptions!$B$35:$H$35,_xlfn.XLOOKUP($C28,Assumptions!$B$36:$B$41,Assumptions!$B$36:$H$41))</f>
        <v>0</v>
      </c>
      <c r="EFN28">
        <f t="array" ref="EFN28">_xlfn.XLOOKUP(EFN$11,Assumptions!$B$35:$H$35,_xlfn.XLOOKUP($C28,Assumptions!$B$36:$B$41,Assumptions!$B$36:$H$41))</f>
        <v>0</v>
      </c>
      <c r="EFO28">
        <f t="array" ref="EFO28">_xlfn.XLOOKUP(EFO$11,Assumptions!$B$35:$H$35,_xlfn.XLOOKUP($C28,Assumptions!$B$36:$B$41,Assumptions!$B$36:$H$41))</f>
        <v>0</v>
      </c>
      <c r="EFP28">
        <f t="array" ref="EFP28">_xlfn.XLOOKUP(EFP$11,Assumptions!$B$35:$H$35,_xlfn.XLOOKUP($C28,Assumptions!$B$36:$B$41,Assumptions!$B$36:$H$41))</f>
        <v>0</v>
      </c>
      <c r="EFQ28">
        <f t="array" ref="EFQ28">_xlfn.XLOOKUP(EFQ$11,Assumptions!$B$35:$H$35,_xlfn.XLOOKUP($C28,Assumptions!$B$36:$B$41,Assumptions!$B$36:$H$41))</f>
        <v>0</v>
      </c>
      <c r="EFR28">
        <f t="array" ref="EFR28">_xlfn.XLOOKUP(EFR$11,Assumptions!$B$35:$H$35,_xlfn.XLOOKUP($C28,Assumptions!$B$36:$B$41,Assumptions!$B$36:$H$41))</f>
        <v>0</v>
      </c>
      <c r="EFS28">
        <f t="array" ref="EFS28">_xlfn.XLOOKUP(EFS$11,Assumptions!$B$35:$H$35,_xlfn.XLOOKUP($C28,Assumptions!$B$36:$B$41,Assumptions!$B$36:$H$41))</f>
        <v>0</v>
      </c>
      <c r="EFT28">
        <f t="array" ref="EFT28">_xlfn.XLOOKUP(EFT$11,Assumptions!$B$35:$H$35,_xlfn.XLOOKUP($C28,Assumptions!$B$36:$B$41,Assumptions!$B$36:$H$41))</f>
        <v>0</v>
      </c>
      <c r="EFU28">
        <f t="array" ref="EFU28">_xlfn.XLOOKUP(EFU$11,Assumptions!$B$35:$H$35,_xlfn.XLOOKUP($C28,Assumptions!$B$36:$B$41,Assumptions!$B$36:$H$41))</f>
        <v>0</v>
      </c>
      <c r="EFV28">
        <f t="array" ref="EFV28">_xlfn.XLOOKUP(EFV$11,Assumptions!$B$35:$H$35,_xlfn.XLOOKUP($C28,Assumptions!$B$36:$B$41,Assumptions!$B$36:$H$41))</f>
        <v>0</v>
      </c>
      <c r="EFW28">
        <f t="array" ref="EFW28">_xlfn.XLOOKUP(EFW$11,Assumptions!$B$35:$H$35,_xlfn.XLOOKUP($C28,Assumptions!$B$36:$B$41,Assumptions!$B$36:$H$41))</f>
        <v>0</v>
      </c>
      <c r="EFX28">
        <f t="array" ref="EFX28">_xlfn.XLOOKUP(EFX$11,Assumptions!$B$35:$H$35,_xlfn.XLOOKUP($C28,Assumptions!$B$36:$B$41,Assumptions!$B$36:$H$41))</f>
        <v>0</v>
      </c>
      <c r="EFY28">
        <f t="array" ref="EFY28">_xlfn.XLOOKUP(EFY$11,Assumptions!$B$35:$H$35,_xlfn.XLOOKUP($C28,Assumptions!$B$36:$B$41,Assumptions!$B$36:$H$41))</f>
        <v>0</v>
      </c>
      <c r="EFZ28">
        <f t="array" ref="EFZ28">_xlfn.XLOOKUP(EFZ$11,Assumptions!$B$35:$H$35,_xlfn.XLOOKUP($C28,Assumptions!$B$36:$B$41,Assumptions!$B$36:$H$41))</f>
        <v>0</v>
      </c>
      <c r="EGA28">
        <f t="array" ref="EGA28">_xlfn.XLOOKUP(EGA$11,Assumptions!$B$35:$H$35,_xlfn.XLOOKUP($C28,Assumptions!$B$36:$B$41,Assumptions!$B$36:$H$41))</f>
        <v>0</v>
      </c>
      <c r="EGB28">
        <f t="array" ref="EGB28">_xlfn.XLOOKUP(EGB$11,Assumptions!$B$35:$H$35,_xlfn.XLOOKUP($C28,Assumptions!$B$36:$B$41,Assumptions!$B$36:$H$41))</f>
        <v>0</v>
      </c>
      <c r="EGC28">
        <f t="array" ref="EGC28">_xlfn.XLOOKUP(EGC$11,Assumptions!$B$35:$H$35,_xlfn.XLOOKUP($C28,Assumptions!$B$36:$B$41,Assumptions!$B$36:$H$41))</f>
        <v>0</v>
      </c>
      <c r="EGD28">
        <f t="array" ref="EGD28">_xlfn.XLOOKUP(EGD$11,Assumptions!$B$35:$H$35,_xlfn.XLOOKUP($C28,Assumptions!$B$36:$B$41,Assumptions!$B$36:$H$41))</f>
        <v>0</v>
      </c>
      <c r="EGE28">
        <f t="array" ref="EGE28">_xlfn.XLOOKUP(EGE$11,Assumptions!$B$35:$H$35,_xlfn.XLOOKUP($C28,Assumptions!$B$36:$B$41,Assumptions!$B$36:$H$41))</f>
        <v>0</v>
      </c>
      <c r="EGF28">
        <f t="array" ref="EGF28">_xlfn.XLOOKUP(EGF$11,Assumptions!$B$35:$H$35,_xlfn.XLOOKUP($C28,Assumptions!$B$36:$B$41,Assumptions!$B$36:$H$41))</f>
        <v>0</v>
      </c>
      <c r="EGG28">
        <f t="array" ref="EGG28">_xlfn.XLOOKUP(EGG$11,Assumptions!$B$35:$H$35,_xlfn.XLOOKUP($C28,Assumptions!$B$36:$B$41,Assumptions!$B$36:$H$41))</f>
        <v>0</v>
      </c>
      <c r="EGH28">
        <f t="array" ref="EGH28">_xlfn.XLOOKUP(EGH$11,Assumptions!$B$35:$H$35,_xlfn.XLOOKUP($C28,Assumptions!$B$36:$B$41,Assumptions!$B$36:$H$41))</f>
        <v>0</v>
      </c>
      <c r="EGI28">
        <f t="array" ref="EGI28">_xlfn.XLOOKUP(EGI$11,Assumptions!$B$35:$H$35,_xlfn.XLOOKUP($C28,Assumptions!$B$36:$B$41,Assumptions!$B$36:$H$41))</f>
        <v>0</v>
      </c>
      <c r="EGJ28">
        <f t="array" ref="EGJ28">_xlfn.XLOOKUP(EGJ$11,Assumptions!$B$35:$H$35,_xlfn.XLOOKUP($C28,Assumptions!$B$36:$B$41,Assumptions!$B$36:$H$41))</f>
        <v>0</v>
      </c>
      <c r="EGK28">
        <f t="array" ref="EGK28">_xlfn.XLOOKUP(EGK$11,Assumptions!$B$35:$H$35,_xlfn.XLOOKUP($C28,Assumptions!$B$36:$B$41,Assumptions!$B$36:$H$41))</f>
        <v>0</v>
      </c>
      <c r="EGL28">
        <f t="array" ref="EGL28">_xlfn.XLOOKUP(EGL$11,Assumptions!$B$35:$H$35,_xlfn.XLOOKUP($C28,Assumptions!$B$36:$B$41,Assumptions!$B$36:$H$41))</f>
        <v>0</v>
      </c>
      <c r="EGM28">
        <f t="array" ref="EGM28">_xlfn.XLOOKUP(EGM$11,Assumptions!$B$35:$H$35,_xlfn.XLOOKUP($C28,Assumptions!$B$36:$B$41,Assumptions!$B$36:$H$41))</f>
        <v>0</v>
      </c>
      <c r="EGN28">
        <f t="array" ref="EGN28">_xlfn.XLOOKUP(EGN$11,Assumptions!$B$35:$H$35,_xlfn.XLOOKUP($C28,Assumptions!$B$36:$B$41,Assumptions!$B$36:$H$41))</f>
        <v>0</v>
      </c>
      <c r="EGO28">
        <f t="array" ref="EGO28">_xlfn.XLOOKUP(EGO$11,Assumptions!$B$35:$H$35,_xlfn.XLOOKUP($C28,Assumptions!$B$36:$B$41,Assumptions!$B$36:$H$41))</f>
        <v>0</v>
      </c>
      <c r="EGP28">
        <f t="array" ref="EGP28">_xlfn.XLOOKUP(EGP$11,Assumptions!$B$35:$H$35,_xlfn.XLOOKUP($C28,Assumptions!$B$36:$B$41,Assumptions!$B$36:$H$41))</f>
        <v>0</v>
      </c>
      <c r="EGQ28">
        <f t="array" ref="EGQ28">_xlfn.XLOOKUP(EGQ$11,Assumptions!$B$35:$H$35,_xlfn.XLOOKUP($C28,Assumptions!$B$36:$B$41,Assumptions!$B$36:$H$41))</f>
        <v>0</v>
      </c>
      <c r="EGR28">
        <f t="array" ref="EGR28">_xlfn.XLOOKUP(EGR$11,Assumptions!$B$35:$H$35,_xlfn.XLOOKUP($C28,Assumptions!$B$36:$B$41,Assumptions!$B$36:$H$41))</f>
        <v>0</v>
      </c>
      <c r="EGS28">
        <f t="array" ref="EGS28">_xlfn.XLOOKUP(EGS$11,Assumptions!$B$35:$H$35,_xlfn.XLOOKUP($C28,Assumptions!$B$36:$B$41,Assumptions!$B$36:$H$41))</f>
        <v>0</v>
      </c>
      <c r="EGT28">
        <f t="array" ref="EGT28">_xlfn.XLOOKUP(EGT$11,Assumptions!$B$35:$H$35,_xlfn.XLOOKUP($C28,Assumptions!$B$36:$B$41,Assumptions!$B$36:$H$41))</f>
        <v>0</v>
      </c>
      <c r="EGU28">
        <f t="array" ref="EGU28">_xlfn.XLOOKUP(EGU$11,Assumptions!$B$35:$H$35,_xlfn.XLOOKUP($C28,Assumptions!$B$36:$B$41,Assumptions!$B$36:$H$41))</f>
        <v>0</v>
      </c>
      <c r="EGV28">
        <f t="array" ref="EGV28">_xlfn.XLOOKUP(EGV$11,Assumptions!$B$35:$H$35,_xlfn.XLOOKUP($C28,Assumptions!$B$36:$B$41,Assumptions!$B$36:$H$41))</f>
        <v>0</v>
      </c>
      <c r="EGW28">
        <f t="array" ref="EGW28">_xlfn.XLOOKUP(EGW$11,Assumptions!$B$35:$H$35,_xlfn.XLOOKUP($C28,Assumptions!$B$36:$B$41,Assumptions!$B$36:$H$41))</f>
        <v>0</v>
      </c>
      <c r="EGX28">
        <f t="array" ref="EGX28">_xlfn.XLOOKUP(EGX$11,Assumptions!$B$35:$H$35,_xlfn.XLOOKUP($C28,Assumptions!$B$36:$B$41,Assumptions!$B$36:$H$41))</f>
        <v>0</v>
      </c>
      <c r="EGY28">
        <f t="array" ref="EGY28">_xlfn.XLOOKUP(EGY$11,Assumptions!$B$35:$H$35,_xlfn.XLOOKUP($C28,Assumptions!$B$36:$B$41,Assumptions!$B$36:$H$41))</f>
        <v>0</v>
      </c>
      <c r="EGZ28">
        <f t="array" ref="EGZ28">_xlfn.XLOOKUP(EGZ$11,Assumptions!$B$35:$H$35,_xlfn.XLOOKUP($C28,Assumptions!$B$36:$B$41,Assumptions!$B$36:$H$41))</f>
        <v>0</v>
      </c>
      <c r="EHA28">
        <f t="array" ref="EHA28">_xlfn.XLOOKUP(EHA$11,Assumptions!$B$35:$H$35,_xlfn.XLOOKUP($C28,Assumptions!$B$36:$B$41,Assumptions!$B$36:$H$41))</f>
        <v>0</v>
      </c>
      <c r="EHB28">
        <f t="array" ref="EHB28">_xlfn.XLOOKUP(EHB$11,Assumptions!$B$35:$H$35,_xlfn.XLOOKUP($C28,Assumptions!$B$36:$B$41,Assumptions!$B$36:$H$41))</f>
        <v>0</v>
      </c>
      <c r="EHC28">
        <f t="array" ref="EHC28">_xlfn.XLOOKUP(EHC$11,Assumptions!$B$35:$H$35,_xlfn.XLOOKUP($C28,Assumptions!$B$36:$B$41,Assumptions!$B$36:$H$41))</f>
        <v>0</v>
      </c>
      <c r="EHD28">
        <f t="array" ref="EHD28">_xlfn.XLOOKUP(EHD$11,Assumptions!$B$35:$H$35,_xlfn.XLOOKUP($C28,Assumptions!$B$36:$B$41,Assumptions!$B$36:$H$41))</f>
        <v>0</v>
      </c>
      <c r="EHE28">
        <f t="array" ref="EHE28">_xlfn.XLOOKUP(EHE$11,Assumptions!$B$35:$H$35,_xlfn.XLOOKUP($C28,Assumptions!$B$36:$B$41,Assumptions!$B$36:$H$41))</f>
        <v>0</v>
      </c>
      <c r="EHF28">
        <f t="array" ref="EHF28">_xlfn.XLOOKUP(EHF$11,Assumptions!$B$35:$H$35,_xlfn.XLOOKUP($C28,Assumptions!$B$36:$B$41,Assumptions!$B$36:$H$41))</f>
        <v>0</v>
      </c>
      <c r="EHG28">
        <f t="array" ref="EHG28">_xlfn.XLOOKUP(EHG$11,Assumptions!$B$35:$H$35,_xlfn.XLOOKUP($C28,Assumptions!$B$36:$B$41,Assumptions!$B$36:$H$41))</f>
        <v>0</v>
      </c>
      <c r="EHH28">
        <f t="array" ref="EHH28">_xlfn.XLOOKUP(EHH$11,Assumptions!$B$35:$H$35,_xlfn.XLOOKUP($C28,Assumptions!$B$36:$B$41,Assumptions!$B$36:$H$41))</f>
        <v>0</v>
      </c>
      <c r="EHI28">
        <f t="array" ref="EHI28">_xlfn.XLOOKUP(EHI$11,Assumptions!$B$35:$H$35,_xlfn.XLOOKUP($C28,Assumptions!$B$36:$B$41,Assumptions!$B$36:$H$41))</f>
        <v>0</v>
      </c>
      <c r="EHJ28">
        <f t="array" ref="EHJ28">_xlfn.XLOOKUP(EHJ$11,Assumptions!$B$35:$H$35,_xlfn.XLOOKUP($C28,Assumptions!$B$36:$B$41,Assumptions!$B$36:$H$41))</f>
        <v>0</v>
      </c>
      <c r="EHK28">
        <f t="array" ref="EHK28">_xlfn.XLOOKUP(EHK$11,Assumptions!$B$35:$H$35,_xlfn.XLOOKUP($C28,Assumptions!$B$36:$B$41,Assumptions!$B$36:$H$41))</f>
        <v>0</v>
      </c>
      <c r="EHL28">
        <f t="array" ref="EHL28">_xlfn.XLOOKUP(EHL$11,Assumptions!$B$35:$H$35,_xlfn.XLOOKUP($C28,Assumptions!$B$36:$B$41,Assumptions!$B$36:$H$41))</f>
        <v>0</v>
      </c>
      <c r="EHM28">
        <f t="array" ref="EHM28">_xlfn.XLOOKUP(EHM$11,Assumptions!$B$35:$H$35,_xlfn.XLOOKUP($C28,Assumptions!$B$36:$B$41,Assumptions!$B$36:$H$41))</f>
        <v>0</v>
      </c>
      <c r="EHN28">
        <f t="array" ref="EHN28">_xlfn.XLOOKUP(EHN$11,Assumptions!$B$35:$H$35,_xlfn.XLOOKUP($C28,Assumptions!$B$36:$B$41,Assumptions!$B$36:$H$41))</f>
        <v>0</v>
      </c>
      <c r="EHO28">
        <f t="array" ref="EHO28">_xlfn.XLOOKUP(EHO$11,Assumptions!$B$35:$H$35,_xlfn.XLOOKUP($C28,Assumptions!$B$36:$B$41,Assumptions!$B$36:$H$41))</f>
        <v>0</v>
      </c>
      <c r="EHP28">
        <f t="array" ref="EHP28">_xlfn.XLOOKUP(EHP$11,Assumptions!$B$35:$H$35,_xlfn.XLOOKUP($C28,Assumptions!$B$36:$B$41,Assumptions!$B$36:$H$41))</f>
        <v>0</v>
      </c>
      <c r="EHQ28">
        <f t="array" ref="EHQ28">_xlfn.XLOOKUP(EHQ$11,Assumptions!$B$35:$H$35,_xlfn.XLOOKUP($C28,Assumptions!$B$36:$B$41,Assumptions!$B$36:$H$41))</f>
        <v>0</v>
      </c>
      <c r="EHR28">
        <f t="array" ref="EHR28">_xlfn.XLOOKUP(EHR$11,Assumptions!$B$35:$H$35,_xlfn.XLOOKUP($C28,Assumptions!$B$36:$B$41,Assumptions!$B$36:$H$41))</f>
        <v>0</v>
      </c>
      <c r="EHS28">
        <f t="array" ref="EHS28">_xlfn.XLOOKUP(EHS$11,Assumptions!$B$35:$H$35,_xlfn.XLOOKUP($C28,Assumptions!$B$36:$B$41,Assumptions!$B$36:$H$41))</f>
        <v>0</v>
      </c>
      <c r="EHT28">
        <f t="array" ref="EHT28">_xlfn.XLOOKUP(EHT$11,Assumptions!$B$35:$H$35,_xlfn.XLOOKUP($C28,Assumptions!$B$36:$B$41,Assumptions!$B$36:$H$41))</f>
        <v>0</v>
      </c>
      <c r="EHU28">
        <f t="array" ref="EHU28">_xlfn.XLOOKUP(EHU$11,Assumptions!$B$35:$H$35,_xlfn.XLOOKUP($C28,Assumptions!$B$36:$B$41,Assumptions!$B$36:$H$41))</f>
        <v>0</v>
      </c>
      <c r="EHV28">
        <f t="array" ref="EHV28">_xlfn.XLOOKUP(EHV$11,Assumptions!$B$35:$H$35,_xlfn.XLOOKUP($C28,Assumptions!$B$36:$B$41,Assumptions!$B$36:$H$41))</f>
        <v>0</v>
      </c>
      <c r="EHW28">
        <f t="array" ref="EHW28">_xlfn.XLOOKUP(EHW$11,Assumptions!$B$35:$H$35,_xlfn.XLOOKUP($C28,Assumptions!$B$36:$B$41,Assumptions!$B$36:$H$41))</f>
        <v>0</v>
      </c>
      <c r="EHX28">
        <f t="array" ref="EHX28">_xlfn.XLOOKUP(EHX$11,Assumptions!$B$35:$H$35,_xlfn.XLOOKUP($C28,Assumptions!$B$36:$B$41,Assumptions!$B$36:$H$41))</f>
        <v>0</v>
      </c>
      <c r="EHY28">
        <f t="array" ref="EHY28">_xlfn.XLOOKUP(EHY$11,Assumptions!$B$35:$H$35,_xlfn.XLOOKUP($C28,Assumptions!$B$36:$B$41,Assumptions!$B$36:$H$41))</f>
        <v>0</v>
      </c>
      <c r="EHZ28">
        <f t="array" ref="EHZ28">_xlfn.XLOOKUP(EHZ$11,Assumptions!$B$35:$H$35,_xlfn.XLOOKUP($C28,Assumptions!$B$36:$B$41,Assumptions!$B$36:$H$41))</f>
        <v>0</v>
      </c>
      <c r="EIA28">
        <f t="array" ref="EIA28">_xlfn.XLOOKUP(EIA$11,Assumptions!$B$35:$H$35,_xlfn.XLOOKUP($C28,Assumptions!$B$36:$B$41,Assumptions!$B$36:$H$41))</f>
        <v>0</v>
      </c>
      <c r="EIB28">
        <f t="array" ref="EIB28">_xlfn.XLOOKUP(EIB$11,Assumptions!$B$35:$H$35,_xlfn.XLOOKUP($C28,Assumptions!$B$36:$B$41,Assumptions!$B$36:$H$41))</f>
        <v>0</v>
      </c>
      <c r="EIC28">
        <f t="array" ref="EIC28">_xlfn.XLOOKUP(EIC$11,Assumptions!$B$35:$H$35,_xlfn.XLOOKUP($C28,Assumptions!$B$36:$B$41,Assumptions!$B$36:$H$41))</f>
        <v>0</v>
      </c>
      <c r="EID28">
        <f t="array" ref="EID28">_xlfn.XLOOKUP(EID$11,Assumptions!$B$35:$H$35,_xlfn.XLOOKUP($C28,Assumptions!$B$36:$B$41,Assumptions!$B$36:$H$41))</f>
        <v>0</v>
      </c>
      <c r="EIE28">
        <f t="array" ref="EIE28">_xlfn.XLOOKUP(EIE$11,Assumptions!$B$35:$H$35,_xlfn.XLOOKUP($C28,Assumptions!$B$36:$B$41,Assumptions!$B$36:$H$41))</f>
        <v>0</v>
      </c>
      <c r="EIF28">
        <f t="array" ref="EIF28">_xlfn.XLOOKUP(EIF$11,Assumptions!$B$35:$H$35,_xlfn.XLOOKUP($C28,Assumptions!$B$36:$B$41,Assumptions!$B$36:$H$41))</f>
        <v>0</v>
      </c>
      <c r="EIG28">
        <f t="array" ref="EIG28">_xlfn.XLOOKUP(EIG$11,Assumptions!$B$35:$H$35,_xlfn.XLOOKUP($C28,Assumptions!$B$36:$B$41,Assumptions!$B$36:$H$41))</f>
        <v>0</v>
      </c>
      <c r="EIH28">
        <f t="array" ref="EIH28">_xlfn.XLOOKUP(EIH$11,Assumptions!$B$35:$H$35,_xlfn.XLOOKUP($C28,Assumptions!$B$36:$B$41,Assumptions!$B$36:$H$41))</f>
        <v>0</v>
      </c>
      <c r="EII28">
        <f t="array" ref="EII28">_xlfn.XLOOKUP(EII$11,Assumptions!$B$35:$H$35,_xlfn.XLOOKUP($C28,Assumptions!$B$36:$B$41,Assumptions!$B$36:$H$41))</f>
        <v>0</v>
      </c>
      <c r="EIJ28">
        <f t="array" ref="EIJ28">_xlfn.XLOOKUP(EIJ$11,Assumptions!$B$35:$H$35,_xlfn.XLOOKUP($C28,Assumptions!$B$36:$B$41,Assumptions!$B$36:$H$41))</f>
        <v>0</v>
      </c>
      <c r="EIK28">
        <f t="array" ref="EIK28">_xlfn.XLOOKUP(EIK$11,Assumptions!$B$35:$H$35,_xlfn.XLOOKUP($C28,Assumptions!$B$36:$B$41,Assumptions!$B$36:$H$41))</f>
        <v>0</v>
      </c>
      <c r="EIL28">
        <f t="array" ref="EIL28">_xlfn.XLOOKUP(EIL$11,Assumptions!$B$35:$H$35,_xlfn.XLOOKUP($C28,Assumptions!$B$36:$B$41,Assumptions!$B$36:$H$41))</f>
        <v>0</v>
      </c>
      <c r="EIM28">
        <f t="array" ref="EIM28">_xlfn.XLOOKUP(EIM$11,Assumptions!$B$35:$H$35,_xlfn.XLOOKUP($C28,Assumptions!$B$36:$B$41,Assumptions!$B$36:$H$41))</f>
        <v>0</v>
      </c>
      <c r="EIN28">
        <f t="array" ref="EIN28">_xlfn.XLOOKUP(EIN$11,Assumptions!$B$35:$H$35,_xlfn.XLOOKUP($C28,Assumptions!$B$36:$B$41,Assumptions!$B$36:$H$41))</f>
        <v>0</v>
      </c>
      <c r="EIO28">
        <f t="array" ref="EIO28">_xlfn.XLOOKUP(EIO$11,Assumptions!$B$35:$H$35,_xlfn.XLOOKUP($C28,Assumptions!$B$36:$B$41,Assumptions!$B$36:$H$41))</f>
        <v>0</v>
      </c>
      <c r="EIP28">
        <f t="array" ref="EIP28">_xlfn.XLOOKUP(EIP$11,Assumptions!$B$35:$H$35,_xlfn.XLOOKUP($C28,Assumptions!$B$36:$B$41,Assumptions!$B$36:$H$41))</f>
        <v>0</v>
      </c>
      <c r="EIQ28">
        <f t="array" ref="EIQ28">_xlfn.XLOOKUP(EIQ$11,Assumptions!$B$35:$H$35,_xlfn.XLOOKUP($C28,Assumptions!$B$36:$B$41,Assumptions!$B$36:$H$41))</f>
        <v>0</v>
      </c>
      <c r="EIR28">
        <f t="array" ref="EIR28">_xlfn.XLOOKUP(EIR$11,Assumptions!$B$35:$H$35,_xlfn.XLOOKUP($C28,Assumptions!$B$36:$B$41,Assumptions!$B$36:$H$41))</f>
        <v>0</v>
      </c>
      <c r="EIS28">
        <f t="array" ref="EIS28">_xlfn.XLOOKUP(EIS$11,Assumptions!$B$35:$H$35,_xlfn.XLOOKUP($C28,Assumptions!$B$36:$B$41,Assumptions!$B$36:$H$41))</f>
        <v>0</v>
      </c>
      <c r="EIT28">
        <f t="array" ref="EIT28">_xlfn.XLOOKUP(EIT$11,Assumptions!$B$35:$H$35,_xlfn.XLOOKUP($C28,Assumptions!$B$36:$B$41,Assumptions!$B$36:$H$41))</f>
        <v>0</v>
      </c>
      <c r="EIU28">
        <f t="array" ref="EIU28">_xlfn.XLOOKUP(EIU$11,Assumptions!$B$35:$H$35,_xlfn.XLOOKUP($C28,Assumptions!$B$36:$B$41,Assumptions!$B$36:$H$41))</f>
        <v>0</v>
      </c>
      <c r="EIV28">
        <f t="array" ref="EIV28">_xlfn.XLOOKUP(EIV$11,Assumptions!$B$35:$H$35,_xlfn.XLOOKUP($C28,Assumptions!$B$36:$B$41,Assumptions!$B$36:$H$41))</f>
        <v>0</v>
      </c>
      <c r="EIW28">
        <f t="array" ref="EIW28">_xlfn.XLOOKUP(EIW$11,Assumptions!$B$35:$H$35,_xlfn.XLOOKUP($C28,Assumptions!$B$36:$B$41,Assumptions!$B$36:$H$41))</f>
        <v>0</v>
      </c>
      <c r="EIX28">
        <f t="array" ref="EIX28">_xlfn.XLOOKUP(EIX$11,Assumptions!$B$35:$H$35,_xlfn.XLOOKUP($C28,Assumptions!$B$36:$B$41,Assumptions!$B$36:$H$41))</f>
        <v>0</v>
      </c>
      <c r="EIY28">
        <f t="array" ref="EIY28">_xlfn.XLOOKUP(EIY$11,Assumptions!$B$35:$H$35,_xlfn.XLOOKUP($C28,Assumptions!$B$36:$B$41,Assumptions!$B$36:$H$41))</f>
        <v>0</v>
      </c>
      <c r="EIZ28">
        <f t="array" ref="EIZ28">_xlfn.XLOOKUP(EIZ$11,Assumptions!$B$35:$H$35,_xlfn.XLOOKUP($C28,Assumptions!$B$36:$B$41,Assumptions!$B$36:$H$41))</f>
        <v>0</v>
      </c>
      <c r="EJA28">
        <f t="array" ref="EJA28">_xlfn.XLOOKUP(EJA$11,Assumptions!$B$35:$H$35,_xlfn.XLOOKUP($C28,Assumptions!$B$36:$B$41,Assumptions!$B$36:$H$41))</f>
        <v>0</v>
      </c>
      <c r="EJB28">
        <f t="array" ref="EJB28">_xlfn.XLOOKUP(EJB$11,Assumptions!$B$35:$H$35,_xlfn.XLOOKUP($C28,Assumptions!$B$36:$B$41,Assumptions!$B$36:$H$41))</f>
        <v>0</v>
      </c>
      <c r="EJC28">
        <f t="array" ref="EJC28">_xlfn.XLOOKUP(EJC$11,Assumptions!$B$35:$H$35,_xlfn.XLOOKUP($C28,Assumptions!$B$36:$B$41,Assumptions!$B$36:$H$41))</f>
        <v>0</v>
      </c>
      <c r="EJD28">
        <f t="array" ref="EJD28">_xlfn.XLOOKUP(EJD$11,Assumptions!$B$35:$H$35,_xlfn.XLOOKUP($C28,Assumptions!$B$36:$B$41,Assumptions!$B$36:$H$41))</f>
        <v>0</v>
      </c>
      <c r="EJE28">
        <f t="array" ref="EJE28">_xlfn.XLOOKUP(EJE$11,Assumptions!$B$35:$H$35,_xlfn.XLOOKUP($C28,Assumptions!$B$36:$B$41,Assumptions!$B$36:$H$41))</f>
        <v>0</v>
      </c>
      <c r="EJF28">
        <f t="array" ref="EJF28">_xlfn.XLOOKUP(EJF$11,Assumptions!$B$35:$H$35,_xlfn.XLOOKUP($C28,Assumptions!$B$36:$B$41,Assumptions!$B$36:$H$41))</f>
        <v>0</v>
      </c>
      <c r="EJG28">
        <f t="array" ref="EJG28">_xlfn.XLOOKUP(EJG$11,Assumptions!$B$35:$H$35,_xlfn.XLOOKUP($C28,Assumptions!$B$36:$B$41,Assumptions!$B$36:$H$41))</f>
        <v>0</v>
      </c>
      <c r="EJH28">
        <f t="array" ref="EJH28">_xlfn.XLOOKUP(EJH$11,Assumptions!$B$35:$H$35,_xlfn.XLOOKUP($C28,Assumptions!$B$36:$B$41,Assumptions!$B$36:$H$41))</f>
        <v>0</v>
      </c>
      <c r="EJI28">
        <f t="array" ref="EJI28">_xlfn.XLOOKUP(EJI$11,Assumptions!$B$35:$H$35,_xlfn.XLOOKUP($C28,Assumptions!$B$36:$B$41,Assumptions!$B$36:$H$41))</f>
        <v>0</v>
      </c>
      <c r="EJJ28">
        <f t="array" ref="EJJ28">_xlfn.XLOOKUP(EJJ$11,Assumptions!$B$35:$H$35,_xlfn.XLOOKUP($C28,Assumptions!$B$36:$B$41,Assumptions!$B$36:$H$41))</f>
        <v>0</v>
      </c>
      <c r="EJK28">
        <f t="array" ref="EJK28">_xlfn.XLOOKUP(EJK$11,Assumptions!$B$35:$H$35,_xlfn.XLOOKUP($C28,Assumptions!$B$36:$B$41,Assumptions!$B$36:$H$41))</f>
        <v>0</v>
      </c>
      <c r="EJL28">
        <f t="array" ref="EJL28">_xlfn.XLOOKUP(EJL$11,Assumptions!$B$35:$H$35,_xlfn.XLOOKUP($C28,Assumptions!$B$36:$B$41,Assumptions!$B$36:$H$41))</f>
        <v>0</v>
      </c>
      <c r="EJM28">
        <f t="array" ref="EJM28">_xlfn.XLOOKUP(EJM$11,Assumptions!$B$35:$H$35,_xlfn.XLOOKUP($C28,Assumptions!$B$36:$B$41,Assumptions!$B$36:$H$41))</f>
        <v>0</v>
      </c>
      <c r="EJN28">
        <f t="array" ref="EJN28">_xlfn.XLOOKUP(EJN$11,Assumptions!$B$35:$H$35,_xlfn.XLOOKUP($C28,Assumptions!$B$36:$B$41,Assumptions!$B$36:$H$41))</f>
        <v>0</v>
      </c>
      <c r="EJO28">
        <f t="array" ref="EJO28">_xlfn.XLOOKUP(EJO$11,Assumptions!$B$35:$H$35,_xlfn.XLOOKUP($C28,Assumptions!$B$36:$B$41,Assumptions!$B$36:$H$41))</f>
        <v>0</v>
      </c>
      <c r="EJP28">
        <f t="array" ref="EJP28">_xlfn.XLOOKUP(EJP$11,Assumptions!$B$35:$H$35,_xlfn.XLOOKUP($C28,Assumptions!$B$36:$B$41,Assumptions!$B$36:$H$41))</f>
        <v>0</v>
      </c>
      <c r="EJQ28">
        <f t="array" ref="EJQ28">_xlfn.XLOOKUP(EJQ$11,Assumptions!$B$35:$H$35,_xlfn.XLOOKUP($C28,Assumptions!$B$36:$B$41,Assumptions!$B$36:$H$41))</f>
        <v>0</v>
      </c>
      <c r="EJR28">
        <f t="array" ref="EJR28">_xlfn.XLOOKUP(EJR$11,Assumptions!$B$35:$H$35,_xlfn.XLOOKUP($C28,Assumptions!$B$36:$B$41,Assumptions!$B$36:$H$41))</f>
        <v>0</v>
      </c>
      <c r="EJS28">
        <f t="array" ref="EJS28">_xlfn.XLOOKUP(EJS$11,Assumptions!$B$35:$H$35,_xlfn.XLOOKUP($C28,Assumptions!$B$36:$B$41,Assumptions!$B$36:$H$41))</f>
        <v>0</v>
      </c>
      <c r="EJT28">
        <f t="array" ref="EJT28">_xlfn.XLOOKUP(EJT$11,Assumptions!$B$35:$H$35,_xlfn.XLOOKUP($C28,Assumptions!$B$36:$B$41,Assumptions!$B$36:$H$41))</f>
        <v>0</v>
      </c>
      <c r="EJU28">
        <f t="array" ref="EJU28">_xlfn.XLOOKUP(EJU$11,Assumptions!$B$35:$H$35,_xlfn.XLOOKUP($C28,Assumptions!$B$36:$B$41,Assumptions!$B$36:$H$41))</f>
        <v>0</v>
      </c>
      <c r="EJV28">
        <f t="array" ref="EJV28">_xlfn.XLOOKUP(EJV$11,Assumptions!$B$35:$H$35,_xlfn.XLOOKUP($C28,Assumptions!$B$36:$B$41,Assumptions!$B$36:$H$41))</f>
        <v>0</v>
      </c>
      <c r="EJW28">
        <f t="array" ref="EJW28">_xlfn.XLOOKUP(EJW$11,Assumptions!$B$35:$H$35,_xlfn.XLOOKUP($C28,Assumptions!$B$36:$B$41,Assumptions!$B$36:$H$41))</f>
        <v>0</v>
      </c>
      <c r="EJX28">
        <f t="array" ref="EJX28">_xlfn.XLOOKUP(EJX$11,Assumptions!$B$35:$H$35,_xlfn.XLOOKUP($C28,Assumptions!$B$36:$B$41,Assumptions!$B$36:$H$41))</f>
        <v>0</v>
      </c>
      <c r="EJY28">
        <f t="array" ref="EJY28">_xlfn.XLOOKUP(EJY$11,Assumptions!$B$35:$H$35,_xlfn.XLOOKUP($C28,Assumptions!$B$36:$B$41,Assumptions!$B$36:$H$41))</f>
        <v>0</v>
      </c>
      <c r="EJZ28">
        <f t="array" ref="EJZ28">_xlfn.XLOOKUP(EJZ$11,Assumptions!$B$35:$H$35,_xlfn.XLOOKUP($C28,Assumptions!$B$36:$B$41,Assumptions!$B$36:$H$41))</f>
        <v>0</v>
      </c>
      <c r="EKA28">
        <f t="array" ref="EKA28">_xlfn.XLOOKUP(EKA$11,Assumptions!$B$35:$H$35,_xlfn.XLOOKUP($C28,Assumptions!$B$36:$B$41,Assumptions!$B$36:$H$41))</f>
        <v>0</v>
      </c>
      <c r="EKB28">
        <f t="array" ref="EKB28">_xlfn.XLOOKUP(EKB$11,Assumptions!$B$35:$H$35,_xlfn.XLOOKUP($C28,Assumptions!$B$36:$B$41,Assumptions!$B$36:$H$41))</f>
        <v>0</v>
      </c>
      <c r="EKC28">
        <f t="array" ref="EKC28">_xlfn.XLOOKUP(EKC$11,Assumptions!$B$35:$H$35,_xlfn.XLOOKUP($C28,Assumptions!$B$36:$B$41,Assumptions!$B$36:$H$41))</f>
        <v>0</v>
      </c>
      <c r="EKD28">
        <f t="array" ref="EKD28">_xlfn.XLOOKUP(EKD$11,Assumptions!$B$35:$H$35,_xlfn.XLOOKUP($C28,Assumptions!$B$36:$B$41,Assumptions!$B$36:$H$41))</f>
        <v>0</v>
      </c>
      <c r="EKE28">
        <f t="array" ref="EKE28">_xlfn.XLOOKUP(EKE$11,Assumptions!$B$35:$H$35,_xlfn.XLOOKUP($C28,Assumptions!$B$36:$B$41,Assumptions!$B$36:$H$41))</f>
        <v>0</v>
      </c>
      <c r="EKF28">
        <f t="array" ref="EKF28">_xlfn.XLOOKUP(EKF$11,Assumptions!$B$35:$H$35,_xlfn.XLOOKUP($C28,Assumptions!$B$36:$B$41,Assumptions!$B$36:$H$41))</f>
        <v>0</v>
      </c>
      <c r="EKG28">
        <f t="array" ref="EKG28">_xlfn.XLOOKUP(EKG$11,Assumptions!$B$35:$H$35,_xlfn.XLOOKUP($C28,Assumptions!$B$36:$B$41,Assumptions!$B$36:$H$41))</f>
        <v>0</v>
      </c>
      <c r="EKH28">
        <f t="array" ref="EKH28">_xlfn.XLOOKUP(EKH$11,Assumptions!$B$35:$H$35,_xlfn.XLOOKUP($C28,Assumptions!$B$36:$B$41,Assumptions!$B$36:$H$41))</f>
        <v>0</v>
      </c>
      <c r="EKI28">
        <f t="array" ref="EKI28">_xlfn.XLOOKUP(EKI$11,Assumptions!$B$35:$H$35,_xlfn.XLOOKUP($C28,Assumptions!$B$36:$B$41,Assumptions!$B$36:$H$41))</f>
        <v>0</v>
      </c>
      <c r="EKJ28">
        <f t="array" ref="EKJ28">_xlfn.XLOOKUP(EKJ$11,Assumptions!$B$35:$H$35,_xlfn.XLOOKUP($C28,Assumptions!$B$36:$B$41,Assumptions!$B$36:$H$41))</f>
        <v>0</v>
      </c>
      <c r="EKK28">
        <f t="array" ref="EKK28">_xlfn.XLOOKUP(EKK$11,Assumptions!$B$35:$H$35,_xlfn.XLOOKUP($C28,Assumptions!$B$36:$B$41,Assumptions!$B$36:$H$41))</f>
        <v>0</v>
      </c>
      <c r="EKL28">
        <f t="array" ref="EKL28">_xlfn.XLOOKUP(EKL$11,Assumptions!$B$35:$H$35,_xlfn.XLOOKUP($C28,Assumptions!$B$36:$B$41,Assumptions!$B$36:$H$41))</f>
        <v>0</v>
      </c>
      <c r="EKM28">
        <f t="array" ref="EKM28">_xlfn.XLOOKUP(EKM$11,Assumptions!$B$35:$H$35,_xlfn.XLOOKUP($C28,Assumptions!$B$36:$B$41,Assumptions!$B$36:$H$41))</f>
        <v>0</v>
      </c>
      <c r="EKN28">
        <f t="array" ref="EKN28">_xlfn.XLOOKUP(EKN$11,Assumptions!$B$35:$H$35,_xlfn.XLOOKUP($C28,Assumptions!$B$36:$B$41,Assumptions!$B$36:$H$41))</f>
        <v>0</v>
      </c>
      <c r="EKO28">
        <f t="array" ref="EKO28">_xlfn.XLOOKUP(EKO$11,Assumptions!$B$35:$H$35,_xlfn.XLOOKUP($C28,Assumptions!$B$36:$B$41,Assumptions!$B$36:$H$41))</f>
        <v>0</v>
      </c>
      <c r="EKP28">
        <f t="array" ref="EKP28">_xlfn.XLOOKUP(EKP$11,Assumptions!$B$35:$H$35,_xlfn.XLOOKUP($C28,Assumptions!$B$36:$B$41,Assumptions!$B$36:$H$41))</f>
        <v>0</v>
      </c>
      <c r="EKQ28">
        <f t="array" ref="EKQ28">_xlfn.XLOOKUP(EKQ$11,Assumptions!$B$35:$H$35,_xlfn.XLOOKUP($C28,Assumptions!$B$36:$B$41,Assumptions!$B$36:$H$41))</f>
        <v>0</v>
      </c>
      <c r="EKR28">
        <f t="array" ref="EKR28">_xlfn.XLOOKUP(EKR$11,Assumptions!$B$35:$H$35,_xlfn.XLOOKUP($C28,Assumptions!$B$36:$B$41,Assumptions!$B$36:$H$41))</f>
        <v>0</v>
      </c>
      <c r="EKS28">
        <f t="array" ref="EKS28">_xlfn.XLOOKUP(EKS$11,Assumptions!$B$35:$H$35,_xlfn.XLOOKUP($C28,Assumptions!$B$36:$B$41,Assumptions!$B$36:$H$41))</f>
        <v>0</v>
      </c>
      <c r="EKT28">
        <f t="array" ref="EKT28">_xlfn.XLOOKUP(EKT$11,Assumptions!$B$35:$H$35,_xlfn.XLOOKUP($C28,Assumptions!$B$36:$B$41,Assumptions!$B$36:$H$41))</f>
        <v>0</v>
      </c>
      <c r="EKU28">
        <f t="array" ref="EKU28">_xlfn.XLOOKUP(EKU$11,Assumptions!$B$35:$H$35,_xlfn.XLOOKUP($C28,Assumptions!$B$36:$B$41,Assumptions!$B$36:$H$41))</f>
        <v>0</v>
      </c>
      <c r="EKV28">
        <f t="array" ref="EKV28">_xlfn.XLOOKUP(EKV$11,Assumptions!$B$35:$H$35,_xlfn.XLOOKUP($C28,Assumptions!$B$36:$B$41,Assumptions!$B$36:$H$41))</f>
        <v>0</v>
      </c>
      <c r="EKW28">
        <f t="array" ref="EKW28">_xlfn.XLOOKUP(EKW$11,Assumptions!$B$35:$H$35,_xlfn.XLOOKUP($C28,Assumptions!$B$36:$B$41,Assumptions!$B$36:$H$41))</f>
        <v>0</v>
      </c>
      <c r="EKX28">
        <f t="array" ref="EKX28">_xlfn.XLOOKUP(EKX$11,Assumptions!$B$35:$H$35,_xlfn.XLOOKUP($C28,Assumptions!$B$36:$B$41,Assumptions!$B$36:$H$41))</f>
        <v>0</v>
      </c>
      <c r="EKY28">
        <f t="array" ref="EKY28">_xlfn.XLOOKUP(EKY$11,Assumptions!$B$35:$H$35,_xlfn.XLOOKUP($C28,Assumptions!$B$36:$B$41,Assumptions!$B$36:$H$41))</f>
        <v>0</v>
      </c>
      <c r="EKZ28">
        <f t="array" ref="EKZ28">_xlfn.XLOOKUP(EKZ$11,Assumptions!$B$35:$H$35,_xlfn.XLOOKUP($C28,Assumptions!$B$36:$B$41,Assumptions!$B$36:$H$41))</f>
        <v>0</v>
      </c>
      <c r="ELA28">
        <f t="array" ref="ELA28">_xlfn.XLOOKUP(ELA$11,Assumptions!$B$35:$H$35,_xlfn.XLOOKUP($C28,Assumptions!$B$36:$B$41,Assumptions!$B$36:$H$41))</f>
        <v>0</v>
      </c>
      <c r="ELB28">
        <f t="array" ref="ELB28">_xlfn.XLOOKUP(ELB$11,Assumptions!$B$35:$H$35,_xlfn.XLOOKUP($C28,Assumptions!$B$36:$B$41,Assumptions!$B$36:$H$41))</f>
        <v>0</v>
      </c>
      <c r="ELC28">
        <f t="array" ref="ELC28">_xlfn.XLOOKUP(ELC$11,Assumptions!$B$35:$H$35,_xlfn.XLOOKUP($C28,Assumptions!$B$36:$B$41,Assumptions!$B$36:$H$41))</f>
        <v>0</v>
      </c>
      <c r="ELD28">
        <f t="array" ref="ELD28">_xlfn.XLOOKUP(ELD$11,Assumptions!$B$35:$H$35,_xlfn.XLOOKUP($C28,Assumptions!$B$36:$B$41,Assumptions!$B$36:$H$41))</f>
        <v>0</v>
      </c>
      <c r="ELE28">
        <f t="array" ref="ELE28">_xlfn.XLOOKUP(ELE$11,Assumptions!$B$35:$H$35,_xlfn.XLOOKUP($C28,Assumptions!$B$36:$B$41,Assumptions!$B$36:$H$41))</f>
        <v>0</v>
      </c>
      <c r="ELF28">
        <f t="array" ref="ELF28">_xlfn.XLOOKUP(ELF$11,Assumptions!$B$35:$H$35,_xlfn.XLOOKUP($C28,Assumptions!$B$36:$B$41,Assumptions!$B$36:$H$41))</f>
        <v>0</v>
      </c>
      <c r="ELG28">
        <f t="array" ref="ELG28">_xlfn.XLOOKUP(ELG$11,Assumptions!$B$35:$H$35,_xlfn.XLOOKUP($C28,Assumptions!$B$36:$B$41,Assumptions!$B$36:$H$41))</f>
        <v>0</v>
      </c>
      <c r="ELH28">
        <f t="array" ref="ELH28">_xlfn.XLOOKUP(ELH$11,Assumptions!$B$35:$H$35,_xlfn.XLOOKUP($C28,Assumptions!$B$36:$B$41,Assumptions!$B$36:$H$41))</f>
        <v>0</v>
      </c>
      <c r="ELI28">
        <f t="array" ref="ELI28">_xlfn.XLOOKUP(ELI$11,Assumptions!$B$35:$H$35,_xlfn.XLOOKUP($C28,Assumptions!$B$36:$B$41,Assumptions!$B$36:$H$41))</f>
        <v>0</v>
      </c>
      <c r="ELJ28">
        <f t="array" ref="ELJ28">_xlfn.XLOOKUP(ELJ$11,Assumptions!$B$35:$H$35,_xlfn.XLOOKUP($C28,Assumptions!$B$36:$B$41,Assumptions!$B$36:$H$41))</f>
        <v>0</v>
      </c>
      <c r="ELK28">
        <f t="array" ref="ELK28">_xlfn.XLOOKUP(ELK$11,Assumptions!$B$35:$H$35,_xlfn.XLOOKUP($C28,Assumptions!$B$36:$B$41,Assumptions!$B$36:$H$41))</f>
        <v>0</v>
      </c>
      <c r="ELL28">
        <f t="array" ref="ELL28">_xlfn.XLOOKUP(ELL$11,Assumptions!$B$35:$H$35,_xlfn.XLOOKUP($C28,Assumptions!$B$36:$B$41,Assumptions!$B$36:$H$41))</f>
        <v>0</v>
      </c>
      <c r="ELM28">
        <f t="array" ref="ELM28">_xlfn.XLOOKUP(ELM$11,Assumptions!$B$35:$H$35,_xlfn.XLOOKUP($C28,Assumptions!$B$36:$B$41,Assumptions!$B$36:$H$41))</f>
        <v>0</v>
      </c>
      <c r="ELN28">
        <f t="array" ref="ELN28">_xlfn.XLOOKUP(ELN$11,Assumptions!$B$35:$H$35,_xlfn.XLOOKUP($C28,Assumptions!$B$36:$B$41,Assumptions!$B$36:$H$41))</f>
        <v>0</v>
      </c>
      <c r="ELO28">
        <f t="array" ref="ELO28">_xlfn.XLOOKUP(ELO$11,Assumptions!$B$35:$H$35,_xlfn.XLOOKUP($C28,Assumptions!$B$36:$B$41,Assumptions!$B$36:$H$41))</f>
        <v>0</v>
      </c>
      <c r="ELP28">
        <f t="array" ref="ELP28">_xlfn.XLOOKUP(ELP$11,Assumptions!$B$35:$H$35,_xlfn.XLOOKUP($C28,Assumptions!$B$36:$B$41,Assumptions!$B$36:$H$41))</f>
        <v>0</v>
      </c>
      <c r="ELQ28">
        <f t="array" ref="ELQ28">_xlfn.XLOOKUP(ELQ$11,Assumptions!$B$35:$H$35,_xlfn.XLOOKUP($C28,Assumptions!$B$36:$B$41,Assumptions!$B$36:$H$41))</f>
        <v>0</v>
      </c>
      <c r="ELR28">
        <f t="array" ref="ELR28">_xlfn.XLOOKUP(ELR$11,Assumptions!$B$35:$H$35,_xlfn.XLOOKUP($C28,Assumptions!$B$36:$B$41,Assumptions!$B$36:$H$41))</f>
        <v>0</v>
      </c>
      <c r="ELS28">
        <f t="array" ref="ELS28">_xlfn.XLOOKUP(ELS$11,Assumptions!$B$35:$H$35,_xlfn.XLOOKUP($C28,Assumptions!$B$36:$B$41,Assumptions!$B$36:$H$41))</f>
        <v>0</v>
      </c>
      <c r="ELT28">
        <f t="array" ref="ELT28">_xlfn.XLOOKUP(ELT$11,Assumptions!$B$35:$H$35,_xlfn.XLOOKUP($C28,Assumptions!$B$36:$B$41,Assumptions!$B$36:$H$41))</f>
        <v>0</v>
      </c>
      <c r="ELU28">
        <f t="array" ref="ELU28">_xlfn.XLOOKUP(ELU$11,Assumptions!$B$35:$H$35,_xlfn.XLOOKUP($C28,Assumptions!$B$36:$B$41,Assumptions!$B$36:$H$41))</f>
        <v>0</v>
      </c>
      <c r="ELV28">
        <f t="array" ref="ELV28">_xlfn.XLOOKUP(ELV$11,Assumptions!$B$35:$H$35,_xlfn.XLOOKUP($C28,Assumptions!$B$36:$B$41,Assumptions!$B$36:$H$41))</f>
        <v>0</v>
      </c>
      <c r="ELW28">
        <f t="array" ref="ELW28">_xlfn.XLOOKUP(ELW$11,Assumptions!$B$35:$H$35,_xlfn.XLOOKUP($C28,Assumptions!$B$36:$B$41,Assumptions!$B$36:$H$41))</f>
        <v>0</v>
      </c>
      <c r="ELX28">
        <f t="array" ref="ELX28">_xlfn.XLOOKUP(ELX$11,Assumptions!$B$35:$H$35,_xlfn.XLOOKUP($C28,Assumptions!$B$36:$B$41,Assumptions!$B$36:$H$41))</f>
        <v>0</v>
      </c>
      <c r="ELY28">
        <f t="array" ref="ELY28">_xlfn.XLOOKUP(ELY$11,Assumptions!$B$35:$H$35,_xlfn.XLOOKUP($C28,Assumptions!$B$36:$B$41,Assumptions!$B$36:$H$41))</f>
        <v>0</v>
      </c>
      <c r="ELZ28">
        <f t="array" ref="ELZ28">_xlfn.XLOOKUP(ELZ$11,Assumptions!$B$35:$H$35,_xlfn.XLOOKUP($C28,Assumptions!$B$36:$B$41,Assumptions!$B$36:$H$41))</f>
        <v>0</v>
      </c>
      <c r="EMA28">
        <f t="array" ref="EMA28">_xlfn.XLOOKUP(EMA$11,Assumptions!$B$35:$H$35,_xlfn.XLOOKUP($C28,Assumptions!$B$36:$B$41,Assumptions!$B$36:$H$41))</f>
        <v>0</v>
      </c>
      <c r="EMB28">
        <f t="array" ref="EMB28">_xlfn.XLOOKUP(EMB$11,Assumptions!$B$35:$H$35,_xlfn.XLOOKUP($C28,Assumptions!$B$36:$B$41,Assumptions!$B$36:$H$41))</f>
        <v>0</v>
      </c>
      <c r="EMC28">
        <f t="array" ref="EMC28">_xlfn.XLOOKUP(EMC$11,Assumptions!$B$35:$H$35,_xlfn.XLOOKUP($C28,Assumptions!$B$36:$B$41,Assumptions!$B$36:$H$41))</f>
        <v>0</v>
      </c>
      <c r="EMD28">
        <f t="array" ref="EMD28">_xlfn.XLOOKUP(EMD$11,Assumptions!$B$35:$H$35,_xlfn.XLOOKUP($C28,Assumptions!$B$36:$B$41,Assumptions!$B$36:$H$41))</f>
        <v>0</v>
      </c>
      <c r="EME28">
        <f t="array" ref="EME28">_xlfn.XLOOKUP(EME$11,Assumptions!$B$35:$H$35,_xlfn.XLOOKUP($C28,Assumptions!$B$36:$B$41,Assumptions!$B$36:$H$41))</f>
        <v>0</v>
      </c>
      <c r="EMF28">
        <f t="array" ref="EMF28">_xlfn.XLOOKUP(EMF$11,Assumptions!$B$35:$H$35,_xlfn.XLOOKUP($C28,Assumptions!$B$36:$B$41,Assumptions!$B$36:$H$41))</f>
        <v>0</v>
      </c>
      <c r="EMG28">
        <f t="array" ref="EMG28">_xlfn.XLOOKUP(EMG$11,Assumptions!$B$35:$H$35,_xlfn.XLOOKUP($C28,Assumptions!$B$36:$B$41,Assumptions!$B$36:$H$41))</f>
        <v>0</v>
      </c>
      <c r="EMH28">
        <f t="array" ref="EMH28">_xlfn.XLOOKUP(EMH$11,Assumptions!$B$35:$H$35,_xlfn.XLOOKUP($C28,Assumptions!$B$36:$B$41,Assumptions!$B$36:$H$41))</f>
        <v>0</v>
      </c>
      <c r="EMI28">
        <f t="array" ref="EMI28">_xlfn.XLOOKUP(EMI$11,Assumptions!$B$35:$H$35,_xlfn.XLOOKUP($C28,Assumptions!$B$36:$B$41,Assumptions!$B$36:$H$41))</f>
        <v>0</v>
      </c>
      <c r="EMJ28">
        <f t="array" ref="EMJ28">_xlfn.XLOOKUP(EMJ$11,Assumptions!$B$35:$H$35,_xlfn.XLOOKUP($C28,Assumptions!$B$36:$B$41,Assumptions!$B$36:$H$41))</f>
        <v>0</v>
      </c>
      <c r="EMK28">
        <f t="array" ref="EMK28">_xlfn.XLOOKUP(EMK$11,Assumptions!$B$35:$H$35,_xlfn.XLOOKUP($C28,Assumptions!$B$36:$B$41,Assumptions!$B$36:$H$41))</f>
        <v>0</v>
      </c>
      <c r="EML28">
        <f t="array" ref="EML28">_xlfn.XLOOKUP(EML$11,Assumptions!$B$35:$H$35,_xlfn.XLOOKUP($C28,Assumptions!$B$36:$B$41,Assumptions!$B$36:$H$41))</f>
        <v>0</v>
      </c>
      <c r="EMM28">
        <f t="array" ref="EMM28">_xlfn.XLOOKUP(EMM$11,Assumptions!$B$35:$H$35,_xlfn.XLOOKUP($C28,Assumptions!$B$36:$B$41,Assumptions!$B$36:$H$41))</f>
        <v>0</v>
      </c>
      <c r="EMN28">
        <f t="array" ref="EMN28">_xlfn.XLOOKUP(EMN$11,Assumptions!$B$35:$H$35,_xlfn.XLOOKUP($C28,Assumptions!$B$36:$B$41,Assumptions!$B$36:$H$41))</f>
        <v>0</v>
      </c>
      <c r="EMO28">
        <f t="array" ref="EMO28">_xlfn.XLOOKUP(EMO$11,Assumptions!$B$35:$H$35,_xlfn.XLOOKUP($C28,Assumptions!$B$36:$B$41,Assumptions!$B$36:$H$41))</f>
        <v>0</v>
      </c>
      <c r="EMP28">
        <f t="array" ref="EMP28">_xlfn.XLOOKUP(EMP$11,Assumptions!$B$35:$H$35,_xlfn.XLOOKUP($C28,Assumptions!$B$36:$B$41,Assumptions!$B$36:$H$41))</f>
        <v>0</v>
      </c>
      <c r="EMQ28">
        <f t="array" ref="EMQ28">_xlfn.XLOOKUP(EMQ$11,Assumptions!$B$35:$H$35,_xlfn.XLOOKUP($C28,Assumptions!$B$36:$B$41,Assumptions!$B$36:$H$41))</f>
        <v>0</v>
      </c>
      <c r="EMR28">
        <f t="array" ref="EMR28">_xlfn.XLOOKUP(EMR$11,Assumptions!$B$35:$H$35,_xlfn.XLOOKUP($C28,Assumptions!$B$36:$B$41,Assumptions!$B$36:$H$41))</f>
        <v>0</v>
      </c>
      <c r="EMS28">
        <f t="array" ref="EMS28">_xlfn.XLOOKUP(EMS$11,Assumptions!$B$35:$H$35,_xlfn.XLOOKUP($C28,Assumptions!$B$36:$B$41,Assumptions!$B$36:$H$41))</f>
        <v>0</v>
      </c>
      <c r="EMT28">
        <f t="array" ref="EMT28">_xlfn.XLOOKUP(EMT$11,Assumptions!$B$35:$H$35,_xlfn.XLOOKUP($C28,Assumptions!$B$36:$B$41,Assumptions!$B$36:$H$41))</f>
        <v>0</v>
      </c>
      <c r="EMU28">
        <f t="array" ref="EMU28">_xlfn.XLOOKUP(EMU$11,Assumptions!$B$35:$H$35,_xlfn.XLOOKUP($C28,Assumptions!$B$36:$B$41,Assumptions!$B$36:$H$41))</f>
        <v>0</v>
      </c>
      <c r="EMV28">
        <f t="array" ref="EMV28">_xlfn.XLOOKUP(EMV$11,Assumptions!$B$35:$H$35,_xlfn.XLOOKUP($C28,Assumptions!$B$36:$B$41,Assumptions!$B$36:$H$41))</f>
        <v>0</v>
      </c>
      <c r="EMW28">
        <f t="array" ref="EMW28">_xlfn.XLOOKUP(EMW$11,Assumptions!$B$35:$H$35,_xlfn.XLOOKUP($C28,Assumptions!$B$36:$B$41,Assumptions!$B$36:$H$41))</f>
        <v>0</v>
      </c>
      <c r="EMX28">
        <f t="array" ref="EMX28">_xlfn.XLOOKUP(EMX$11,Assumptions!$B$35:$H$35,_xlfn.XLOOKUP($C28,Assumptions!$B$36:$B$41,Assumptions!$B$36:$H$41))</f>
        <v>0</v>
      </c>
      <c r="EMY28">
        <f t="array" ref="EMY28">_xlfn.XLOOKUP(EMY$11,Assumptions!$B$35:$H$35,_xlfn.XLOOKUP($C28,Assumptions!$B$36:$B$41,Assumptions!$B$36:$H$41))</f>
        <v>0</v>
      </c>
      <c r="EMZ28">
        <f t="array" ref="EMZ28">_xlfn.XLOOKUP(EMZ$11,Assumptions!$B$35:$H$35,_xlfn.XLOOKUP($C28,Assumptions!$B$36:$B$41,Assumptions!$B$36:$H$41))</f>
        <v>0</v>
      </c>
      <c r="ENA28">
        <f t="array" ref="ENA28">_xlfn.XLOOKUP(ENA$11,Assumptions!$B$35:$H$35,_xlfn.XLOOKUP($C28,Assumptions!$B$36:$B$41,Assumptions!$B$36:$H$41))</f>
        <v>0</v>
      </c>
      <c r="ENB28">
        <f t="array" ref="ENB28">_xlfn.XLOOKUP(ENB$11,Assumptions!$B$35:$H$35,_xlfn.XLOOKUP($C28,Assumptions!$B$36:$B$41,Assumptions!$B$36:$H$41))</f>
        <v>0</v>
      </c>
      <c r="ENC28">
        <f t="array" ref="ENC28">_xlfn.XLOOKUP(ENC$11,Assumptions!$B$35:$H$35,_xlfn.XLOOKUP($C28,Assumptions!$B$36:$B$41,Assumptions!$B$36:$H$41))</f>
        <v>0</v>
      </c>
      <c r="END28">
        <f t="array" ref="END28">_xlfn.XLOOKUP(END$11,Assumptions!$B$35:$H$35,_xlfn.XLOOKUP($C28,Assumptions!$B$36:$B$41,Assumptions!$B$36:$H$41))</f>
        <v>0</v>
      </c>
      <c r="ENE28">
        <f t="array" ref="ENE28">_xlfn.XLOOKUP(ENE$11,Assumptions!$B$35:$H$35,_xlfn.XLOOKUP($C28,Assumptions!$B$36:$B$41,Assumptions!$B$36:$H$41))</f>
        <v>0</v>
      </c>
      <c r="ENF28">
        <f t="array" ref="ENF28">_xlfn.XLOOKUP(ENF$11,Assumptions!$B$35:$H$35,_xlfn.XLOOKUP($C28,Assumptions!$B$36:$B$41,Assumptions!$B$36:$H$41))</f>
        <v>0</v>
      </c>
      <c r="ENG28">
        <f t="array" ref="ENG28">_xlfn.XLOOKUP(ENG$11,Assumptions!$B$35:$H$35,_xlfn.XLOOKUP($C28,Assumptions!$B$36:$B$41,Assumptions!$B$36:$H$41))</f>
        <v>0</v>
      </c>
      <c r="ENH28">
        <f t="array" ref="ENH28">_xlfn.XLOOKUP(ENH$11,Assumptions!$B$35:$H$35,_xlfn.XLOOKUP($C28,Assumptions!$B$36:$B$41,Assumptions!$B$36:$H$41))</f>
        <v>0</v>
      </c>
      <c r="ENI28">
        <f t="array" ref="ENI28">_xlfn.XLOOKUP(ENI$11,Assumptions!$B$35:$H$35,_xlfn.XLOOKUP($C28,Assumptions!$B$36:$B$41,Assumptions!$B$36:$H$41))</f>
        <v>0</v>
      </c>
      <c r="ENJ28">
        <f t="array" ref="ENJ28">_xlfn.XLOOKUP(ENJ$11,Assumptions!$B$35:$H$35,_xlfn.XLOOKUP($C28,Assumptions!$B$36:$B$41,Assumptions!$B$36:$H$41))</f>
        <v>0</v>
      </c>
      <c r="ENK28">
        <f t="array" ref="ENK28">_xlfn.XLOOKUP(ENK$11,Assumptions!$B$35:$H$35,_xlfn.XLOOKUP($C28,Assumptions!$B$36:$B$41,Assumptions!$B$36:$H$41))</f>
        <v>0</v>
      </c>
      <c r="ENL28">
        <f t="array" ref="ENL28">_xlfn.XLOOKUP(ENL$11,Assumptions!$B$35:$H$35,_xlfn.XLOOKUP($C28,Assumptions!$B$36:$B$41,Assumptions!$B$36:$H$41))</f>
        <v>0</v>
      </c>
      <c r="ENM28">
        <f t="array" ref="ENM28">_xlfn.XLOOKUP(ENM$11,Assumptions!$B$35:$H$35,_xlfn.XLOOKUP($C28,Assumptions!$B$36:$B$41,Assumptions!$B$36:$H$41))</f>
        <v>0</v>
      </c>
      <c r="ENN28">
        <f t="array" ref="ENN28">_xlfn.XLOOKUP(ENN$11,Assumptions!$B$35:$H$35,_xlfn.XLOOKUP($C28,Assumptions!$B$36:$B$41,Assumptions!$B$36:$H$41))</f>
        <v>0</v>
      </c>
      <c r="ENO28">
        <f t="array" ref="ENO28">_xlfn.XLOOKUP(ENO$11,Assumptions!$B$35:$H$35,_xlfn.XLOOKUP($C28,Assumptions!$B$36:$B$41,Assumptions!$B$36:$H$41))</f>
        <v>0</v>
      </c>
      <c r="ENP28">
        <f t="array" ref="ENP28">_xlfn.XLOOKUP(ENP$11,Assumptions!$B$35:$H$35,_xlfn.XLOOKUP($C28,Assumptions!$B$36:$B$41,Assumptions!$B$36:$H$41))</f>
        <v>0</v>
      </c>
      <c r="ENQ28">
        <f t="array" ref="ENQ28">_xlfn.XLOOKUP(ENQ$11,Assumptions!$B$35:$H$35,_xlfn.XLOOKUP($C28,Assumptions!$B$36:$B$41,Assumptions!$B$36:$H$41))</f>
        <v>0</v>
      </c>
      <c r="ENR28">
        <f t="array" ref="ENR28">_xlfn.XLOOKUP(ENR$11,Assumptions!$B$35:$H$35,_xlfn.XLOOKUP($C28,Assumptions!$B$36:$B$41,Assumptions!$B$36:$H$41))</f>
        <v>0</v>
      </c>
      <c r="ENS28">
        <f t="array" ref="ENS28">_xlfn.XLOOKUP(ENS$11,Assumptions!$B$35:$H$35,_xlfn.XLOOKUP($C28,Assumptions!$B$36:$B$41,Assumptions!$B$36:$H$41))</f>
        <v>0</v>
      </c>
      <c r="ENT28">
        <f t="array" ref="ENT28">_xlfn.XLOOKUP(ENT$11,Assumptions!$B$35:$H$35,_xlfn.XLOOKUP($C28,Assumptions!$B$36:$B$41,Assumptions!$B$36:$H$41))</f>
        <v>0</v>
      </c>
      <c r="ENU28">
        <f t="array" ref="ENU28">_xlfn.XLOOKUP(ENU$11,Assumptions!$B$35:$H$35,_xlfn.XLOOKUP($C28,Assumptions!$B$36:$B$41,Assumptions!$B$36:$H$41))</f>
        <v>0</v>
      </c>
      <c r="ENV28">
        <f t="array" ref="ENV28">_xlfn.XLOOKUP(ENV$11,Assumptions!$B$35:$H$35,_xlfn.XLOOKUP($C28,Assumptions!$B$36:$B$41,Assumptions!$B$36:$H$41))</f>
        <v>0</v>
      </c>
      <c r="ENW28">
        <f t="array" ref="ENW28">_xlfn.XLOOKUP(ENW$11,Assumptions!$B$35:$H$35,_xlfn.XLOOKUP($C28,Assumptions!$B$36:$B$41,Assumptions!$B$36:$H$41))</f>
        <v>0</v>
      </c>
      <c r="ENX28">
        <f t="array" ref="ENX28">_xlfn.XLOOKUP(ENX$11,Assumptions!$B$35:$H$35,_xlfn.XLOOKUP($C28,Assumptions!$B$36:$B$41,Assumptions!$B$36:$H$41))</f>
        <v>0</v>
      </c>
      <c r="ENY28">
        <f t="array" ref="ENY28">_xlfn.XLOOKUP(ENY$11,Assumptions!$B$35:$H$35,_xlfn.XLOOKUP($C28,Assumptions!$B$36:$B$41,Assumptions!$B$36:$H$41))</f>
        <v>0</v>
      </c>
      <c r="ENZ28">
        <f t="array" ref="ENZ28">_xlfn.XLOOKUP(ENZ$11,Assumptions!$B$35:$H$35,_xlfn.XLOOKUP($C28,Assumptions!$B$36:$B$41,Assumptions!$B$36:$H$41))</f>
        <v>0</v>
      </c>
      <c r="EOA28">
        <f t="array" ref="EOA28">_xlfn.XLOOKUP(EOA$11,Assumptions!$B$35:$H$35,_xlfn.XLOOKUP($C28,Assumptions!$B$36:$B$41,Assumptions!$B$36:$H$41))</f>
        <v>0</v>
      </c>
      <c r="EOB28">
        <f t="array" ref="EOB28">_xlfn.XLOOKUP(EOB$11,Assumptions!$B$35:$H$35,_xlfn.XLOOKUP($C28,Assumptions!$B$36:$B$41,Assumptions!$B$36:$H$41))</f>
        <v>0</v>
      </c>
      <c r="EOC28">
        <f t="array" ref="EOC28">_xlfn.XLOOKUP(EOC$11,Assumptions!$B$35:$H$35,_xlfn.XLOOKUP($C28,Assumptions!$B$36:$B$41,Assumptions!$B$36:$H$41))</f>
        <v>0</v>
      </c>
      <c r="EOD28">
        <f t="array" ref="EOD28">_xlfn.XLOOKUP(EOD$11,Assumptions!$B$35:$H$35,_xlfn.XLOOKUP($C28,Assumptions!$B$36:$B$41,Assumptions!$B$36:$H$41))</f>
        <v>0</v>
      </c>
      <c r="EOE28">
        <f t="array" ref="EOE28">_xlfn.XLOOKUP(EOE$11,Assumptions!$B$35:$H$35,_xlfn.XLOOKUP($C28,Assumptions!$B$36:$B$41,Assumptions!$B$36:$H$41))</f>
        <v>0</v>
      </c>
      <c r="EOF28">
        <f t="array" ref="EOF28">_xlfn.XLOOKUP(EOF$11,Assumptions!$B$35:$H$35,_xlfn.XLOOKUP($C28,Assumptions!$B$36:$B$41,Assumptions!$B$36:$H$41))</f>
        <v>0</v>
      </c>
      <c r="EOG28">
        <f t="array" ref="EOG28">_xlfn.XLOOKUP(EOG$11,Assumptions!$B$35:$H$35,_xlfn.XLOOKUP($C28,Assumptions!$B$36:$B$41,Assumptions!$B$36:$H$41))</f>
        <v>0</v>
      </c>
      <c r="EOH28">
        <f t="array" ref="EOH28">_xlfn.XLOOKUP(EOH$11,Assumptions!$B$35:$H$35,_xlfn.XLOOKUP($C28,Assumptions!$B$36:$B$41,Assumptions!$B$36:$H$41))</f>
        <v>0</v>
      </c>
      <c r="EOI28">
        <f t="array" ref="EOI28">_xlfn.XLOOKUP(EOI$11,Assumptions!$B$35:$H$35,_xlfn.XLOOKUP($C28,Assumptions!$B$36:$B$41,Assumptions!$B$36:$H$41))</f>
        <v>0</v>
      </c>
      <c r="EOJ28">
        <f t="array" ref="EOJ28">_xlfn.XLOOKUP(EOJ$11,Assumptions!$B$35:$H$35,_xlfn.XLOOKUP($C28,Assumptions!$B$36:$B$41,Assumptions!$B$36:$H$41))</f>
        <v>0</v>
      </c>
      <c r="EOK28">
        <f t="array" ref="EOK28">_xlfn.XLOOKUP(EOK$11,Assumptions!$B$35:$H$35,_xlfn.XLOOKUP($C28,Assumptions!$B$36:$B$41,Assumptions!$B$36:$H$41))</f>
        <v>0</v>
      </c>
      <c r="EOL28">
        <f t="array" ref="EOL28">_xlfn.XLOOKUP(EOL$11,Assumptions!$B$35:$H$35,_xlfn.XLOOKUP($C28,Assumptions!$B$36:$B$41,Assumptions!$B$36:$H$41))</f>
        <v>0</v>
      </c>
      <c r="EOM28">
        <f t="array" ref="EOM28">_xlfn.XLOOKUP(EOM$11,Assumptions!$B$35:$H$35,_xlfn.XLOOKUP($C28,Assumptions!$B$36:$B$41,Assumptions!$B$36:$H$41))</f>
        <v>0</v>
      </c>
      <c r="EON28">
        <f t="array" ref="EON28">_xlfn.XLOOKUP(EON$11,Assumptions!$B$35:$H$35,_xlfn.XLOOKUP($C28,Assumptions!$B$36:$B$41,Assumptions!$B$36:$H$41))</f>
        <v>0</v>
      </c>
      <c r="EOO28">
        <f t="array" ref="EOO28">_xlfn.XLOOKUP(EOO$11,Assumptions!$B$35:$H$35,_xlfn.XLOOKUP($C28,Assumptions!$B$36:$B$41,Assumptions!$B$36:$H$41))</f>
        <v>0</v>
      </c>
      <c r="EOP28">
        <f t="array" ref="EOP28">_xlfn.XLOOKUP(EOP$11,Assumptions!$B$35:$H$35,_xlfn.XLOOKUP($C28,Assumptions!$B$36:$B$41,Assumptions!$B$36:$H$41))</f>
        <v>0</v>
      </c>
      <c r="EOQ28">
        <f t="array" ref="EOQ28">_xlfn.XLOOKUP(EOQ$11,Assumptions!$B$35:$H$35,_xlfn.XLOOKUP($C28,Assumptions!$B$36:$B$41,Assumptions!$B$36:$H$41))</f>
        <v>0</v>
      </c>
      <c r="EOR28">
        <f t="array" ref="EOR28">_xlfn.XLOOKUP(EOR$11,Assumptions!$B$35:$H$35,_xlfn.XLOOKUP($C28,Assumptions!$B$36:$B$41,Assumptions!$B$36:$H$41))</f>
        <v>0</v>
      </c>
      <c r="EOS28">
        <f t="array" ref="EOS28">_xlfn.XLOOKUP(EOS$11,Assumptions!$B$35:$H$35,_xlfn.XLOOKUP($C28,Assumptions!$B$36:$B$41,Assumptions!$B$36:$H$41))</f>
        <v>0</v>
      </c>
      <c r="EOT28">
        <f t="array" ref="EOT28">_xlfn.XLOOKUP(EOT$11,Assumptions!$B$35:$H$35,_xlfn.XLOOKUP($C28,Assumptions!$B$36:$B$41,Assumptions!$B$36:$H$41))</f>
        <v>0</v>
      </c>
      <c r="EOU28">
        <f t="array" ref="EOU28">_xlfn.XLOOKUP(EOU$11,Assumptions!$B$35:$H$35,_xlfn.XLOOKUP($C28,Assumptions!$B$36:$B$41,Assumptions!$B$36:$H$41))</f>
        <v>0</v>
      </c>
      <c r="EOV28">
        <f t="array" ref="EOV28">_xlfn.XLOOKUP(EOV$11,Assumptions!$B$35:$H$35,_xlfn.XLOOKUP($C28,Assumptions!$B$36:$B$41,Assumptions!$B$36:$H$41))</f>
        <v>0</v>
      </c>
      <c r="EOW28">
        <f t="array" ref="EOW28">_xlfn.XLOOKUP(EOW$11,Assumptions!$B$35:$H$35,_xlfn.XLOOKUP($C28,Assumptions!$B$36:$B$41,Assumptions!$B$36:$H$41))</f>
        <v>0</v>
      </c>
      <c r="EOX28">
        <f t="array" ref="EOX28">_xlfn.XLOOKUP(EOX$11,Assumptions!$B$35:$H$35,_xlfn.XLOOKUP($C28,Assumptions!$B$36:$B$41,Assumptions!$B$36:$H$41))</f>
        <v>0</v>
      </c>
      <c r="EOY28">
        <f t="array" ref="EOY28">_xlfn.XLOOKUP(EOY$11,Assumptions!$B$35:$H$35,_xlfn.XLOOKUP($C28,Assumptions!$B$36:$B$41,Assumptions!$B$36:$H$41))</f>
        <v>0</v>
      </c>
      <c r="EOZ28">
        <f t="array" ref="EOZ28">_xlfn.XLOOKUP(EOZ$11,Assumptions!$B$35:$H$35,_xlfn.XLOOKUP($C28,Assumptions!$B$36:$B$41,Assumptions!$B$36:$H$41))</f>
        <v>0</v>
      </c>
      <c r="EPA28">
        <f t="array" ref="EPA28">_xlfn.XLOOKUP(EPA$11,Assumptions!$B$35:$H$35,_xlfn.XLOOKUP($C28,Assumptions!$B$36:$B$41,Assumptions!$B$36:$H$41))</f>
        <v>0</v>
      </c>
      <c r="EPB28">
        <f t="array" ref="EPB28">_xlfn.XLOOKUP(EPB$11,Assumptions!$B$35:$H$35,_xlfn.XLOOKUP($C28,Assumptions!$B$36:$B$41,Assumptions!$B$36:$H$41))</f>
        <v>0</v>
      </c>
      <c r="EPC28">
        <f t="array" ref="EPC28">_xlfn.XLOOKUP(EPC$11,Assumptions!$B$35:$H$35,_xlfn.XLOOKUP($C28,Assumptions!$B$36:$B$41,Assumptions!$B$36:$H$41))</f>
        <v>0</v>
      </c>
      <c r="EPD28">
        <f t="array" ref="EPD28">_xlfn.XLOOKUP(EPD$11,Assumptions!$B$35:$H$35,_xlfn.XLOOKUP($C28,Assumptions!$B$36:$B$41,Assumptions!$B$36:$H$41))</f>
        <v>0</v>
      </c>
      <c r="EPE28">
        <f t="array" ref="EPE28">_xlfn.XLOOKUP(EPE$11,Assumptions!$B$35:$H$35,_xlfn.XLOOKUP($C28,Assumptions!$B$36:$B$41,Assumptions!$B$36:$H$41))</f>
        <v>0</v>
      </c>
      <c r="EPF28">
        <f t="array" ref="EPF28">_xlfn.XLOOKUP(EPF$11,Assumptions!$B$35:$H$35,_xlfn.XLOOKUP($C28,Assumptions!$B$36:$B$41,Assumptions!$B$36:$H$41))</f>
        <v>0</v>
      </c>
      <c r="EPG28">
        <f t="array" ref="EPG28">_xlfn.XLOOKUP(EPG$11,Assumptions!$B$35:$H$35,_xlfn.XLOOKUP($C28,Assumptions!$B$36:$B$41,Assumptions!$B$36:$H$41))</f>
        <v>0</v>
      </c>
      <c r="EPH28">
        <f t="array" ref="EPH28">_xlfn.XLOOKUP(EPH$11,Assumptions!$B$35:$H$35,_xlfn.XLOOKUP($C28,Assumptions!$B$36:$B$41,Assumptions!$B$36:$H$41))</f>
        <v>0</v>
      </c>
      <c r="EPI28">
        <f t="array" ref="EPI28">_xlfn.XLOOKUP(EPI$11,Assumptions!$B$35:$H$35,_xlfn.XLOOKUP($C28,Assumptions!$B$36:$B$41,Assumptions!$B$36:$H$41))</f>
        <v>0</v>
      </c>
      <c r="EPJ28">
        <f t="array" ref="EPJ28">_xlfn.XLOOKUP(EPJ$11,Assumptions!$B$35:$H$35,_xlfn.XLOOKUP($C28,Assumptions!$B$36:$B$41,Assumptions!$B$36:$H$41))</f>
        <v>0</v>
      </c>
      <c r="EPK28">
        <f t="array" ref="EPK28">_xlfn.XLOOKUP(EPK$11,Assumptions!$B$35:$H$35,_xlfn.XLOOKUP($C28,Assumptions!$B$36:$B$41,Assumptions!$B$36:$H$41))</f>
        <v>0</v>
      </c>
      <c r="EPL28">
        <f t="array" ref="EPL28">_xlfn.XLOOKUP(EPL$11,Assumptions!$B$35:$H$35,_xlfn.XLOOKUP($C28,Assumptions!$B$36:$B$41,Assumptions!$B$36:$H$41))</f>
        <v>0</v>
      </c>
      <c r="EPM28">
        <f t="array" ref="EPM28">_xlfn.XLOOKUP(EPM$11,Assumptions!$B$35:$H$35,_xlfn.XLOOKUP($C28,Assumptions!$B$36:$B$41,Assumptions!$B$36:$H$41))</f>
        <v>0</v>
      </c>
      <c r="EPN28">
        <f t="array" ref="EPN28">_xlfn.XLOOKUP(EPN$11,Assumptions!$B$35:$H$35,_xlfn.XLOOKUP($C28,Assumptions!$B$36:$B$41,Assumptions!$B$36:$H$41))</f>
        <v>0</v>
      </c>
      <c r="EPO28">
        <f t="array" ref="EPO28">_xlfn.XLOOKUP(EPO$11,Assumptions!$B$35:$H$35,_xlfn.XLOOKUP($C28,Assumptions!$B$36:$B$41,Assumptions!$B$36:$H$41))</f>
        <v>0</v>
      </c>
      <c r="EPP28">
        <f t="array" ref="EPP28">_xlfn.XLOOKUP(EPP$11,Assumptions!$B$35:$H$35,_xlfn.XLOOKUP($C28,Assumptions!$B$36:$B$41,Assumptions!$B$36:$H$41))</f>
        <v>0</v>
      </c>
      <c r="EPQ28">
        <f t="array" ref="EPQ28">_xlfn.XLOOKUP(EPQ$11,Assumptions!$B$35:$H$35,_xlfn.XLOOKUP($C28,Assumptions!$B$36:$B$41,Assumptions!$B$36:$H$41))</f>
        <v>0</v>
      </c>
      <c r="EPR28">
        <f t="array" ref="EPR28">_xlfn.XLOOKUP(EPR$11,Assumptions!$B$35:$H$35,_xlfn.XLOOKUP($C28,Assumptions!$B$36:$B$41,Assumptions!$B$36:$H$41))</f>
        <v>0</v>
      </c>
      <c r="EPS28">
        <f t="array" ref="EPS28">_xlfn.XLOOKUP(EPS$11,Assumptions!$B$35:$H$35,_xlfn.XLOOKUP($C28,Assumptions!$B$36:$B$41,Assumptions!$B$36:$H$41))</f>
        <v>0</v>
      </c>
      <c r="EPT28">
        <f t="array" ref="EPT28">_xlfn.XLOOKUP(EPT$11,Assumptions!$B$35:$H$35,_xlfn.XLOOKUP($C28,Assumptions!$B$36:$B$41,Assumptions!$B$36:$H$41))</f>
        <v>0</v>
      </c>
      <c r="EPU28">
        <f t="array" ref="EPU28">_xlfn.XLOOKUP(EPU$11,Assumptions!$B$35:$H$35,_xlfn.XLOOKUP($C28,Assumptions!$B$36:$B$41,Assumptions!$B$36:$H$41))</f>
        <v>0</v>
      </c>
      <c r="EPV28">
        <f t="array" ref="EPV28">_xlfn.XLOOKUP(EPV$11,Assumptions!$B$35:$H$35,_xlfn.XLOOKUP($C28,Assumptions!$B$36:$B$41,Assumptions!$B$36:$H$41))</f>
        <v>0</v>
      </c>
      <c r="EPW28">
        <f t="array" ref="EPW28">_xlfn.XLOOKUP(EPW$11,Assumptions!$B$35:$H$35,_xlfn.XLOOKUP($C28,Assumptions!$B$36:$B$41,Assumptions!$B$36:$H$41))</f>
        <v>0</v>
      </c>
      <c r="EPX28">
        <f t="array" ref="EPX28">_xlfn.XLOOKUP(EPX$11,Assumptions!$B$35:$H$35,_xlfn.XLOOKUP($C28,Assumptions!$B$36:$B$41,Assumptions!$B$36:$H$41))</f>
        <v>0</v>
      </c>
      <c r="EPY28">
        <f t="array" ref="EPY28">_xlfn.XLOOKUP(EPY$11,Assumptions!$B$35:$H$35,_xlfn.XLOOKUP($C28,Assumptions!$B$36:$B$41,Assumptions!$B$36:$H$41))</f>
        <v>0</v>
      </c>
      <c r="EPZ28">
        <f t="array" ref="EPZ28">_xlfn.XLOOKUP(EPZ$11,Assumptions!$B$35:$H$35,_xlfn.XLOOKUP($C28,Assumptions!$B$36:$B$41,Assumptions!$B$36:$H$41))</f>
        <v>0</v>
      </c>
      <c r="EQA28">
        <f t="array" ref="EQA28">_xlfn.XLOOKUP(EQA$11,Assumptions!$B$35:$H$35,_xlfn.XLOOKUP($C28,Assumptions!$B$36:$B$41,Assumptions!$B$36:$H$41))</f>
        <v>0</v>
      </c>
      <c r="EQB28">
        <f t="array" ref="EQB28">_xlfn.XLOOKUP(EQB$11,Assumptions!$B$35:$H$35,_xlfn.XLOOKUP($C28,Assumptions!$B$36:$B$41,Assumptions!$B$36:$H$41))</f>
        <v>0</v>
      </c>
      <c r="EQC28">
        <f t="array" ref="EQC28">_xlfn.XLOOKUP(EQC$11,Assumptions!$B$35:$H$35,_xlfn.XLOOKUP($C28,Assumptions!$B$36:$B$41,Assumptions!$B$36:$H$41))</f>
        <v>0</v>
      </c>
      <c r="EQD28">
        <f t="array" ref="EQD28">_xlfn.XLOOKUP(EQD$11,Assumptions!$B$35:$H$35,_xlfn.XLOOKUP($C28,Assumptions!$B$36:$B$41,Assumptions!$B$36:$H$41))</f>
        <v>0</v>
      </c>
      <c r="EQE28">
        <f t="array" ref="EQE28">_xlfn.XLOOKUP(EQE$11,Assumptions!$B$35:$H$35,_xlfn.XLOOKUP($C28,Assumptions!$B$36:$B$41,Assumptions!$B$36:$H$41))</f>
        <v>0</v>
      </c>
      <c r="EQF28">
        <f t="array" ref="EQF28">_xlfn.XLOOKUP(EQF$11,Assumptions!$B$35:$H$35,_xlfn.XLOOKUP($C28,Assumptions!$B$36:$B$41,Assumptions!$B$36:$H$41))</f>
        <v>0</v>
      </c>
      <c r="EQG28">
        <f t="array" ref="EQG28">_xlfn.XLOOKUP(EQG$11,Assumptions!$B$35:$H$35,_xlfn.XLOOKUP($C28,Assumptions!$B$36:$B$41,Assumptions!$B$36:$H$41))</f>
        <v>0</v>
      </c>
      <c r="EQH28">
        <f t="array" ref="EQH28">_xlfn.XLOOKUP(EQH$11,Assumptions!$B$35:$H$35,_xlfn.XLOOKUP($C28,Assumptions!$B$36:$B$41,Assumptions!$B$36:$H$41))</f>
        <v>0</v>
      </c>
      <c r="EQI28">
        <f t="array" ref="EQI28">_xlfn.XLOOKUP(EQI$11,Assumptions!$B$35:$H$35,_xlfn.XLOOKUP($C28,Assumptions!$B$36:$B$41,Assumptions!$B$36:$H$41))</f>
        <v>0</v>
      </c>
      <c r="EQJ28">
        <f t="array" ref="EQJ28">_xlfn.XLOOKUP(EQJ$11,Assumptions!$B$35:$H$35,_xlfn.XLOOKUP($C28,Assumptions!$B$36:$B$41,Assumptions!$B$36:$H$41))</f>
        <v>0</v>
      </c>
      <c r="EQK28">
        <f t="array" ref="EQK28">_xlfn.XLOOKUP(EQK$11,Assumptions!$B$35:$H$35,_xlfn.XLOOKUP($C28,Assumptions!$B$36:$B$41,Assumptions!$B$36:$H$41))</f>
        <v>0</v>
      </c>
      <c r="EQL28">
        <f t="array" ref="EQL28">_xlfn.XLOOKUP(EQL$11,Assumptions!$B$35:$H$35,_xlfn.XLOOKUP($C28,Assumptions!$B$36:$B$41,Assumptions!$B$36:$H$41))</f>
        <v>0</v>
      </c>
      <c r="EQM28">
        <f t="array" ref="EQM28">_xlfn.XLOOKUP(EQM$11,Assumptions!$B$35:$H$35,_xlfn.XLOOKUP($C28,Assumptions!$B$36:$B$41,Assumptions!$B$36:$H$41))</f>
        <v>0</v>
      </c>
      <c r="EQN28">
        <f t="array" ref="EQN28">_xlfn.XLOOKUP(EQN$11,Assumptions!$B$35:$H$35,_xlfn.XLOOKUP($C28,Assumptions!$B$36:$B$41,Assumptions!$B$36:$H$41))</f>
        <v>0</v>
      </c>
      <c r="EQO28">
        <f t="array" ref="EQO28">_xlfn.XLOOKUP(EQO$11,Assumptions!$B$35:$H$35,_xlfn.XLOOKUP($C28,Assumptions!$B$36:$B$41,Assumptions!$B$36:$H$41))</f>
        <v>0</v>
      </c>
      <c r="EQP28">
        <f t="array" ref="EQP28">_xlfn.XLOOKUP(EQP$11,Assumptions!$B$35:$H$35,_xlfn.XLOOKUP($C28,Assumptions!$B$36:$B$41,Assumptions!$B$36:$H$41))</f>
        <v>0</v>
      </c>
      <c r="EQQ28">
        <f t="array" ref="EQQ28">_xlfn.XLOOKUP(EQQ$11,Assumptions!$B$35:$H$35,_xlfn.XLOOKUP($C28,Assumptions!$B$36:$B$41,Assumptions!$B$36:$H$41))</f>
        <v>0</v>
      </c>
      <c r="EQR28">
        <f t="array" ref="EQR28">_xlfn.XLOOKUP(EQR$11,Assumptions!$B$35:$H$35,_xlfn.XLOOKUP($C28,Assumptions!$B$36:$B$41,Assumptions!$B$36:$H$41))</f>
        <v>0</v>
      </c>
      <c r="EQS28">
        <f t="array" ref="EQS28">_xlfn.XLOOKUP(EQS$11,Assumptions!$B$35:$H$35,_xlfn.XLOOKUP($C28,Assumptions!$B$36:$B$41,Assumptions!$B$36:$H$41))</f>
        <v>0</v>
      </c>
      <c r="EQT28">
        <f t="array" ref="EQT28">_xlfn.XLOOKUP(EQT$11,Assumptions!$B$35:$H$35,_xlfn.XLOOKUP($C28,Assumptions!$B$36:$B$41,Assumptions!$B$36:$H$41))</f>
        <v>0</v>
      </c>
      <c r="EQU28">
        <f t="array" ref="EQU28">_xlfn.XLOOKUP(EQU$11,Assumptions!$B$35:$H$35,_xlfn.XLOOKUP($C28,Assumptions!$B$36:$B$41,Assumptions!$B$36:$H$41))</f>
        <v>0</v>
      </c>
      <c r="EQV28">
        <f t="array" ref="EQV28">_xlfn.XLOOKUP(EQV$11,Assumptions!$B$35:$H$35,_xlfn.XLOOKUP($C28,Assumptions!$B$36:$B$41,Assumptions!$B$36:$H$41))</f>
        <v>0</v>
      </c>
      <c r="EQW28">
        <f t="array" ref="EQW28">_xlfn.XLOOKUP(EQW$11,Assumptions!$B$35:$H$35,_xlfn.XLOOKUP($C28,Assumptions!$B$36:$B$41,Assumptions!$B$36:$H$41))</f>
        <v>0</v>
      </c>
      <c r="EQX28">
        <f t="array" ref="EQX28">_xlfn.XLOOKUP(EQX$11,Assumptions!$B$35:$H$35,_xlfn.XLOOKUP($C28,Assumptions!$B$36:$B$41,Assumptions!$B$36:$H$41))</f>
        <v>0</v>
      </c>
      <c r="EQY28">
        <f t="array" ref="EQY28">_xlfn.XLOOKUP(EQY$11,Assumptions!$B$35:$H$35,_xlfn.XLOOKUP($C28,Assumptions!$B$36:$B$41,Assumptions!$B$36:$H$41))</f>
        <v>0</v>
      </c>
      <c r="EQZ28">
        <f t="array" ref="EQZ28">_xlfn.XLOOKUP(EQZ$11,Assumptions!$B$35:$H$35,_xlfn.XLOOKUP($C28,Assumptions!$B$36:$B$41,Assumptions!$B$36:$H$41))</f>
        <v>0</v>
      </c>
      <c r="ERA28">
        <f t="array" ref="ERA28">_xlfn.XLOOKUP(ERA$11,Assumptions!$B$35:$H$35,_xlfn.XLOOKUP($C28,Assumptions!$B$36:$B$41,Assumptions!$B$36:$H$41))</f>
        <v>0</v>
      </c>
      <c r="ERB28">
        <f t="array" ref="ERB28">_xlfn.XLOOKUP(ERB$11,Assumptions!$B$35:$H$35,_xlfn.XLOOKUP($C28,Assumptions!$B$36:$B$41,Assumptions!$B$36:$H$41))</f>
        <v>0</v>
      </c>
      <c r="ERC28">
        <f t="array" ref="ERC28">_xlfn.XLOOKUP(ERC$11,Assumptions!$B$35:$H$35,_xlfn.XLOOKUP($C28,Assumptions!$B$36:$B$41,Assumptions!$B$36:$H$41))</f>
        <v>0</v>
      </c>
      <c r="ERD28">
        <f t="array" ref="ERD28">_xlfn.XLOOKUP(ERD$11,Assumptions!$B$35:$H$35,_xlfn.XLOOKUP($C28,Assumptions!$B$36:$B$41,Assumptions!$B$36:$H$41))</f>
        <v>0</v>
      </c>
      <c r="ERE28">
        <f t="array" ref="ERE28">_xlfn.XLOOKUP(ERE$11,Assumptions!$B$35:$H$35,_xlfn.XLOOKUP($C28,Assumptions!$B$36:$B$41,Assumptions!$B$36:$H$41))</f>
        <v>0</v>
      </c>
      <c r="ERF28">
        <f t="array" ref="ERF28">_xlfn.XLOOKUP(ERF$11,Assumptions!$B$35:$H$35,_xlfn.XLOOKUP($C28,Assumptions!$B$36:$B$41,Assumptions!$B$36:$H$41))</f>
        <v>0</v>
      </c>
      <c r="ERG28">
        <f t="array" ref="ERG28">_xlfn.XLOOKUP(ERG$11,Assumptions!$B$35:$H$35,_xlfn.XLOOKUP($C28,Assumptions!$B$36:$B$41,Assumptions!$B$36:$H$41))</f>
        <v>0</v>
      </c>
      <c r="ERH28">
        <f t="array" ref="ERH28">_xlfn.XLOOKUP(ERH$11,Assumptions!$B$35:$H$35,_xlfn.XLOOKUP($C28,Assumptions!$B$36:$B$41,Assumptions!$B$36:$H$41))</f>
        <v>0</v>
      </c>
      <c r="ERI28">
        <f t="array" ref="ERI28">_xlfn.XLOOKUP(ERI$11,Assumptions!$B$35:$H$35,_xlfn.XLOOKUP($C28,Assumptions!$B$36:$B$41,Assumptions!$B$36:$H$41))</f>
        <v>0</v>
      </c>
      <c r="ERJ28">
        <f t="array" ref="ERJ28">_xlfn.XLOOKUP(ERJ$11,Assumptions!$B$35:$H$35,_xlfn.XLOOKUP($C28,Assumptions!$B$36:$B$41,Assumptions!$B$36:$H$41))</f>
        <v>0</v>
      </c>
      <c r="ERK28">
        <f t="array" ref="ERK28">_xlfn.XLOOKUP(ERK$11,Assumptions!$B$35:$H$35,_xlfn.XLOOKUP($C28,Assumptions!$B$36:$B$41,Assumptions!$B$36:$H$41))</f>
        <v>0</v>
      </c>
      <c r="ERL28">
        <f t="array" ref="ERL28">_xlfn.XLOOKUP(ERL$11,Assumptions!$B$35:$H$35,_xlfn.XLOOKUP($C28,Assumptions!$B$36:$B$41,Assumptions!$B$36:$H$41))</f>
        <v>0</v>
      </c>
      <c r="ERM28">
        <f t="array" ref="ERM28">_xlfn.XLOOKUP(ERM$11,Assumptions!$B$35:$H$35,_xlfn.XLOOKUP($C28,Assumptions!$B$36:$B$41,Assumptions!$B$36:$H$41))</f>
        <v>0</v>
      </c>
      <c r="ERN28">
        <f t="array" ref="ERN28">_xlfn.XLOOKUP(ERN$11,Assumptions!$B$35:$H$35,_xlfn.XLOOKUP($C28,Assumptions!$B$36:$B$41,Assumptions!$B$36:$H$41))</f>
        <v>0</v>
      </c>
      <c r="ERO28">
        <f t="array" ref="ERO28">_xlfn.XLOOKUP(ERO$11,Assumptions!$B$35:$H$35,_xlfn.XLOOKUP($C28,Assumptions!$B$36:$B$41,Assumptions!$B$36:$H$41))</f>
        <v>0</v>
      </c>
      <c r="ERP28">
        <f t="array" ref="ERP28">_xlfn.XLOOKUP(ERP$11,Assumptions!$B$35:$H$35,_xlfn.XLOOKUP($C28,Assumptions!$B$36:$B$41,Assumptions!$B$36:$H$41))</f>
        <v>0</v>
      </c>
      <c r="ERQ28">
        <f t="array" ref="ERQ28">_xlfn.XLOOKUP(ERQ$11,Assumptions!$B$35:$H$35,_xlfn.XLOOKUP($C28,Assumptions!$B$36:$B$41,Assumptions!$B$36:$H$41))</f>
        <v>0</v>
      </c>
      <c r="ERR28">
        <f t="array" ref="ERR28">_xlfn.XLOOKUP(ERR$11,Assumptions!$B$35:$H$35,_xlfn.XLOOKUP($C28,Assumptions!$B$36:$B$41,Assumptions!$B$36:$H$41))</f>
        <v>0</v>
      </c>
      <c r="ERS28">
        <f t="array" ref="ERS28">_xlfn.XLOOKUP(ERS$11,Assumptions!$B$35:$H$35,_xlfn.XLOOKUP($C28,Assumptions!$B$36:$B$41,Assumptions!$B$36:$H$41))</f>
        <v>0</v>
      </c>
      <c r="ERT28">
        <f t="array" ref="ERT28">_xlfn.XLOOKUP(ERT$11,Assumptions!$B$35:$H$35,_xlfn.XLOOKUP($C28,Assumptions!$B$36:$B$41,Assumptions!$B$36:$H$41))</f>
        <v>0</v>
      </c>
      <c r="ERU28">
        <f t="array" ref="ERU28">_xlfn.XLOOKUP(ERU$11,Assumptions!$B$35:$H$35,_xlfn.XLOOKUP($C28,Assumptions!$B$36:$B$41,Assumptions!$B$36:$H$41))</f>
        <v>0</v>
      </c>
      <c r="ERV28">
        <f t="array" ref="ERV28">_xlfn.XLOOKUP(ERV$11,Assumptions!$B$35:$H$35,_xlfn.XLOOKUP($C28,Assumptions!$B$36:$B$41,Assumptions!$B$36:$H$41))</f>
        <v>0</v>
      </c>
      <c r="ERW28">
        <f t="array" ref="ERW28">_xlfn.XLOOKUP(ERW$11,Assumptions!$B$35:$H$35,_xlfn.XLOOKUP($C28,Assumptions!$B$36:$B$41,Assumptions!$B$36:$H$41))</f>
        <v>0</v>
      </c>
      <c r="ERX28">
        <f t="array" ref="ERX28">_xlfn.XLOOKUP(ERX$11,Assumptions!$B$35:$H$35,_xlfn.XLOOKUP($C28,Assumptions!$B$36:$B$41,Assumptions!$B$36:$H$41))</f>
        <v>0</v>
      </c>
      <c r="ERY28">
        <f t="array" ref="ERY28">_xlfn.XLOOKUP(ERY$11,Assumptions!$B$35:$H$35,_xlfn.XLOOKUP($C28,Assumptions!$B$36:$B$41,Assumptions!$B$36:$H$41))</f>
        <v>0</v>
      </c>
      <c r="ERZ28">
        <f t="array" ref="ERZ28">_xlfn.XLOOKUP(ERZ$11,Assumptions!$B$35:$H$35,_xlfn.XLOOKUP($C28,Assumptions!$B$36:$B$41,Assumptions!$B$36:$H$41))</f>
        <v>0</v>
      </c>
      <c r="ESA28">
        <f t="array" ref="ESA28">_xlfn.XLOOKUP(ESA$11,Assumptions!$B$35:$H$35,_xlfn.XLOOKUP($C28,Assumptions!$B$36:$B$41,Assumptions!$B$36:$H$41))</f>
        <v>0</v>
      </c>
      <c r="ESB28">
        <f t="array" ref="ESB28">_xlfn.XLOOKUP(ESB$11,Assumptions!$B$35:$H$35,_xlfn.XLOOKUP($C28,Assumptions!$B$36:$B$41,Assumptions!$B$36:$H$41))</f>
        <v>0</v>
      </c>
      <c r="ESC28">
        <f t="array" ref="ESC28">_xlfn.XLOOKUP(ESC$11,Assumptions!$B$35:$H$35,_xlfn.XLOOKUP($C28,Assumptions!$B$36:$B$41,Assumptions!$B$36:$H$41))</f>
        <v>0</v>
      </c>
      <c r="ESD28">
        <f t="array" ref="ESD28">_xlfn.XLOOKUP(ESD$11,Assumptions!$B$35:$H$35,_xlfn.XLOOKUP($C28,Assumptions!$B$36:$B$41,Assumptions!$B$36:$H$41))</f>
        <v>0</v>
      </c>
      <c r="ESE28">
        <f t="array" ref="ESE28">_xlfn.XLOOKUP(ESE$11,Assumptions!$B$35:$H$35,_xlfn.XLOOKUP($C28,Assumptions!$B$36:$B$41,Assumptions!$B$36:$H$41))</f>
        <v>0</v>
      </c>
      <c r="ESF28">
        <f t="array" ref="ESF28">_xlfn.XLOOKUP(ESF$11,Assumptions!$B$35:$H$35,_xlfn.XLOOKUP($C28,Assumptions!$B$36:$B$41,Assumptions!$B$36:$H$41))</f>
        <v>0</v>
      </c>
      <c r="ESG28">
        <f t="array" ref="ESG28">_xlfn.XLOOKUP(ESG$11,Assumptions!$B$35:$H$35,_xlfn.XLOOKUP($C28,Assumptions!$B$36:$B$41,Assumptions!$B$36:$H$41))</f>
        <v>0</v>
      </c>
      <c r="ESH28">
        <f t="array" ref="ESH28">_xlfn.XLOOKUP(ESH$11,Assumptions!$B$35:$H$35,_xlfn.XLOOKUP($C28,Assumptions!$B$36:$B$41,Assumptions!$B$36:$H$41))</f>
        <v>0</v>
      </c>
      <c r="ESI28">
        <f t="array" ref="ESI28">_xlfn.XLOOKUP(ESI$11,Assumptions!$B$35:$H$35,_xlfn.XLOOKUP($C28,Assumptions!$B$36:$B$41,Assumptions!$B$36:$H$41))</f>
        <v>0</v>
      </c>
      <c r="ESJ28">
        <f t="array" ref="ESJ28">_xlfn.XLOOKUP(ESJ$11,Assumptions!$B$35:$H$35,_xlfn.XLOOKUP($C28,Assumptions!$B$36:$B$41,Assumptions!$B$36:$H$41))</f>
        <v>0</v>
      </c>
      <c r="ESK28">
        <f t="array" ref="ESK28">_xlfn.XLOOKUP(ESK$11,Assumptions!$B$35:$H$35,_xlfn.XLOOKUP($C28,Assumptions!$B$36:$B$41,Assumptions!$B$36:$H$41))</f>
        <v>0</v>
      </c>
      <c r="ESL28">
        <f t="array" ref="ESL28">_xlfn.XLOOKUP(ESL$11,Assumptions!$B$35:$H$35,_xlfn.XLOOKUP($C28,Assumptions!$B$36:$B$41,Assumptions!$B$36:$H$41))</f>
        <v>0</v>
      </c>
      <c r="ESM28">
        <f t="array" ref="ESM28">_xlfn.XLOOKUP(ESM$11,Assumptions!$B$35:$H$35,_xlfn.XLOOKUP($C28,Assumptions!$B$36:$B$41,Assumptions!$B$36:$H$41))</f>
        <v>0</v>
      </c>
      <c r="ESN28">
        <f t="array" ref="ESN28">_xlfn.XLOOKUP(ESN$11,Assumptions!$B$35:$H$35,_xlfn.XLOOKUP($C28,Assumptions!$B$36:$B$41,Assumptions!$B$36:$H$41))</f>
        <v>0</v>
      </c>
      <c r="ESO28">
        <f t="array" ref="ESO28">_xlfn.XLOOKUP(ESO$11,Assumptions!$B$35:$H$35,_xlfn.XLOOKUP($C28,Assumptions!$B$36:$B$41,Assumptions!$B$36:$H$41))</f>
        <v>0</v>
      </c>
      <c r="ESP28">
        <f t="array" ref="ESP28">_xlfn.XLOOKUP(ESP$11,Assumptions!$B$35:$H$35,_xlfn.XLOOKUP($C28,Assumptions!$B$36:$B$41,Assumptions!$B$36:$H$41))</f>
        <v>0</v>
      </c>
      <c r="ESQ28">
        <f t="array" ref="ESQ28">_xlfn.XLOOKUP(ESQ$11,Assumptions!$B$35:$H$35,_xlfn.XLOOKUP($C28,Assumptions!$B$36:$B$41,Assumptions!$B$36:$H$41))</f>
        <v>0</v>
      </c>
      <c r="ESR28">
        <f t="array" ref="ESR28">_xlfn.XLOOKUP(ESR$11,Assumptions!$B$35:$H$35,_xlfn.XLOOKUP($C28,Assumptions!$B$36:$B$41,Assumptions!$B$36:$H$41))</f>
        <v>0</v>
      </c>
      <c r="ESS28">
        <f t="array" ref="ESS28">_xlfn.XLOOKUP(ESS$11,Assumptions!$B$35:$H$35,_xlfn.XLOOKUP($C28,Assumptions!$B$36:$B$41,Assumptions!$B$36:$H$41))</f>
        <v>0</v>
      </c>
      <c r="EST28">
        <f t="array" ref="EST28">_xlfn.XLOOKUP(EST$11,Assumptions!$B$35:$H$35,_xlfn.XLOOKUP($C28,Assumptions!$B$36:$B$41,Assumptions!$B$36:$H$41))</f>
        <v>0</v>
      </c>
      <c r="ESU28">
        <f t="array" ref="ESU28">_xlfn.XLOOKUP(ESU$11,Assumptions!$B$35:$H$35,_xlfn.XLOOKUP($C28,Assumptions!$B$36:$B$41,Assumptions!$B$36:$H$41))</f>
        <v>0</v>
      </c>
      <c r="ESV28">
        <f t="array" ref="ESV28">_xlfn.XLOOKUP(ESV$11,Assumptions!$B$35:$H$35,_xlfn.XLOOKUP($C28,Assumptions!$B$36:$B$41,Assumptions!$B$36:$H$41))</f>
        <v>0</v>
      </c>
      <c r="ESW28">
        <f t="array" ref="ESW28">_xlfn.XLOOKUP(ESW$11,Assumptions!$B$35:$H$35,_xlfn.XLOOKUP($C28,Assumptions!$B$36:$B$41,Assumptions!$B$36:$H$41))</f>
        <v>0</v>
      </c>
      <c r="ESX28">
        <f t="array" ref="ESX28">_xlfn.XLOOKUP(ESX$11,Assumptions!$B$35:$H$35,_xlfn.XLOOKUP($C28,Assumptions!$B$36:$B$41,Assumptions!$B$36:$H$41))</f>
        <v>0</v>
      </c>
      <c r="ESY28">
        <f t="array" ref="ESY28">_xlfn.XLOOKUP(ESY$11,Assumptions!$B$35:$H$35,_xlfn.XLOOKUP($C28,Assumptions!$B$36:$B$41,Assumptions!$B$36:$H$41))</f>
        <v>0</v>
      </c>
      <c r="ESZ28">
        <f t="array" ref="ESZ28">_xlfn.XLOOKUP(ESZ$11,Assumptions!$B$35:$H$35,_xlfn.XLOOKUP($C28,Assumptions!$B$36:$B$41,Assumptions!$B$36:$H$41))</f>
        <v>0</v>
      </c>
      <c r="ETA28">
        <f t="array" ref="ETA28">_xlfn.XLOOKUP(ETA$11,Assumptions!$B$35:$H$35,_xlfn.XLOOKUP($C28,Assumptions!$B$36:$B$41,Assumptions!$B$36:$H$41))</f>
        <v>0</v>
      </c>
      <c r="ETB28">
        <f t="array" ref="ETB28">_xlfn.XLOOKUP(ETB$11,Assumptions!$B$35:$H$35,_xlfn.XLOOKUP($C28,Assumptions!$B$36:$B$41,Assumptions!$B$36:$H$41))</f>
        <v>0</v>
      </c>
      <c r="ETC28">
        <f t="array" ref="ETC28">_xlfn.XLOOKUP(ETC$11,Assumptions!$B$35:$H$35,_xlfn.XLOOKUP($C28,Assumptions!$B$36:$B$41,Assumptions!$B$36:$H$41))</f>
        <v>0</v>
      </c>
      <c r="ETD28">
        <f t="array" ref="ETD28">_xlfn.XLOOKUP(ETD$11,Assumptions!$B$35:$H$35,_xlfn.XLOOKUP($C28,Assumptions!$B$36:$B$41,Assumptions!$B$36:$H$41))</f>
        <v>0</v>
      </c>
      <c r="ETE28">
        <f t="array" ref="ETE28">_xlfn.XLOOKUP(ETE$11,Assumptions!$B$35:$H$35,_xlfn.XLOOKUP($C28,Assumptions!$B$36:$B$41,Assumptions!$B$36:$H$41))</f>
        <v>0</v>
      </c>
      <c r="ETF28">
        <f t="array" ref="ETF28">_xlfn.XLOOKUP(ETF$11,Assumptions!$B$35:$H$35,_xlfn.XLOOKUP($C28,Assumptions!$B$36:$B$41,Assumptions!$B$36:$H$41))</f>
        <v>0</v>
      </c>
      <c r="ETG28">
        <f t="array" ref="ETG28">_xlfn.XLOOKUP(ETG$11,Assumptions!$B$35:$H$35,_xlfn.XLOOKUP($C28,Assumptions!$B$36:$B$41,Assumptions!$B$36:$H$41))</f>
        <v>0</v>
      </c>
      <c r="ETH28">
        <f t="array" ref="ETH28">_xlfn.XLOOKUP(ETH$11,Assumptions!$B$35:$H$35,_xlfn.XLOOKUP($C28,Assumptions!$B$36:$B$41,Assumptions!$B$36:$H$41))</f>
        <v>0</v>
      </c>
      <c r="ETI28">
        <f t="array" ref="ETI28">_xlfn.XLOOKUP(ETI$11,Assumptions!$B$35:$H$35,_xlfn.XLOOKUP($C28,Assumptions!$B$36:$B$41,Assumptions!$B$36:$H$41))</f>
        <v>0</v>
      </c>
      <c r="ETJ28">
        <f t="array" ref="ETJ28">_xlfn.XLOOKUP(ETJ$11,Assumptions!$B$35:$H$35,_xlfn.XLOOKUP($C28,Assumptions!$B$36:$B$41,Assumptions!$B$36:$H$41))</f>
        <v>0</v>
      </c>
      <c r="ETK28">
        <f t="array" ref="ETK28">_xlfn.XLOOKUP(ETK$11,Assumptions!$B$35:$H$35,_xlfn.XLOOKUP($C28,Assumptions!$B$36:$B$41,Assumptions!$B$36:$H$41))</f>
        <v>0</v>
      </c>
      <c r="ETL28">
        <f t="array" ref="ETL28">_xlfn.XLOOKUP(ETL$11,Assumptions!$B$35:$H$35,_xlfn.XLOOKUP($C28,Assumptions!$B$36:$B$41,Assumptions!$B$36:$H$41))</f>
        <v>0</v>
      </c>
      <c r="ETM28">
        <f t="array" ref="ETM28">_xlfn.XLOOKUP(ETM$11,Assumptions!$B$35:$H$35,_xlfn.XLOOKUP($C28,Assumptions!$B$36:$B$41,Assumptions!$B$36:$H$41))</f>
        <v>0</v>
      </c>
      <c r="ETN28">
        <f t="array" ref="ETN28">_xlfn.XLOOKUP(ETN$11,Assumptions!$B$35:$H$35,_xlfn.XLOOKUP($C28,Assumptions!$B$36:$B$41,Assumptions!$B$36:$H$41))</f>
        <v>0</v>
      </c>
      <c r="ETO28">
        <f t="array" ref="ETO28">_xlfn.XLOOKUP(ETO$11,Assumptions!$B$35:$H$35,_xlfn.XLOOKUP($C28,Assumptions!$B$36:$B$41,Assumptions!$B$36:$H$41))</f>
        <v>0</v>
      </c>
      <c r="ETP28">
        <f t="array" ref="ETP28">_xlfn.XLOOKUP(ETP$11,Assumptions!$B$35:$H$35,_xlfn.XLOOKUP($C28,Assumptions!$B$36:$B$41,Assumptions!$B$36:$H$41))</f>
        <v>0</v>
      </c>
      <c r="ETQ28">
        <f t="array" ref="ETQ28">_xlfn.XLOOKUP(ETQ$11,Assumptions!$B$35:$H$35,_xlfn.XLOOKUP($C28,Assumptions!$B$36:$B$41,Assumptions!$B$36:$H$41))</f>
        <v>0</v>
      </c>
      <c r="ETR28">
        <f t="array" ref="ETR28">_xlfn.XLOOKUP(ETR$11,Assumptions!$B$35:$H$35,_xlfn.XLOOKUP($C28,Assumptions!$B$36:$B$41,Assumptions!$B$36:$H$41))</f>
        <v>0</v>
      </c>
      <c r="ETS28">
        <f t="array" ref="ETS28">_xlfn.XLOOKUP(ETS$11,Assumptions!$B$35:$H$35,_xlfn.XLOOKUP($C28,Assumptions!$B$36:$B$41,Assumptions!$B$36:$H$41))</f>
        <v>0</v>
      </c>
      <c r="ETT28">
        <f t="array" ref="ETT28">_xlfn.XLOOKUP(ETT$11,Assumptions!$B$35:$H$35,_xlfn.XLOOKUP($C28,Assumptions!$B$36:$B$41,Assumptions!$B$36:$H$41))</f>
        <v>0</v>
      </c>
      <c r="ETU28">
        <f t="array" ref="ETU28">_xlfn.XLOOKUP(ETU$11,Assumptions!$B$35:$H$35,_xlfn.XLOOKUP($C28,Assumptions!$B$36:$B$41,Assumptions!$B$36:$H$41))</f>
        <v>0</v>
      </c>
      <c r="ETV28">
        <f t="array" ref="ETV28">_xlfn.XLOOKUP(ETV$11,Assumptions!$B$35:$H$35,_xlfn.XLOOKUP($C28,Assumptions!$B$36:$B$41,Assumptions!$B$36:$H$41))</f>
        <v>0</v>
      </c>
      <c r="ETW28">
        <f t="array" ref="ETW28">_xlfn.XLOOKUP(ETW$11,Assumptions!$B$35:$H$35,_xlfn.XLOOKUP($C28,Assumptions!$B$36:$B$41,Assumptions!$B$36:$H$41))</f>
        <v>0</v>
      </c>
      <c r="ETX28">
        <f t="array" ref="ETX28">_xlfn.XLOOKUP(ETX$11,Assumptions!$B$35:$H$35,_xlfn.XLOOKUP($C28,Assumptions!$B$36:$B$41,Assumptions!$B$36:$H$41))</f>
        <v>0</v>
      </c>
      <c r="ETY28">
        <f t="array" ref="ETY28">_xlfn.XLOOKUP(ETY$11,Assumptions!$B$35:$H$35,_xlfn.XLOOKUP($C28,Assumptions!$B$36:$B$41,Assumptions!$B$36:$H$41))</f>
        <v>0</v>
      </c>
      <c r="ETZ28">
        <f t="array" ref="ETZ28">_xlfn.XLOOKUP(ETZ$11,Assumptions!$B$35:$H$35,_xlfn.XLOOKUP($C28,Assumptions!$B$36:$B$41,Assumptions!$B$36:$H$41))</f>
        <v>0</v>
      </c>
      <c r="EUA28">
        <f t="array" ref="EUA28">_xlfn.XLOOKUP(EUA$11,Assumptions!$B$35:$H$35,_xlfn.XLOOKUP($C28,Assumptions!$B$36:$B$41,Assumptions!$B$36:$H$41))</f>
        <v>0</v>
      </c>
      <c r="EUB28">
        <f t="array" ref="EUB28">_xlfn.XLOOKUP(EUB$11,Assumptions!$B$35:$H$35,_xlfn.XLOOKUP($C28,Assumptions!$B$36:$B$41,Assumptions!$B$36:$H$41))</f>
        <v>0</v>
      </c>
      <c r="EUC28">
        <f t="array" ref="EUC28">_xlfn.XLOOKUP(EUC$11,Assumptions!$B$35:$H$35,_xlfn.XLOOKUP($C28,Assumptions!$B$36:$B$41,Assumptions!$B$36:$H$41))</f>
        <v>0</v>
      </c>
      <c r="EUD28">
        <f t="array" ref="EUD28">_xlfn.XLOOKUP(EUD$11,Assumptions!$B$35:$H$35,_xlfn.XLOOKUP($C28,Assumptions!$B$36:$B$41,Assumptions!$B$36:$H$41))</f>
        <v>0</v>
      </c>
      <c r="EUE28">
        <f t="array" ref="EUE28">_xlfn.XLOOKUP(EUE$11,Assumptions!$B$35:$H$35,_xlfn.XLOOKUP($C28,Assumptions!$B$36:$B$41,Assumptions!$B$36:$H$41))</f>
        <v>0</v>
      </c>
      <c r="EUF28">
        <f t="array" ref="EUF28">_xlfn.XLOOKUP(EUF$11,Assumptions!$B$35:$H$35,_xlfn.XLOOKUP($C28,Assumptions!$B$36:$B$41,Assumptions!$B$36:$H$41))</f>
        <v>0</v>
      </c>
      <c r="EUG28">
        <f t="array" ref="EUG28">_xlfn.XLOOKUP(EUG$11,Assumptions!$B$35:$H$35,_xlfn.XLOOKUP($C28,Assumptions!$B$36:$B$41,Assumptions!$B$36:$H$41))</f>
        <v>0</v>
      </c>
      <c r="EUH28">
        <f t="array" ref="EUH28">_xlfn.XLOOKUP(EUH$11,Assumptions!$B$35:$H$35,_xlfn.XLOOKUP($C28,Assumptions!$B$36:$B$41,Assumptions!$B$36:$H$41))</f>
        <v>0</v>
      </c>
      <c r="EUI28">
        <f t="array" ref="EUI28">_xlfn.XLOOKUP(EUI$11,Assumptions!$B$35:$H$35,_xlfn.XLOOKUP($C28,Assumptions!$B$36:$B$41,Assumptions!$B$36:$H$41))</f>
        <v>0</v>
      </c>
      <c r="EUJ28">
        <f t="array" ref="EUJ28">_xlfn.XLOOKUP(EUJ$11,Assumptions!$B$35:$H$35,_xlfn.XLOOKUP($C28,Assumptions!$B$36:$B$41,Assumptions!$B$36:$H$41))</f>
        <v>0</v>
      </c>
      <c r="EUK28">
        <f t="array" ref="EUK28">_xlfn.XLOOKUP(EUK$11,Assumptions!$B$35:$H$35,_xlfn.XLOOKUP($C28,Assumptions!$B$36:$B$41,Assumptions!$B$36:$H$41))</f>
        <v>0</v>
      </c>
      <c r="EUL28">
        <f t="array" ref="EUL28">_xlfn.XLOOKUP(EUL$11,Assumptions!$B$35:$H$35,_xlfn.XLOOKUP($C28,Assumptions!$B$36:$B$41,Assumptions!$B$36:$H$41))</f>
        <v>0</v>
      </c>
      <c r="EUM28">
        <f t="array" ref="EUM28">_xlfn.XLOOKUP(EUM$11,Assumptions!$B$35:$H$35,_xlfn.XLOOKUP($C28,Assumptions!$B$36:$B$41,Assumptions!$B$36:$H$41))</f>
        <v>0</v>
      </c>
      <c r="EUN28">
        <f t="array" ref="EUN28">_xlfn.XLOOKUP(EUN$11,Assumptions!$B$35:$H$35,_xlfn.XLOOKUP($C28,Assumptions!$B$36:$B$41,Assumptions!$B$36:$H$41))</f>
        <v>0</v>
      </c>
      <c r="EUO28">
        <f t="array" ref="EUO28">_xlfn.XLOOKUP(EUO$11,Assumptions!$B$35:$H$35,_xlfn.XLOOKUP($C28,Assumptions!$B$36:$B$41,Assumptions!$B$36:$H$41))</f>
        <v>0</v>
      </c>
      <c r="EUP28">
        <f t="array" ref="EUP28">_xlfn.XLOOKUP(EUP$11,Assumptions!$B$35:$H$35,_xlfn.XLOOKUP($C28,Assumptions!$B$36:$B$41,Assumptions!$B$36:$H$41))</f>
        <v>0</v>
      </c>
      <c r="EUQ28">
        <f t="array" ref="EUQ28">_xlfn.XLOOKUP(EUQ$11,Assumptions!$B$35:$H$35,_xlfn.XLOOKUP($C28,Assumptions!$B$36:$B$41,Assumptions!$B$36:$H$41))</f>
        <v>0</v>
      </c>
      <c r="EUR28">
        <f t="array" ref="EUR28">_xlfn.XLOOKUP(EUR$11,Assumptions!$B$35:$H$35,_xlfn.XLOOKUP($C28,Assumptions!$B$36:$B$41,Assumptions!$B$36:$H$41))</f>
        <v>0</v>
      </c>
      <c r="EUS28">
        <f t="array" ref="EUS28">_xlfn.XLOOKUP(EUS$11,Assumptions!$B$35:$H$35,_xlfn.XLOOKUP($C28,Assumptions!$B$36:$B$41,Assumptions!$B$36:$H$41))</f>
        <v>0</v>
      </c>
      <c r="EUT28">
        <f t="array" ref="EUT28">_xlfn.XLOOKUP(EUT$11,Assumptions!$B$35:$H$35,_xlfn.XLOOKUP($C28,Assumptions!$B$36:$B$41,Assumptions!$B$36:$H$41))</f>
        <v>0</v>
      </c>
      <c r="EUU28">
        <f t="array" ref="EUU28">_xlfn.XLOOKUP(EUU$11,Assumptions!$B$35:$H$35,_xlfn.XLOOKUP($C28,Assumptions!$B$36:$B$41,Assumptions!$B$36:$H$41))</f>
        <v>0</v>
      </c>
      <c r="EUV28">
        <f t="array" ref="EUV28">_xlfn.XLOOKUP(EUV$11,Assumptions!$B$35:$H$35,_xlfn.XLOOKUP($C28,Assumptions!$B$36:$B$41,Assumptions!$B$36:$H$41))</f>
        <v>0</v>
      </c>
      <c r="EUW28">
        <f t="array" ref="EUW28">_xlfn.XLOOKUP(EUW$11,Assumptions!$B$35:$H$35,_xlfn.XLOOKUP($C28,Assumptions!$B$36:$B$41,Assumptions!$B$36:$H$41))</f>
        <v>0</v>
      </c>
      <c r="EUX28">
        <f t="array" ref="EUX28">_xlfn.XLOOKUP(EUX$11,Assumptions!$B$35:$H$35,_xlfn.XLOOKUP($C28,Assumptions!$B$36:$B$41,Assumptions!$B$36:$H$41))</f>
        <v>0</v>
      </c>
      <c r="EUY28">
        <f t="array" ref="EUY28">_xlfn.XLOOKUP(EUY$11,Assumptions!$B$35:$H$35,_xlfn.XLOOKUP($C28,Assumptions!$B$36:$B$41,Assumptions!$B$36:$H$41))</f>
        <v>0</v>
      </c>
      <c r="EUZ28">
        <f t="array" ref="EUZ28">_xlfn.XLOOKUP(EUZ$11,Assumptions!$B$35:$H$35,_xlfn.XLOOKUP($C28,Assumptions!$B$36:$B$41,Assumptions!$B$36:$H$41))</f>
        <v>0</v>
      </c>
      <c r="EVA28">
        <f t="array" ref="EVA28">_xlfn.XLOOKUP(EVA$11,Assumptions!$B$35:$H$35,_xlfn.XLOOKUP($C28,Assumptions!$B$36:$B$41,Assumptions!$B$36:$H$41))</f>
        <v>0</v>
      </c>
      <c r="EVB28">
        <f t="array" ref="EVB28">_xlfn.XLOOKUP(EVB$11,Assumptions!$B$35:$H$35,_xlfn.XLOOKUP($C28,Assumptions!$B$36:$B$41,Assumptions!$B$36:$H$41))</f>
        <v>0</v>
      </c>
      <c r="EVC28">
        <f t="array" ref="EVC28">_xlfn.XLOOKUP(EVC$11,Assumptions!$B$35:$H$35,_xlfn.XLOOKUP($C28,Assumptions!$B$36:$B$41,Assumptions!$B$36:$H$41))</f>
        <v>0</v>
      </c>
      <c r="EVD28">
        <f t="array" ref="EVD28">_xlfn.XLOOKUP(EVD$11,Assumptions!$B$35:$H$35,_xlfn.XLOOKUP($C28,Assumptions!$B$36:$B$41,Assumptions!$B$36:$H$41))</f>
        <v>0</v>
      </c>
      <c r="EVE28">
        <f t="array" ref="EVE28">_xlfn.XLOOKUP(EVE$11,Assumptions!$B$35:$H$35,_xlfn.XLOOKUP($C28,Assumptions!$B$36:$B$41,Assumptions!$B$36:$H$41))</f>
        <v>0</v>
      </c>
      <c r="EVF28">
        <f t="array" ref="EVF28">_xlfn.XLOOKUP(EVF$11,Assumptions!$B$35:$H$35,_xlfn.XLOOKUP($C28,Assumptions!$B$36:$B$41,Assumptions!$B$36:$H$41))</f>
        <v>0</v>
      </c>
      <c r="EVG28">
        <f t="array" ref="EVG28">_xlfn.XLOOKUP(EVG$11,Assumptions!$B$35:$H$35,_xlfn.XLOOKUP($C28,Assumptions!$B$36:$B$41,Assumptions!$B$36:$H$41))</f>
        <v>0</v>
      </c>
      <c r="EVH28">
        <f t="array" ref="EVH28">_xlfn.XLOOKUP(EVH$11,Assumptions!$B$35:$H$35,_xlfn.XLOOKUP($C28,Assumptions!$B$36:$B$41,Assumptions!$B$36:$H$41))</f>
        <v>0</v>
      </c>
      <c r="EVI28">
        <f t="array" ref="EVI28">_xlfn.XLOOKUP(EVI$11,Assumptions!$B$35:$H$35,_xlfn.XLOOKUP($C28,Assumptions!$B$36:$B$41,Assumptions!$B$36:$H$41))</f>
        <v>0</v>
      </c>
      <c r="EVJ28">
        <f t="array" ref="EVJ28">_xlfn.XLOOKUP(EVJ$11,Assumptions!$B$35:$H$35,_xlfn.XLOOKUP($C28,Assumptions!$B$36:$B$41,Assumptions!$B$36:$H$41))</f>
        <v>0</v>
      </c>
      <c r="EVK28">
        <f t="array" ref="EVK28">_xlfn.XLOOKUP(EVK$11,Assumptions!$B$35:$H$35,_xlfn.XLOOKUP($C28,Assumptions!$B$36:$B$41,Assumptions!$B$36:$H$41))</f>
        <v>0</v>
      </c>
      <c r="EVL28">
        <f t="array" ref="EVL28">_xlfn.XLOOKUP(EVL$11,Assumptions!$B$35:$H$35,_xlfn.XLOOKUP($C28,Assumptions!$B$36:$B$41,Assumptions!$B$36:$H$41))</f>
        <v>0</v>
      </c>
      <c r="EVM28">
        <f t="array" ref="EVM28">_xlfn.XLOOKUP(EVM$11,Assumptions!$B$35:$H$35,_xlfn.XLOOKUP($C28,Assumptions!$B$36:$B$41,Assumptions!$B$36:$H$41))</f>
        <v>0</v>
      </c>
      <c r="EVN28">
        <f t="array" ref="EVN28">_xlfn.XLOOKUP(EVN$11,Assumptions!$B$35:$H$35,_xlfn.XLOOKUP($C28,Assumptions!$B$36:$B$41,Assumptions!$B$36:$H$41))</f>
        <v>0</v>
      </c>
      <c r="EVO28">
        <f t="array" ref="EVO28">_xlfn.XLOOKUP(EVO$11,Assumptions!$B$35:$H$35,_xlfn.XLOOKUP($C28,Assumptions!$B$36:$B$41,Assumptions!$B$36:$H$41))</f>
        <v>0</v>
      </c>
      <c r="EVP28">
        <f t="array" ref="EVP28">_xlfn.XLOOKUP(EVP$11,Assumptions!$B$35:$H$35,_xlfn.XLOOKUP($C28,Assumptions!$B$36:$B$41,Assumptions!$B$36:$H$41))</f>
        <v>0</v>
      </c>
      <c r="EVQ28">
        <f t="array" ref="EVQ28">_xlfn.XLOOKUP(EVQ$11,Assumptions!$B$35:$H$35,_xlfn.XLOOKUP($C28,Assumptions!$B$36:$B$41,Assumptions!$B$36:$H$41))</f>
        <v>0</v>
      </c>
      <c r="EVR28">
        <f t="array" ref="EVR28">_xlfn.XLOOKUP(EVR$11,Assumptions!$B$35:$H$35,_xlfn.XLOOKUP($C28,Assumptions!$B$36:$B$41,Assumptions!$B$36:$H$41))</f>
        <v>0</v>
      </c>
      <c r="EVS28">
        <f t="array" ref="EVS28">_xlfn.XLOOKUP(EVS$11,Assumptions!$B$35:$H$35,_xlfn.XLOOKUP($C28,Assumptions!$B$36:$B$41,Assumptions!$B$36:$H$41))</f>
        <v>0</v>
      </c>
      <c r="EVT28">
        <f t="array" ref="EVT28">_xlfn.XLOOKUP(EVT$11,Assumptions!$B$35:$H$35,_xlfn.XLOOKUP($C28,Assumptions!$B$36:$B$41,Assumptions!$B$36:$H$41))</f>
        <v>0</v>
      </c>
      <c r="EVU28">
        <f t="array" ref="EVU28">_xlfn.XLOOKUP(EVU$11,Assumptions!$B$35:$H$35,_xlfn.XLOOKUP($C28,Assumptions!$B$36:$B$41,Assumptions!$B$36:$H$41))</f>
        <v>0</v>
      </c>
      <c r="EVV28">
        <f t="array" ref="EVV28">_xlfn.XLOOKUP(EVV$11,Assumptions!$B$35:$H$35,_xlfn.XLOOKUP($C28,Assumptions!$B$36:$B$41,Assumptions!$B$36:$H$41))</f>
        <v>0</v>
      </c>
      <c r="EVW28">
        <f t="array" ref="EVW28">_xlfn.XLOOKUP(EVW$11,Assumptions!$B$35:$H$35,_xlfn.XLOOKUP($C28,Assumptions!$B$36:$B$41,Assumptions!$B$36:$H$41))</f>
        <v>0</v>
      </c>
      <c r="EVX28">
        <f t="array" ref="EVX28">_xlfn.XLOOKUP(EVX$11,Assumptions!$B$35:$H$35,_xlfn.XLOOKUP($C28,Assumptions!$B$36:$B$41,Assumptions!$B$36:$H$41))</f>
        <v>0</v>
      </c>
      <c r="EVY28">
        <f t="array" ref="EVY28">_xlfn.XLOOKUP(EVY$11,Assumptions!$B$35:$H$35,_xlfn.XLOOKUP($C28,Assumptions!$B$36:$B$41,Assumptions!$B$36:$H$41))</f>
        <v>0</v>
      </c>
      <c r="EVZ28">
        <f t="array" ref="EVZ28">_xlfn.XLOOKUP(EVZ$11,Assumptions!$B$35:$H$35,_xlfn.XLOOKUP($C28,Assumptions!$B$36:$B$41,Assumptions!$B$36:$H$41))</f>
        <v>0</v>
      </c>
      <c r="EWA28">
        <f t="array" ref="EWA28">_xlfn.XLOOKUP(EWA$11,Assumptions!$B$35:$H$35,_xlfn.XLOOKUP($C28,Assumptions!$B$36:$B$41,Assumptions!$B$36:$H$41))</f>
        <v>0</v>
      </c>
      <c r="EWB28">
        <f t="array" ref="EWB28">_xlfn.XLOOKUP(EWB$11,Assumptions!$B$35:$H$35,_xlfn.XLOOKUP($C28,Assumptions!$B$36:$B$41,Assumptions!$B$36:$H$41))</f>
        <v>0</v>
      </c>
      <c r="EWC28">
        <f t="array" ref="EWC28">_xlfn.XLOOKUP(EWC$11,Assumptions!$B$35:$H$35,_xlfn.XLOOKUP($C28,Assumptions!$B$36:$B$41,Assumptions!$B$36:$H$41))</f>
        <v>0</v>
      </c>
      <c r="EWD28">
        <f t="array" ref="EWD28">_xlfn.XLOOKUP(EWD$11,Assumptions!$B$35:$H$35,_xlfn.XLOOKUP($C28,Assumptions!$B$36:$B$41,Assumptions!$B$36:$H$41))</f>
        <v>0</v>
      </c>
      <c r="EWE28">
        <f t="array" ref="EWE28">_xlfn.XLOOKUP(EWE$11,Assumptions!$B$35:$H$35,_xlfn.XLOOKUP($C28,Assumptions!$B$36:$B$41,Assumptions!$B$36:$H$41))</f>
        <v>0</v>
      </c>
      <c r="EWF28">
        <f t="array" ref="EWF28">_xlfn.XLOOKUP(EWF$11,Assumptions!$B$35:$H$35,_xlfn.XLOOKUP($C28,Assumptions!$B$36:$B$41,Assumptions!$B$36:$H$41))</f>
        <v>0</v>
      </c>
      <c r="EWG28">
        <f t="array" ref="EWG28">_xlfn.XLOOKUP(EWG$11,Assumptions!$B$35:$H$35,_xlfn.XLOOKUP($C28,Assumptions!$B$36:$B$41,Assumptions!$B$36:$H$41))</f>
        <v>0</v>
      </c>
      <c r="EWH28">
        <f t="array" ref="EWH28">_xlfn.XLOOKUP(EWH$11,Assumptions!$B$35:$H$35,_xlfn.XLOOKUP($C28,Assumptions!$B$36:$B$41,Assumptions!$B$36:$H$41))</f>
        <v>0</v>
      </c>
      <c r="EWI28">
        <f t="array" ref="EWI28">_xlfn.XLOOKUP(EWI$11,Assumptions!$B$35:$H$35,_xlfn.XLOOKUP($C28,Assumptions!$B$36:$B$41,Assumptions!$B$36:$H$41))</f>
        <v>0</v>
      </c>
      <c r="EWJ28">
        <f t="array" ref="EWJ28">_xlfn.XLOOKUP(EWJ$11,Assumptions!$B$35:$H$35,_xlfn.XLOOKUP($C28,Assumptions!$B$36:$B$41,Assumptions!$B$36:$H$41))</f>
        <v>0</v>
      </c>
      <c r="EWK28">
        <f t="array" ref="EWK28">_xlfn.XLOOKUP(EWK$11,Assumptions!$B$35:$H$35,_xlfn.XLOOKUP($C28,Assumptions!$B$36:$B$41,Assumptions!$B$36:$H$41))</f>
        <v>0</v>
      </c>
      <c r="EWL28">
        <f t="array" ref="EWL28">_xlfn.XLOOKUP(EWL$11,Assumptions!$B$35:$H$35,_xlfn.XLOOKUP($C28,Assumptions!$B$36:$B$41,Assumptions!$B$36:$H$41))</f>
        <v>0</v>
      </c>
      <c r="EWM28">
        <f t="array" ref="EWM28">_xlfn.XLOOKUP(EWM$11,Assumptions!$B$35:$H$35,_xlfn.XLOOKUP($C28,Assumptions!$B$36:$B$41,Assumptions!$B$36:$H$41))</f>
        <v>0</v>
      </c>
      <c r="EWN28">
        <f t="array" ref="EWN28">_xlfn.XLOOKUP(EWN$11,Assumptions!$B$35:$H$35,_xlfn.XLOOKUP($C28,Assumptions!$B$36:$B$41,Assumptions!$B$36:$H$41))</f>
        <v>0</v>
      </c>
      <c r="EWO28">
        <f t="array" ref="EWO28">_xlfn.XLOOKUP(EWO$11,Assumptions!$B$35:$H$35,_xlfn.XLOOKUP($C28,Assumptions!$B$36:$B$41,Assumptions!$B$36:$H$41))</f>
        <v>0</v>
      </c>
      <c r="EWP28">
        <f t="array" ref="EWP28">_xlfn.XLOOKUP(EWP$11,Assumptions!$B$35:$H$35,_xlfn.XLOOKUP($C28,Assumptions!$B$36:$B$41,Assumptions!$B$36:$H$41))</f>
        <v>0</v>
      </c>
      <c r="EWQ28">
        <f t="array" ref="EWQ28">_xlfn.XLOOKUP(EWQ$11,Assumptions!$B$35:$H$35,_xlfn.XLOOKUP($C28,Assumptions!$B$36:$B$41,Assumptions!$B$36:$H$41))</f>
        <v>0</v>
      </c>
      <c r="EWR28">
        <f t="array" ref="EWR28">_xlfn.XLOOKUP(EWR$11,Assumptions!$B$35:$H$35,_xlfn.XLOOKUP($C28,Assumptions!$B$36:$B$41,Assumptions!$B$36:$H$41))</f>
        <v>0</v>
      </c>
      <c r="EWS28">
        <f t="array" ref="EWS28">_xlfn.XLOOKUP(EWS$11,Assumptions!$B$35:$H$35,_xlfn.XLOOKUP($C28,Assumptions!$B$36:$B$41,Assumptions!$B$36:$H$41))</f>
        <v>0</v>
      </c>
      <c r="EWT28">
        <f t="array" ref="EWT28">_xlfn.XLOOKUP(EWT$11,Assumptions!$B$35:$H$35,_xlfn.XLOOKUP($C28,Assumptions!$B$36:$B$41,Assumptions!$B$36:$H$41))</f>
        <v>0</v>
      </c>
      <c r="EWU28">
        <f t="array" ref="EWU28">_xlfn.XLOOKUP(EWU$11,Assumptions!$B$35:$H$35,_xlfn.XLOOKUP($C28,Assumptions!$B$36:$B$41,Assumptions!$B$36:$H$41))</f>
        <v>0</v>
      </c>
      <c r="EWV28">
        <f t="array" ref="EWV28">_xlfn.XLOOKUP(EWV$11,Assumptions!$B$35:$H$35,_xlfn.XLOOKUP($C28,Assumptions!$B$36:$B$41,Assumptions!$B$36:$H$41))</f>
        <v>0</v>
      </c>
      <c r="EWW28">
        <f t="array" ref="EWW28">_xlfn.XLOOKUP(EWW$11,Assumptions!$B$35:$H$35,_xlfn.XLOOKUP($C28,Assumptions!$B$36:$B$41,Assumptions!$B$36:$H$41))</f>
        <v>0</v>
      </c>
      <c r="EWX28">
        <f t="array" ref="EWX28">_xlfn.XLOOKUP(EWX$11,Assumptions!$B$35:$H$35,_xlfn.XLOOKUP($C28,Assumptions!$B$36:$B$41,Assumptions!$B$36:$H$41))</f>
        <v>0</v>
      </c>
      <c r="EWY28">
        <f t="array" ref="EWY28">_xlfn.XLOOKUP(EWY$11,Assumptions!$B$35:$H$35,_xlfn.XLOOKUP($C28,Assumptions!$B$36:$B$41,Assumptions!$B$36:$H$41))</f>
        <v>0</v>
      </c>
      <c r="EWZ28">
        <f t="array" ref="EWZ28">_xlfn.XLOOKUP(EWZ$11,Assumptions!$B$35:$H$35,_xlfn.XLOOKUP($C28,Assumptions!$B$36:$B$41,Assumptions!$B$36:$H$41))</f>
        <v>0</v>
      </c>
      <c r="EXA28">
        <f t="array" ref="EXA28">_xlfn.XLOOKUP(EXA$11,Assumptions!$B$35:$H$35,_xlfn.XLOOKUP($C28,Assumptions!$B$36:$B$41,Assumptions!$B$36:$H$41))</f>
        <v>0</v>
      </c>
      <c r="EXB28">
        <f t="array" ref="EXB28">_xlfn.XLOOKUP(EXB$11,Assumptions!$B$35:$H$35,_xlfn.XLOOKUP($C28,Assumptions!$B$36:$B$41,Assumptions!$B$36:$H$41))</f>
        <v>0</v>
      </c>
      <c r="EXC28">
        <f t="array" ref="EXC28">_xlfn.XLOOKUP(EXC$11,Assumptions!$B$35:$H$35,_xlfn.XLOOKUP($C28,Assumptions!$B$36:$B$41,Assumptions!$B$36:$H$41))</f>
        <v>0</v>
      </c>
      <c r="EXD28">
        <f t="array" ref="EXD28">_xlfn.XLOOKUP(EXD$11,Assumptions!$B$35:$H$35,_xlfn.XLOOKUP($C28,Assumptions!$B$36:$B$41,Assumptions!$B$36:$H$41))</f>
        <v>0</v>
      </c>
      <c r="EXE28">
        <f t="array" ref="EXE28">_xlfn.XLOOKUP(EXE$11,Assumptions!$B$35:$H$35,_xlfn.XLOOKUP($C28,Assumptions!$B$36:$B$41,Assumptions!$B$36:$H$41))</f>
        <v>0</v>
      </c>
      <c r="EXF28">
        <f t="array" ref="EXF28">_xlfn.XLOOKUP(EXF$11,Assumptions!$B$35:$H$35,_xlfn.XLOOKUP($C28,Assumptions!$B$36:$B$41,Assumptions!$B$36:$H$41))</f>
        <v>0</v>
      </c>
      <c r="EXG28">
        <f t="array" ref="EXG28">_xlfn.XLOOKUP(EXG$11,Assumptions!$B$35:$H$35,_xlfn.XLOOKUP($C28,Assumptions!$B$36:$B$41,Assumptions!$B$36:$H$41))</f>
        <v>0</v>
      </c>
      <c r="EXH28">
        <f t="array" ref="EXH28">_xlfn.XLOOKUP(EXH$11,Assumptions!$B$35:$H$35,_xlfn.XLOOKUP($C28,Assumptions!$B$36:$B$41,Assumptions!$B$36:$H$41))</f>
        <v>0</v>
      </c>
      <c r="EXI28">
        <f t="array" ref="EXI28">_xlfn.XLOOKUP(EXI$11,Assumptions!$B$35:$H$35,_xlfn.XLOOKUP($C28,Assumptions!$B$36:$B$41,Assumptions!$B$36:$H$41))</f>
        <v>0</v>
      </c>
      <c r="EXJ28">
        <f t="array" ref="EXJ28">_xlfn.XLOOKUP(EXJ$11,Assumptions!$B$35:$H$35,_xlfn.XLOOKUP($C28,Assumptions!$B$36:$B$41,Assumptions!$B$36:$H$41))</f>
        <v>0</v>
      </c>
      <c r="EXK28">
        <f t="array" ref="EXK28">_xlfn.XLOOKUP(EXK$11,Assumptions!$B$35:$H$35,_xlfn.XLOOKUP($C28,Assumptions!$B$36:$B$41,Assumptions!$B$36:$H$41))</f>
        <v>0</v>
      </c>
      <c r="EXL28">
        <f t="array" ref="EXL28">_xlfn.XLOOKUP(EXL$11,Assumptions!$B$35:$H$35,_xlfn.XLOOKUP($C28,Assumptions!$B$36:$B$41,Assumptions!$B$36:$H$41))</f>
        <v>0</v>
      </c>
      <c r="EXM28">
        <f t="array" ref="EXM28">_xlfn.XLOOKUP(EXM$11,Assumptions!$B$35:$H$35,_xlfn.XLOOKUP($C28,Assumptions!$B$36:$B$41,Assumptions!$B$36:$H$41))</f>
        <v>0</v>
      </c>
      <c r="EXN28">
        <f t="array" ref="EXN28">_xlfn.XLOOKUP(EXN$11,Assumptions!$B$35:$H$35,_xlfn.XLOOKUP($C28,Assumptions!$B$36:$B$41,Assumptions!$B$36:$H$41))</f>
        <v>0</v>
      </c>
      <c r="EXO28">
        <f t="array" ref="EXO28">_xlfn.XLOOKUP(EXO$11,Assumptions!$B$35:$H$35,_xlfn.XLOOKUP($C28,Assumptions!$B$36:$B$41,Assumptions!$B$36:$H$41))</f>
        <v>0</v>
      </c>
      <c r="EXP28">
        <f t="array" ref="EXP28">_xlfn.XLOOKUP(EXP$11,Assumptions!$B$35:$H$35,_xlfn.XLOOKUP($C28,Assumptions!$B$36:$B$41,Assumptions!$B$36:$H$41))</f>
        <v>0</v>
      </c>
      <c r="EXQ28">
        <f t="array" ref="EXQ28">_xlfn.XLOOKUP(EXQ$11,Assumptions!$B$35:$H$35,_xlfn.XLOOKUP($C28,Assumptions!$B$36:$B$41,Assumptions!$B$36:$H$41))</f>
        <v>0</v>
      </c>
      <c r="EXR28">
        <f t="array" ref="EXR28">_xlfn.XLOOKUP(EXR$11,Assumptions!$B$35:$H$35,_xlfn.XLOOKUP($C28,Assumptions!$B$36:$B$41,Assumptions!$B$36:$H$41))</f>
        <v>0</v>
      </c>
      <c r="EXS28">
        <f t="array" ref="EXS28">_xlfn.XLOOKUP(EXS$11,Assumptions!$B$35:$H$35,_xlfn.XLOOKUP($C28,Assumptions!$B$36:$B$41,Assumptions!$B$36:$H$41))</f>
        <v>0</v>
      </c>
      <c r="EXT28">
        <f t="array" ref="EXT28">_xlfn.XLOOKUP(EXT$11,Assumptions!$B$35:$H$35,_xlfn.XLOOKUP($C28,Assumptions!$B$36:$B$41,Assumptions!$B$36:$H$41))</f>
        <v>0</v>
      </c>
      <c r="EXU28">
        <f t="array" ref="EXU28">_xlfn.XLOOKUP(EXU$11,Assumptions!$B$35:$H$35,_xlfn.XLOOKUP($C28,Assumptions!$B$36:$B$41,Assumptions!$B$36:$H$41))</f>
        <v>0</v>
      </c>
      <c r="EXV28">
        <f t="array" ref="EXV28">_xlfn.XLOOKUP(EXV$11,Assumptions!$B$35:$H$35,_xlfn.XLOOKUP($C28,Assumptions!$B$36:$B$41,Assumptions!$B$36:$H$41))</f>
        <v>0</v>
      </c>
      <c r="EXW28">
        <f t="array" ref="EXW28">_xlfn.XLOOKUP(EXW$11,Assumptions!$B$35:$H$35,_xlfn.XLOOKUP($C28,Assumptions!$B$36:$B$41,Assumptions!$B$36:$H$41))</f>
        <v>0</v>
      </c>
      <c r="EXX28">
        <f t="array" ref="EXX28">_xlfn.XLOOKUP(EXX$11,Assumptions!$B$35:$H$35,_xlfn.XLOOKUP($C28,Assumptions!$B$36:$B$41,Assumptions!$B$36:$H$41))</f>
        <v>0</v>
      </c>
      <c r="EXY28">
        <f t="array" ref="EXY28">_xlfn.XLOOKUP(EXY$11,Assumptions!$B$35:$H$35,_xlfn.XLOOKUP($C28,Assumptions!$B$36:$B$41,Assumptions!$B$36:$H$41))</f>
        <v>0</v>
      </c>
      <c r="EXZ28">
        <f t="array" ref="EXZ28">_xlfn.XLOOKUP(EXZ$11,Assumptions!$B$35:$H$35,_xlfn.XLOOKUP($C28,Assumptions!$B$36:$B$41,Assumptions!$B$36:$H$41))</f>
        <v>0</v>
      </c>
      <c r="EYA28">
        <f t="array" ref="EYA28">_xlfn.XLOOKUP(EYA$11,Assumptions!$B$35:$H$35,_xlfn.XLOOKUP($C28,Assumptions!$B$36:$B$41,Assumptions!$B$36:$H$41))</f>
        <v>0</v>
      </c>
      <c r="EYB28">
        <f t="array" ref="EYB28">_xlfn.XLOOKUP(EYB$11,Assumptions!$B$35:$H$35,_xlfn.XLOOKUP($C28,Assumptions!$B$36:$B$41,Assumptions!$B$36:$H$41))</f>
        <v>0</v>
      </c>
      <c r="EYC28">
        <f t="array" ref="EYC28">_xlfn.XLOOKUP(EYC$11,Assumptions!$B$35:$H$35,_xlfn.XLOOKUP($C28,Assumptions!$B$36:$B$41,Assumptions!$B$36:$H$41))</f>
        <v>0</v>
      </c>
      <c r="EYD28">
        <f t="array" ref="EYD28">_xlfn.XLOOKUP(EYD$11,Assumptions!$B$35:$H$35,_xlfn.XLOOKUP($C28,Assumptions!$B$36:$B$41,Assumptions!$B$36:$H$41))</f>
        <v>0</v>
      </c>
      <c r="EYE28">
        <f t="array" ref="EYE28">_xlfn.XLOOKUP(EYE$11,Assumptions!$B$35:$H$35,_xlfn.XLOOKUP($C28,Assumptions!$B$36:$B$41,Assumptions!$B$36:$H$41))</f>
        <v>0</v>
      </c>
      <c r="EYF28">
        <f t="array" ref="EYF28">_xlfn.XLOOKUP(EYF$11,Assumptions!$B$35:$H$35,_xlfn.XLOOKUP($C28,Assumptions!$B$36:$B$41,Assumptions!$B$36:$H$41))</f>
        <v>0</v>
      </c>
      <c r="EYG28">
        <f t="array" ref="EYG28">_xlfn.XLOOKUP(EYG$11,Assumptions!$B$35:$H$35,_xlfn.XLOOKUP($C28,Assumptions!$B$36:$B$41,Assumptions!$B$36:$H$41))</f>
        <v>0</v>
      </c>
      <c r="EYH28">
        <f t="array" ref="EYH28">_xlfn.XLOOKUP(EYH$11,Assumptions!$B$35:$H$35,_xlfn.XLOOKUP($C28,Assumptions!$B$36:$B$41,Assumptions!$B$36:$H$41))</f>
        <v>0</v>
      </c>
      <c r="EYI28">
        <f t="array" ref="EYI28">_xlfn.XLOOKUP(EYI$11,Assumptions!$B$35:$H$35,_xlfn.XLOOKUP($C28,Assumptions!$B$36:$B$41,Assumptions!$B$36:$H$41))</f>
        <v>0</v>
      </c>
      <c r="EYJ28">
        <f t="array" ref="EYJ28">_xlfn.XLOOKUP(EYJ$11,Assumptions!$B$35:$H$35,_xlfn.XLOOKUP($C28,Assumptions!$B$36:$B$41,Assumptions!$B$36:$H$41))</f>
        <v>0</v>
      </c>
      <c r="EYK28">
        <f t="array" ref="EYK28">_xlfn.XLOOKUP(EYK$11,Assumptions!$B$35:$H$35,_xlfn.XLOOKUP($C28,Assumptions!$B$36:$B$41,Assumptions!$B$36:$H$41))</f>
        <v>0</v>
      </c>
      <c r="EYL28">
        <f t="array" ref="EYL28">_xlfn.XLOOKUP(EYL$11,Assumptions!$B$35:$H$35,_xlfn.XLOOKUP($C28,Assumptions!$B$36:$B$41,Assumptions!$B$36:$H$41))</f>
        <v>0</v>
      </c>
      <c r="EYM28">
        <f t="array" ref="EYM28">_xlfn.XLOOKUP(EYM$11,Assumptions!$B$35:$H$35,_xlfn.XLOOKUP($C28,Assumptions!$B$36:$B$41,Assumptions!$B$36:$H$41))</f>
        <v>0</v>
      </c>
      <c r="EYN28">
        <f t="array" ref="EYN28">_xlfn.XLOOKUP(EYN$11,Assumptions!$B$35:$H$35,_xlfn.XLOOKUP($C28,Assumptions!$B$36:$B$41,Assumptions!$B$36:$H$41))</f>
        <v>0</v>
      </c>
      <c r="EYO28">
        <f t="array" ref="EYO28">_xlfn.XLOOKUP(EYO$11,Assumptions!$B$35:$H$35,_xlfn.XLOOKUP($C28,Assumptions!$B$36:$B$41,Assumptions!$B$36:$H$41))</f>
        <v>0</v>
      </c>
      <c r="EYP28">
        <f t="array" ref="EYP28">_xlfn.XLOOKUP(EYP$11,Assumptions!$B$35:$H$35,_xlfn.XLOOKUP($C28,Assumptions!$B$36:$B$41,Assumptions!$B$36:$H$41))</f>
        <v>0</v>
      </c>
      <c r="EYQ28">
        <f t="array" ref="EYQ28">_xlfn.XLOOKUP(EYQ$11,Assumptions!$B$35:$H$35,_xlfn.XLOOKUP($C28,Assumptions!$B$36:$B$41,Assumptions!$B$36:$H$41))</f>
        <v>0</v>
      </c>
      <c r="EYR28">
        <f t="array" ref="EYR28">_xlfn.XLOOKUP(EYR$11,Assumptions!$B$35:$H$35,_xlfn.XLOOKUP($C28,Assumptions!$B$36:$B$41,Assumptions!$B$36:$H$41))</f>
        <v>0</v>
      </c>
      <c r="EYS28">
        <f t="array" ref="EYS28">_xlfn.XLOOKUP(EYS$11,Assumptions!$B$35:$H$35,_xlfn.XLOOKUP($C28,Assumptions!$B$36:$B$41,Assumptions!$B$36:$H$41))</f>
        <v>0</v>
      </c>
      <c r="EYT28">
        <f t="array" ref="EYT28">_xlfn.XLOOKUP(EYT$11,Assumptions!$B$35:$H$35,_xlfn.XLOOKUP($C28,Assumptions!$B$36:$B$41,Assumptions!$B$36:$H$41))</f>
        <v>0</v>
      </c>
      <c r="EYU28">
        <f t="array" ref="EYU28">_xlfn.XLOOKUP(EYU$11,Assumptions!$B$35:$H$35,_xlfn.XLOOKUP($C28,Assumptions!$B$36:$B$41,Assumptions!$B$36:$H$41))</f>
        <v>0</v>
      </c>
      <c r="EYV28">
        <f t="array" ref="EYV28">_xlfn.XLOOKUP(EYV$11,Assumptions!$B$35:$H$35,_xlfn.XLOOKUP($C28,Assumptions!$B$36:$B$41,Assumptions!$B$36:$H$41))</f>
        <v>0</v>
      </c>
      <c r="EYW28">
        <f t="array" ref="EYW28">_xlfn.XLOOKUP(EYW$11,Assumptions!$B$35:$H$35,_xlfn.XLOOKUP($C28,Assumptions!$B$36:$B$41,Assumptions!$B$36:$H$41))</f>
        <v>0</v>
      </c>
      <c r="EYX28">
        <f t="array" ref="EYX28">_xlfn.XLOOKUP(EYX$11,Assumptions!$B$35:$H$35,_xlfn.XLOOKUP($C28,Assumptions!$B$36:$B$41,Assumptions!$B$36:$H$41))</f>
        <v>0</v>
      </c>
      <c r="EYY28">
        <f t="array" ref="EYY28">_xlfn.XLOOKUP(EYY$11,Assumptions!$B$35:$H$35,_xlfn.XLOOKUP($C28,Assumptions!$B$36:$B$41,Assumptions!$B$36:$H$41))</f>
        <v>0</v>
      </c>
      <c r="EYZ28">
        <f t="array" ref="EYZ28">_xlfn.XLOOKUP(EYZ$11,Assumptions!$B$35:$H$35,_xlfn.XLOOKUP($C28,Assumptions!$B$36:$B$41,Assumptions!$B$36:$H$41))</f>
        <v>0</v>
      </c>
      <c r="EZA28">
        <f t="array" ref="EZA28">_xlfn.XLOOKUP(EZA$11,Assumptions!$B$35:$H$35,_xlfn.XLOOKUP($C28,Assumptions!$B$36:$B$41,Assumptions!$B$36:$H$41))</f>
        <v>0</v>
      </c>
      <c r="EZB28">
        <f t="array" ref="EZB28">_xlfn.XLOOKUP(EZB$11,Assumptions!$B$35:$H$35,_xlfn.XLOOKUP($C28,Assumptions!$B$36:$B$41,Assumptions!$B$36:$H$41))</f>
        <v>0</v>
      </c>
      <c r="EZC28">
        <f t="array" ref="EZC28">_xlfn.XLOOKUP(EZC$11,Assumptions!$B$35:$H$35,_xlfn.XLOOKUP($C28,Assumptions!$B$36:$B$41,Assumptions!$B$36:$H$41))</f>
        <v>0</v>
      </c>
      <c r="EZD28">
        <f t="array" ref="EZD28">_xlfn.XLOOKUP(EZD$11,Assumptions!$B$35:$H$35,_xlfn.XLOOKUP($C28,Assumptions!$B$36:$B$41,Assumptions!$B$36:$H$41))</f>
        <v>0</v>
      </c>
      <c r="EZE28">
        <f t="array" ref="EZE28">_xlfn.XLOOKUP(EZE$11,Assumptions!$B$35:$H$35,_xlfn.XLOOKUP($C28,Assumptions!$B$36:$B$41,Assumptions!$B$36:$H$41))</f>
        <v>0</v>
      </c>
      <c r="EZF28">
        <f t="array" ref="EZF28">_xlfn.XLOOKUP(EZF$11,Assumptions!$B$35:$H$35,_xlfn.XLOOKUP($C28,Assumptions!$B$36:$B$41,Assumptions!$B$36:$H$41))</f>
        <v>0</v>
      </c>
      <c r="EZG28">
        <f t="array" ref="EZG28">_xlfn.XLOOKUP(EZG$11,Assumptions!$B$35:$H$35,_xlfn.XLOOKUP($C28,Assumptions!$B$36:$B$41,Assumptions!$B$36:$H$41))</f>
        <v>0</v>
      </c>
      <c r="EZH28">
        <f t="array" ref="EZH28">_xlfn.XLOOKUP(EZH$11,Assumptions!$B$35:$H$35,_xlfn.XLOOKUP($C28,Assumptions!$B$36:$B$41,Assumptions!$B$36:$H$41))</f>
        <v>0</v>
      </c>
      <c r="EZI28">
        <f t="array" ref="EZI28">_xlfn.XLOOKUP(EZI$11,Assumptions!$B$35:$H$35,_xlfn.XLOOKUP($C28,Assumptions!$B$36:$B$41,Assumptions!$B$36:$H$41))</f>
        <v>0</v>
      </c>
      <c r="EZJ28">
        <f t="array" ref="EZJ28">_xlfn.XLOOKUP(EZJ$11,Assumptions!$B$35:$H$35,_xlfn.XLOOKUP($C28,Assumptions!$B$36:$B$41,Assumptions!$B$36:$H$41))</f>
        <v>0</v>
      </c>
      <c r="EZK28">
        <f t="array" ref="EZK28">_xlfn.XLOOKUP(EZK$11,Assumptions!$B$35:$H$35,_xlfn.XLOOKUP($C28,Assumptions!$B$36:$B$41,Assumptions!$B$36:$H$41))</f>
        <v>0</v>
      </c>
      <c r="EZL28">
        <f t="array" ref="EZL28">_xlfn.XLOOKUP(EZL$11,Assumptions!$B$35:$H$35,_xlfn.XLOOKUP($C28,Assumptions!$B$36:$B$41,Assumptions!$B$36:$H$41))</f>
        <v>0</v>
      </c>
      <c r="EZM28">
        <f t="array" ref="EZM28">_xlfn.XLOOKUP(EZM$11,Assumptions!$B$35:$H$35,_xlfn.XLOOKUP($C28,Assumptions!$B$36:$B$41,Assumptions!$B$36:$H$41))</f>
        <v>0</v>
      </c>
      <c r="EZN28">
        <f t="array" ref="EZN28">_xlfn.XLOOKUP(EZN$11,Assumptions!$B$35:$H$35,_xlfn.XLOOKUP($C28,Assumptions!$B$36:$B$41,Assumptions!$B$36:$H$41))</f>
        <v>0</v>
      </c>
      <c r="EZO28">
        <f t="array" ref="EZO28">_xlfn.XLOOKUP(EZO$11,Assumptions!$B$35:$H$35,_xlfn.XLOOKUP($C28,Assumptions!$B$36:$B$41,Assumptions!$B$36:$H$41))</f>
        <v>0</v>
      </c>
      <c r="EZP28">
        <f t="array" ref="EZP28">_xlfn.XLOOKUP(EZP$11,Assumptions!$B$35:$H$35,_xlfn.XLOOKUP($C28,Assumptions!$B$36:$B$41,Assumptions!$B$36:$H$41))</f>
        <v>0</v>
      </c>
      <c r="EZQ28">
        <f t="array" ref="EZQ28">_xlfn.XLOOKUP(EZQ$11,Assumptions!$B$35:$H$35,_xlfn.XLOOKUP($C28,Assumptions!$B$36:$B$41,Assumptions!$B$36:$H$41))</f>
        <v>0</v>
      </c>
      <c r="EZR28">
        <f t="array" ref="EZR28">_xlfn.XLOOKUP(EZR$11,Assumptions!$B$35:$H$35,_xlfn.XLOOKUP($C28,Assumptions!$B$36:$B$41,Assumptions!$B$36:$H$41))</f>
        <v>0</v>
      </c>
      <c r="EZS28">
        <f t="array" ref="EZS28">_xlfn.XLOOKUP(EZS$11,Assumptions!$B$35:$H$35,_xlfn.XLOOKUP($C28,Assumptions!$B$36:$B$41,Assumptions!$B$36:$H$41))</f>
        <v>0</v>
      </c>
      <c r="EZT28">
        <f t="array" ref="EZT28">_xlfn.XLOOKUP(EZT$11,Assumptions!$B$35:$H$35,_xlfn.XLOOKUP($C28,Assumptions!$B$36:$B$41,Assumptions!$B$36:$H$41))</f>
        <v>0</v>
      </c>
      <c r="EZU28">
        <f t="array" ref="EZU28">_xlfn.XLOOKUP(EZU$11,Assumptions!$B$35:$H$35,_xlfn.XLOOKUP($C28,Assumptions!$B$36:$B$41,Assumptions!$B$36:$H$41))</f>
        <v>0</v>
      </c>
      <c r="EZV28">
        <f t="array" ref="EZV28">_xlfn.XLOOKUP(EZV$11,Assumptions!$B$35:$H$35,_xlfn.XLOOKUP($C28,Assumptions!$B$36:$B$41,Assumptions!$B$36:$H$41))</f>
        <v>0</v>
      </c>
      <c r="EZW28">
        <f t="array" ref="EZW28">_xlfn.XLOOKUP(EZW$11,Assumptions!$B$35:$H$35,_xlfn.XLOOKUP($C28,Assumptions!$B$36:$B$41,Assumptions!$B$36:$H$41))</f>
        <v>0</v>
      </c>
      <c r="EZX28">
        <f t="array" ref="EZX28">_xlfn.XLOOKUP(EZX$11,Assumptions!$B$35:$H$35,_xlfn.XLOOKUP($C28,Assumptions!$B$36:$B$41,Assumptions!$B$36:$H$41))</f>
        <v>0</v>
      </c>
      <c r="EZY28">
        <f t="array" ref="EZY28">_xlfn.XLOOKUP(EZY$11,Assumptions!$B$35:$H$35,_xlfn.XLOOKUP($C28,Assumptions!$B$36:$B$41,Assumptions!$B$36:$H$41))</f>
        <v>0</v>
      </c>
      <c r="EZZ28">
        <f t="array" ref="EZZ28">_xlfn.XLOOKUP(EZZ$11,Assumptions!$B$35:$H$35,_xlfn.XLOOKUP($C28,Assumptions!$B$36:$B$41,Assumptions!$B$36:$H$41))</f>
        <v>0</v>
      </c>
      <c r="FAA28">
        <f t="array" ref="FAA28">_xlfn.XLOOKUP(FAA$11,Assumptions!$B$35:$H$35,_xlfn.XLOOKUP($C28,Assumptions!$B$36:$B$41,Assumptions!$B$36:$H$41))</f>
        <v>0</v>
      </c>
      <c r="FAB28">
        <f t="array" ref="FAB28">_xlfn.XLOOKUP(FAB$11,Assumptions!$B$35:$H$35,_xlfn.XLOOKUP($C28,Assumptions!$B$36:$B$41,Assumptions!$B$36:$H$41))</f>
        <v>0</v>
      </c>
      <c r="FAC28">
        <f t="array" ref="FAC28">_xlfn.XLOOKUP(FAC$11,Assumptions!$B$35:$H$35,_xlfn.XLOOKUP($C28,Assumptions!$B$36:$B$41,Assumptions!$B$36:$H$41))</f>
        <v>0</v>
      </c>
      <c r="FAD28">
        <f t="array" ref="FAD28">_xlfn.XLOOKUP(FAD$11,Assumptions!$B$35:$H$35,_xlfn.XLOOKUP($C28,Assumptions!$B$36:$B$41,Assumptions!$B$36:$H$41))</f>
        <v>0</v>
      </c>
      <c r="FAE28">
        <f t="array" ref="FAE28">_xlfn.XLOOKUP(FAE$11,Assumptions!$B$35:$H$35,_xlfn.XLOOKUP($C28,Assumptions!$B$36:$B$41,Assumptions!$B$36:$H$41))</f>
        <v>0</v>
      </c>
      <c r="FAF28">
        <f t="array" ref="FAF28">_xlfn.XLOOKUP(FAF$11,Assumptions!$B$35:$H$35,_xlfn.XLOOKUP($C28,Assumptions!$B$36:$B$41,Assumptions!$B$36:$H$41))</f>
        <v>0</v>
      </c>
      <c r="FAG28">
        <f t="array" ref="FAG28">_xlfn.XLOOKUP(FAG$11,Assumptions!$B$35:$H$35,_xlfn.XLOOKUP($C28,Assumptions!$B$36:$B$41,Assumptions!$B$36:$H$41))</f>
        <v>0</v>
      </c>
      <c r="FAH28">
        <f t="array" ref="FAH28">_xlfn.XLOOKUP(FAH$11,Assumptions!$B$35:$H$35,_xlfn.XLOOKUP($C28,Assumptions!$B$36:$B$41,Assumptions!$B$36:$H$41))</f>
        <v>0</v>
      </c>
      <c r="FAI28">
        <f t="array" ref="FAI28">_xlfn.XLOOKUP(FAI$11,Assumptions!$B$35:$H$35,_xlfn.XLOOKUP($C28,Assumptions!$B$36:$B$41,Assumptions!$B$36:$H$41))</f>
        <v>0</v>
      </c>
      <c r="FAJ28">
        <f t="array" ref="FAJ28">_xlfn.XLOOKUP(FAJ$11,Assumptions!$B$35:$H$35,_xlfn.XLOOKUP($C28,Assumptions!$B$36:$B$41,Assumptions!$B$36:$H$41))</f>
        <v>0</v>
      </c>
      <c r="FAK28">
        <f t="array" ref="FAK28">_xlfn.XLOOKUP(FAK$11,Assumptions!$B$35:$H$35,_xlfn.XLOOKUP($C28,Assumptions!$B$36:$B$41,Assumptions!$B$36:$H$41))</f>
        <v>0</v>
      </c>
      <c r="FAL28">
        <f t="array" ref="FAL28">_xlfn.XLOOKUP(FAL$11,Assumptions!$B$35:$H$35,_xlfn.XLOOKUP($C28,Assumptions!$B$36:$B$41,Assumptions!$B$36:$H$41))</f>
        <v>0</v>
      </c>
      <c r="FAM28">
        <f t="array" ref="FAM28">_xlfn.XLOOKUP(FAM$11,Assumptions!$B$35:$H$35,_xlfn.XLOOKUP($C28,Assumptions!$B$36:$B$41,Assumptions!$B$36:$H$41))</f>
        <v>0</v>
      </c>
      <c r="FAN28">
        <f t="array" ref="FAN28">_xlfn.XLOOKUP(FAN$11,Assumptions!$B$35:$H$35,_xlfn.XLOOKUP($C28,Assumptions!$B$36:$B$41,Assumptions!$B$36:$H$41))</f>
        <v>0</v>
      </c>
      <c r="FAO28">
        <f t="array" ref="FAO28">_xlfn.XLOOKUP(FAO$11,Assumptions!$B$35:$H$35,_xlfn.XLOOKUP($C28,Assumptions!$B$36:$B$41,Assumptions!$B$36:$H$41))</f>
        <v>0</v>
      </c>
      <c r="FAP28">
        <f t="array" ref="FAP28">_xlfn.XLOOKUP(FAP$11,Assumptions!$B$35:$H$35,_xlfn.XLOOKUP($C28,Assumptions!$B$36:$B$41,Assumptions!$B$36:$H$41))</f>
        <v>0</v>
      </c>
      <c r="FAQ28">
        <f t="array" ref="FAQ28">_xlfn.XLOOKUP(FAQ$11,Assumptions!$B$35:$H$35,_xlfn.XLOOKUP($C28,Assumptions!$B$36:$B$41,Assumptions!$B$36:$H$41))</f>
        <v>0</v>
      </c>
      <c r="FAR28">
        <f t="array" ref="FAR28">_xlfn.XLOOKUP(FAR$11,Assumptions!$B$35:$H$35,_xlfn.XLOOKUP($C28,Assumptions!$B$36:$B$41,Assumptions!$B$36:$H$41))</f>
        <v>0</v>
      </c>
      <c r="FAS28">
        <f t="array" ref="FAS28">_xlfn.XLOOKUP(FAS$11,Assumptions!$B$35:$H$35,_xlfn.XLOOKUP($C28,Assumptions!$B$36:$B$41,Assumptions!$B$36:$H$41))</f>
        <v>0</v>
      </c>
      <c r="FAT28">
        <f t="array" ref="FAT28">_xlfn.XLOOKUP(FAT$11,Assumptions!$B$35:$H$35,_xlfn.XLOOKUP($C28,Assumptions!$B$36:$B$41,Assumptions!$B$36:$H$41))</f>
        <v>0</v>
      </c>
      <c r="FAU28">
        <f t="array" ref="FAU28">_xlfn.XLOOKUP(FAU$11,Assumptions!$B$35:$H$35,_xlfn.XLOOKUP($C28,Assumptions!$B$36:$B$41,Assumptions!$B$36:$H$41))</f>
        <v>0</v>
      </c>
      <c r="FAV28">
        <f t="array" ref="FAV28">_xlfn.XLOOKUP(FAV$11,Assumptions!$B$35:$H$35,_xlfn.XLOOKUP($C28,Assumptions!$B$36:$B$41,Assumptions!$B$36:$H$41))</f>
        <v>0</v>
      </c>
      <c r="FAW28">
        <f t="array" ref="FAW28">_xlfn.XLOOKUP(FAW$11,Assumptions!$B$35:$H$35,_xlfn.XLOOKUP($C28,Assumptions!$B$36:$B$41,Assumptions!$B$36:$H$41))</f>
        <v>0</v>
      </c>
      <c r="FAX28">
        <f t="array" ref="FAX28">_xlfn.XLOOKUP(FAX$11,Assumptions!$B$35:$H$35,_xlfn.XLOOKUP($C28,Assumptions!$B$36:$B$41,Assumptions!$B$36:$H$41))</f>
        <v>0</v>
      </c>
      <c r="FAY28">
        <f t="array" ref="FAY28">_xlfn.XLOOKUP(FAY$11,Assumptions!$B$35:$H$35,_xlfn.XLOOKUP($C28,Assumptions!$B$36:$B$41,Assumptions!$B$36:$H$41))</f>
        <v>0</v>
      </c>
      <c r="FAZ28">
        <f t="array" ref="FAZ28">_xlfn.XLOOKUP(FAZ$11,Assumptions!$B$35:$H$35,_xlfn.XLOOKUP($C28,Assumptions!$B$36:$B$41,Assumptions!$B$36:$H$41))</f>
        <v>0</v>
      </c>
      <c r="FBA28">
        <f t="array" ref="FBA28">_xlfn.XLOOKUP(FBA$11,Assumptions!$B$35:$H$35,_xlfn.XLOOKUP($C28,Assumptions!$B$36:$B$41,Assumptions!$B$36:$H$41))</f>
        <v>0</v>
      </c>
      <c r="FBB28">
        <f t="array" ref="FBB28">_xlfn.XLOOKUP(FBB$11,Assumptions!$B$35:$H$35,_xlfn.XLOOKUP($C28,Assumptions!$B$36:$B$41,Assumptions!$B$36:$H$41))</f>
        <v>0</v>
      </c>
      <c r="FBC28">
        <f t="array" ref="FBC28">_xlfn.XLOOKUP(FBC$11,Assumptions!$B$35:$H$35,_xlfn.XLOOKUP($C28,Assumptions!$B$36:$B$41,Assumptions!$B$36:$H$41))</f>
        <v>0</v>
      </c>
      <c r="FBD28">
        <f t="array" ref="FBD28">_xlfn.XLOOKUP(FBD$11,Assumptions!$B$35:$H$35,_xlfn.XLOOKUP($C28,Assumptions!$B$36:$B$41,Assumptions!$B$36:$H$41))</f>
        <v>0</v>
      </c>
      <c r="FBE28">
        <f t="array" ref="FBE28">_xlfn.XLOOKUP(FBE$11,Assumptions!$B$35:$H$35,_xlfn.XLOOKUP($C28,Assumptions!$B$36:$B$41,Assumptions!$B$36:$H$41))</f>
        <v>0</v>
      </c>
      <c r="FBF28">
        <f t="array" ref="FBF28">_xlfn.XLOOKUP(FBF$11,Assumptions!$B$35:$H$35,_xlfn.XLOOKUP($C28,Assumptions!$B$36:$B$41,Assumptions!$B$36:$H$41))</f>
        <v>0</v>
      </c>
      <c r="FBG28">
        <f t="array" ref="FBG28">_xlfn.XLOOKUP(FBG$11,Assumptions!$B$35:$H$35,_xlfn.XLOOKUP($C28,Assumptions!$B$36:$B$41,Assumptions!$B$36:$H$41))</f>
        <v>0</v>
      </c>
      <c r="FBH28">
        <f t="array" ref="FBH28">_xlfn.XLOOKUP(FBH$11,Assumptions!$B$35:$H$35,_xlfn.XLOOKUP($C28,Assumptions!$B$36:$B$41,Assumptions!$B$36:$H$41))</f>
        <v>0</v>
      </c>
      <c r="FBI28">
        <f t="array" ref="FBI28">_xlfn.XLOOKUP(FBI$11,Assumptions!$B$35:$H$35,_xlfn.XLOOKUP($C28,Assumptions!$B$36:$B$41,Assumptions!$B$36:$H$41))</f>
        <v>0</v>
      </c>
      <c r="FBJ28">
        <f t="array" ref="FBJ28">_xlfn.XLOOKUP(FBJ$11,Assumptions!$B$35:$H$35,_xlfn.XLOOKUP($C28,Assumptions!$B$36:$B$41,Assumptions!$B$36:$H$41))</f>
        <v>0</v>
      </c>
      <c r="FBK28">
        <f t="array" ref="FBK28">_xlfn.XLOOKUP(FBK$11,Assumptions!$B$35:$H$35,_xlfn.XLOOKUP($C28,Assumptions!$B$36:$B$41,Assumptions!$B$36:$H$41))</f>
        <v>0</v>
      </c>
      <c r="FBL28">
        <f t="array" ref="FBL28">_xlfn.XLOOKUP(FBL$11,Assumptions!$B$35:$H$35,_xlfn.XLOOKUP($C28,Assumptions!$B$36:$B$41,Assumptions!$B$36:$H$41))</f>
        <v>0</v>
      </c>
      <c r="FBM28">
        <f t="array" ref="FBM28">_xlfn.XLOOKUP(FBM$11,Assumptions!$B$35:$H$35,_xlfn.XLOOKUP($C28,Assumptions!$B$36:$B$41,Assumptions!$B$36:$H$41))</f>
        <v>0</v>
      </c>
      <c r="FBN28">
        <f t="array" ref="FBN28">_xlfn.XLOOKUP(FBN$11,Assumptions!$B$35:$H$35,_xlfn.XLOOKUP($C28,Assumptions!$B$36:$B$41,Assumptions!$B$36:$H$41))</f>
        <v>0</v>
      </c>
      <c r="FBO28">
        <f t="array" ref="FBO28">_xlfn.XLOOKUP(FBO$11,Assumptions!$B$35:$H$35,_xlfn.XLOOKUP($C28,Assumptions!$B$36:$B$41,Assumptions!$B$36:$H$41))</f>
        <v>0</v>
      </c>
      <c r="FBP28">
        <f t="array" ref="FBP28">_xlfn.XLOOKUP(FBP$11,Assumptions!$B$35:$H$35,_xlfn.XLOOKUP($C28,Assumptions!$B$36:$B$41,Assumptions!$B$36:$H$41))</f>
        <v>0</v>
      </c>
      <c r="FBQ28">
        <f t="array" ref="FBQ28">_xlfn.XLOOKUP(FBQ$11,Assumptions!$B$35:$H$35,_xlfn.XLOOKUP($C28,Assumptions!$B$36:$B$41,Assumptions!$B$36:$H$41))</f>
        <v>0</v>
      </c>
      <c r="FBR28">
        <f t="array" ref="FBR28">_xlfn.XLOOKUP(FBR$11,Assumptions!$B$35:$H$35,_xlfn.XLOOKUP($C28,Assumptions!$B$36:$B$41,Assumptions!$B$36:$H$41))</f>
        <v>0</v>
      </c>
      <c r="FBS28">
        <f t="array" ref="FBS28">_xlfn.XLOOKUP(FBS$11,Assumptions!$B$35:$H$35,_xlfn.XLOOKUP($C28,Assumptions!$B$36:$B$41,Assumptions!$B$36:$H$41))</f>
        <v>0</v>
      </c>
      <c r="FBT28">
        <f t="array" ref="FBT28">_xlfn.XLOOKUP(FBT$11,Assumptions!$B$35:$H$35,_xlfn.XLOOKUP($C28,Assumptions!$B$36:$B$41,Assumptions!$B$36:$H$41))</f>
        <v>0</v>
      </c>
      <c r="FBU28">
        <f t="array" ref="FBU28">_xlfn.XLOOKUP(FBU$11,Assumptions!$B$35:$H$35,_xlfn.XLOOKUP($C28,Assumptions!$B$36:$B$41,Assumptions!$B$36:$H$41))</f>
        <v>0</v>
      </c>
      <c r="FBV28">
        <f t="array" ref="FBV28">_xlfn.XLOOKUP(FBV$11,Assumptions!$B$35:$H$35,_xlfn.XLOOKUP($C28,Assumptions!$B$36:$B$41,Assumptions!$B$36:$H$41))</f>
        <v>0</v>
      </c>
      <c r="FBW28">
        <f t="array" ref="FBW28">_xlfn.XLOOKUP(FBW$11,Assumptions!$B$35:$H$35,_xlfn.XLOOKUP($C28,Assumptions!$B$36:$B$41,Assumptions!$B$36:$H$41))</f>
        <v>0</v>
      </c>
      <c r="FBX28">
        <f t="array" ref="FBX28">_xlfn.XLOOKUP(FBX$11,Assumptions!$B$35:$H$35,_xlfn.XLOOKUP($C28,Assumptions!$B$36:$B$41,Assumptions!$B$36:$H$41))</f>
        <v>0</v>
      </c>
      <c r="FBY28">
        <f t="array" ref="FBY28">_xlfn.XLOOKUP(FBY$11,Assumptions!$B$35:$H$35,_xlfn.XLOOKUP($C28,Assumptions!$B$36:$B$41,Assumptions!$B$36:$H$41))</f>
        <v>0</v>
      </c>
      <c r="FBZ28">
        <f t="array" ref="FBZ28">_xlfn.XLOOKUP(FBZ$11,Assumptions!$B$35:$H$35,_xlfn.XLOOKUP($C28,Assumptions!$B$36:$B$41,Assumptions!$B$36:$H$41))</f>
        <v>0</v>
      </c>
      <c r="FCA28">
        <f t="array" ref="FCA28">_xlfn.XLOOKUP(FCA$11,Assumptions!$B$35:$H$35,_xlfn.XLOOKUP($C28,Assumptions!$B$36:$B$41,Assumptions!$B$36:$H$41))</f>
        <v>0</v>
      </c>
      <c r="FCB28">
        <f t="array" ref="FCB28">_xlfn.XLOOKUP(FCB$11,Assumptions!$B$35:$H$35,_xlfn.XLOOKUP($C28,Assumptions!$B$36:$B$41,Assumptions!$B$36:$H$41))</f>
        <v>0</v>
      </c>
      <c r="FCC28">
        <f t="array" ref="FCC28">_xlfn.XLOOKUP(FCC$11,Assumptions!$B$35:$H$35,_xlfn.XLOOKUP($C28,Assumptions!$B$36:$B$41,Assumptions!$B$36:$H$41))</f>
        <v>0</v>
      </c>
      <c r="FCD28">
        <f t="array" ref="FCD28">_xlfn.XLOOKUP(FCD$11,Assumptions!$B$35:$H$35,_xlfn.XLOOKUP($C28,Assumptions!$B$36:$B$41,Assumptions!$B$36:$H$41))</f>
        <v>0</v>
      </c>
      <c r="FCE28">
        <f t="array" ref="FCE28">_xlfn.XLOOKUP(FCE$11,Assumptions!$B$35:$H$35,_xlfn.XLOOKUP($C28,Assumptions!$B$36:$B$41,Assumptions!$B$36:$H$41))</f>
        <v>0</v>
      </c>
      <c r="FCF28">
        <f t="array" ref="FCF28">_xlfn.XLOOKUP(FCF$11,Assumptions!$B$35:$H$35,_xlfn.XLOOKUP($C28,Assumptions!$B$36:$B$41,Assumptions!$B$36:$H$41))</f>
        <v>0</v>
      </c>
      <c r="FCG28">
        <f t="array" ref="FCG28">_xlfn.XLOOKUP(FCG$11,Assumptions!$B$35:$H$35,_xlfn.XLOOKUP($C28,Assumptions!$B$36:$B$41,Assumptions!$B$36:$H$41))</f>
        <v>0</v>
      </c>
      <c r="FCH28">
        <f t="array" ref="FCH28">_xlfn.XLOOKUP(FCH$11,Assumptions!$B$35:$H$35,_xlfn.XLOOKUP($C28,Assumptions!$B$36:$B$41,Assumptions!$B$36:$H$41))</f>
        <v>0</v>
      </c>
      <c r="FCI28">
        <f t="array" ref="FCI28">_xlfn.XLOOKUP(FCI$11,Assumptions!$B$35:$H$35,_xlfn.XLOOKUP($C28,Assumptions!$B$36:$B$41,Assumptions!$B$36:$H$41))</f>
        <v>0</v>
      </c>
      <c r="FCJ28">
        <f t="array" ref="FCJ28">_xlfn.XLOOKUP(FCJ$11,Assumptions!$B$35:$H$35,_xlfn.XLOOKUP($C28,Assumptions!$B$36:$B$41,Assumptions!$B$36:$H$41))</f>
        <v>0</v>
      </c>
      <c r="FCK28">
        <f t="array" ref="FCK28">_xlfn.XLOOKUP(FCK$11,Assumptions!$B$35:$H$35,_xlfn.XLOOKUP($C28,Assumptions!$B$36:$B$41,Assumptions!$B$36:$H$41))</f>
        <v>0</v>
      </c>
      <c r="FCL28">
        <f t="array" ref="FCL28">_xlfn.XLOOKUP(FCL$11,Assumptions!$B$35:$H$35,_xlfn.XLOOKUP($C28,Assumptions!$B$36:$B$41,Assumptions!$B$36:$H$41))</f>
        <v>0</v>
      </c>
      <c r="FCM28">
        <f t="array" ref="FCM28">_xlfn.XLOOKUP(FCM$11,Assumptions!$B$35:$H$35,_xlfn.XLOOKUP($C28,Assumptions!$B$36:$B$41,Assumptions!$B$36:$H$41))</f>
        <v>0</v>
      </c>
      <c r="FCN28">
        <f t="array" ref="FCN28">_xlfn.XLOOKUP(FCN$11,Assumptions!$B$35:$H$35,_xlfn.XLOOKUP($C28,Assumptions!$B$36:$B$41,Assumptions!$B$36:$H$41))</f>
        <v>0</v>
      </c>
      <c r="FCO28">
        <f t="array" ref="FCO28">_xlfn.XLOOKUP(FCO$11,Assumptions!$B$35:$H$35,_xlfn.XLOOKUP($C28,Assumptions!$B$36:$B$41,Assumptions!$B$36:$H$41))</f>
        <v>0</v>
      </c>
      <c r="FCP28">
        <f t="array" ref="FCP28">_xlfn.XLOOKUP(FCP$11,Assumptions!$B$35:$H$35,_xlfn.XLOOKUP($C28,Assumptions!$B$36:$B$41,Assumptions!$B$36:$H$41))</f>
        <v>0</v>
      </c>
      <c r="FCQ28">
        <f t="array" ref="FCQ28">_xlfn.XLOOKUP(FCQ$11,Assumptions!$B$35:$H$35,_xlfn.XLOOKUP($C28,Assumptions!$B$36:$B$41,Assumptions!$B$36:$H$41))</f>
        <v>0</v>
      </c>
      <c r="FCR28">
        <f t="array" ref="FCR28">_xlfn.XLOOKUP(FCR$11,Assumptions!$B$35:$H$35,_xlfn.XLOOKUP($C28,Assumptions!$B$36:$B$41,Assumptions!$B$36:$H$41))</f>
        <v>0</v>
      </c>
      <c r="FCS28">
        <f t="array" ref="FCS28">_xlfn.XLOOKUP(FCS$11,Assumptions!$B$35:$H$35,_xlfn.XLOOKUP($C28,Assumptions!$B$36:$B$41,Assumptions!$B$36:$H$41))</f>
        <v>0</v>
      </c>
      <c r="FCT28">
        <f t="array" ref="FCT28">_xlfn.XLOOKUP(FCT$11,Assumptions!$B$35:$H$35,_xlfn.XLOOKUP($C28,Assumptions!$B$36:$B$41,Assumptions!$B$36:$H$41))</f>
        <v>0</v>
      </c>
      <c r="FCU28">
        <f t="array" ref="FCU28">_xlfn.XLOOKUP(FCU$11,Assumptions!$B$35:$H$35,_xlfn.XLOOKUP($C28,Assumptions!$B$36:$B$41,Assumptions!$B$36:$H$41))</f>
        <v>0</v>
      </c>
      <c r="FCV28">
        <f t="array" ref="FCV28">_xlfn.XLOOKUP(FCV$11,Assumptions!$B$35:$H$35,_xlfn.XLOOKUP($C28,Assumptions!$B$36:$B$41,Assumptions!$B$36:$H$41))</f>
        <v>0</v>
      </c>
      <c r="FCW28">
        <f t="array" ref="FCW28">_xlfn.XLOOKUP(FCW$11,Assumptions!$B$35:$H$35,_xlfn.XLOOKUP($C28,Assumptions!$B$36:$B$41,Assumptions!$B$36:$H$41))</f>
        <v>0</v>
      </c>
      <c r="FCX28">
        <f t="array" ref="FCX28">_xlfn.XLOOKUP(FCX$11,Assumptions!$B$35:$H$35,_xlfn.XLOOKUP($C28,Assumptions!$B$36:$B$41,Assumptions!$B$36:$H$41))</f>
        <v>0</v>
      </c>
      <c r="FCY28">
        <f t="array" ref="FCY28">_xlfn.XLOOKUP(FCY$11,Assumptions!$B$35:$H$35,_xlfn.XLOOKUP($C28,Assumptions!$B$36:$B$41,Assumptions!$B$36:$H$41))</f>
        <v>0</v>
      </c>
      <c r="FCZ28">
        <f t="array" ref="FCZ28">_xlfn.XLOOKUP(FCZ$11,Assumptions!$B$35:$H$35,_xlfn.XLOOKUP($C28,Assumptions!$B$36:$B$41,Assumptions!$B$36:$H$41))</f>
        <v>0</v>
      </c>
      <c r="FDA28">
        <f t="array" ref="FDA28">_xlfn.XLOOKUP(FDA$11,Assumptions!$B$35:$H$35,_xlfn.XLOOKUP($C28,Assumptions!$B$36:$B$41,Assumptions!$B$36:$H$41))</f>
        <v>0</v>
      </c>
      <c r="FDB28">
        <f t="array" ref="FDB28">_xlfn.XLOOKUP(FDB$11,Assumptions!$B$35:$H$35,_xlfn.XLOOKUP($C28,Assumptions!$B$36:$B$41,Assumptions!$B$36:$H$41))</f>
        <v>0</v>
      </c>
      <c r="FDC28">
        <f t="array" ref="FDC28">_xlfn.XLOOKUP(FDC$11,Assumptions!$B$35:$H$35,_xlfn.XLOOKUP($C28,Assumptions!$B$36:$B$41,Assumptions!$B$36:$H$41))</f>
        <v>0</v>
      </c>
      <c r="FDD28">
        <f t="array" ref="FDD28">_xlfn.XLOOKUP(FDD$11,Assumptions!$B$35:$H$35,_xlfn.XLOOKUP($C28,Assumptions!$B$36:$B$41,Assumptions!$B$36:$H$41))</f>
        <v>0</v>
      </c>
      <c r="FDE28">
        <f t="array" ref="FDE28">_xlfn.XLOOKUP(FDE$11,Assumptions!$B$35:$H$35,_xlfn.XLOOKUP($C28,Assumptions!$B$36:$B$41,Assumptions!$B$36:$H$41))</f>
        <v>0</v>
      </c>
      <c r="FDF28">
        <f t="array" ref="FDF28">_xlfn.XLOOKUP(FDF$11,Assumptions!$B$35:$H$35,_xlfn.XLOOKUP($C28,Assumptions!$B$36:$B$41,Assumptions!$B$36:$H$41))</f>
        <v>0</v>
      </c>
      <c r="FDG28">
        <f t="array" ref="FDG28">_xlfn.XLOOKUP(FDG$11,Assumptions!$B$35:$H$35,_xlfn.XLOOKUP($C28,Assumptions!$B$36:$B$41,Assumptions!$B$36:$H$41))</f>
        <v>0</v>
      </c>
      <c r="FDH28">
        <f t="array" ref="FDH28">_xlfn.XLOOKUP(FDH$11,Assumptions!$B$35:$H$35,_xlfn.XLOOKUP($C28,Assumptions!$B$36:$B$41,Assumptions!$B$36:$H$41))</f>
        <v>0</v>
      </c>
      <c r="FDI28">
        <f t="array" ref="FDI28">_xlfn.XLOOKUP(FDI$11,Assumptions!$B$35:$H$35,_xlfn.XLOOKUP($C28,Assumptions!$B$36:$B$41,Assumptions!$B$36:$H$41))</f>
        <v>0</v>
      </c>
      <c r="FDJ28">
        <f t="array" ref="FDJ28">_xlfn.XLOOKUP(FDJ$11,Assumptions!$B$35:$H$35,_xlfn.XLOOKUP($C28,Assumptions!$B$36:$B$41,Assumptions!$B$36:$H$41))</f>
        <v>0</v>
      </c>
      <c r="FDK28">
        <f t="array" ref="FDK28">_xlfn.XLOOKUP(FDK$11,Assumptions!$B$35:$H$35,_xlfn.XLOOKUP($C28,Assumptions!$B$36:$B$41,Assumptions!$B$36:$H$41))</f>
        <v>0</v>
      </c>
      <c r="FDL28">
        <f t="array" ref="FDL28">_xlfn.XLOOKUP(FDL$11,Assumptions!$B$35:$H$35,_xlfn.XLOOKUP($C28,Assumptions!$B$36:$B$41,Assumptions!$B$36:$H$41))</f>
        <v>0</v>
      </c>
      <c r="FDM28">
        <f t="array" ref="FDM28">_xlfn.XLOOKUP(FDM$11,Assumptions!$B$35:$H$35,_xlfn.XLOOKUP($C28,Assumptions!$B$36:$B$41,Assumptions!$B$36:$H$41))</f>
        <v>0</v>
      </c>
      <c r="FDN28">
        <f t="array" ref="FDN28">_xlfn.XLOOKUP(FDN$11,Assumptions!$B$35:$H$35,_xlfn.XLOOKUP($C28,Assumptions!$B$36:$B$41,Assumptions!$B$36:$H$41))</f>
        <v>0</v>
      </c>
      <c r="FDO28">
        <f t="array" ref="FDO28">_xlfn.XLOOKUP(FDO$11,Assumptions!$B$35:$H$35,_xlfn.XLOOKUP($C28,Assumptions!$B$36:$B$41,Assumptions!$B$36:$H$41))</f>
        <v>0</v>
      </c>
      <c r="FDP28">
        <f t="array" ref="FDP28">_xlfn.XLOOKUP(FDP$11,Assumptions!$B$35:$H$35,_xlfn.XLOOKUP($C28,Assumptions!$B$36:$B$41,Assumptions!$B$36:$H$41))</f>
        <v>0</v>
      </c>
      <c r="FDQ28">
        <f t="array" ref="FDQ28">_xlfn.XLOOKUP(FDQ$11,Assumptions!$B$35:$H$35,_xlfn.XLOOKUP($C28,Assumptions!$B$36:$B$41,Assumptions!$B$36:$H$41))</f>
        <v>0</v>
      </c>
      <c r="FDR28">
        <f t="array" ref="FDR28">_xlfn.XLOOKUP(FDR$11,Assumptions!$B$35:$H$35,_xlfn.XLOOKUP($C28,Assumptions!$B$36:$B$41,Assumptions!$B$36:$H$41))</f>
        <v>0</v>
      </c>
      <c r="FDS28">
        <f t="array" ref="FDS28">_xlfn.XLOOKUP(FDS$11,Assumptions!$B$35:$H$35,_xlfn.XLOOKUP($C28,Assumptions!$B$36:$B$41,Assumptions!$B$36:$H$41))</f>
        <v>0</v>
      </c>
      <c r="FDT28">
        <f t="array" ref="FDT28">_xlfn.XLOOKUP(FDT$11,Assumptions!$B$35:$H$35,_xlfn.XLOOKUP($C28,Assumptions!$B$36:$B$41,Assumptions!$B$36:$H$41))</f>
        <v>0</v>
      </c>
      <c r="FDU28">
        <f t="array" ref="FDU28">_xlfn.XLOOKUP(FDU$11,Assumptions!$B$35:$H$35,_xlfn.XLOOKUP($C28,Assumptions!$B$36:$B$41,Assumptions!$B$36:$H$41))</f>
        <v>0</v>
      </c>
      <c r="FDV28">
        <f t="array" ref="FDV28">_xlfn.XLOOKUP(FDV$11,Assumptions!$B$35:$H$35,_xlfn.XLOOKUP($C28,Assumptions!$B$36:$B$41,Assumptions!$B$36:$H$41))</f>
        <v>0</v>
      </c>
      <c r="FDW28">
        <f t="array" ref="FDW28">_xlfn.XLOOKUP(FDW$11,Assumptions!$B$35:$H$35,_xlfn.XLOOKUP($C28,Assumptions!$B$36:$B$41,Assumptions!$B$36:$H$41))</f>
        <v>0</v>
      </c>
      <c r="FDX28">
        <f t="array" ref="FDX28">_xlfn.XLOOKUP(FDX$11,Assumptions!$B$35:$H$35,_xlfn.XLOOKUP($C28,Assumptions!$B$36:$B$41,Assumptions!$B$36:$H$41))</f>
        <v>0</v>
      </c>
      <c r="FDY28">
        <f t="array" ref="FDY28">_xlfn.XLOOKUP(FDY$11,Assumptions!$B$35:$H$35,_xlfn.XLOOKUP($C28,Assumptions!$B$36:$B$41,Assumptions!$B$36:$H$41))</f>
        <v>0</v>
      </c>
      <c r="FDZ28">
        <f t="array" ref="FDZ28">_xlfn.XLOOKUP(FDZ$11,Assumptions!$B$35:$H$35,_xlfn.XLOOKUP($C28,Assumptions!$B$36:$B$41,Assumptions!$B$36:$H$41))</f>
        <v>0</v>
      </c>
      <c r="FEA28">
        <f t="array" ref="FEA28">_xlfn.XLOOKUP(FEA$11,Assumptions!$B$35:$H$35,_xlfn.XLOOKUP($C28,Assumptions!$B$36:$B$41,Assumptions!$B$36:$H$41))</f>
        <v>0</v>
      </c>
      <c r="FEB28">
        <f t="array" ref="FEB28">_xlfn.XLOOKUP(FEB$11,Assumptions!$B$35:$H$35,_xlfn.XLOOKUP($C28,Assumptions!$B$36:$B$41,Assumptions!$B$36:$H$41))</f>
        <v>0</v>
      </c>
      <c r="FEC28">
        <f t="array" ref="FEC28">_xlfn.XLOOKUP(FEC$11,Assumptions!$B$35:$H$35,_xlfn.XLOOKUP($C28,Assumptions!$B$36:$B$41,Assumptions!$B$36:$H$41))</f>
        <v>0</v>
      </c>
      <c r="FED28">
        <f t="array" ref="FED28">_xlfn.XLOOKUP(FED$11,Assumptions!$B$35:$H$35,_xlfn.XLOOKUP($C28,Assumptions!$B$36:$B$41,Assumptions!$B$36:$H$41))</f>
        <v>0</v>
      </c>
      <c r="FEE28">
        <f t="array" ref="FEE28">_xlfn.XLOOKUP(FEE$11,Assumptions!$B$35:$H$35,_xlfn.XLOOKUP($C28,Assumptions!$B$36:$B$41,Assumptions!$B$36:$H$41))</f>
        <v>0</v>
      </c>
      <c r="FEF28">
        <f t="array" ref="FEF28">_xlfn.XLOOKUP(FEF$11,Assumptions!$B$35:$H$35,_xlfn.XLOOKUP($C28,Assumptions!$B$36:$B$41,Assumptions!$B$36:$H$41))</f>
        <v>0</v>
      </c>
      <c r="FEG28">
        <f t="array" ref="FEG28">_xlfn.XLOOKUP(FEG$11,Assumptions!$B$35:$H$35,_xlfn.XLOOKUP($C28,Assumptions!$B$36:$B$41,Assumptions!$B$36:$H$41))</f>
        <v>0</v>
      </c>
      <c r="FEH28">
        <f t="array" ref="FEH28">_xlfn.XLOOKUP(FEH$11,Assumptions!$B$35:$H$35,_xlfn.XLOOKUP($C28,Assumptions!$B$36:$B$41,Assumptions!$B$36:$H$41))</f>
        <v>0</v>
      </c>
      <c r="FEI28">
        <f t="array" ref="FEI28">_xlfn.XLOOKUP(FEI$11,Assumptions!$B$35:$H$35,_xlfn.XLOOKUP($C28,Assumptions!$B$36:$B$41,Assumptions!$B$36:$H$41))</f>
        <v>0</v>
      </c>
      <c r="FEJ28">
        <f t="array" ref="FEJ28">_xlfn.XLOOKUP(FEJ$11,Assumptions!$B$35:$H$35,_xlfn.XLOOKUP($C28,Assumptions!$B$36:$B$41,Assumptions!$B$36:$H$41))</f>
        <v>0</v>
      </c>
      <c r="FEK28">
        <f t="array" ref="FEK28">_xlfn.XLOOKUP(FEK$11,Assumptions!$B$35:$H$35,_xlfn.XLOOKUP($C28,Assumptions!$B$36:$B$41,Assumptions!$B$36:$H$41))</f>
        <v>0</v>
      </c>
      <c r="FEL28">
        <f t="array" ref="FEL28">_xlfn.XLOOKUP(FEL$11,Assumptions!$B$35:$H$35,_xlfn.XLOOKUP($C28,Assumptions!$B$36:$B$41,Assumptions!$B$36:$H$41))</f>
        <v>0</v>
      </c>
      <c r="FEM28">
        <f t="array" ref="FEM28">_xlfn.XLOOKUP(FEM$11,Assumptions!$B$35:$H$35,_xlfn.XLOOKUP($C28,Assumptions!$B$36:$B$41,Assumptions!$B$36:$H$41))</f>
        <v>0</v>
      </c>
      <c r="FEN28">
        <f t="array" ref="FEN28">_xlfn.XLOOKUP(FEN$11,Assumptions!$B$35:$H$35,_xlfn.XLOOKUP($C28,Assumptions!$B$36:$B$41,Assumptions!$B$36:$H$41))</f>
        <v>0</v>
      </c>
      <c r="FEO28">
        <f t="array" ref="FEO28">_xlfn.XLOOKUP(FEO$11,Assumptions!$B$35:$H$35,_xlfn.XLOOKUP($C28,Assumptions!$B$36:$B$41,Assumptions!$B$36:$H$41))</f>
        <v>0</v>
      </c>
      <c r="FEP28">
        <f t="array" ref="FEP28">_xlfn.XLOOKUP(FEP$11,Assumptions!$B$35:$H$35,_xlfn.XLOOKUP($C28,Assumptions!$B$36:$B$41,Assumptions!$B$36:$H$41))</f>
        <v>0</v>
      </c>
      <c r="FEQ28">
        <f t="array" ref="FEQ28">_xlfn.XLOOKUP(FEQ$11,Assumptions!$B$35:$H$35,_xlfn.XLOOKUP($C28,Assumptions!$B$36:$B$41,Assumptions!$B$36:$H$41))</f>
        <v>0</v>
      </c>
      <c r="FER28">
        <f t="array" ref="FER28">_xlfn.XLOOKUP(FER$11,Assumptions!$B$35:$H$35,_xlfn.XLOOKUP($C28,Assumptions!$B$36:$B$41,Assumptions!$B$36:$H$41))</f>
        <v>0</v>
      </c>
      <c r="FES28">
        <f t="array" ref="FES28">_xlfn.XLOOKUP(FES$11,Assumptions!$B$35:$H$35,_xlfn.XLOOKUP($C28,Assumptions!$B$36:$B$41,Assumptions!$B$36:$H$41))</f>
        <v>0</v>
      </c>
      <c r="FET28">
        <f t="array" ref="FET28">_xlfn.XLOOKUP(FET$11,Assumptions!$B$35:$H$35,_xlfn.XLOOKUP($C28,Assumptions!$B$36:$B$41,Assumptions!$B$36:$H$41))</f>
        <v>0</v>
      </c>
      <c r="FEU28">
        <f t="array" ref="FEU28">_xlfn.XLOOKUP(FEU$11,Assumptions!$B$35:$H$35,_xlfn.XLOOKUP($C28,Assumptions!$B$36:$B$41,Assumptions!$B$36:$H$41))</f>
        <v>0</v>
      </c>
      <c r="FEV28">
        <f t="array" ref="FEV28">_xlfn.XLOOKUP(FEV$11,Assumptions!$B$35:$H$35,_xlfn.XLOOKUP($C28,Assumptions!$B$36:$B$41,Assumptions!$B$36:$H$41))</f>
        <v>0</v>
      </c>
      <c r="FEW28">
        <f t="array" ref="FEW28">_xlfn.XLOOKUP(FEW$11,Assumptions!$B$35:$H$35,_xlfn.XLOOKUP($C28,Assumptions!$B$36:$B$41,Assumptions!$B$36:$H$41))</f>
        <v>0</v>
      </c>
      <c r="FEX28">
        <f t="array" ref="FEX28">_xlfn.XLOOKUP(FEX$11,Assumptions!$B$35:$H$35,_xlfn.XLOOKUP($C28,Assumptions!$B$36:$B$41,Assumptions!$B$36:$H$41))</f>
        <v>0</v>
      </c>
      <c r="FEY28">
        <f t="array" ref="FEY28">_xlfn.XLOOKUP(FEY$11,Assumptions!$B$35:$H$35,_xlfn.XLOOKUP($C28,Assumptions!$B$36:$B$41,Assumptions!$B$36:$H$41))</f>
        <v>0</v>
      </c>
      <c r="FEZ28">
        <f t="array" ref="FEZ28">_xlfn.XLOOKUP(FEZ$11,Assumptions!$B$35:$H$35,_xlfn.XLOOKUP($C28,Assumptions!$B$36:$B$41,Assumptions!$B$36:$H$41))</f>
        <v>0</v>
      </c>
      <c r="FFA28">
        <f t="array" ref="FFA28">_xlfn.XLOOKUP(FFA$11,Assumptions!$B$35:$H$35,_xlfn.XLOOKUP($C28,Assumptions!$B$36:$B$41,Assumptions!$B$36:$H$41))</f>
        <v>0</v>
      </c>
      <c r="FFB28">
        <f t="array" ref="FFB28">_xlfn.XLOOKUP(FFB$11,Assumptions!$B$35:$H$35,_xlfn.XLOOKUP($C28,Assumptions!$B$36:$B$41,Assumptions!$B$36:$H$41))</f>
        <v>0</v>
      </c>
      <c r="FFC28">
        <f t="array" ref="FFC28">_xlfn.XLOOKUP(FFC$11,Assumptions!$B$35:$H$35,_xlfn.XLOOKUP($C28,Assumptions!$B$36:$B$41,Assumptions!$B$36:$H$41))</f>
        <v>0</v>
      </c>
      <c r="FFD28">
        <f t="array" ref="FFD28">_xlfn.XLOOKUP(FFD$11,Assumptions!$B$35:$H$35,_xlfn.XLOOKUP($C28,Assumptions!$B$36:$B$41,Assumptions!$B$36:$H$41))</f>
        <v>0</v>
      </c>
      <c r="FFE28">
        <f t="array" ref="FFE28">_xlfn.XLOOKUP(FFE$11,Assumptions!$B$35:$H$35,_xlfn.XLOOKUP($C28,Assumptions!$B$36:$B$41,Assumptions!$B$36:$H$41))</f>
        <v>0</v>
      </c>
      <c r="FFF28">
        <f t="array" ref="FFF28">_xlfn.XLOOKUP(FFF$11,Assumptions!$B$35:$H$35,_xlfn.XLOOKUP($C28,Assumptions!$B$36:$B$41,Assumptions!$B$36:$H$41))</f>
        <v>0</v>
      </c>
      <c r="FFG28">
        <f t="array" ref="FFG28">_xlfn.XLOOKUP(FFG$11,Assumptions!$B$35:$H$35,_xlfn.XLOOKUP($C28,Assumptions!$B$36:$B$41,Assumptions!$B$36:$H$41))</f>
        <v>0</v>
      </c>
      <c r="FFH28">
        <f t="array" ref="FFH28">_xlfn.XLOOKUP(FFH$11,Assumptions!$B$35:$H$35,_xlfn.XLOOKUP($C28,Assumptions!$B$36:$B$41,Assumptions!$B$36:$H$41))</f>
        <v>0</v>
      </c>
      <c r="FFI28">
        <f t="array" ref="FFI28">_xlfn.XLOOKUP(FFI$11,Assumptions!$B$35:$H$35,_xlfn.XLOOKUP($C28,Assumptions!$B$36:$B$41,Assumptions!$B$36:$H$41))</f>
        <v>0</v>
      </c>
      <c r="FFJ28">
        <f t="array" ref="FFJ28">_xlfn.XLOOKUP(FFJ$11,Assumptions!$B$35:$H$35,_xlfn.XLOOKUP($C28,Assumptions!$B$36:$B$41,Assumptions!$B$36:$H$41))</f>
        <v>0</v>
      </c>
      <c r="FFK28">
        <f t="array" ref="FFK28">_xlfn.XLOOKUP(FFK$11,Assumptions!$B$35:$H$35,_xlfn.XLOOKUP($C28,Assumptions!$B$36:$B$41,Assumptions!$B$36:$H$41))</f>
        <v>0</v>
      </c>
      <c r="FFL28">
        <f t="array" ref="FFL28">_xlfn.XLOOKUP(FFL$11,Assumptions!$B$35:$H$35,_xlfn.XLOOKUP($C28,Assumptions!$B$36:$B$41,Assumptions!$B$36:$H$41))</f>
        <v>0</v>
      </c>
      <c r="FFM28">
        <f t="array" ref="FFM28">_xlfn.XLOOKUP(FFM$11,Assumptions!$B$35:$H$35,_xlfn.XLOOKUP($C28,Assumptions!$B$36:$B$41,Assumptions!$B$36:$H$41))</f>
        <v>0</v>
      </c>
      <c r="FFN28">
        <f t="array" ref="FFN28">_xlfn.XLOOKUP(FFN$11,Assumptions!$B$35:$H$35,_xlfn.XLOOKUP($C28,Assumptions!$B$36:$B$41,Assumptions!$B$36:$H$41))</f>
        <v>0</v>
      </c>
      <c r="FFO28">
        <f t="array" ref="FFO28">_xlfn.XLOOKUP(FFO$11,Assumptions!$B$35:$H$35,_xlfn.XLOOKUP($C28,Assumptions!$B$36:$B$41,Assumptions!$B$36:$H$41))</f>
        <v>0</v>
      </c>
      <c r="FFP28">
        <f t="array" ref="FFP28">_xlfn.XLOOKUP(FFP$11,Assumptions!$B$35:$H$35,_xlfn.XLOOKUP($C28,Assumptions!$B$36:$B$41,Assumptions!$B$36:$H$41))</f>
        <v>0</v>
      </c>
      <c r="FFQ28">
        <f t="array" ref="FFQ28">_xlfn.XLOOKUP(FFQ$11,Assumptions!$B$35:$H$35,_xlfn.XLOOKUP($C28,Assumptions!$B$36:$B$41,Assumptions!$B$36:$H$41))</f>
        <v>0</v>
      </c>
      <c r="FFR28">
        <f t="array" ref="FFR28">_xlfn.XLOOKUP(FFR$11,Assumptions!$B$35:$H$35,_xlfn.XLOOKUP($C28,Assumptions!$B$36:$B$41,Assumptions!$B$36:$H$41))</f>
        <v>0</v>
      </c>
      <c r="FFS28">
        <f t="array" ref="FFS28">_xlfn.XLOOKUP(FFS$11,Assumptions!$B$35:$H$35,_xlfn.XLOOKUP($C28,Assumptions!$B$36:$B$41,Assumptions!$B$36:$H$41))</f>
        <v>0</v>
      </c>
      <c r="FFT28">
        <f t="array" ref="FFT28">_xlfn.XLOOKUP(FFT$11,Assumptions!$B$35:$H$35,_xlfn.XLOOKUP($C28,Assumptions!$B$36:$B$41,Assumptions!$B$36:$H$41))</f>
        <v>0</v>
      </c>
      <c r="FFU28">
        <f t="array" ref="FFU28">_xlfn.XLOOKUP(FFU$11,Assumptions!$B$35:$H$35,_xlfn.XLOOKUP($C28,Assumptions!$B$36:$B$41,Assumptions!$B$36:$H$41))</f>
        <v>0</v>
      </c>
      <c r="FFV28">
        <f t="array" ref="FFV28">_xlfn.XLOOKUP(FFV$11,Assumptions!$B$35:$H$35,_xlfn.XLOOKUP($C28,Assumptions!$B$36:$B$41,Assumptions!$B$36:$H$41))</f>
        <v>0</v>
      </c>
      <c r="FFW28">
        <f t="array" ref="FFW28">_xlfn.XLOOKUP(FFW$11,Assumptions!$B$35:$H$35,_xlfn.XLOOKUP($C28,Assumptions!$B$36:$B$41,Assumptions!$B$36:$H$41))</f>
        <v>0</v>
      </c>
      <c r="FFX28">
        <f t="array" ref="FFX28">_xlfn.XLOOKUP(FFX$11,Assumptions!$B$35:$H$35,_xlfn.XLOOKUP($C28,Assumptions!$B$36:$B$41,Assumptions!$B$36:$H$41))</f>
        <v>0</v>
      </c>
      <c r="FFY28">
        <f t="array" ref="FFY28">_xlfn.XLOOKUP(FFY$11,Assumptions!$B$35:$H$35,_xlfn.XLOOKUP($C28,Assumptions!$B$36:$B$41,Assumptions!$B$36:$H$41))</f>
        <v>0</v>
      </c>
      <c r="FFZ28">
        <f t="array" ref="FFZ28">_xlfn.XLOOKUP(FFZ$11,Assumptions!$B$35:$H$35,_xlfn.XLOOKUP($C28,Assumptions!$B$36:$B$41,Assumptions!$B$36:$H$41))</f>
        <v>0</v>
      </c>
      <c r="FGA28">
        <f t="array" ref="FGA28">_xlfn.XLOOKUP(FGA$11,Assumptions!$B$35:$H$35,_xlfn.XLOOKUP($C28,Assumptions!$B$36:$B$41,Assumptions!$B$36:$H$41))</f>
        <v>0</v>
      </c>
      <c r="FGB28">
        <f t="array" ref="FGB28">_xlfn.XLOOKUP(FGB$11,Assumptions!$B$35:$H$35,_xlfn.XLOOKUP($C28,Assumptions!$B$36:$B$41,Assumptions!$B$36:$H$41))</f>
        <v>0</v>
      </c>
      <c r="FGC28">
        <f t="array" ref="FGC28">_xlfn.XLOOKUP(FGC$11,Assumptions!$B$35:$H$35,_xlfn.XLOOKUP($C28,Assumptions!$B$36:$B$41,Assumptions!$B$36:$H$41))</f>
        <v>0</v>
      </c>
      <c r="FGD28">
        <f t="array" ref="FGD28">_xlfn.XLOOKUP(FGD$11,Assumptions!$B$35:$H$35,_xlfn.XLOOKUP($C28,Assumptions!$B$36:$B$41,Assumptions!$B$36:$H$41))</f>
        <v>0</v>
      </c>
      <c r="FGE28">
        <f t="array" ref="FGE28">_xlfn.XLOOKUP(FGE$11,Assumptions!$B$35:$H$35,_xlfn.XLOOKUP($C28,Assumptions!$B$36:$B$41,Assumptions!$B$36:$H$41))</f>
        <v>0</v>
      </c>
      <c r="FGF28">
        <f t="array" ref="FGF28">_xlfn.XLOOKUP(FGF$11,Assumptions!$B$35:$H$35,_xlfn.XLOOKUP($C28,Assumptions!$B$36:$B$41,Assumptions!$B$36:$H$41))</f>
        <v>0</v>
      </c>
      <c r="FGG28">
        <f t="array" ref="FGG28">_xlfn.XLOOKUP(FGG$11,Assumptions!$B$35:$H$35,_xlfn.XLOOKUP($C28,Assumptions!$B$36:$B$41,Assumptions!$B$36:$H$41))</f>
        <v>0</v>
      </c>
      <c r="FGH28">
        <f t="array" ref="FGH28">_xlfn.XLOOKUP(FGH$11,Assumptions!$B$35:$H$35,_xlfn.XLOOKUP($C28,Assumptions!$B$36:$B$41,Assumptions!$B$36:$H$41))</f>
        <v>0</v>
      </c>
      <c r="FGI28">
        <f t="array" ref="FGI28">_xlfn.XLOOKUP(FGI$11,Assumptions!$B$35:$H$35,_xlfn.XLOOKUP($C28,Assumptions!$B$36:$B$41,Assumptions!$B$36:$H$41))</f>
        <v>0</v>
      </c>
      <c r="FGJ28">
        <f t="array" ref="FGJ28">_xlfn.XLOOKUP(FGJ$11,Assumptions!$B$35:$H$35,_xlfn.XLOOKUP($C28,Assumptions!$B$36:$B$41,Assumptions!$B$36:$H$41))</f>
        <v>0</v>
      </c>
      <c r="FGK28">
        <f t="array" ref="FGK28">_xlfn.XLOOKUP(FGK$11,Assumptions!$B$35:$H$35,_xlfn.XLOOKUP($C28,Assumptions!$B$36:$B$41,Assumptions!$B$36:$H$41))</f>
        <v>0</v>
      </c>
      <c r="FGL28">
        <f t="array" ref="FGL28">_xlfn.XLOOKUP(FGL$11,Assumptions!$B$35:$H$35,_xlfn.XLOOKUP($C28,Assumptions!$B$36:$B$41,Assumptions!$B$36:$H$41))</f>
        <v>0</v>
      </c>
      <c r="FGM28">
        <f t="array" ref="FGM28">_xlfn.XLOOKUP(FGM$11,Assumptions!$B$35:$H$35,_xlfn.XLOOKUP($C28,Assumptions!$B$36:$B$41,Assumptions!$B$36:$H$41))</f>
        <v>0</v>
      </c>
      <c r="FGN28">
        <f t="array" ref="FGN28">_xlfn.XLOOKUP(FGN$11,Assumptions!$B$35:$H$35,_xlfn.XLOOKUP($C28,Assumptions!$B$36:$B$41,Assumptions!$B$36:$H$41))</f>
        <v>0</v>
      </c>
      <c r="FGO28">
        <f t="array" ref="FGO28">_xlfn.XLOOKUP(FGO$11,Assumptions!$B$35:$H$35,_xlfn.XLOOKUP($C28,Assumptions!$B$36:$B$41,Assumptions!$B$36:$H$41))</f>
        <v>0</v>
      </c>
      <c r="FGP28">
        <f t="array" ref="FGP28">_xlfn.XLOOKUP(FGP$11,Assumptions!$B$35:$H$35,_xlfn.XLOOKUP($C28,Assumptions!$B$36:$B$41,Assumptions!$B$36:$H$41))</f>
        <v>0</v>
      </c>
      <c r="FGQ28">
        <f t="array" ref="FGQ28">_xlfn.XLOOKUP(FGQ$11,Assumptions!$B$35:$H$35,_xlfn.XLOOKUP($C28,Assumptions!$B$36:$B$41,Assumptions!$B$36:$H$41))</f>
        <v>0</v>
      </c>
      <c r="FGR28">
        <f t="array" ref="FGR28">_xlfn.XLOOKUP(FGR$11,Assumptions!$B$35:$H$35,_xlfn.XLOOKUP($C28,Assumptions!$B$36:$B$41,Assumptions!$B$36:$H$41))</f>
        <v>0</v>
      </c>
      <c r="FGS28">
        <f t="array" ref="FGS28">_xlfn.XLOOKUP(FGS$11,Assumptions!$B$35:$H$35,_xlfn.XLOOKUP($C28,Assumptions!$B$36:$B$41,Assumptions!$B$36:$H$41))</f>
        <v>0</v>
      </c>
      <c r="FGT28">
        <f t="array" ref="FGT28">_xlfn.XLOOKUP(FGT$11,Assumptions!$B$35:$H$35,_xlfn.XLOOKUP($C28,Assumptions!$B$36:$B$41,Assumptions!$B$36:$H$41))</f>
        <v>0</v>
      </c>
      <c r="FGU28">
        <f t="array" ref="FGU28">_xlfn.XLOOKUP(FGU$11,Assumptions!$B$35:$H$35,_xlfn.XLOOKUP($C28,Assumptions!$B$36:$B$41,Assumptions!$B$36:$H$41))</f>
        <v>0</v>
      </c>
      <c r="FGV28">
        <f t="array" ref="FGV28">_xlfn.XLOOKUP(FGV$11,Assumptions!$B$35:$H$35,_xlfn.XLOOKUP($C28,Assumptions!$B$36:$B$41,Assumptions!$B$36:$H$41))</f>
        <v>0</v>
      </c>
      <c r="FGW28">
        <f t="array" ref="FGW28">_xlfn.XLOOKUP(FGW$11,Assumptions!$B$35:$H$35,_xlfn.XLOOKUP($C28,Assumptions!$B$36:$B$41,Assumptions!$B$36:$H$41))</f>
        <v>0</v>
      </c>
      <c r="FGX28">
        <f t="array" ref="FGX28">_xlfn.XLOOKUP(FGX$11,Assumptions!$B$35:$H$35,_xlfn.XLOOKUP($C28,Assumptions!$B$36:$B$41,Assumptions!$B$36:$H$41))</f>
        <v>0</v>
      </c>
      <c r="FGY28">
        <f t="array" ref="FGY28">_xlfn.XLOOKUP(FGY$11,Assumptions!$B$35:$H$35,_xlfn.XLOOKUP($C28,Assumptions!$B$36:$B$41,Assumptions!$B$36:$H$41))</f>
        <v>0</v>
      </c>
      <c r="FGZ28">
        <f t="array" ref="FGZ28">_xlfn.XLOOKUP(FGZ$11,Assumptions!$B$35:$H$35,_xlfn.XLOOKUP($C28,Assumptions!$B$36:$B$41,Assumptions!$B$36:$H$41))</f>
        <v>0</v>
      </c>
      <c r="FHA28">
        <f t="array" ref="FHA28">_xlfn.XLOOKUP(FHA$11,Assumptions!$B$35:$H$35,_xlfn.XLOOKUP($C28,Assumptions!$B$36:$B$41,Assumptions!$B$36:$H$41))</f>
        <v>0</v>
      </c>
      <c r="FHB28">
        <f t="array" ref="FHB28">_xlfn.XLOOKUP(FHB$11,Assumptions!$B$35:$H$35,_xlfn.XLOOKUP($C28,Assumptions!$B$36:$B$41,Assumptions!$B$36:$H$41))</f>
        <v>0</v>
      </c>
      <c r="FHC28">
        <f t="array" ref="FHC28">_xlfn.XLOOKUP(FHC$11,Assumptions!$B$35:$H$35,_xlfn.XLOOKUP($C28,Assumptions!$B$36:$B$41,Assumptions!$B$36:$H$41))</f>
        <v>0</v>
      </c>
      <c r="FHD28">
        <f t="array" ref="FHD28">_xlfn.XLOOKUP(FHD$11,Assumptions!$B$35:$H$35,_xlfn.XLOOKUP($C28,Assumptions!$B$36:$B$41,Assumptions!$B$36:$H$41))</f>
        <v>0</v>
      </c>
      <c r="FHE28">
        <f t="array" ref="FHE28">_xlfn.XLOOKUP(FHE$11,Assumptions!$B$35:$H$35,_xlfn.XLOOKUP($C28,Assumptions!$B$36:$B$41,Assumptions!$B$36:$H$41))</f>
        <v>0</v>
      </c>
      <c r="FHF28">
        <f t="array" ref="FHF28">_xlfn.XLOOKUP(FHF$11,Assumptions!$B$35:$H$35,_xlfn.XLOOKUP($C28,Assumptions!$B$36:$B$41,Assumptions!$B$36:$H$41))</f>
        <v>0</v>
      </c>
      <c r="FHG28">
        <f t="array" ref="FHG28">_xlfn.XLOOKUP(FHG$11,Assumptions!$B$35:$H$35,_xlfn.XLOOKUP($C28,Assumptions!$B$36:$B$41,Assumptions!$B$36:$H$41))</f>
        <v>0</v>
      </c>
      <c r="FHH28">
        <f t="array" ref="FHH28">_xlfn.XLOOKUP(FHH$11,Assumptions!$B$35:$H$35,_xlfn.XLOOKUP($C28,Assumptions!$B$36:$B$41,Assumptions!$B$36:$H$41))</f>
        <v>0</v>
      </c>
      <c r="FHI28">
        <f t="array" ref="FHI28">_xlfn.XLOOKUP(FHI$11,Assumptions!$B$35:$H$35,_xlfn.XLOOKUP($C28,Assumptions!$B$36:$B$41,Assumptions!$B$36:$H$41))</f>
        <v>0</v>
      </c>
      <c r="FHJ28">
        <f t="array" ref="FHJ28">_xlfn.XLOOKUP(FHJ$11,Assumptions!$B$35:$H$35,_xlfn.XLOOKUP($C28,Assumptions!$B$36:$B$41,Assumptions!$B$36:$H$41))</f>
        <v>0</v>
      </c>
      <c r="FHK28">
        <f t="array" ref="FHK28">_xlfn.XLOOKUP(FHK$11,Assumptions!$B$35:$H$35,_xlfn.XLOOKUP($C28,Assumptions!$B$36:$B$41,Assumptions!$B$36:$H$41))</f>
        <v>0</v>
      </c>
      <c r="FHL28">
        <f t="array" ref="FHL28">_xlfn.XLOOKUP(FHL$11,Assumptions!$B$35:$H$35,_xlfn.XLOOKUP($C28,Assumptions!$B$36:$B$41,Assumptions!$B$36:$H$41))</f>
        <v>0</v>
      </c>
      <c r="FHM28">
        <f t="array" ref="FHM28">_xlfn.XLOOKUP(FHM$11,Assumptions!$B$35:$H$35,_xlfn.XLOOKUP($C28,Assumptions!$B$36:$B$41,Assumptions!$B$36:$H$41))</f>
        <v>0</v>
      </c>
      <c r="FHN28">
        <f t="array" ref="FHN28">_xlfn.XLOOKUP(FHN$11,Assumptions!$B$35:$H$35,_xlfn.XLOOKUP($C28,Assumptions!$B$36:$B$41,Assumptions!$B$36:$H$41))</f>
        <v>0</v>
      </c>
      <c r="FHO28">
        <f t="array" ref="FHO28">_xlfn.XLOOKUP(FHO$11,Assumptions!$B$35:$H$35,_xlfn.XLOOKUP($C28,Assumptions!$B$36:$B$41,Assumptions!$B$36:$H$41))</f>
        <v>0</v>
      </c>
      <c r="FHP28">
        <f t="array" ref="FHP28">_xlfn.XLOOKUP(FHP$11,Assumptions!$B$35:$H$35,_xlfn.XLOOKUP($C28,Assumptions!$B$36:$B$41,Assumptions!$B$36:$H$41))</f>
        <v>0</v>
      </c>
      <c r="FHQ28">
        <f t="array" ref="FHQ28">_xlfn.XLOOKUP(FHQ$11,Assumptions!$B$35:$H$35,_xlfn.XLOOKUP($C28,Assumptions!$B$36:$B$41,Assumptions!$B$36:$H$41))</f>
        <v>0</v>
      </c>
      <c r="FHR28">
        <f t="array" ref="FHR28">_xlfn.XLOOKUP(FHR$11,Assumptions!$B$35:$H$35,_xlfn.XLOOKUP($C28,Assumptions!$B$36:$B$41,Assumptions!$B$36:$H$41))</f>
        <v>0</v>
      </c>
      <c r="FHS28">
        <f t="array" ref="FHS28">_xlfn.XLOOKUP(FHS$11,Assumptions!$B$35:$H$35,_xlfn.XLOOKUP($C28,Assumptions!$B$36:$B$41,Assumptions!$B$36:$H$41))</f>
        <v>0</v>
      </c>
      <c r="FHT28">
        <f t="array" ref="FHT28">_xlfn.XLOOKUP(FHT$11,Assumptions!$B$35:$H$35,_xlfn.XLOOKUP($C28,Assumptions!$B$36:$B$41,Assumptions!$B$36:$H$41))</f>
        <v>0</v>
      </c>
      <c r="FHU28">
        <f t="array" ref="FHU28">_xlfn.XLOOKUP(FHU$11,Assumptions!$B$35:$H$35,_xlfn.XLOOKUP($C28,Assumptions!$B$36:$B$41,Assumptions!$B$36:$H$41))</f>
        <v>0</v>
      </c>
      <c r="FHV28">
        <f t="array" ref="FHV28">_xlfn.XLOOKUP(FHV$11,Assumptions!$B$35:$H$35,_xlfn.XLOOKUP($C28,Assumptions!$B$36:$B$41,Assumptions!$B$36:$H$41))</f>
        <v>0</v>
      </c>
      <c r="FHW28">
        <f t="array" ref="FHW28">_xlfn.XLOOKUP(FHW$11,Assumptions!$B$35:$H$35,_xlfn.XLOOKUP($C28,Assumptions!$B$36:$B$41,Assumptions!$B$36:$H$41))</f>
        <v>0</v>
      </c>
      <c r="FHX28">
        <f t="array" ref="FHX28">_xlfn.XLOOKUP(FHX$11,Assumptions!$B$35:$H$35,_xlfn.XLOOKUP($C28,Assumptions!$B$36:$B$41,Assumptions!$B$36:$H$41))</f>
        <v>0</v>
      </c>
      <c r="FHY28">
        <f t="array" ref="FHY28">_xlfn.XLOOKUP(FHY$11,Assumptions!$B$35:$H$35,_xlfn.XLOOKUP($C28,Assumptions!$B$36:$B$41,Assumptions!$B$36:$H$41))</f>
        <v>0</v>
      </c>
      <c r="FHZ28">
        <f t="array" ref="FHZ28">_xlfn.XLOOKUP(FHZ$11,Assumptions!$B$35:$H$35,_xlfn.XLOOKUP($C28,Assumptions!$B$36:$B$41,Assumptions!$B$36:$H$41))</f>
        <v>0</v>
      </c>
      <c r="FIA28">
        <f t="array" ref="FIA28">_xlfn.XLOOKUP(FIA$11,Assumptions!$B$35:$H$35,_xlfn.XLOOKUP($C28,Assumptions!$B$36:$B$41,Assumptions!$B$36:$H$41))</f>
        <v>0</v>
      </c>
      <c r="FIB28">
        <f t="array" ref="FIB28">_xlfn.XLOOKUP(FIB$11,Assumptions!$B$35:$H$35,_xlfn.XLOOKUP($C28,Assumptions!$B$36:$B$41,Assumptions!$B$36:$H$41))</f>
        <v>0</v>
      </c>
      <c r="FIC28">
        <f t="array" ref="FIC28">_xlfn.XLOOKUP(FIC$11,Assumptions!$B$35:$H$35,_xlfn.XLOOKUP($C28,Assumptions!$B$36:$B$41,Assumptions!$B$36:$H$41))</f>
        <v>0</v>
      </c>
      <c r="FID28">
        <f t="array" ref="FID28">_xlfn.XLOOKUP(FID$11,Assumptions!$B$35:$H$35,_xlfn.XLOOKUP($C28,Assumptions!$B$36:$B$41,Assumptions!$B$36:$H$41))</f>
        <v>0</v>
      </c>
      <c r="FIE28">
        <f t="array" ref="FIE28">_xlfn.XLOOKUP(FIE$11,Assumptions!$B$35:$H$35,_xlfn.XLOOKUP($C28,Assumptions!$B$36:$B$41,Assumptions!$B$36:$H$41))</f>
        <v>0</v>
      </c>
      <c r="FIF28">
        <f t="array" ref="FIF28">_xlfn.XLOOKUP(FIF$11,Assumptions!$B$35:$H$35,_xlfn.XLOOKUP($C28,Assumptions!$B$36:$B$41,Assumptions!$B$36:$H$41))</f>
        <v>0</v>
      </c>
      <c r="FIG28">
        <f t="array" ref="FIG28">_xlfn.XLOOKUP(FIG$11,Assumptions!$B$35:$H$35,_xlfn.XLOOKUP($C28,Assumptions!$B$36:$B$41,Assumptions!$B$36:$H$41))</f>
        <v>0</v>
      </c>
      <c r="FIH28">
        <f t="array" ref="FIH28">_xlfn.XLOOKUP(FIH$11,Assumptions!$B$35:$H$35,_xlfn.XLOOKUP($C28,Assumptions!$B$36:$B$41,Assumptions!$B$36:$H$41))</f>
        <v>0</v>
      </c>
      <c r="FII28">
        <f t="array" ref="FII28">_xlfn.XLOOKUP(FII$11,Assumptions!$B$35:$H$35,_xlfn.XLOOKUP($C28,Assumptions!$B$36:$B$41,Assumptions!$B$36:$H$41))</f>
        <v>0</v>
      </c>
      <c r="FIJ28">
        <f t="array" ref="FIJ28">_xlfn.XLOOKUP(FIJ$11,Assumptions!$B$35:$H$35,_xlfn.XLOOKUP($C28,Assumptions!$B$36:$B$41,Assumptions!$B$36:$H$41))</f>
        <v>0</v>
      </c>
      <c r="FIK28">
        <f t="array" ref="FIK28">_xlfn.XLOOKUP(FIK$11,Assumptions!$B$35:$H$35,_xlfn.XLOOKUP($C28,Assumptions!$B$36:$B$41,Assumptions!$B$36:$H$41))</f>
        <v>0</v>
      </c>
      <c r="FIL28">
        <f t="array" ref="FIL28">_xlfn.XLOOKUP(FIL$11,Assumptions!$B$35:$H$35,_xlfn.XLOOKUP($C28,Assumptions!$B$36:$B$41,Assumptions!$B$36:$H$41))</f>
        <v>0</v>
      </c>
      <c r="FIM28">
        <f t="array" ref="FIM28">_xlfn.XLOOKUP(FIM$11,Assumptions!$B$35:$H$35,_xlfn.XLOOKUP($C28,Assumptions!$B$36:$B$41,Assumptions!$B$36:$H$41))</f>
        <v>0</v>
      </c>
      <c r="FIN28">
        <f t="array" ref="FIN28">_xlfn.XLOOKUP(FIN$11,Assumptions!$B$35:$H$35,_xlfn.XLOOKUP($C28,Assumptions!$B$36:$B$41,Assumptions!$B$36:$H$41))</f>
        <v>0</v>
      </c>
      <c r="FIO28">
        <f t="array" ref="FIO28">_xlfn.XLOOKUP(FIO$11,Assumptions!$B$35:$H$35,_xlfn.XLOOKUP($C28,Assumptions!$B$36:$B$41,Assumptions!$B$36:$H$41))</f>
        <v>0</v>
      </c>
      <c r="FIP28">
        <f t="array" ref="FIP28">_xlfn.XLOOKUP(FIP$11,Assumptions!$B$35:$H$35,_xlfn.XLOOKUP($C28,Assumptions!$B$36:$B$41,Assumptions!$B$36:$H$41))</f>
        <v>0</v>
      </c>
      <c r="FIQ28">
        <f t="array" ref="FIQ28">_xlfn.XLOOKUP(FIQ$11,Assumptions!$B$35:$H$35,_xlfn.XLOOKUP($C28,Assumptions!$B$36:$B$41,Assumptions!$B$36:$H$41))</f>
        <v>0</v>
      </c>
      <c r="FIR28">
        <f t="array" ref="FIR28">_xlfn.XLOOKUP(FIR$11,Assumptions!$B$35:$H$35,_xlfn.XLOOKUP($C28,Assumptions!$B$36:$B$41,Assumptions!$B$36:$H$41))</f>
        <v>0</v>
      </c>
      <c r="FIS28">
        <f t="array" ref="FIS28">_xlfn.XLOOKUP(FIS$11,Assumptions!$B$35:$H$35,_xlfn.XLOOKUP($C28,Assumptions!$B$36:$B$41,Assumptions!$B$36:$H$41))</f>
        <v>0</v>
      </c>
      <c r="FIT28">
        <f t="array" ref="FIT28">_xlfn.XLOOKUP(FIT$11,Assumptions!$B$35:$H$35,_xlfn.XLOOKUP($C28,Assumptions!$B$36:$B$41,Assumptions!$B$36:$H$41))</f>
        <v>0</v>
      </c>
      <c r="FIU28">
        <f t="array" ref="FIU28">_xlfn.XLOOKUP(FIU$11,Assumptions!$B$35:$H$35,_xlfn.XLOOKUP($C28,Assumptions!$B$36:$B$41,Assumptions!$B$36:$H$41))</f>
        <v>0</v>
      </c>
      <c r="FIV28">
        <f t="array" ref="FIV28">_xlfn.XLOOKUP(FIV$11,Assumptions!$B$35:$H$35,_xlfn.XLOOKUP($C28,Assumptions!$B$36:$B$41,Assumptions!$B$36:$H$41))</f>
        <v>0</v>
      </c>
      <c r="FIW28">
        <f t="array" ref="FIW28">_xlfn.XLOOKUP(FIW$11,Assumptions!$B$35:$H$35,_xlfn.XLOOKUP($C28,Assumptions!$B$36:$B$41,Assumptions!$B$36:$H$41))</f>
        <v>0</v>
      </c>
      <c r="FIX28">
        <f t="array" ref="FIX28">_xlfn.XLOOKUP(FIX$11,Assumptions!$B$35:$H$35,_xlfn.XLOOKUP($C28,Assumptions!$B$36:$B$41,Assumptions!$B$36:$H$41))</f>
        <v>0</v>
      </c>
      <c r="FIY28">
        <f t="array" ref="FIY28">_xlfn.XLOOKUP(FIY$11,Assumptions!$B$35:$H$35,_xlfn.XLOOKUP($C28,Assumptions!$B$36:$B$41,Assumptions!$B$36:$H$41))</f>
        <v>0</v>
      </c>
      <c r="FIZ28">
        <f t="array" ref="FIZ28">_xlfn.XLOOKUP(FIZ$11,Assumptions!$B$35:$H$35,_xlfn.XLOOKUP($C28,Assumptions!$B$36:$B$41,Assumptions!$B$36:$H$41))</f>
        <v>0</v>
      </c>
      <c r="FJA28">
        <f t="array" ref="FJA28">_xlfn.XLOOKUP(FJA$11,Assumptions!$B$35:$H$35,_xlfn.XLOOKUP($C28,Assumptions!$B$36:$B$41,Assumptions!$B$36:$H$41))</f>
        <v>0</v>
      </c>
      <c r="FJB28">
        <f t="array" ref="FJB28">_xlfn.XLOOKUP(FJB$11,Assumptions!$B$35:$H$35,_xlfn.XLOOKUP($C28,Assumptions!$B$36:$B$41,Assumptions!$B$36:$H$41))</f>
        <v>0</v>
      </c>
      <c r="FJC28">
        <f t="array" ref="FJC28">_xlfn.XLOOKUP(FJC$11,Assumptions!$B$35:$H$35,_xlfn.XLOOKUP($C28,Assumptions!$B$36:$B$41,Assumptions!$B$36:$H$41))</f>
        <v>0</v>
      </c>
      <c r="FJD28">
        <f t="array" ref="FJD28">_xlfn.XLOOKUP(FJD$11,Assumptions!$B$35:$H$35,_xlfn.XLOOKUP($C28,Assumptions!$B$36:$B$41,Assumptions!$B$36:$H$41))</f>
        <v>0</v>
      </c>
      <c r="FJE28">
        <f t="array" ref="FJE28">_xlfn.XLOOKUP(FJE$11,Assumptions!$B$35:$H$35,_xlfn.XLOOKUP($C28,Assumptions!$B$36:$B$41,Assumptions!$B$36:$H$41))</f>
        <v>0</v>
      </c>
      <c r="FJF28">
        <f t="array" ref="FJF28">_xlfn.XLOOKUP(FJF$11,Assumptions!$B$35:$H$35,_xlfn.XLOOKUP($C28,Assumptions!$B$36:$B$41,Assumptions!$B$36:$H$41))</f>
        <v>0</v>
      </c>
      <c r="FJG28">
        <f t="array" ref="FJG28">_xlfn.XLOOKUP(FJG$11,Assumptions!$B$35:$H$35,_xlfn.XLOOKUP($C28,Assumptions!$B$36:$B$41,Assumptions!$B$36:$H$41))</f>
        <v>0</v>
      </c>
      <c r="FJH28">
        <f t="array" ref="FJH28">_xlfn.XLOOKUP(FJH$11,Assumptions!$B$35:$H$35,_xlfn.XLOOKUP($C28,Assumptions!$B$36:$B$41,Assumptions!$B$36:$H$41))</f>
        <v>0</v>
      </c>
      <c r="FJI28">
        <f t="array" ref="FJI28">_xlfn.XLOOKUP(FJI$11,Assumptions!$B$35:$H$35,_xlfn.XLOOKUP($C28,Assumptions!$B$36:$B$41,Assumptions!$B$36:$H$41))</f>
        <v>0</v>
      </c>
      <c r="FJJ28">
        <f t="array" ref="FJJ28">_xlfn.XLOOKUP(FJJ$11,Assumptions!$B$35:$H$35,_xlfn.XLOOKUP($C28,Assumptions!$B$36:$B$41,Assumptions!$B$36:$H$41))</f>
        <v>0</v>
      </c>
      <c r="FJK28">
        <f t="array" ref="FJK28">_xlfn.XLOOKUP(FJK$11,Assumptions!$B$35:$H$35,_xlfn.XLOOKUP($C28,Assumptions!$B$36:$B$41,Assumptions!$B$36:$H$41))</f>
        <v>0</v>
      </c>
      <c r="FJL28">
        <f t="array" ref="FJL28">_xlfn.XLOOKUP(FJL$11,Assumptions!$B$35:$H$35,_xlfn.XLOOKUP($C28,Assumptions!$B$36:$B$41,Assumptions!$B$36:$H$41))</f>
        <v>0</v>
      </c>
      <c r="FJM28">
        <f t="array" ref="FJM28">_xlfn.XLOOKUP(FJM$11,Assumptions!$B$35:$H$35,_xlfn.XLOOKUP($C28,Assumptions!$B$36:$B$41,Assumptions!$B$36:$H$41))</f>
        <v>0</v>
      </c>
      <c r="FJN28">
        <f t="array" ref="FJN28">_xlfn.XLOOKUP(FJN$11,Assumptions!$B$35:$H$35,_xlfn.XLOOKUP($C28,Assumptions!$B$36:$B$41,Assumptions!$B$36:$H$41))</f>
        <v>0</v>
      </c>
      <c r="FJO28">
        <f t="array" ref="FJO28">_xlfn.XLOOKUP(FJO$11,Assumptions!$B$35:$H$35,_xlfn.XLOOKUP($C28,Assumptions!$B$36:$B$41,Assumptions!$B$36:$H$41))</f>
        <v>0</v>
      </c>
      <c r="FJP28">
        <f t="array" ref="FJP28">_xlfn.XLOOKUP(FJP$11,Assumptions!$B$35:$H$35,_xlfn.XLOOKUP($C28,Assumptions!$B$36:$B$41,Assumptions!$B$36:$H$41))</f>
        <v>0</v>
      </c>
      <c r="FJQ28">
        <f t="array" ref="FJQ28">_xlfn.XLOOKUP(FJQ$11,Assumptions!$B$35:$H$35,_xlfn.XLOOKUP($C28,Assumptions!$B$36:$B$41,Assumptions!$B$36:$H$41))</f>
        <v>0</v>
      </c>
      <c r="FJR28">
        <f t="array" ref="FJR28">_xlfn.XLOOKUP(FJR$11,Assumptions!$B$35:$H$35,_xlfn.XLOOKUP($C28,Assumptions!$B$36:$B$41,Assumptions!$B$36:$H$41))</f>
        <v>0</v>
      </c>
      <c r="FJS28">
        <f t="array" ref="FJS28">_xlfn.XLOOKUP(FJS$11,Assumptions!$B$35:$H$35,_xlfn.XLOOKUP($C28,Assumptions!$B$36:$B$41,Assumptions!$B$36:$H$41))</f>
        <v>0</v>
      </c>
      <c r="FJT28">
        <f t="array" ref="FJT28">_xlfn.XLOOKUP(FJT$11,Assumptions!$B$35:$H$35,_xlfn.XLOOKUP($C28,Assumptions!$B$36:$B$41,Assumptions!$B$36:$H$41))</f>
        <v>0</v>
      </c>
      <c r="FJU28">
        <f t="array" ref="FJU28">_xlfn.XLOOKUP(FJU$11,Assumptions!$B$35:$H$35,_xlfn.XLOOKUP($C28,Assumptions!$B$36:$B$41,Assumptions!$B$36:$H$41))</f>
        <v>0</v>
      </c>
      <c r="FJV28">
        <f t="array" ref="FJV28">_xlfn.XLOOKUP(FJV$11,Assumptions!$B$35:$H$35,_xlfn.XLOOKUP($C28,Assumptions!$B$36:$B$41,Assumptions!$B$36:$H$41))</f>
        <v>0</v>
      </c>
      <c r="FJW28">
        <f t="array" ref="FJW28">_xlfn.XLOOKUP(FJW$11,Assumptions!$B$35:$H$35,_xlfn.XLOOKUP($C28,Assumptions!$B$36:$B$41,Assumptions!$B$36:$H$41))</f>
        <v>0</v>
      </c>
      <c r="FJX28">
        <f t="array" ref="FJX28">_xlfn.XLOOKUP(FJX$11,Assumptions!$B$35:$H$35,_xlfn.XLOOKUP($C28,Assumptions!$B$36:$B$41,Assumptions!$B$36:$H$41))</f>
        <v>0</v>
      </c>
      <c r="FJY28">
        <f t="array" ref="FJY28">_xlfn.XLOOKUP(FJY$11,Assumptions!$B$35:$H$35,_xlfn.XLOOKUP($C28,Assumptions!$B$36:$B$41,Assumptions!$B$36:$H$41))</f>
        <v>0</v>
      </c>
      <c r="FJZ28">
        <f t="array" ref="FJZ28">_xlfn.XLOOKUP(FJZ$11,Assumptions!$B$35:$H$35,_xlfn.XLOOKUP($C28,Assumptions!$B$36:$B$41,Assumptions!$B$36:$H$41))</f>
        <v>0</v>
      </c>
      <c r="FKA28">
        <f t="array" ref="FKA28">_xlfn.XLOOKUP(FKA$11,Assumptions!$B$35:$H$35,_xlfn.XLOOKUP($C28,Assumptions!$B$36:$B$41,Assumptions!$B$36:$H$41))</f>
        <v>0</v>
      </c>
      <c r="FKB28">
        <f t="array" ref="FKB28">_xlfn.XLOOKUP(FKB$11,Assumptions!$B$35:$H$35,_xlfn.XLOOKUP($C28,Assumptions!$B$36:$B$41,Assumptions!$B$36:$H$41))</f>
        <v>0</v>
      </c>
      <c r="FKC28">
        <f t="array" ref="FKC28">_xlfn.XLOOKUP(FKC$11,Assumptions!$B$35:$H$35,_xlfn.XLOOKUP($C28,Assumptions!$B$36:$B$41,Assumptions!$B$36:$H$41))</f>
        <v>0</v>
      </c>
      <c r="FKD28">
        <f t="array" ref="FKD28">_xlfn.XLOOKUP(FKD$11,Assumptions!$B$35:$H$35,_xlfn.XLOOKUP($C28,Assumptions!$B$36:$B$41,Assumptions!$B$36:$H$41))</f>
        <v>0</v>
      </c>
      <c r="FKE28">
        <f t="array" ref="FKE28">_xlfn.XLOOKUP(FKE$11,Assumptions!$B$35:$H$35,_xlfn.XLOOKUP($C28,Assumptions!$B$36:$B$41,Assumptions!$B$36:$H$41))</f>
        <v>0</v>
      </c>
      <c r="FKF28">
        <f t="array" ref="FKF28">_xlfn.XLOOKUP(FKF$11,Assumptions!$B$35:$H$35,_xlfn.XLOOKUP($C28,Assumptions!$B$36:$B$41,Assumptions!$B$36:$H$41))</f>
        <v>0</v>
      </c>
      <c r="FKG28">
        <f t="array" ref="FKG28">_xlfn.XLOOKUP(FKG$11,Assumptions!$B$35:$H$35,_xlfn.XLOOKUP($C28,Assumptions!$B$36:$B$41,Assumptions!$B$36:$H$41))</f>
        <v>0</v>
      </c>
      <c r="FKH28">
        <f t="array" ref="FKH28">_xlfn.XLOOKUP(FKH$11,Assumptions!$B$35:$H$35,_xlfn.XLOOKUP($C28,Assumptions!$B$36:$B$41,Assumptions!$B$36:$H$41))</f>
        <v>0</v>
      </c>
      <c r="FKI28">
        <f t="array" ref="FKI28">_xlfn.XLOOKUP(FKI$11,Assumptions!$B$35:$H$35,_xlfn.XLOOKUP($C28,Assumptions!$B$36:$B$41,Assumptions!$B$36:$H$41))</f>
        <v>0</v>
      </c>
      <c r="FKJ28">
        <f t="array" ref="FKJ28">_xlfn.XLOOKUP(FKJ$11,Assumptions!$B$35:$H$35,_xlfn.XLOOKUP($C28,Assumptions!$B$36:$B$41,Assumptions!$B$36:$H$41))</f>
        <v>0</v>
      </c>
      <c r="FKK28">
        <f t="array" ref="FKK28">_xlfn.XLOOKUP(FKK$11,Assumptions!$B$35:$H$35,_xlfn.XLOOKUP($C28,Assumptions!$B$36:$B$41,Assumptions!$B$36:$H$41))</f>
        <v>0</v>
      </c>
      <c r="FKL28">
        <f t="array" ref="FKL28">_xlfn.XLOOKUP(FKL$11,Assumptions!$B$35:$H$35,_xlfn.XLOOKUP($C28,Assumptions!$B$36:$B$41,Assumptions!$B$36:$H$41))</f>
        <v>0</v>
      </c>
      <c r="FKM28">
        <f t="array" ref="FKM28">_xlfn.XLOOKUP(FKM$11,Assumptions!$B$35:$H$35,_xlfn.XLOOKUP($C28,Assumptions!$B$36:$B$41,Assumptions!$B$36:$H$41))</f>
        <v>0</v>
      </c>
      <c r="FKN28">
        <f t="array" ref="FKN28">_xlfn.XLOOKUP(FKN$11,Assumptions!$B$35:$H$35,_xlfn.XLOOKUP($C28,Assumptions!$B$36:$B$41,Assumptions!$B$36:$H$41))</f>
        <v>0</v>
      </c>
      <c r="FKO28">
        <f t="array" ref="FKO28">_xlfn.XLOOKUP(FKO$11,Assumptions!$B$35:$H$35,_xlfn.XLOOKUP($C28,Assumptions!$B$36:$B$41,Assumptions!$B$36:$H$41))</f>
        <v>0</v>
      </c>
      <c r="FKP28">
        <f t="array" ref="FKP28">_xlfn.XLOOKUP(FKP$11,Assumptions!$B$35:$H$35,_xlfn.XLOOKUP($C28,Assumptions!$B$36:$B$41,Assumptions!$B$36:$H$41))</f>
        <v>0</v>
      </c>
      <c r="FKQ28">
        <f t="array" ref="FKQ28">_xlfn.XLOOKUP(FKQ$11,Assumptions!$B$35:$H$35,_xlfn.XLOOKUP($C28,Assumptions!$B$36:$B$41,Assumptions!$B$36:$H$41))</f>
        <v>0</v>
      </c>
      <c r="FKR28">
        <f t="array" ref="FKR28">_xlfn.XLOOKUP(FKR$11,Assumptions!$B$35:$H$35,_xlfn.XLOOKUP($C28,Assumptions!$B$36:$B$41,Assumptions!$B$36:$H$41))</f>
        <v>0</v>
      </c>
      <c r="FKS28">
        <f t="array" ref="FKS28">_xlfn.XLOOKUP(FKS$11,Assumptions!$B$35:$H$35,_xlfn.XLOOKUP($C28,Assumptions!$B$36:$B$41,Assumptions!$B$36:$H$41))</f>
        <v>0</v>
      </c>
      <c r="FKT28">
        <f t="array" ref="FKT28">_xlfn.XLOOKUP(FKT$11,Assumptions!$B$35:$H$35,_xlfn.XLOOKUP($C28,Assumptions!$B$36:$B$41,Assumptions!$B$36:$H$41))</f>
        <v>0</v>
      </c>
      <c r="FKU28">
        <f t="array" ref="FKU28">_xlfn.XLOOKUP(FKU$11,Assumptions!$B$35:$H$35,_xlfn.XLOOKUP($C28,Assumptions!$B$36:$B$41,Assumptions!$B$36:$H$41))</f>
        <v>0</v>
      </c>
      <c r="FKV28">
        <f t="array" ref="FKV28">_xlfn.XLOOKUP(FKV$11,Assumptions!$B$35:$H$35,_xlfn.XLOOKUP($C28,Assumptions!$B$36:$B$41,Assumptions!$B$36:$H$41))</f>
        <v>0</v>
      </c>
      <c r="FKW28">
        <f t="array" ref="FKW28">_xlfn.XLOOKUP(FKW$11,Assumptions!$B$35:$H$35,_xlfn.XLOOKUP($C28,Assumptions!$B$36:$B$41,Assumptions!$B$36:$H$41))</f>
        <v>0</v>
      </c>
      <c r="FKX28">
        <f t="array" ref="FKX28">_xlfn.XLOOKUP(FKX$11,Assumptions!$B$35:$H$35,_xlfn.XLOOKUP($C28,Assumptions!$B$36:$B$41,Assumptions!$B$36:$H$41))</f>
        <v>0</v>
      </c>
      <c r="FKY28">
        <f t="array" ref="FKY28">_xlfn.XLOOKUP(FKY$11,Assumptions!$B$35:$H$35,_xlfn.XLOOKUP($C28,Assumptions!$B$36:$B$41,Assumptions!$B$36:$H$41))</f>
        <v>0</v>
      </c>
      <c r="FKZ28">
        <f t="array" ref="FKZ28">_xlfn.XLOOKUP(FKZ$11,Assumptions!$B$35:$H$35,_xlfn.XLOOKUP($C28,Assumptions!$B$36:$B$41,Assumptions!$B$36:$H$41))</f>
        <v>0</v>
      </c>
      <c r="FLA28">
        <f t="array" ref="FLA28">_xlfn.XLOOKUP(FLA$11,Assumptions!$B$35:$H$35,_xlfn.XLOOKUP($C28,Assumptions!$B$36:$B$41,Assumptions!$B$36:$H$41))</f>
        <v>0</v>
      </c>
      <c r="FLB28">
        <f t="array" ref="FLB28">_xlfn.XLOOKUP(FLB$11,Assumptions!$B$35:$H$35,_xlfn.XLOOKUP($C28,Assumptions!$B$36:$B$41,Assumptions!$B$36:$H$41))</f>
        <v>0</v>
      </c>
      <c r="FLC28">
        <f t="array" ref="FLC28">_xlfn.XLOOKUP(FLC$11,Assumptions!$B$35:$H$35,_xlfn.XLOOKUP($C28,Assumptions!$B$36:$B$41,Assumptions!$B$36:$H$41))</f>
        <v>0</v>
      </c>
      <c r="FLD28">
        <f t="array" ref="FLD28">_xlfn.XLOOKUP(FLD$11,Assumptions!$B$35:$H$35,_xlfn.XLOOKUP($C28,Assumptions!$B$36:$B$41,Assumptions!$B$36:$H$41))</f>
        <v>0</v>
      </c>
      <c r="FLE28">
        <f t="array" ref="FLE28">_xlfn.XLOOKUP(FLE$11,Assumptions!$B$35:$H$35,_xlfn.XLOOKUP($C28,Assumptions!$B$36:$B$41,Assumptions!$B$36:$H$41))</f>
        <v>0</v>
      </c>
      <c r="FLF28">
        <f t="array" ref="FLF28">_xlfn.XLOOKUP(FLF$11,Assumptions!$B$35:$H$35,_xlfn.XLOOKUP($C28,Assumptions!$B$36:$B$41,Assumptions!$B$36:$H$41))</f>
        <v>0</v>
      </c>
      <c r="FLG28">
        <f t="array" ref="FLG28">_xlfn.XLOOKUP(FLG$11,Assumptions!$B$35:$H$35,_xlfn.XLOOKUP($C28,Assumptions!$B$36:$B$41,Assumptions!$B$36:$H$41))</f>
        <v>0</v>
      </c>
      <c r="FLH28">
        <f t="array" ref="FLH28">_xlfn.XLOOKUP(FLH$11,Assumptions!$B$35:$H$35,_xlfn.XLOOKUP($C28,Assumptions!$B$36:$B$41,Assumptions!$B$36:$H$41))</f>
        <v>0</v>
      </c>
      <c r="FLI28">
        <f t="array" ref="FLI28">_xlfn.XLOOKUP(FLI$11,Assumptions!$B$35:$H$35,_xlfn.XLOOKUP($C28,Assumptions!$B$36:$B$41,Assumptions!$B$36:$H$41))</f>
        <v>0</v>
      </c>
      <c r="FLJ28">
        <f t="array" ref="FLJ28">_xlfn.XLOOKUP(FLJ$11,Assumptions!$B$35:$H$35,_xlfn.XLOOKUP($C28,Assumptions!$B$36:$B$41,Assumptions!$B$36:$H$41))</f>
        <v>0</v>
      </c>
      <c r="FLK28">
        <f t="array" ref="FLK28">_xlfn.XLOOKUP(FLK$11,Assumptions!$B$35:$H$35,_xlfn.XLOOKUP($C28,Assumptions!$B$36:$B$41,Assumptions!$B$36:$H$41))</f>
        <v>0</v>
      </c>
      <c r="FLL28">
        <f t="array" ref="FLL28">_xlfn.XLOOKUP(FLL$11,Assumptions!$B$35:$H$35,_xlfn.XLOOKUP($C28,Assumptions!$B$36:$B$41,Assumptions!$B$36:$H$41))</f>
        <v>0</v>
      </c>
      <c r="FLM28">
        <f t="array" ref="FLM28">_xlfn.XLOOKUP(FLM$11,Assumptions!$B$35:$H$35,_xlfn.XLOOKUP($C28,Assumptions!$B$36:$B$41,Assumptions!$B$36:$H$41))</f>
        <v>0</v>
      </c>
      <c r="FLN28">
        <f t="array" ref="FLN28">_xlfn.XLOOKUP(FLN$11,Assumptions!$B$35:$H$35,_xlfn.XLOOKUP($C28,Assumptions!$B$36:$B$41,Assumptions!$B$36:$H$41))</f>
        <v>0</v>
      </c>
      <c r="FLO28">
        <f t="array" ref="FLO28">_xlfn.XLOOKUP(FLO$11,Assumptions!$B$35:$H$35,_xlfn.XLOOKUP($C28,Assumptions!$B$36:$B$41,Assumptions!$B$36:$H$41))</f>
        <v>0</v>
      </c>
      <c r="FLP28">
        <f t="array" ref="FLP28">_xlfn.XLOOKUP(FLP$11,Assumptions!$B$35:$H$35,_xlfn.XLOOKUP($C28,Assumptions!$B$36:$B$41,Assumptions!$B$36:$H$41))</f>
        <v>0</v>
      </c>
      <c r="FLQ28">
        <f t="array" ref="FLQ28">_xlfn.XLOOKUP(FLQ$11,Assumptions!$B$35:$H$35,_xlfn.XLOOKUP($C28,Assumptions!$B$36:$B$41,Assumptions!$B$36:$H$41))</f>
        <v>0</v>
      </c>
      <c r="FLR28">
        <f t="array" ref="FLR28">_xlfn.XLOOKUP(FLR$11,Assumptions!$B$35:$H$35,_xlfn.XLOOKUP($C28,Assumptions!$B$36:$B$41,Assumptions!$B$36:$H$41))</f>
        <v>0</v>
      </c>
      <c r="FLS28">
        <f t="array" ref="FLS28">_xlfn.XLOOKUP(FLS$11,Assumptions!$B$35:$H$35,_xlfn.XLOOKUP($C28,Assumptions!$B$36:$B$41,Assumptions!$B$36:$H$41))</f>
        <v>0</v>
      </c>
      <c r="FLT28">
        <f t="array" ref="FLT28">_xlfn.XLOOKUP(FLT$11,Assumptions!$B$35:$H$35,_xlfn.XLOOKUP($C28,Assumptions!$B$36:$B$41,Assumptions!$B$36:$H$41))</f>
        <v>0</v>
      </c>
      <c r="FLU28">
        <f t="array" ref="FLU28">_xlfn.XLOOKUP(FLU$11,Assumptions!$B$35:$H$35,_xlfn.XLOOKUP($C28,Assumptions!$B$36:$B$41,Assumptions!$B$36:$H$41))</f>
        <v>0</v>
      </c>
      <c r="FLV28">
        <f t="array" ref="FLV28">_xlfn.XLOOKUP(FLV$11,Assumptions!$B$35:$H$35,_xlfn.XLOOKUP($C28,Assumptions!$B$36:$B$41,Assumptions!$B$36:$H$41))</f>
        <v>0</v>
      </c>
      <c r="FLW28">
        <f t="array" ref="FLW28">_xlfn.XLOOKUP(FLW$11,Assumptions!$B$35:$H$35,_xlfn.XLOOKUP($C28,Assumptions!$B$36:$B$41,Assumptions!$B$36:$H$41))</f>
        <v>0</v>
      </c>
      <c r="FLX28">
        <f t="array" ref="FLX28">_xlfn.XLOOKUP(FLX$11,Assumptions!$B$35:$H$35,_xlfn.XLOOKUP($C28,Assumptions!$B$36:$B$41,Assumptions!$B$36:$H$41))</f>
        <v>0</v>
      </c>
      <c r="FLY28">
        <f t="array" ref="FLY28">_xlfn.XLOOKUP(FLY$11,Assumptions!$B$35:$H$35,_xlfn.XLOOKUP($C28,Assumptions!$B$36:$B$41,Assumptions!$B$36:$H$41))</f>
        <v>0</v>
      </c>
      <c r="FLZ28">
        <f t="array" ref="FLZ28">_xlfn.XLOOKUP(FLZ$11,Assumptions!$B$35:$H$35,_xlfn.XLOOKUP($C28,Assumptions!$B$36:$B$41,Assumptions!$B$36:$H$41))</f>
        <v>0</v>
      </c>
      <c r="FMA28">
        <f t="array" ref="FMA28">_xlfn.XLOOKUP(FMA$11,Assumptions!$B$35:$H$35,_xlfn.XLOOKUP($C28,Assumptions!$B$36:$B$41,Assumptions!$B$36:$H$41))</f>
        <v>0</v>
      </c>
      <c r="FMB28">
        <f t="array" ref="FMB28">_xlfn.XLOOKUP(FMB$11,Assumptions!$B$35:$H$35,_xlfn.XLOOKUP($C28,Assumptions!$B$36:$B$41,Assumptions!$B$36:$H$41))</f>
        <v>0</v>
      </c>
      <c r="FMC28">
        <f t="array" ref="FMC28">_xlfn.XLOOKUP(FMC$11,Assumptions!$B$35:$H$35,_xlfn.XLOOKUP($C28,Assumptions!$B$36:$B$41,Assumptions!$B$36:$H$41))</f>
        <v>0</v>
      </c>
      <c r="FMD28">
        <f t="array" ref="FMD28">_xlfn.XLOOKUP(FMD$11,Assumptions!$B$35:$H$35,_xlfn.XLOOKUP($C28,Assumptions!$B$36:$B$41,Assumptions!$B$36:$H$41))</f>
        <v>0</v>
      </c>
      <c r="FME28">
        <f t="array" ref="FME28">_xlfn.XLOOKUP(FME$11,Assumptions!$B$35:$H$35,_xlfn.XLOOKUP($C28,Assumptions!$B$36:$B$41,Assumptions!$B$36:$H$41))</f>
        <v>0</v>
      </c>
      <c r="FMF28">
        <f t="array" ref="FMF28">_xlfn.XLOOKUP(FMF$11,Assumptions!$B$35:$H$35,_xlfn.XLOOKUP($C28,Assumptions!$B$36:$B$41,Assumptions!$B$36:$H$41))</f>
        <v>0</v>
      </c>
      <c r="FMG28">
        <f t="array" ref="FMG28">_xlfn.XLOOKUP(FMG$11,Assumptions!$B$35:$H$35,_xlfn.XLOOKUP($C28,Assumptions!$B$36:$B$41,Assumptions!$B$36:$H$41))</f>
        <v>0</v>
      </c>
      <c r="FMH28">
        <f t="array" ref="FMH28">_xlfn.XLOOKUP(FMH$11,Assumptions!$B$35:$H$35,_xlfn.XLOOKUP($C28,Assumptions!$B$36:$B$41,Assumptions!$B$36:$H$41))</f>
        <v>0</v>
      </c>
      <c r="FMI28">
        <f t="array" ref="FMI28">_xlfn.XLOOKUP(FMI$11,Assumptions!$B$35:$H$35,_xlfn.XLOOKUP($C28,Assumptions!$B$36:$B$41,Assumptions!$B$36:$H$41))</f>
        <v>0</v>
      </c>
      <c r="FMJ28">
        <f t="array" ref="FMJ28">_xlfn.XLOOKUP(FMJ$11,Assumptions!$B$35:$H$35,_xlfn.XLOOKUP($C28,Assumptions!$B$36:$B$41,Assumptions!$B$36:$H$41))</f>
        <v>0</v>
      </c>
      <c r="FMK28">
        <f t="array" ref="FMK28">_xlfn.XLOOKUP(FMK$11,Assumptions!$B$35:$H$35,_xlfn.XLOOKUP($C28,Assumptions!$B$36:$B$41,Assumptions!$B$36:$H$41))</f>
        <v>0</v>
      </c>
      <c r="FML28">
        <f t="array" ref="FML28">_xlfn.XLOOKUP(FML$11,Assumptions!$B$35:$H$35,_xlfn.XLOOKUP($C28,Assumptions!$B$36:$B$41,Assumptions!$B$36:$H$41))</f>
        <v>0</v>
      </c>
      <c r="FMM28">
        <f t="array" ref="FMM28">_xlfn.XLOOKUP(FMM$11,Assumptions!$B$35:$H$35,_xlfn.XLOOKUP($C28,Assumptions!$B$36:$B$41,Assumptions!$B$36:$H$41))</f>
        <v>0</v>
      </c>
      <c r="FMN28">
        <f t="array" ref="FMN28">_xlfn.XLOOKUP(FMN$11,Assumptions!$B$35:$H$35,_xlfn.XLOOKUP($C28,Assumptions!$B$36:$B$41,Assumptions!$B$36:$H$41))</f>
        <v>0</v>
      </c>
      <c r="FMO28">
        <f t="array" ref="FMO28">_xlfn.XLOOKUP(FMO$11,Assumptions!$B$35:$H$35,_xlfn.XLOOKUP($C28,Assumptions!$B$36:$B$41,Assumptions!$B$36:$H$41))</f>
        <v>0</v>
      </c>
      <c r="FMP28">
        <f t="array" ref="FMP28">_xlfn.XLOOKUP(FMP$11,Assumptions!$B$35:$H$35,_xlfn.XLOOKUP($C28,Assumptions!$B$36:$B$41,Assumptions!$B$36:$H$41))</f>
        <v>0</v>
      </c>
      <c r="FMQ28">
        <f t="array" ref="FMQ28">_xlfn.XLOOKUP(FMQ$11,Assumptions!$B$35:$H$35,_xlfn.XLOOKUP($C28,Assumptions!$B$36:$B$41,Assumptions!$B$36:$H$41))</f>
        <v>0</v>
      </c>
      <c r="FMR28">
        <f t="array" ref="FMR28">_xlfn.XLOOKUP(FMR$11,Assumptions!$B$35:$H$35,_xlfn.XLOOKUP($C28,Assumptions!$B$36:$B$41,Assumptions!$B$36:$H$41))</f>
        <v>0</v>
      </c>
      <c r="FMS28">
        <f t="array" ref="FMS28">_xlfn.XLOOKUP(FMS$11,Assumptions!$B$35:$H$35,_xlfn.XLOOKUP($C28,Assumptions!$B$36:$B$41,Assumptions!$B$36:$H$41))</f>
        <v>0</v>
      </c>
      <c r="FMT28">
        <f t="array" ref="FMT28">_xlfn.XLOOKUP(FMT$11,Assumptions!$B$35:$H$35,_xlfn.XLOOKUP($C28,Assumptions!$B$36:$B$41,Assumptions!$B$36:$H$41))</f>
        <v>0</v>
      </c>
      <c r="FMU28">
        <f t="array" ref="FMU28">_xlfn.XLOOKUP(FMU$11,Assumptions!$B$35:$H$35,_xlfn.XLOOKUP($C28,Assumptions!$B$36:$B$41,Assumptions!$B$36:$H$41))</f>
        <v>0</v>
      </c>
      <c r="FMV28">
        <f t="array" ref="FMV28">_xlfn.XLOOKUP(FMV$11,Assumptions!$B$35:$H$35,_xlfn.XLOOKUP($C28,Assumptions!$B$36:$B$41,Assumptions!$B$36:$H$41))</f>
        <v>0</v>
      </c>
      <c r="FMW28">
        <f t="array" ref="FMW28">_xlfn.XLOOKUP(FMW$11,Assumptions!$B$35:$H$35,_xlfn.XLOOKUP($C28,Assumptions!$B$36:$B$41,Assumptions!$B$36:$H$41))</f>
        <v>0</v>
      </c>
      <c r="FMX28">
        <f t="array" ref="FMX28">_xlfn.XLOOKUP(FMX$11,Assumptions!$B$35:$H$35,_xlfn.XLOOKUP($C28,Assumptions!$B$36:$B$41,Assumptions!$B$36:$H$41))</f>
        <v>0</v>
      </c>
      <c r="FMY28">
        <f t="array" ref="FMY28">_xlfn.XLOOKUP(FMY$11,Assumptions!$B$35:$H$35,_xlfn.XLOOKUP($C28,Assumptions!$B$36:$B$41,Assumptions!$B$36:$H$41))</f>
        <v>0</v>
      </c>
      <c r="FMZ28">
        <f t="array" ref="FMZ28">_xlfn.XLOOKUP(FMZ$11,Assumptions!$B$35:$H$35,_xlfn.XLOOKUP($C28,Assumptions!$B$36:$B$41,Assumptions!$B$36:$H$41))</f>
        <v>0</v>
      </c>
      <c r="FNA28">
        <f t="array" ref="FNA28">_xlfn.XLOOKUP(FNA$11,Assumptions!$B$35:$H$35,_xlfn.XLOOKUP($C28,Assumptions!$B$36:$B$41,Assumptions!$B$36:$H$41))</f>
        <v>0</v>
      </c>
      <c r="FNB28">
        <f t="array" ref="FNB28">_xlfn.XLOOKUP(FNB$11,Assumptions!$B$35:$H$35,_xlfn.XLOOKUP($C28,Assumptions!$B$36:$B$41,Assumptions!$B$36:$H$41))</f>
        <v>0</v>
      </c>
      <c r="FNC28">
        <f t="array" ref="FNC28">_xlfn.XLOOKUP(FNC$11,Assumptions!$B$35:$H$35,_xlfn.XLOOKUP($C28,Assumptions!$B$36:$B$41,Assumptions!$B$36:$H$41))</f>
        <v>0</v>
      </c>
      <c r="FND28">
        <f t="array" ref="FND28">_xlfn.XLOOKUP(FND$11,Assumptions!$B$35:$H$35,_xlfn.XLOOKUP($C28,Assumptions!$B$36:$B$41,Assumptions!$B$36:$H$41))</f>
        <v>0</v>
      </c>
      <c r="FNE28">
        <f t="array" ref="FNE28">_xlfn.XLOOKUP(FNE$11,Assumptions!$B$35:$H$35,_xlfn.XLOOKUP($C28,Assumptions!$B$36:$B$41,Assumptions!$B$36:$H$41))</f>
        <v>0</v>
      </c>
      <c r="FNF28">
        <f t="array" ref="FNF28">_xlfn.XLOOKUP(FNF$11,Assumptions!$B$35:$H$35,_xlfn.XLOOKUP($C28,Assumptions!$B$36:$B$41,Assumptions!$B$36:$H$41))</f>
        <v>0</v>
      </c>
      <c r="FNG28">
        <f t="array" ref="FNG28">_xlfn.XLOOKUP(FNG$11,Assumptions!$B$35:$H$35,_xlfn.XLOOKUP($C28,Assumptions!$B$36:$B$41,Assumptions!$B$36:$H$41))</f>
        <v>0</v>
      </c>
      <c r="FNH28">
        <f t="array" ref="FNH28">_xlfn.XLOOKUP(FNH$11,Assumptions!$B$35:$H$35,_xlfn.XLOOKUP($C28,Assumptions!$B$36:$B$41,Assumptions!$B$36:$H$41))</f>
        <v>0</v>
      </c>
      <c r="FNI28">
        <f t="array" ref="FNI28">_xlfn.XLOOKUP(FNI$11,Assumptions!$B$35:$H$35,_xlfn.XLOOKUP($C28,Assumptions!$B$36:$B$41,Assumptions!$B$36:$H$41))</f>
        <v>0</v>
      </c>
      <c r="FNJ28">
        <f t="array" ref="FNJ28">_xlfn.XLOOKUP(FNJ$11,Assumptions!$B$35:$H$35,_xlfn.XLOOKUP($C28,Assumptions!$B$36:$B$41,Assumptions!$B$36:$H$41))</f>
        <v>0</v>
      </c>
      <c r="FNK28">
        <f t="array" ref="FNK28">_xlfn.XLOOKUP(FNK$11,Assumptions!$B$35:$H$35,_xlfn.XLOOKUP($C28,Assumptions!$B$36:$B$41,Assumptions!$B$36:$H$41))</f>
        <v>0</v>
      </c>
      <c r="FNL28">
        <f t="array" ref="FNL28">_xlfn.XLOOKUP(FNL$11,Assumptions!$B$35:$H$35,_xlfn.XLOOKUP($C28,Assumptions!$B$36:$B$41,Assumptions!$B$36:$H$41))</f>
        <v>0</v>
      </c>
      <c r="FNM28">
        <f t="array" ref="FNM28">_xlfn.XLOOKUP(FNM$11,Assumptions!$B$35:$H$35,_xlfn.XLOOKUP($C28,Assumptions!$B$36:$B$41,Assumptions!$B$36:$H$41))</f>
        <v>0</v>
      </c>
      <c r="FNN28">
        <f t="array" ref="FNN28">_xlfn.XLOOKUP(FNN$11,Assumptions!$B$35:$H$35,_xlfn.XLOOKUP($C28,Assumptions!$B$36:$B$41,Assumptions!$B$36:$H$41))</f>
        <v>0</v>
      </c>
      <c r="FNO28">
        <f t="array" ref="FNO28">_xlfn.XLOOKUP(FNO$11,Assumptions!$B$35:$H$35,_xlfn.XLOOKUP($C28,Assumptions!$B$36:$B$41,Assumptions!$B$36:$H$41))</f>
        <v>0</v>
      </c>
      <c r="FNP28">
        <f t="array" ref="FNP28">_xlfn.XLOOKUP(FNP$11,Assumptions!$B$35:$H$35,_xlfn.XLOOKUP($C28,Assumptions!$B$36:$B$41,Assumptions!$B$36:$H$41))</f>
        <v>0</v>
      </c>
      <c r="FNQ28">
        <f t="array" ref="FNQ28">_xlfn.XLOOKUP(FNQ$11,Assumptions!$B$35:$H$35,_xlfn.XLOOKUP($C28,Assumptions!$B$36:$B$41,Assumptions!$B$36:$H$41))</f>
        <v>0</v>
      </c>
      <c r="FNR28">
        <f t="array" ref="FNR28">_xlfn.XLOOKUP(FNR$11,Assumptions!$B$35:$H$35,_xlfn.XLOOKUP($C28,Assumptions!$B$36:$B$41,Assumptions!$B$36:$H$41))</f>
        <v>0</v>
      </c>
      <c r="FNS28">
        <f t="array" ref="FNS28">_xlfn.XLOOKUP(FNS$11,Assumptions!$B$35:$H$35,_xlfn.XLOOKUP($C28,Assumptions!$B$36:$B$41,Assumptions!$B$36:$H$41))</f>
        <v>0</v>
      </c>
      <c r="FNT28">
        <f t="array" ref="FNT28">_xlfn.XLOOKUP(FNT$11,Assumptions!$B$35:$H$35,_xlfn.XLOOKUP($C28,Assumptions!$B$36:$B$41,Assumptions!$B$36:$H$41))</f>
        <v>0</v>
      </c>
      <c r="FNU28">
        <f t="array" ref="FNU28">_xlfn.XLOOKUP(FNU$11,Assumptions!$B$35:$H$35,_xlfn.XLOOKUP($C28,Assumptions!$B$36:$B$41,Assumptions!$B$36:$H$41))</f>
        <v>0</v>
      </c>
      <c r="FNV28">
        <f t="array" ref="FNV28">_xlfn.XLOOKUP(FNV$11,Assumptions!$B$35:$H$35,_xlfn.XLOOKUP($C28,Assumptions!$B$36:$B$41,Assumptions!$B$36:$H$41))</f>
        <v>0</v>
      </c>
      <c r="FNW28">
        <f t="array" ref="FNW28">_xlfn.XLOOKUP(FNW$11,Assumptions!$B$35:$H$35,_xlfn.XLOOKUP($C28,Assumptions!$B$36:$B$41,Assumptions!$B$36:$H$41))</f>
        <v>0</v>
      </c>
      <c r="FNX28">
        <f t="array" ref="FNX28">_xlfn.XLOOKUP(FNX$11,Assumptions!$B$35:$H$35,_xlfn.XLOOKUP($C28,Assumptions!$B$36:$B$41,Assumptions!$B$36:$H$41))</f>
        <v>0</v>
      </c>
      <c r="FNY28">
        <f t="array" ref="FNY28">_xlfn.XLOOKUP(FNY$11,Assumptions!$B$35:$H$35,_xlfn.XLOOKUP($C28,Assumptions!$B$36:$B$41,Assumptions!$B$36:$H$41))</f>
        <v>0</v>
      </c>
      <c r="FNZ28">
        <f t="array" ref="FNZ28">_xlfn.XLOOKUP(FNZ$11,Assumptions!$B$35:$H$35,_xlfn.XLOOKUP($C28,Assumptions!$B$36:$B$41,Assumptions!$B$36:$H$41))</f>
        <v>0</v>
      </c>
      <c r="FOA28">
        <f t="array" ref="FOA28">_xlfn.XLOOKUP(FOA$11,Assumptions!$B$35:$H$35,_xlfn.XLOOKUP($C28,Assumptions!$B$36:$B$41,Assumptions!$B$36:$H$41))</f>
        <v>0</v>
      </c>
      <c r="FOB28">
        <f t="array" ref="FOB28">_xlfn.XLOOKUP(FOB$11,Assumptions!$B$35:$H$35,_xlfn.XLOOKUP($C28,Assumptions!$B$36:$B$41,Assumptions!$B$36:$H$41))</f>
        <v>0</v>
      </c>
      <c r="FOC28">
        <f t="array" ref="FOC28">_xlfn.XLOOKUP(FOC$11,Assumptions!$B$35:$H$35,_xlfn.XLOOKUP($C28,Assumptions!$B$36:$B$41,Assumptions!$B$36:$H$41))</f>
        <v>0</v>
      </c>
      <c r="FOD28">
        <f t="array" ref="FOD28">_xlfn.XLOOKUP(FOD$11,Assumptions!$B$35:$H$35,_xlfn.XLOOKUP($C28,Assumptions!$B$36:$B$41,Assumptions!$B$36:$H$41))</f>
        <v>0</v>
      </c>
      <c r="FOE28">
        <f t="array" ref="FOE28">_xlfn.XLOOKUP(FOE$11,Assumptions!$B$35:$H$35,_xlfn.XLOOKUP($C28,Assumptions!$B$36:$B$41,Assumptions!$B$36:$H$41))</f>
        <v>0</v>
      </c>
      <c r="FOF28">
        <f t="array" ref="FOF28">_xlfn.XLOOKUP(FOF$11,Assumptions!$B$35:$H$35,_xlfn.XLOOKUP($C28,Assumptions!$B$36:$B$41,Assumptions!$B$36:$H$41))</f>
        <v>0</v>
      </c>
      <c r="FOG28">
        <f t="array" ref="FOG28">_xlfn.XLOOKUP(FOG$11,Assumptions!$B$35:$H$35,_xlfn.XLOOKUP($C28,Assumptions!$B$36:$B$41,Assumptions!$B$36:$H$41))</f>
        <v>0</v>
      </c>
      <c r="FOH28">
        <f t="array" ref="FOH28">_xlfn.XLOOKUP(FOH$11,Assumptions!$B$35:$H$35,_xlfn.XLOOKUP($C28,Assumptions!$B$36:$B$41,Assumptions!$B$36:$H$41))</f>
        <v>0</v>
      </c>
      <c r="FOI28">
        <f t="array" ref="FOI28">_xlfn.XLOOKUP(FOI$11,Assumptions!$B$35:$H$35,_xlfn.XLOOKUP($C28,Assumptions!$B$36:$B$41,Assumptions!$B$36:$H$41))</f>
        <v>0</v>
      </c>
      <c r="FOJ28">
        <f t="array" ref="FOJ28">_xlfn.XLOOKUP(FOJ$11,Assumptions!$B$35:$H$35,_xlfn.XLOOKUP($C28,Assumptions!$B$36:$B$41,Assumptions!$B$36:$H$41))</f>
        <v>0</v>
      </c>
      <c r="FOK28">
        <f t="array" ref="FOK28">_xlfn.XLOOKUP(FOK$11,Assumptions!$B$35:$H$35,_xlfn.XLOOKUP($C28,Assumptions!$B$36:$B$41,Assumptions!$B$36:$H$41))</f>
        <v>0</v>
      </c>
      <c r="FOL28">
        <f t="array" ref="FOL28">_xlfn.XLOOKUP(FOL$11,Assumptions!$B$35:$H$35,_xlfn.XLOOKUP($C28,Assumptions!$B$36:$B$41,Assumptions!$B$36:$H$41))</f>
        <v>0</v>
      </c>
      <c r="FOM28">
        <f t="array" ref="FOM28">_xlfn.XLOOKUP(FOM$11,Assumptions!$B$35:$H$35,_xlfn.XLOOKUP($C28,Assumptions!$B$36:$B$41,Assumptions!$B$36:$H$41))</f>
        <v>0</v>
      </c>
      <c r="FON28">
        <f t="array" ref="FON28">_xlfn.XLOOKUP(FON$11,Assumptions!$B$35:$H$35,_xlfn.XLOOKUP($C28,Assumptions!$B$36:$B$41,Assumptions!$B$36:$H$41))</f>
        <v>0</v>
      </c>
      <c r="FOO28">
        <f t="array" ref="FOO28">_xlfn.XLOOKUP(FOO$11,Assumptions!$B$35:$H$35,_xlfn.XLOOKUP($C28,Assumptions!$B$36:$B$41,Assumptions!$B$36:$H$41))</f>
        <v>0</v>
      </c>
      <c r="FOP28">
        <f t="array" ref="FOP28">_xlfn.XLOOKUP(FOP$11,Assumptions!$B$35:$H$35,_xlfn.XLOOKUP($C28,Assumptions!$B$36:$B$41,Assumptions!$B$36:$H$41))</f>
        <v>0</v>
      </c>
      <c r="FOQ28">
        <f t="array" ref="FOQ28">_xlfn.XLOOKUP(FOQ$11,Assumptions!$B$35:$H$35,_xlfn.XLOOKUP($C28,Assumptions!$B$36:$B$41,Assumptions!$B$36:$H$41))</f>
        <v>0</v>
      </c>
      <c r="FOR28">
        <f t="array" ref="FOR28">_xlfn.XLOOKUP(FOR$11,Assumptions!$B$35:$H$35,_xlfn.XLOOKUP($C28,Assumptions!$B$36:$B$41,Assumptions!$B$36:$H$41))</f>
        <v>0</v>
      </c>
      <c r="FOS28">
        <f t="array" ref="FOS28">_xlfn.XLOOKUP(FOS$11,Assumptions!$B$35:$H$35,_xlfn.XLOOKUP($C28,Assumptions!$B$36:$B$41,Assumptions!$B$36:$H$41))</f>
        <v>0</v>
      </c>
      <c r="FOT28">
        <f t="array" ref="FOT28">_xlfn.XLOOKUP(FOT$11,Assumptions!$B$35:$H$35,_xlfn.XLOOKUP($C28,Assumptions!$B$36:$B$41,Assumptions!$B$36:$H$41))</f>
        <v>0</v>
      </c>
      <c r="FOU28">
        <f t="array" ref="FOU28">_xlfn.XLOOKUP(FOU$11,Assumptions!$B$35:$H$35,_xlfn.XLOOKUP($C28,Assumptions!$B$36:$B$41,Assumptions!$B$36:$H$41))</f>
        <v>0</v>
      </c>
      <c r="FOV28">
        <f t="array" ref="FOV28">_xlfn.XLOOKUP(FOV$11,Assumptions!$B$35:$H$35,_xlfn.XLOOKUP($C28,Assumptions!$B$36:$B$41,Assumptions!$B$36:$H$41))</f>
        <v>0</v>
      </c>
      <c r="FOW28">
        <f t="array" ref="FOW28">_xlfn.XLOOKUP(FOW$11,Assumptions!$B$35:$H$35,_xlfn.XLOOKUP($C28,Assumptions!$B$36:$B$41,Assumptions!$B$36:$H$41))</f>
        <v>0</v>
      </c>
      <c r="FOX28">
        <f t="array" ref="FOX28">_xlfn.XLOOKUP(FOX$11,Assumptions!$B$35:$H$35,_xlfn.XLOOKUP($C28,Assumptions!$B$36:$B$41,Assumptions!$B$36:$H$41))</f>
        <v>0</v>
      </c>
      <c r="FOY28">
        <f t="array" ref="FOY28">_xlfn.XLOOKUP(FOY$11,Assumptions!$B$35:$H$35,_xlfn.XLOOKUP($C28,Assumptions!$B$36:$B$41,Assumptions!$B$36:$H$41))</f>
        <v>0</v>
      </c>
      <c r="FOZ28">
        <f t="array" ref="FOZ28">_xlfn.XLOOKUP(FOZ$11,Assumptions!$B$35:$H$35,_xlfn.XLOOKUP($C28,Assumptions!$B$36:$B$41,Assumptions!$B$36:$H$41))</f>
        <v>0</v>
      </c>
      <c r="FPA28">
        <f t="array" ref="FPA28">_xlfn.XLOOKUP(FPA$11,Assumptions!$B$35:$H$35,_xlfn.XLOOKUP($C28,Assumptions!$B$36:$B$41,Assumptions!$B$36:$H$41))</f>
        <v>0</v>
      </c>
      <c r="FPB28">
        <f t="array" ref="FPB28">_xlfn.XLOOKUP(FPB$11,Assumptions!$B$35:$H$35,_xlfn.XLOOKUP($C28,Assumptions!$B$36:$B$41,Assumptions!$B$36:$H$41))</f>
        <v>0</v>
      </c>
      <c r="FPC28">
        <f t="array" ref="FPC28">_xlfn.XLOOKUP(FPC$11,Assumptions!$B$35:$H$35,_xlfn.XLOOKUP($C28,Assumptions!$B$36:$B$41,Assumptions!$B$36:$H$41))</f>
        <v>0</v>
      </c>
      <c r="FPD28">
        <f t="array" ref="FPD28">_xlfn.XLOOKUP(FPD$11,Assumptions!$B$35:$H$35,_xlfn.XLOOKUP($C28,Assumptions!$B$36:$B$41,Assumptions!$B$36:$H$41))</f>
        <v>0</v>
      </c>
      <c r="FPE28">
        <f t="array" ref="FPE28">_xlfn.XLOOKUP(FPE$11,Assumptions!$B$35:$H$35,_xlfn.XLOOKUP($C28,Assumptions!$B$36:$B$41,Assumptions!$B$36:$H$41))</f>
        <v>0</v>
      </c>
      <c r="FPF28">
        <f t="array" ref="FPF28">_xlfn.XLOOKUP(FPF$11,Assumptions!$B$35:$H$35,_xlfn.XLOOKUP($C28,Assumptions!$B$36:$B$41,Assumptions!$B$36:$H$41))</f>
        <v>0</v>
      </c>
      <c r="FPG28">
        <f t="array" ref="FPG28">_xlfn.XLOOKUP(FPG$11,Assumptions!$B$35:$H$35,_xlfn.XLOOKUP($C28,Assumptions!$B$36:$B$41,Assumptions!$B$36:$H$41))</f>
        <v>0</v>
      </c>
      <c r="FPH28">
        <f t="array" ref="FPH28">_xlfn.XLOOKUP(FPH$11,Assumptions!$B$35:$H$35,_xlfn.XLOOKUP($C28,Assumptions!$B$36:$B$41,Assumptions!$B$36:$H$41))</f>
        <v>0</v>
      </c>
      <c r="FPI28">
        <f t="array" ref="FPI28">_xlfn.XLOOKUP(FPI$11,Assumptions!$B$35:$H$35,_xlfn.XLOOKUP($C28,Assumptions!$B$36:$B$41,Assumptions!$B$36:$H$41))</f>
        <v>0</v>
      </c>
      <c r="FPJ28">
        <f t="array" ref="FPJ28">_xlfn.XLOOKUP(FPJ$11,Assumptions!$B$35:$H$35,_xlfn.XLOOKUP($C28,Assumptions!$B$36:$B$41,Assumptions!$B$36:$H$41))</f>
        <v>0</v>
      </c>
      <c r="FPK28">
        <f t="array" ref="FPK28">_xlfn.XLOOKUP(FPK$11,Assumptions!$B$35:$H$35,_xlfn.XLOOKUP($C28,Assumptions!$B$36:$B$41,Assumptions!$B$36:$H$41))</f>
        <v>0</v>
      </c>
      <c r="FPL28">
        <f t="array" ref="FPL28">_xlfn.XLOOKUP(FPL$11,Assumptions!$B$35:$H$35,_xlfn.XLOOKUP($C28,Assumptions!$B$36:$B$41,Assumptions!$B$36:$H$41))</f>
        <v>0</v>
      </c>
      <c r="FPM28">
        <f t="array" ref="FPM28">_xlfn.XLOOKUP(FPM$11,Assumptions!$B$35:$H$35,_xlfn.XLOOKUP($C28,Assumptions!$B$36:$B$41,Assumptions!$B$36:$H$41))</f>
        <v>0</v>
      </c>
      <c r="FPN28">
        <f t="array" ref="FPN28">_xlfn.XLOOKUP(FPN$11,Assumptions!$B$35:$H$35,_xlfn.XLOOKUP($C28,Assumptions!$B$36:$B$41,Assumptions!$B$36:$H$41))</f>
        <v>0</v>
      </c>
      <c r="FPO28">
        <f t="array" ref="FPO28">_xlfn.XLOOKUP(FPO$11,Assumptions!$B$35:$H$35,_xlfn.XLOOKUP($C28,Assumptions!$B$36:$B$41,Assumptions!$B$36:$H$41))</f>
        <v>0</v>
      </c>
      <c r="FPP28">
        <f t="array" ref="FPP28">_xlfn.XLOOKUP(FPP$11,Assumptions!$B$35:$H$35,_xlfn.XLOOKUP($C28,Assumptions!$B$36:$B$41,Assumptions!$B$36:$H$41))</f>
        <v>0</v>
      </c>
      <c r="FPQ28">
        <f t="array" ref="FPQ28">_xlfn.XLOOKUP(FPQ$11,Assumptions!$B$35:$H$35,_xlfn.XLOOKUP($C28,Assumptions!$B$36:$B$41,Assumptions!$B$36:$H$41))</f>
        <v>0</v>
      </c>
      <c r="FPR28">
        <f t="array" ref="FPR28">_xlfn.XLOOKUP(FPR$11,Assumptions!$B$35:$H$35,_xlfn.XLOOKUP($C28,Assumptions!$B$36:$B$41,Assumptions!$B$36:$H$41))</f>
        <v>0</v>
      </c>
      <c r="FPS28">
        <f t="array" ref="FPS28">_xlfn.XLOOKUP(FPS$11,Assumptions!$B$35:$H$35,_xlfn.XLOOKUP($C28,Assumptions!$B$36:$B$41,Assumptions!$B$36:$H$41))</f>
        <v>0</v>
      </c>
      <c r="FPT28">
        <f t="array" ref="FPT28">_xlfn.XLOOKUP(FPT$11,Assumptions!$B$35:$H$35,_xlfn.XLOOKUP($C28,Assumptions!$B$36:$B$41,Assumptions!$B$36:$H$41))</f>
        <v>0</v>
      </c>
      <c r="FPU28">
        <f t="array" ref="FPU28">_xlfn.XLOOKUP(FPU$11,Assumptions!$B$35:$H$35,_xlfn.XLOOKUP($C28,Assumptions!$B$36:$B$41,Assumptions!$B$36:$H$41))</f>
        <v>0</v>
      </c>
      <c r="FPV28">
        <f t="array" ref="FPV28">_xlfn.XLOOKUP(FPV$11,Assumptions!$B$35:$H$35,_xlfn.XLOOKUP($C28,Assumptions!$B$36:$B$41,Assumptions!$B$36:$H$41))</f>
        <v>0</v>
      </c>
      <c r="FPW28">
        <f t="array" ref="FPW28">_xlfn.XLOOKUP(FPW$11,Assumptions!$B$35:$H$35,_xlfn.XLOOKUP($C28,Assumptions!$B$36:$B$41,Assumptions!$B$36:$H$41))</f>
        <v>0</v>
      </c>
      <c r="FPX28">
        <f t="array" ref="FPX28">_xlfn.XLOOKUP(FPX$11,Assumptions!$B$35:$H$35,_xlfn.XLOOKUP($C28,Assumptions!$B$36:$B$41,Assumptions!$B$36:$H$41))</f>
        <v>0</v>
      </c>
      <c r="FPY28">
        <f t="array" ref="FPY28">_xlfn.XLOOKUP(FPY$11,Assumptions!$B$35:$H$35,_xlfn.XLOOKUP($C28,Assumptions!$B$36:$B$41,Assumptions!$B$36:$H$41))</f>
        <v>0</v>
      </c>
      <c r="FPZ28">
        <f t="array" ref="FPZ28">_xlfn.XLOOKUP(FPZ$11,Assumptions!$B$35:$H$35,_xlfn.XLOOKUP($C28,Assumptions!$B$36:$B$41,Assumptions!$B$36:$H$41))</f>
        <v>0</v>
      </c>
      <c r="FQA28">
        <f t="array" ref="FQA28">_xlfn.XLOOKUP(FQA$11,Assumptions!$B$35:$H$35,_xlfn.XLOOKUP($C28,Assumptions!$B$36:$B$41,Assumptions!$B$36:$H$41))</f>
        <v>0</v>
      </c>
      <c r="FQB28">
        <f t="array" ref="FQB28">_xlfn.XLOOKUP(FQB$11,Assumptions!$B$35:$H$35,_xlfn.XLOOKUP($C28,Assumptions!$B$36:$B$41,Assumptions!$B$36:$H$41))</f>
        <v>0</v>
      </c>
      <c r="FQC28">
        <f t="array" ref="FQC28">_xlfn.XLOOKUP(FQC$11,Assumptions!$B$35:$H$35,_xlfn.XLOOKUP($C28,Assumptions!$B$36:$B$41,Assumptions!$B$36:$H$41))</f>
        <v>0</v>
      </c>
      <c r="FQD28">
        <f t="array" ref="FQD28">_xlfn.XLOOKUP(FQD$11,Assumptions!$B$35:$H$35,_xlfn.XLOOKUP($C28,Assumptions!$B$36:$B$41,Assumptions!$B$36:$H$41))</f>
        <v>0</v>
      </c>
      <c r="FQE28">
        <f t="array" ref="FQE28">_xlfn.XLOOKUP(FQE$11,Assumptions!$B$35:$H$35,_xlfn.XLOOKUP($C28,Assumptions!$B$36:$B$41,Assumptions!$B$36:$H$41))</f>
        <v>0</v>
      </c>
      <c r="FQF28">
        <f t="array" ref="FQF28">_xlfn.XLOOKUP(FQF$11,Assumptions!$B$35:$H$35,_xlfn.XLOOKUP($C28,Assumptions!$B$36:$B$41,Assumptions!$B$36:$H$41))</f>
        <v>0</v>
      </c>
      <c r="FQG28">
        <f t="array" ref="FQG28">_xlfn.XLOOKUP(FQG$11,Assumptions!$B$35:$H$35,_xlfn.XLOOKUP($C28,Assumptions!$B$36:$B$41,Assumptions!$B$36:$H$41))</f>
        <v>0</v>
      </c>
      <c r="FQH28">
        <f t="array" ref="FQH28">_xlfn.XLOOKUP(FQH$11,Assumptions!$B$35:$H$35,_xlfn.XLOOKUP($C28,Assumptions!$B$36:$B$41,Assumptions!$B$36:$H$41))</f>
        <v>0</v>
      </c>
      <c r="FQI28">
        <f t="array" ref="FQI28">_xlfn.XLOOKUP(FQI$11,Assumptions!$B$35:$H$35,_xlfn.XLOOKUP($C28,Assumptions!$B$36:$B$41,Assumptions!$B$36:$H$41))</f>
        <v>0</v>
      </c>
      <c r="FQJ28">
        <f t="array" ref="FQJ28">_xlfn.XLOOKUP(FQJ$11,Assumptions!$B$35:$H$35,_xlfn.XLOOKUP($C28,Assumptions!$B$36:$B$41,Assumptions!$B$36:$H$41))</f>
        <v>0</v>
      </c>
      <c r="FQK28">
        <f t="array" ref="FQK28">_xlfn.XLOOKUP(FQK$11,Assumptions!$B$35:$H$35,_xlfn.XLOOKUP($C28,Assumptions!$B$36:$B$41,Assumptions!$B$36:$H$41))</f>
        <v>0</v>
      </c>
      <c r="FQL28">
        <f t="array" ref="FQL28">_xlfn.XLOOKUP(FQL$11,Assumptions!$B$35:$H$35,_xlfn.XLOOKUP($C28,Assumptions!$B$36:$B$41,Assumptions!$B$36:$H$41))</f>
        <v>0</v>
      </c>
      <c r="FQM28">
        <f t="array" ref="FQM28">_xlfn.XLOOKUP(FQM$11,Assumptions!$B$35:$H$35,_xlfn.XLOOKUP($C28,Assumptions!$B$36:$B$41,Assumptions!$B$36:$H$41))</f>
        <v>0</v>
      </c>
      <c r="FQN28">
        <f t="array" ref="FQN28">_xlfn.XLOOKUP(FQN$11,Assumptions!$B$35:$H$35,_xlfn.XLOOKUP($C28,Assumptions!$B$36:$B$41,Assumptions!$B$36:$H$41))</f>
        <v>0</v>
      </c>
      <c r="FQO28">
        <f t="array" ref="FQO28">_xlfn.XLOOKUP(FQO$11,Assumptions!$B$35:$H$35,_xlfn.XLOOKUP($C28,Assumptions!$B$36:$B$41,Assumptions!$B$36:$H$41))</f>
        <v>0</v>
      </c>
      <c r="FQP28">
        <f t="array" ref="FQP28">_xlfn.XLOOKUP(FQP$11,Assumptions!$B$35:$H$35,_xlfn.XLOOKUP($C28,Assumptions!$B$36:$B$41,Assumptions!$B$36:$H$41))</f>
        <v>0</v>
      </c>
      <c r="FQQ28">
        <f t="array" ref="FQQ28">_xlfn.XLOOKUP(FQQ$11,Assumptions!$B$35:$H$35,_xlfn.XLOOKUP($C28,Assumptions!$B$36:$B$41,Assumptions!$B$36:$H$41))</f>
        <v>0</v>
      </c>
      <c r="FQR28">
        <f t="array" ref="FQR28">_xlfn.XLOOKUP(FQR$11,Assumptions!$B$35:$H$35,_xlfn.XLOOKUP($C28,Assumptions!$B$36:$B$41,Assumptions!$B$36:$H$41))</f>
        <v>0</v>
      </c>
      <c r="FQS28">
        <f t="array" ref="FQS28">_xlfn.XLOOKUP(FQS$11,Assumptions!$B$35:$H$35,_xlfn.XLOOKUP($C28,Assumptions!$B$36:$B$41,Assumptions!$B$36:$H$41))</f>
        <v>0</v>
      </c>
      <c r="FQT28">
        <f t="array" ref="FQT28">_xlfn.XLOOKUP(FQT$11,Assumptions!$B$35:$H$35,_xlfn.XLOOKUP($C28,Assumptions!$B$36:$B$41,Assumptions!$B$36:$H$41))</f>
        <v>0</v>
      </c>
      <c r="FQU28">
        <f t="array" ref="FQU28">_xlfn.XLOOKUP(FQU$11,Assumptions!$B$35:$H$35,_xlfn.XLOOKUP($C28,Assumptions!$B$36:$B$41,Assumptions!$B$36:$H$41))</f>
        <v>0</v>
      </c>
      <c r="FQV28">
        <f t="array" ref="FQV28">_xlfn.XLOOKUP(FQV$11,Assumptions!$B$35:$H$35,_xlfn.XLOOKUP($C28,Assumptions!$B$36:$B$41,Assumptions!$B$36:$H$41))</f>
        <v>0</v>
      </c>
      <c r="FQW28">
        <f t="array" ref="FQW28">_xlfn.XLOOKUP(FQW$11,Assumptions!$B$35:$H$35,_xlfn.XLOOKUP($C28,Assumptions!$B$36:$B$41,Assumptions!$B$36:$H$41))</f>
        <v>0</v>
      </c>
      <c r="FQX28">
        <f t="array" ref="FQX28">_xlfn.XLOOKUP(FQX$11,Assumptions!$B$35:$H$35,_xlfn.XLOOKUP($C28,Assumptions!$B$36:$B$41,Assumptions!$B$36:$H$41))</f>
        <v>0</v>
      </c>
      <c r="FQY28">
        <f t="array" ref="FQY28">_xlfn.XLOOKUP(FQY$11,Assumptions!$B$35:$H$35,_xlfn.XLOOKUP($C28,Assumptions!$B$36:$B$41,Assumptions!$B$36:$H$41))</f>
        <v>0</v>
      </c>
      <c r="FQZ28">
        <f t="array" ref="FQZ28">_xlfn.XLOOKUP(FQZ$11,Assumptions!$B$35:$H$35,_xlfn.XLOOKUP($C28,Assumptions!$B$36:$B$41,Assumptions!$B$36:$H$41))</f>
        <v>0</v>
      </c>
      <c r="FRA28">
        <f t="array" ref="FRA28">_xlfn.XLOOKUP(FRA$11,Assumptions!$B$35:$H$35,_xlfn.XLOOKUP($C28,Assumptions!$B$36:$B$41,Assumptions!$B$36:$H$41))</f>
        <v>0</v>
      </c>
      <c r="FRB28">
        <f t="array" ref="FRB28">_xlfn.XLOOKUP(FRB$11,Assumptions!$B$35:$H$35,_xlfn.XLOOKUP($C28,Assumptions!$B$36:$B$41,Assumptions!$B$36:$H$41))</f>
        <v>0</v>
      </c>
      <c r="FRC28">
        <f t="array" ref="FRC28">_xlfn.XLOOKUP(FRC$11,Assumptions!$B$35:$H$35,_xlfn.XLOOKUP($C28,Assumptions!$B$36:$B$41,Assumptions!$B$36:$H$41))</f>
        <v>0</v>
      </c>
      <c r="FRD28">
        <f t="array" ref="FRD28">_xlfn.XLOOKUP(FRD$11,Assumptions!$B$35:$H$35,_xlfn.XLOOKUP($C28,Assumptions!$B$36:$B$41,Assumptions!$B$36:$H$41))</f>
        <v>0</v>
      </c>
      <c r="FRE28">
        <f t="array" ref="FRE28">_xlfn.XLOOKUP(FRE$11,Assumptions!$B$35:$H$35,_xlfn.XLOOKUP($C28,Assumptions!$B$36:$B$41,Assumptions!$B$36:$H$41))</f>
        <v>0</v>
      </c>
      <c r="FRF28">
        <f t="array" ref="FRF28">_xlfn.XLOOKUP(FRF$11,Assumptions!$B$35:$H$35,_xlfn.XLOOKUP($C28,Assumptions!$B$36:$B$41,Assumptions!$B$36:$H$41))</f>
        <v>0</v>
      </c>
      <c r="FRG28">
        <f t="array" ref="FRG28">_xlfn.XLOOKUP(FRG$11,Assumptions!$B$35:$H$35,_xlfn.XLOOKUP($C28,Assumptions!$B$36:$B$41,Assumptions!$B$36:$H$41))</f>
        <v>0</v>
      </c>
      <c r="FRH28">
        <f t="array" ref="FRH28">_xlfn.XLOOKUP(FRH$11,Assumptions!$B$35:$H$35,_xlfn.XLOOKUP($C28,Assumptions!$B$36:$B$41,Assumptions!$B$36:$H$41))</f>
        <v>0</v>
      </c>
      <c r="FRI28">
        <f t="array" ref="FRI28">_xlfn.XLOOKUP(FRI$11,Assumptions!$B$35:$H$35,_xlfn.XLOOKUP($C28,Assumptions!$B$36:$B$41,Assumptions!$B$36:$H$41))</f>
        <v>0</v>
      </c>
      <c r="FRJ28">
        <f t="array" ref="FRJ28">_xlfn.XLOOKUP(FRJ$11,Assumptions!$B$35:$H$35,_xlfn.XLOOKUP($C28,Assumptions!$B$36:$B$41,Assumptions!$B$36:$H$41))</f>
        <v>0</v>
      </c>
      <c r="FRK28">
        <f t="array" ref="FRK28">_xlfn.XLOOKUP(FRK$11,Assumptions!$B$35:$H$35,_xlfn.XLOOKUP($C28,Assumptions!$B$36:$B$41,Assumptions!$B$36:$H$41))</f>
        <v>0</v>
      </c>
      <c r="FRL28">
        <f t="array" ref="FRL28">_xlfn.XLOOKUP(FRL$11,Assumptions!$B$35:$H$35,_xlfn.XLOOKUP($C28,Assumptions!$B$36:$B$41,Assumptions!$B$36:$H$41))</f>
        <v>0</v>
      </c>
      <c r="FRM28">
        <f t="array" ref="FRM28">_xlfn.XLOOKUP(FRM$11,Assumptions!$B$35:$H$35,_xlfn.XLOOKUP($C28,Assumptions!$B$36:$B$41,Assumptions!$B$36:$H$41))</f>
        <v>0</v>
      </c>
      <c r="FRN28">
        <f t="array" ref="FRN28">_xlfn.XLOOKUP(FRN$11,Assumptions!$B$35:$H$35,_xlfn.XLOOKUP($C28,Assumptions!$B$36:$B$41,Assumptions!$B$36:$H$41))</f>
        <v>0</v>
      </c>
      <c r="FRO28">
        <f t="array" ref="FRO28">_xlfn.XLOOKUP(FRO$11,Assumptions!$B$35:$H$35,_xlfn.XLOOKUP($C28,Assumptions!$B$36:$B$41,Assumptions!$B$36:$H$41))</f>
        <v>0</v>
      </c>
      <c r="FRP28">
        <f t="array" ref="FRP28">_xlfn.XLOOKUP(FRP$11,Assumptions!$B$35:$H$35,_xlfn.XLOOKUP($C28,Assumptions!$B$36:$B$41,Assumptions!$B$36:$H$41))</f>
        <v>0</v>
      </c>
      <c r="FRQ28">
        <f t="array" ref="FRQ28">_xlfn.XLOOKUP(FRQ$11,Assumptions!$B$35:$H$35,_xlfn.XLOOKUP($C28,Assumptions!$B$36:$B$41,Assumptions!$B$36:$H$41))</f>
        <v>0</v>
      </c>
      <c r="FRR28">
        <f t="array" ref="FRR28">_xlfn.XLOOKUP(FRR$11,Assumptions!$B$35:$H$35,_xlfn.XLOOKUP($C28,Assumptions!$B$36:$B$41,Assumptions!$B$36:$H$41))</f>
        <v>0</v>
      </c>
      <c r="FRS28">
        <f t="array" ref="FRS28">_xlfn.XLOOKUP(FRS$11,Assumptions!$B$35:$H$35,_xlfn.XLOOKUP($C28,Assumptions!$B$36:$B$41,Assumptions!$B$36:$H$41))</f>
        <v>0</v>
      </c>
      <c r="FRT28">
        <f t="array" ref="FRT28">_xlfn.XLOOKUP(FRT$11,Assumptions!$B$35:$H$35,_xlfn.XLOOKUP($C28,Assumptions!$B$36:$B$41,Assumptions!$B$36:$H$41))</f>
        <v>0</v>
      </c>
      <c r="FRU28">
        <f t="array" ref="FRU28">_xlfn.XLOOKUP(FRU$11,Assumptions!$B$35:$H$35,_xlfn.XLOOKUP($C28,Assumptions!$B$36:$B$41,Assumptions!$B$36:$H$41))</f>
        <v>0</v>
      </c>
      <c r="FRV28">
        <f t="array" ref="FRV28">_xlfn.XLOOKUP(FRV$11,Assumptions!$B$35:$H$35,_xlfn.XLOOKUP($C28,Assumptions!$B$36:$B$41,Assumptions!$B$36:$H$41))</f>
        <v>0</v>
      </c>
      <c r="FRW28">
        <f t="array" ref="FRW28">_xlfn.XLOOKUP(FRW$11,Assumptions!$B$35:$H$35,_xlfn.XLOOKUP($C28,Assumptions!$B$36:$B$41,Assumptions!$B$36:$H$41))</f>
        <v>0</v>
      </c>
      <c r="FRX28">
        <f t="array" ref="FRX28">_xlfn.XLOOKUP(FRX$11,Assumptions!$B$35:$H$35,_xlfn.XLOOKUP($C28,Assumptions!$B$36:$B$41,Assumptions!$B$36:$H$41))</f>
        <v>0</v>
      </c>
      <c r="FRY28">
        <f t="array" ref="FRY28">_xlfn.XLOOKUP(FRY$11,Assumptions!$B$35:$H$35,_xlfn.XLOOKUP($C28,Assumptions!$B$36:$B$41,Assumptions!$B$36:$H$41))</f>
        <v>0</v>
      </c>
      <c r="FRZ28">
        <f t="array" ref="FRZ28">_xlfn.XLOOKUP(FRZ$11,Assumptions!$B$35:$H$35,_xlfn.XLOOKUP($C28,Assumptions!$B$36:$B$41,Assumptions!$B$36:$H$41))</f>
        <v>0</v>
      </c>
      <c r="FSA28">
        <f t="array" ref="FSA28">_xlfn.XLOOKUP(FSA$11,Assumptions!$B$35:$H$35,_xlfn.XLOOKUP($C28,Assumptions!$B$36:$B$41,Assumptions!$B$36:$H$41))</f>
        <v>0</v>
      </c>
      <c r="FSB28">
        <f t="array" ref="FSB28">_xlfn.XLOOKUP(FSB$11,Assumptions!$B$35:$H$35,_xlfn.XLOOKUP($C28,Assumptions!$B$36:$B$41,Assumptions!$B$36:$H$41))</f>
        <v>0</v>
      </c>
      <c r="FSC28">
        <f t="array" ref="FSC28">_xlfn.XLOOKUP(FSC$11,Assumptions!$B$35:$H$35,_xlfn.XLOOKUP($C28,Assumptions!$B$36:$B$41,Assumptions!$B$36:$H$41))</f>
        <v>0</v>
      </c>
      <c r="FSD28">
        <f t="array" ref="FSD28">_xlfn.XLOOKUP(FSD$11,Assumptions!$B$35:$H$35,_xlfn.XLOOKUP($C28,Assumptions!$B$36:$B$41,Assumptions!$B$36:$H$41))</f>
        <v>0</v>
      </c>
      <c r="FSE28">
        <f t="array" ref="FSE28">_xlfn.XLOOKUP(FSE$11,Assumptions!$B$35:$H$35,_xlfn.XLOOKUP($C28,Assumptions!$B$36:$B$41,Assumptions!$B$36:$H$41))</f>
        <v>0</v>
      </c>
      <c r="FSF28">
        <f t="array" ref="FSF28">_xlfn.XLOOKUP(FSF$11,Assumptions!$B$35:$H$35,_xlfn.XLOOKUP($C28,Assumptions!$B$36:$B$41,Assumptions!$B$36:$H$41))</f>
        <v>0</v>
      </c>
      <c r="FSG28">
        <f t="array" ref="FSG28">_xlfn.XLOOKUP(FSG$11,Assumptions!$B$35:$H$35,_xlfn.XLOOKUP($C28,Assumptions!$B$36:$B$41,Assumptions!$B$36:$H$41))</f>
        <v>0</v>
      </c>
      <c r="FSH28">
        <f t="array" ref="FSH28">_xlfn.XLOOKUP(FSH$11,Assumptions!$B$35:$H$35,_xlfn.XLOOKUP($C28,Assumptions!$B$36:$B$41,Assumptions!$B$36:$H$41))</f>
        <v>0</v>
      </c>
      <c r="FSI28">
        <f t="array" ref="FSI28">_xlfn.XLOOKUP(FSI$11,Assumptions!$B$35:$H$35,_xlfn.XLOOKUP($C28,Assumptions!$B$36:$B$41,Assumptions!$B$36:$H$41))</f>
        <v>0</v>
      </c>
      <c r="FSJ28">
        <f t="array" ref="FSJ28">_xlfn.XLOOKUP(FSJ$11,Assumptions!$B$35:$H$35,_xlfn.XLOOKUP($C28,Assumptions!$B$36:$B$41,Assumptions!$B$36:$H$41))</f>
        <v>0</v>
      </c>
      <c r="FSK28">
        <f t="array" ref="FSK28">_xlfn.XLOOKUP(FSK$11,Assumptions!$B$35:$H$35,_xlfn.XLOOKUP($C28,Assumptions!$B$36:$B$41,Assumptions!$B$36:$H$41))</f>
        <v>0</v>
      </c>
      <c r="FSL28">
        <f t="array" ref="FSL28">_xlfn.XLOOKUP(FSL$11,Assumptions!$B$35:$H$35,_xlfn.XLOOKUP($C28,Assumptions!$B$36:$B$41,Assumptions!$B$36:$H$41))</f>
        <v>0</v>
      </c>
      <c r="FSM28">
        <f t="array" ref="FSM28">_xlfn.XLOOKUP(FSM$11,Assumptions!$B$35:$H$35,_xlfn.XLOOKUP($C28,Assumptions!$B$36:$B$41,Assumptions!$B$36:$H$41))</f>
        <v>0</v>
      </c>
      <c r="FSN28">
        <f t="array" ref="FSN28">_xlfn.XLOOKUP(FSN$11,Assumptions!$B$35:$H$35,_xlfn.XLOOKUP($C28,Assumptions!$B$36:$B$41,Assumptions!$B$36:$H$41))</f>
        <v>0</v>
      </c>
      <c r="FSO28">
        <f t="array" ref="FSO28">_xlfn.XLOOKUP(FSO$11,Assumptions!$B$35:$H$35,_xlfn.XLOOKUP($C28,Assumptions!$B$36:$B$41,Assumptions!$B$36:$H$41))</f>
        <v>0</v>
      </c>
      <c r="FSP28">
        <f t="array" ref="FSP28">_xlfn.XLOOKUP(FSP$11,Assumptions!$B$35:$H$35,_xlfn.XLOOKUP($C28,Assumptions!$B$36:$B$41,Assumptions!$B$36:$H$41))</f>
        <v>0</v>
      </c>
      <c r="FSQ28">
        <f t="array" ref="FSQ28">_xlfn.XLOOKUP(FSQ$11,Assumptions!$B$35:$H$35,_xlfn.XLOOKUP($C28,Assumptions!$B$36:$B$41,Assumptions!$B$36:$H$41))</f>
        <v>0</v>
      </c>
      <c r="FSR28">
        <f t="array" ref="FSR28">_xlfn.XLOOKUP(FSR$11,Assumptions!$B$35:$H$35,_xlfn.XLOOKUP($C28,Assumptions!$B$36:$B$41,Assumptions!$B$36:$H$41))</f>
        <v>0</v>
      </c>
      <c r="FSS28">
        <f t="array" ref="FSS28">_xlfn.XLOOKUP(FSS$11,Assumptions!$B$35:$H$35,_xlfn.XLOOKUP($C28,Assumptions!$B$36:$B$41,Assumptions!$B$36:$H$41))</f>
        <v>0</v>
      </c>
      <c r="FST28">
        <f t="array" ref="FST28">_xlfn.XLOOKUP(FST$11,Assumptions!$B$35:$H$35,_xlfn.XLOOKUP($C28,Assumptions!$B$36:$B$41,Assumptions!$B$36:$H$41))</f>
        <v>0</v>
      </c>
      <c r="FSU28">
        <f t="array" ref="FSU28">_xlfn.XLOOKUP(FSU$11,Assumptions!$B$35:$H$35,_xlfn.XLOOKUP($C28,Assumptions!$B$36:$B$41,Assumptions!$B$36:$H$41))</f>
        <v>0</v>
      </c>
      <c r="FSV28">
        <f t="array" ref="FSV28">_xlfn.XLOOKUP(FSV$11,Assumptions!$B$35:$H$35,_xlfn.XLOOKUP($C28,Assumptions!$B$36:$B$41,Assumptions!$B$36:$H$41))</f>
        <v>0</v>
      </c>
      <c r="FSW28">
        <f t="array" ref="FSW28">_xlfn.XLOOKUP(FSW$11,Assumptions!$B$35:$H$35,_xlfn.XLOOKUP($C28,Assumptions!$B$36:$B$41,Assumptions!$B$36:$H$41))</f>
        <v>0</v>
      </c>
      <c r="FSX28">
        <f t="array" ref="FSX28">_xlfn.XLOOKUP(FSX$11,Assumptions!$B$35:$H$35,_xlfn.XLOOKUP($C28,Assumptions!$B$36:$B$41,Assumptions!$B$36:$H$41))</f>
        <v>0</v>
      </c>
      <c r="FSY28">
        <f t="array" ref="FSY28">_xlfn.XLOOKUP(FSY$11,Assumptions!$B$35:$H$35,_xlfn.XLOOKUP($C28,Assumptions!$B$36:$B$41,Assumptions!$B$36:$H$41))</f>
        <v>0</v>
      </c>
      <c r="FSZ28">
        <f t="array" ref="FSZ28">_xlfn.XLOOKUP(FSZ$11,Assumptions!$B$35:$H$35,_xlfn.XLOOKUP($C28,Assumptions!$B$36:$B$41,Assumptions!$B$36:$H$41))</f>
        <v>0</v>
      </c>
      <c r="FTA28">
        <f t="array" ref="FTA28">_xlfn.XLOOKUP(FTA$11,Assumptions!$B$35:$H$35,_xlfn.XLOOKUP($C28,Assumptions!$B$36:$B$41,Assumptions!$B$36:$H$41))</f>
        <v>0</v>
      </c>
      <c r="FTB28">
        <f t="array" ref="FTB28">_xlfn.XLOOKUP(FTB$11,Assumptions!$B$35:$H$35,_xlfn.XLOOKUP($C28,Assumptions!$B$36:$B$41,Assumptions!$B$36:$H$41))</f>
        <v>0</v>
      </c>
      <c r="FTC28">
        <f t="array" ref="FTC28">_xlfn.XLOOKUP(FTC$11,Assumptions!$B$35:$H$35,_xlfn.XLOOKUP($C28,Assumptions!$B$36:$B$41,Assumptions!$B$36:$H$41))</f>
        <v>0</v>
      </c>
      <c r="FTD28">
        <f t="array" ref="FTD28">_xlfn.XLOOKUP(FTD$11,Assumptions!$B$35:$H$35,_xlfn.XLOOKUP($C28,Assumptions!$B$36:$B$41,Assumptions!$B$36:$H$41))</f>
        <v>0</v>
      </c>
      <c r="FTE28">
        <f t="array" ref="FTE28">_xlfn.XLOOKUP(FTE$11,Assumptions!$B$35:$H$35,_xlfn.XLOOKUP($C28,Assumptions!$B$36:$B$41,Assumptions!$B$36:$H$41))</f>
        <v>0</v>
      </c>
      <c r="FTF28">
        <f t="array" ref="FTF28">_xlfn.XLOOKUP(FTF$11,Assumptions!$B$35:$H$35,_xlfn.XLOOKUP($C28,Assumptions!$B$36:$B$41,Assumptions!$B$36:$H$41))</f>
        <v>0</v>
      </c>
      <c r="FTG28">
        <f t="array" ref="FTG28">_xlfn.XLOOKUP(FTG$11,Assumptions!$B$35:$H$35,_xlfn.XLOOKUP($C28,Assumptions!$B$36:$B$41,Assumptions!$B$36:$H$41))</f>
        <v>0</v>
      </c>
      <c r="FTH28">
        <f t="array" ref="FTH28">_xlfn.XLOOKUP(FTH$11,Assumptions!$B$35:$H$35,_xlfn.XLOOKUP($C28,Assumptions!$B$36:$B$41,Assumptions!$B$36:$H$41))</f>
        <v>0</v>
      </c>
      <c r="FTI28">
        <f t="array" ref="FTI28">_xlfn.XLOOKUP(FTI$11,Assumptions!$B$35:$H$35,_xlfn.XLOOKUP($C28,Assumptions!$B$36:$B$41,Assumptions!$B$36:$H$41))</f>
        <v>0</v>
      </c>
      <c r="FTJ28">
        <f t="array" ref="FTJ28">_xlfn.XLOOKUP(FTJ$11,Assumptions!$B$35:$H$35,_xlfn.XLOOKUP($C28,Assumptions!$B$36:$B$41,Assumptions!$B$36:$H$41))</f>
        <v>0</v>
      </c>
      <c r="FTK28">
        <f t="array" ref="FTK28">_xlfn.XLOOKUP(FTK$11,Assumptions!$B$35:$H$35,_xlfn.XLOOKUP($C28,Assumptions!$B$36:$B$41,Assumptions!$B$36:$H$41))</f>
        <v>0</v>
      </c>
      <c r="FTL28">
        <f t="array" ref="FTL28">_xlfn.XLOOKUP(FTL$11,Assumptions!$B$35:$H$35,_xlfn.XLOOKUP($C28,Assumptions!$B$36:$B$41,Assumptions!$B$36:$H$41))</f>
        <v>0</v>
      </c>
      <c r="FTM28">
        <f t="array" ref="FTM28">_xlfn.XLOOKUP(FTM$11,Assumptions!$B$35:$H$35,_xlfn.XLOOKUP($C28,Assumptions!$B$36:$B$41,Assumptions!$B$36:$H$41))</f>
        <v>0</v>
      </c>
      <c r="FTN28">
        <f t="array" ref="FTN28">_xlfn.XLOOKUP(FTN$11,Assumptions!$B$35:$H$35,_xlfn.XLOOKUP($C28,Assumptions!$B$36:$B$41,Assumptions!$B$36:$H$41))</f>
        <v>0</v>
      </c>
      <c r="FTO28">
        <f t="array" ref="FTO28">_xlfn.XLOOKUP(FTO$11,Assumptions!$B$35:$H$35,_xlfn.XLOOKUP($C28,Assumptions!$B$36:$B$41,Assumptions!$B$36:$H$41))</f>
        <v>0</v>
      </c>
      <c r="FTP28">
        <f t="array" ref="FTP28">_xlfn.XLOOKUP(FTP$11,Assumptions!$B$35:$H$35,_xlfn.XLOOKUP($C28,Assumptions!$B$36:$B$41,Assumptions!$B$36:$H$41))</f>
        <v>0</v>
      </c>
      <c r="FTQ28">
        <f t="array" ref="FTQ28">_xlfn.XLOOKUP(FTQ$11,Assumptions!$B$35:$H$35,_xlfn.XLOOKUP($C28,Assumptions!$B$36:$B$41,Assumptions!$B$36:$H$41))</f>
        <v>0</v>
      </c>
      <c r="FTR28">
        <f t="array" ref="FTR28">_xlfn.XLOOKUP(FTR$11,Assumptions!$B$35:$H$35,_xlfn.XLOOKUP($C28,Assumptions!$B$36:$B$41,Assumptions!$B$36:$H$41))</f>
        <v>0</v>
      </c>
      <c r="FTS28">
        <f t="array" ref="FTS28">_xlfn.XLOOKUP(FTS$11,Assumptions!$B$35:$H$35,_xlfn.XLOOKUP($C28,Assumptions!$B$36:$B$41,Assumptions!$B$36:$H$41))</f>
        <v>0</v>
      </c>
      <c r="FTT28">
        <f t="array" ref="FTT28">_xlfn.XLOOKUP(FTT$11,Assumptions!$B$35:$H$35,_xlfn.XLOOKUP($C28,Assumptions!$B$36:$B$41,Assumptions!$B$36:$H$41))</f>
        <v>0</v>
      </c>
      <c r="FTU28">
        <f t="array" ref="FTU28">_xlfn.XLOOKUP(FTU$11,Assumptions!$B$35:$H$35,_xlfn.XLOOKUP($C28,Assumptions!$B$36:$B$41,Assumptions!$B$36:$H$41))</f>
        <v>0</v>
      </c>
      <c r="FTV28">
        <f t="array" ref="FTV28">_xlfn.XLOOKUP(FTV$11,Assumptions!$B$35:$H$35,_xlfn.XLOOKUP($C28,Assumptions!$B$36:$B$41,Assumptions!$B$36:$H$41))</f>
        <v>0</v>
      </c>
      <c r="FTW28">
        <f t="array" ref="FTW28">_xlfn.XLOOKUP(FTW$11,Assumptions!$B$35:$H$35,_xlfn.XLOOKUP($C28,Assumptions!$B$36:$B$41,Assumptions!$B$36:$H$41))</f>
        <v>0</v>
      </c>
      <c r="FTX28">
        <f t="array" ref="FTX28">_xlfn.XLOOKUP(FTX$11,Assumptions!$B$35:$H$35,_xlfn.XLOOKUP($C28,Assumptions!$B$36:$B$41,Assumptions!$B$36:$H$41))</f>
        <v>0</v>
      </c>
      <c r="FTY28">
        <f t="array" ref="FTY28">_xlfn.XLOOKUP(FTY$11,Assumptions!$B$35:$H$35,_xlfn.XLOOKUP($C28,Assumptions!$B$36:$B$41,Assumptions!$B$36:$H$41))</f>
        <v>0</v>
      </c>
      <c r="FTZ28">
        <f t="array" ref="FTZ28">_xlfn.XLOOKUP(FTZ$11,Assumptions!$B$35:$H$35,_xlfn.XLOOKUP($C28,Assumptions!$B$36:$B$41,Assumptions!$B$36:$H$41))</f>
        <v>0</v>
      </c>
      <c r="FUA28">
        <f t="array" ref="FUA28">_xlfn.XLOOKUP(FUA$11,Assumptions!$B$35:$H$35,_xlfn.XLOOKUP($C28,Assumptions!$B$36:$B$41,Assumptions!$B$36:$H$41))</f>
        <v>0</v>
      </c>
      <c r="FUB28">
        <f t="array" ref="FUB28">_xlfn.XLOOKUP(FUB$11,Assumptions!$B$35:$H$35,_xlfn.XLOOKUP($C28,Assumptions!$B$36:$B$41,Assumptions!$B$36:$H$41))</f>
        <v>0</v>
      </c>
      <c r="FUC28">
        <f t="array" ref="FUC28">_xlfn.XLOOKUP(FUC$11,Assumptions!$B$35:$H$35,_xlfn.XLOOKUP($C28,Assumptions!$B$36:$B$41,Assumptions!$B$36:$H$41))</f>
        <v>0</v>
      </c>
      <c r="FUD28">
        <f t="array" ref="FUD28">_xlfn.XLOOKUP(FUD$11,Assumptions!$B$35:$H$35,_xlfn.XLOOKUP($C28,Assumptions!$B$36:$B$41,Assumptions!$B$36:$H$41))</f>
        <v>0</v>
      </c>
      <c r="FUE28">
        <f t="array" ref="FUE28">_xlfn.XLOOKUP(FUE$11,Assumptions!$B$35:$H$35,_xlfn.XLOOKUP($C28,Assumptions!$B$36:$B$41,Assumptions!$B$36:$H$41))</f>
        <v>0</v>
      </c>
      <c r="FUF28">
        <f t="array" ref="FUF28">_xlfn.XLOOKUP(FUF$11,Assumptions!$B$35:$H$35,_xlfn.XLOOKUP($C28,Assumptions!$B$36:$B$41,Assumptions!$B$36:$H$41))</f>
        <v>0</v>
      </c>
      <c r="FUG28">
        <f t="array" ref="FUG28">_xlfn.XLOOKUP(FUG$11,Assumptions!$B$35:$H$35,_xlfn.XLOOKUP($C28,Assumptions!$B$36:$B$41,Assumptions!$B$36:$H$41))</f>
        <v>0</v>
      </c>
      <c r="FUH28">
        <f t="array" ref="FUH28">_xlfn.XLOOKUP(FUH$11,Assumptions!$B$35:$H$35,_xlfn.XLOOKUP($C28,Assumptions!$B$36:$B$41,Assumptions!$B$36:$H$41))</f>
        <v>0</v>
      </c>
      <c r="FUI28">
        <f t="array" ref="FUI28">_xlfn.XLOOKUP(FUI$11,Assumptions!$B$35:$H$35,_xlfn.XLOOKUP($C28,Assumptions!$B$36:$B$41,Assumptions!$B$36:$H$41))</f>
        <v>0</v>
      </c>
      <c r="FUJ28">
        <f t="array" ref="FUJ28">_xlfn.XLOOKUP(FUJ$11,Assumptions!$B$35:$H$35,_xlfn.XLOOKUP($C28,Assumptions!$B$36:$B$41,Assumptions!$B$36:$H$41))</f>
        <v>0</v>
      </c>
      <c r="FUK28">
        <f t="array" ref="FUK28">_xlfn.XLOOKUP(FUK$11,Assumptions!$B$35:$H$35,_xlfn.XLOOKUP($C28,Assumptions!$B$36:$B$41,Assumptions!$B$36:$H$41))</f>
        <v>0</v>
      </c>
      <c r="FUL28">
        <f t="array" ref="FUL28">_xlfn.XLOOKUP(FUL$11,Assumptions!$B$35:$H$35,_xlfn.XLOOKUP($C28,Assumptions!$B$36:$B$41,Assumptions!$B$36:$H$41))</f>
        <v>0</v>
      </c>
      <c r="FUM28">
        <f t="array" ref="FUM28">_xlfn.XLOOKUP(FUM$11,Assumptions!$B$35:$H$35,_xlfn.XLOOKUP($C28,Assumptions!$B$36:$B$41,Assumptions!$B$36:$H$41))</f>
        <v>0</v>
      </c>
      <c r="FUN28">
        <f t="array" ref="FUN28">_xlfn.XLOOKUP(FUN$11,Assumptions!$B$35:$H$35,_xlfn.XLOOKUP($C28,Assumptions!$B$36:$B$41,Assumptions!$B$36:$H$41))</f>
        <v>0</v>
      </c>
      <c r="FUO28">
        <f t="array" ref="FUO28">_xlfn.XLOOKUP(FUO$11,Assumptions!$B$35:$H$35,_xlfn.XLOOKUP($C28,Assumptions!$B$36:$B$41,Assumptions!$B$36:$H$41))</f>
        <v>0</v>
      </c>
      <c r="FUP28">
        <f t="array" ref="FUP28">_xlfn.XLOOKUP(FUP$11,Assumptions!$B$35:$H$35,_xlfn.XLOOKUP($C28,Assumptions!$B$36:$B$41,Assumptions!$B$36:$H$41))</f>
        <v>0</v>
      </c>
      <c r="FUQ28">
        <f t="array" ref="FUQ28">_xlfn.XLOOKUP(FUQ$11,Assumptions!$B$35:$H$35,_xlfn.XLOOKUP($C28,Assumptions!$B$36:$B$41,Assumptions!$B$36:$H$41))</f>
        <v>0</v>
      </c>
      <c r="FUR28">
        <f t="array" ref="FUR28">_xlfn.XLOOKUP(FUR$11,Assumptions!$B$35:$H$35,_xlfn.XLOOKUP($C28,Assumptions!$B$36:$B$41,Assumptions!$B$36:$H$41))</f>
        <v>0</v>
      </c>
      <c r="FUS28">
        <f t="array" ref="FUS28">_xlfn.XLOOKUP(FUS$11,Assumptions!$B$35:$H$35,_xlfn.XLOOKUP($C28,Assumptions!$B$36:$B$41,Assumptions!$B$36:$H$41))</f>
        <v>0</v>
      </c>
      <c r="FUT28">
        <f t="array" ref="FUT28">_xlfn.XLOOKUP(FUT$11,Assumptions!$B$35:$H$35,_xlfn.XLOOKUP($C28,Assumptions!$B$36:$B$41,Assumptions!$B$36:$H$41))</f>
        <v>0</v>
      </c>
      <c r="FUU28">
        <f t="array" ref="FUU28">_xlfn.XLOOKUP(FUU$11,Assumptions!$B$35:$H$35,_xlfn.XLOOKUP($C28,Assumptions!$B$36:$B$41,Assumptions!$B$36:$H$41))</f>
        <v>0</v>
      </c>
      <c r="FUV28">
        <f t="array" ref="FUV28">_xlfn.XLOOKUP(FUV$11,Assumptions!$B$35:$H$35,_xlfn.XLOOKUP($C28,Assumptions!$B$36:$B$41,Assumptions!$B$36:$H$41))</f>
        <v>0</v>
      </c>
      <c r="FUW28">
        <f t="array" ref="FUW28">_xlfn.XLOOKUP(FUW$11,Assumptions!$B$35:$H$35,_xlfn.XLOOKUP($C28,Assumptions!$B$36:$B$41,Assumptions!$B$36:$H$41))</f>
        <v>0</v>
      </c>
      <c r="FUX28">
        <f t="array" ref="FUX28">_xlfn.XLOOKUP(FUX$11,Assumptions!$B$35:$H$35,_xlfn.XLOOKUP($C28,Assumptions!$B$36:$B$41,Assumptions!$B$36:$H$41))</f>
        <v>0</v>
      </c>
      <c r="FUY28">
        <f t="array" ref="FUY28">_xlfn.XLOOKUP(FUY$11,Assumptions!$B$35:$H$35,_xlfn.XLOOKUP($C28,Assumptions!$B$36:$B$41,Assumptions!$B$36:$H$41))</f>
        <v>0</v>
      </c>
      <c r="FUZ28">
        <f t="array" ref="FUZ28">_xlfn.XLOOKUP(FUZ$11,Assumptions!$B$35:$H$35,_xlfn.XLOOKUP($C28,Assumptions!$B$36:$B$41,Assumptions!$B$36:$H$41))</f>
        <v>0</v>
      </c>
      <c r="FVA28">
        <f t="array" ref="FVA28">_xlfn.XLOOKUP(FVA$11,Assumptions!$B$35:$H$35,_xlfn.XLOOKUP($C28,Assumptions!$B$36:$B$41,Assumptions!$B$36:$H$41))</f>
        <v>0</v>
      </c>
      <c r="FVB28">
        <f t="array" ref="FVB28">_xlfn.XLOOKUP(FVB$11,Assumptions!$B$35:$H$35,_xlfn.XLOOKUP($C28,Assumptions!$B$36:$B$41,Assumptions!$B$36:$H$41))</f>
        <v>0</v>
      </c>
      <c r="FVC28">
        <f t="array" ref="FVC28">_xlfn.XLOOKUP(FVC$11,Assumptions!$B$35:$H$35,_xlfn.XLOOKUP($C28,Assumptions!$B$36:$B$41,Assumptions!$B$36:$H$41))</f>
        <v>0</v>
      </c>
      <c r="FVD28">
        <f t="array" ref="FVD28">_xlfn.XLOOKUP(FVD$11,Assumptions!$B$35:$H$35,_xlfn.XLOOKUP($C28,Assumptions!$B$36:$B$41,Assumptions!$B$36:$H$41))</f>
        <v>0</v>
      </c>
      <c r="FVE28">
        <f t="array" ref="FVE28">_xlfn.XLOOKUP(FVE$11,Assumptions!$B$35:$H$35,_xlfn.XLOOKUP($C28,Assumptions!$B$36:$B$41,Assumptions!$B$36:$H$41))</f>
        <v>0</v>
      </c>
      <c r="FVF28">
        <f t="array" ref="FVF28">_xlfn.XLOOKUP(FVF$11,Assumptions!$B$35:$H$35,_xlfn.XLOOKUP($C28,Assumptions!$B$36:$B$41,Assumptions!$B$36:$H$41))</f>
        <v>0</v>
      </c>
      <c r="FVG28">
        <f t="array" ref="FVG28">_xlfn.XLOOKUP(FVG$11,Assumptions!$B$35:$H$35,_xlfn.XLOOKUP($C28,Assumptions!$B$36:$B$41,Assumptions!$B$36:$H$41))</f>
        <v>0</v>
      </c>
      <c r="FVH28">
        <f t="array" ref="FVH28">_xlfn.XLOOKUP(FVH$11,Assumptions!$B$35:$H$35,_xlfn.XLOOKUP($C28,Assumptions!$B$36:$B$41,Assumptions!$B$36:$H$41))</f>
        <v>0</v>
      </c>
      <c r="FVI28">
        <f t="array" ref="FVI28">_xlfn.XLOOKUP(FVI$11,Assumptions!$B$35:$H$35,_xlfn.XLOOKUP($C28,Assumptions!$B$36:$B$41,Assumptions!$B$36:$H$41))</f>
        <v>0</v>
      </c>
      <c r="FVJ28">
        <f t="array" ref="FVJ28">_xlfn.XLOOKUP(FVJ$11,Assumptions!$B$35:$H$35,_xlfn.XLOOKUP($C28,Assumptions!$B$36:$B$41,Assumptions!$B$36:$H$41))</f>
        <v>0</v>
      </c>
      <c r="FVK28">
        <f t="array" ref="FVK28">_xlfn.XLOOKUP(FVK$11,Assumptions!$B$35:$H$35,_xlfn.XLOOKUP($C28,Assumptions!$B$36:$B$41,Assumptions!$B$36:$H$41))</f>
        <v>0</v>
      </c>
      <c r="FVL28">
        <f t="array" ref="FVL28">_xlfn.XLOOKUP(FVL$11,Assumptions!$B$35:$H$35,_xlfn.XLOOKUP($C28,Assumptions!$B$36:$B$41,Assumptions!$B$36:$H$41))</f>
        <v>0</v>
      </c>
      <c r="FVM28">
        <f t="array" ref="FVM28">_xlfn.XLOOKUP(FVM$11,Assumptions!$B$35:$H$35,_xlfn.XLOOKUP($C28,Assumptions!$B$36:$B$41,Assumptions!$B$36:$H$41))</f>
        <v>0</v>
      </c>
      <c r="FVN28">
        <f t="array" ref="FVN28">_xlfn.XLOOKUP(FVN$11,Assumptions!$B$35:$H$35,_xlfn.XLOOKUP($C28,Assumptions!$B$36:$B$41,Assumptions!$B$36:$H$41))</f>
        <v>0</v>
      </c>
      <c r="FVO28">
        <f t="array" ref="FVO28">_xlfn.XLOOKUP(FVO$11,Assumptions!$B$35:$H$35,_xlfn.XLOOKUP($C28,Assumptions!$B$36:$B$41,Assumptions!$B$36:$H$41))</f>
        <v>0</v>
      </c>
      <c r="FVP28">
        <f t="array" ref="FVP28">_xlfn.XLOOKUP(FVP$11,Assumptions!$B$35:$H$35,_xlfn.XLOOKUP($C28,Assumptions!$B$36:$B$41,Assumptions!$B$36:$H$41))</f>
        <v>0</v>
      </c>
      <c r="FVQ28">
        <f t="array" ref="FVQ28">_xlfn.XLOOKUP(FVQ$11,Assumptions!$B$35:$H$35,_xlfn.XLOOKUP($C28,Assumptions!$B$36:$B$41,Assumptions!$B$36:$H$41))</f>
        <v>0</v>
      </c>
      <c r="FVR28">
        <f t="array" ref="FVR28">_xlfn.XLOOKUP(FVR$11,Assumptions!$B$35:$H$35,_xlfn.XLOOKUP($C28,Assumptions!$B$36:$B$41,Assumptions!$B$36:$H$41))</f>
        <v>0</v>
      </c>
      <c r="FVS28">
        <f t="array" ref="FVS28">_xlfn.XLOOKUP(FVS$11,Assumptions!$B$35:$H$35,_xlfn.XLOOKUP($C28,Assumptions!$B$36:$B$41,Assumptions!$B$36:$H$41))</f>
        <v>0</v>
      </c>
      <c r="FVT28">
        <f t="array" ref="FVT28">_xlfn.XLOOKUP(FVT$11,Assumptions!$B$35:$H$35,_xlfn.XLOOKUP($C28,Assumptions!$B$36:$B$41,Assumptions!$B$36:$H$41))</f>
        <v>0</v>
      </c>
      <c r="FVU28">
        <f t="array" ref="FVU28">_xlfn.XLOOKUP(FVU$11,Assumptions!$B$35:$H$35,_xlfn.XLOOKUP($C28,Assumptions!$B$36:$B$41,Assumptions!$B$36:$H$41))</f>
        <v>0</v>
      </c>
      <c r="FVV28">
        <f t="array" ref="FVV28">_xlfn.XLOOKUP(FVV$11,Assumptions!$B$35:$H$35,_xlfn.XLOOKUP($C28,Assumptions!$B$36:$B$41,Assumptions!$B$36:$H$41))</f>
        <v>0</v>
      </c>
      <c r="FVW28">
        <f t="array" ref="FVW28">_xlfn.XLOOKUP(FVW$11,Assumptions!$B$35:$H$35,_xlfn.XLOOKUP($C28,Assumptions!$B$36:$B$41,Assumptions!$B$36:$H$41))</f>
        <v>0</v>
      </c>
      <c r="FVX28">
        <f t="array" ref="FVX28">_xlfn.XLOOKUP(FVX$11,Assumptions!$B$35:$H$35,_xlfn.XLOOKUP($C28,Assumptions!$B$36:$B$41,Assumptions!$B$36:$H$41))</f>
        <v>0</v>
      </c>
      <c r="FVY28">
        <f t="array" ref="FVY28">_xlfn.XLOOKUP(FVY$11,Assumptions!$B$35:$H$35,_xlfn.XLOOKUP($C28,Assumptions!$B$36:$B$41,Assumptions!$B$36:$H$41))</f>
        <v>0</v>
      </c>
      <c r="FVZ28">
        <f t="array" ref="FVZ28">_xlfn.XLOOKUP(FVZ$11,Assumptions!$B$35:$H$35,_xlfn.XLOOKUP($C28,Assumptions!$B$36:$B$41,Assumptions!$B$36:$H$41))</f>
        <v>0</v>
      </c>
      <c r="FWA28">
        <f t="array" ref="FWA28">_xlfn.XLOOKUP(FWA$11,Assumptions!$B$35:$H$35,_xlfn.XLOOKUP($C28,Assumptions!$B$36:$B$41,Assumptions!$B$36:$H$41))</f>
        <v>0</v>
      </c>
      <c r="FWB28">
        <f t="array" ref="FWB28">_xlfn.XLOOKUP(FWB$11,Assumptions!$B$35:$H$35,_xlfn.XLOOKUP($C28,Assumptions!$B$36:$B$41,Assumptions!$B$36:$H$41))</f>
        <v>0</v>
      </c>
      <c r="FWC28">
        <f t="array" ref="FWC28">_xlfn.XLOOKUP(FWC$11,Assumptions!$B$35:$H$35,_xlfn.XLOOKUP($C28,Assumptions!$B$36:$B$41,Assumptions!$B$36:$H$41))</f>
        <v>0</v>
      </c>
      <c r="FWD28">
        <f t="array" ref="FWD28">_xlfn.XLOOKUP(FWD$11,Assumptions!$B$35:$H$35,_xlfn.XLOOKUP($C28,Assumptions!$B$36:$B$41,Assumptions!$B$36:$H$41))</f>
        <v>0</v>
      </c>
      <c r="FWE28">
        <f t="array" ref="FWE28">_xlfn.XLOOKUP(FWE$11,Assumptions!$B$35:$H$35,_xlfn.XLOOKUP($C28,Assumptions!$B$36:$B$41,Assumptions!$B$36:$H$41))</f>
        <v>0</v>
      </c>
      <c r="FWF28">
        <f t="array" ref="FWF28">_xlfn.XLOOKUP(FWF$11,Assumptions!$B$35:$H$35,_xlfn.XLOOKUP($C28,Assumptions!$B$36:$B$41,Assumptions!$B$36:$H$41))</f>
        <v>0</v>
      </c>
      <c r="FWG28">
        <f t="array" ref="FWG28">_xlfn.XLOOKUP(FWG$11,Assumptions!$B$35:$H$35,_xlfn.XLOOKUP($C28,Assumptions!$B$36:$B$41,Assumptions!$B$36:$H$41))</f>
        <v>0</v>
      </c>
      <c r="FWH28">
        <f t="array" ref="FWH28">_xlfn.XLOOKUP(FWH$11,Assumptions!$B$35:$H$35,_xlfn.XLOOKUP($C28,Assumptions!$B$36:$B$41,Assumptions!$B$36:$H$41))</f>
        <v>0</v>
      </c>
      <c r="FWI28">
        <f t="array" ref="FWI28">_xlfn.XLOOKUP(FWI$11,Assumptions!$B$35:$H$35,_xlfn.XLOOKUP($C28,Assumptions!$B$36:$B$41,Assumptions!$B$36:$H$41))</f>
        <v>0</v>
      </c>
      <c r="FWJ28">
        <f t="array" ref="FWJ28">_xlfn.XLOOKUP(FWJ$11,Assumptions!$B$35:$H$35,_xlfn.XLOOKUP($C28,Assumptions!$B$36:$B$41,Assumptions!$B$36:$H$41))</f>
        <v>0</v>
      </c>
      <c r="FWK28">
        <f t="array" ref="FWK28">_xlfn.XLOOKUP(FWK$11,Assumptions!$B$35:$H$35,_xlfn.XLOOKUP($C28,Assumptions!$B$36:$B$41,Assumptions!$B$36:$H$41))</f>
        <v>0</v>
      </c>
      <c r="FWL28">
        <f t="array" ref="FWL28">_xlfn.XLOOKUP(FWL$11,Assumptions!$B$35:$H$35,_xlfn.XLOOKUP($C28,Assumptions!$B$36:$B$41,Assumptions!$B$36:$H$41))</f>
        <v>0</v>
      </c>
      <c r="FWM28">
        <f t="array" ref="FWM28">_xlfn.XLOOKUP(FWM$11,Assumptions!$B$35:$H$35,_xlfn.XLOOKUP($C28,Assumptions!$B$36:$B$41,Assumptions!$B$36:$H$41))</f>
        <v>0</v>
      </c>
      <c r="FWN28">
        <f t="array" ref="FWN28">_xlfn.XLOOKUP(FWN$11,Assumptions!$B$35:$H$35,_xlfn.XLOOKUP($C28,Assumptions!$B$36:$B$41,Assumptions!$B$36:$H$41))</f>
        <v>0</v>
      </c>
      <c r="FWO28">
        <f t="array" ref="FWO28">_xlfn.XLOOKUP(FWO$11,Assumptions!$B$35:$H$35,_xlfn.XLOOKUP($C28,Assumptions!$B$36:$B$41,Assumptions!$B$36:$H$41))</f>
        <v>0</v>
      </c>
      <c r="FWP28">
        <f t="array" ref="FWP28">_xlfn.XLOOKUP(FWP$11,Assumptions!$B$35:$H$35,_xlfn.XLOOKUP($C28,Assumptions!$B$36:$B$41,Assumptions!$B$36:$H$41))</f>
        <v>0</v>
      </c>
      <c r="FWQ28">
        <f t="array" ref="FWQ28">_xlfn.XLOOKUP(FWQ$11,Assumptions!$B$35:$H$35,_xlfn.XLOOKUP($C28,Assumptions!$B$36:$B$41,Assumptions!$B$36:$H$41))</f>
        <v>0</v>
      </c>
      <c r="FWR28">
        <f t="array" ref="FWR28">_xlfn.XLOOKUP(FWR$11,Assumptions!$B$35:$H$35,_xlfn.XLOOKUP($C28,Assumptions!$B$36:$B$41,Assumptions!$B$36:$H$41))</f>
        <v>0</v>
      </c>
      <c r="FWS28">
        <f t="array" ref="FWS28">_xlfn.XLOOKUP(FWS$11,Assumptions!$B$35:$H$35,_xlfn.XLOOKUP($C28,Assumptions!$B$36:$B$41,Assumptions!$B$36:$H$41))</f>
        <v>0</v>
      </c>
      <c r="FWT28">
        <f t="array" ref="FWT28">_xlfn.XLOOKUP(FWT$11,Assumptions!$B$35:$H$35,_xlfn.XLOOKUP($C28,Assumptions!$B$36:$B$41,Assumptions!$B$36:$H$41))</f>
        <v>0</v>
      </c>
      <c r="FWU28">
        <f t="array" ref="FWU28">_xlfn.XLOOKUP(FWU$11,Assumptions!$B$35:$H$35,_xlfn.XLOOKUP($C28,Assumptions!$B$36:$B$41,Assumptions!$B$36:$H$41))</f>
        <v>0</v>
      </c>
      <c r="FWV28">
        <f t="array" ref="FWV28">_xlfn.XLOOKUP(FWV$11,Assumptions!$B$35:$H$35,_xlfn.XLOOKUP($C28,Assumptions!$B$36:$B$41,Assumptions!$B$36:$H$41))</f>
        <v>0</v>
      </c>
      <c r="FWW28">
        <f t="array" ref="FWW28">_xlfn.XLOOKUP(FWW$11,Assumptions!$B$35:$H$35,_xlfn.XLOOKUP($C28,Assumptions!$B$36:$B$41,Assumptions!$B$36:$H$41))</f>
        <v>0</v>
      </c>
      <c r="FWX28">
        <f t="array" ref="FWX28">_xlfn.XLOOKUP(FWX$11,Assumptions!$B$35:$H$35,_xlfn.XLOOKUP($C28,Assumptions!$B$36:$B$41,Assumptions!$B$36:$H$41))</f>
        <v>0</v>
      </c>
      <c r="FWY28">
        <f t="array" ref="FWY28">_xlfn.XLOOKUP(FWY$11,Assumptions!$B$35:$H$35,_xlfn.XLOOKUP($C28,Assumptions!$B$36:$B$41,Assumptions!$B$36:$H$41))</f>
        <v>0</v>
      </c>
      <c r="FWZ28">
        <f t="array" ref="FWZ28">_xlfn.XLOOKUP(FWZ$11,Assumptions!$B$35:$H$35,_xlfn.XLOOKUP($C28,Assumptions!$B$36:$B$41,Assumptions!$B$36:$H$41))</f>
        <v>0</v>
      </c>
      <c r="FXA28">
        <f t="array" ref="FXA28">_xlfn.XLOOKUP(FXA$11,Assumptions!$B$35:$H$35,_xlfn.XLOOKUP($C28,Assumptions!$B$36:$B$41,Assumptions!$B$36:$H$41))</f>
        <v>0</v>
      </c>
      <c r="FXB28">
        <f t="array" ref="FXB28">_xlfn.XLOOKUP(FXB$11,Assumptions!$B$35:$H$35,_xlfn.XLOOKUP($C28,Assumptions!$B$36:$B$41,Assumptions!$B$36:$H$41))</f>
        <v>0</v>
      </c>
      <c r="FXC28">
        <f t="array" ref="FXC28">_xlfn.XLOOKUP(FXC$11,Assumptions!$B$35:$H$35,_xlfn.XLOOKUP($C28,Assumptions!$B$36:$B$41,Assumptions!$B$36:$H$41))</f>
        <v>0</v>
      </c>
      <c r="FXD28">
        <f t="array" ref="FXD28">_xlfn.XLOOKUP(FXD$11,Assumptions!$B$35:$H$35,_xlfn.XLOOKUP($C28,Assumptions!$B$36:$B$41,Assumptions!$B$36:$H$41))</f>
        <v>0</v>
      </c>
      <c r="FXE28">
        <f t="array" ref="FXE28">_xlfn.XLOOKUP(FXE$11,Assumptions!$B$35:$H$35,_xlfn.XLOOKUP($C28,Assumptions!$B$36:$B$41,Assumptions!$B$36:$H$41))</f>
        <v>0</v>
      </c>
      <c r="FXF28">
        <f t="array" ref="FXF28">_xlfn.XLOOKUP(FXF$11,Assumptions!$B$35:$H$35,_xlfn.XLOOKUP($C28,Assumptions!$B$36:$B$41,Assumptions!$B$36:$H$41))</f>
        <v>0</v>
      </c>
      <c r="FXG28">
        <f t="array" ref="FXG28">_xlfn.XLOOKUP(FXG$11,Assumptions!$B$35:$H$35,_xlfn.XLOOKUP($C28,Assumptions!$B$36:$B$41,Assumptions!$B$36:$H$41))</f>
        <v>0</v>
      </c>
      <c r="FXH28">
        <f t="array" ref="FXH28">_xlfn.XLOOKUP(FXH$11,Assumptions!$B$35:$H$35,_xlfn.XLOOKUP($C28,Assumptions!$B$36:$B$41,Assumptions!$B$36:$H$41))</f>
        <v>0</v>
      </c>
      <c r="FXI28">
        <f t="array" ref="FXI28">_xlfn.XLOOKUP(FXI$11,Assumptions!$B$35:$H$35,_xlfn.XLOOKUP($C28,Assumptions!$B$36:$B$41,Assumptions!$B$36:$H$41))</f>
        <v>0</v>
      </c>
      <c r="FXJ28">
        <f t="array" ref="FXJ28">_xlfn.XLOOKUP(FXJ$11,Assumptions!$B$35:$H$35,_xlfn.XLOOKUP($C28,Assumptions!$B$36:$B$41,Assumptions!$B$36:$H$41))</f>
        <v>0</v>
      </c>
      <c r="FXK28">
        <f t="array" ref="FXK28">_xlfn.XLOOKUP(FXK$11,Assumptions!$B$35:$H$35,_xlfn.XLOOKUP($C28,Assumptions!$B$36:$B$41,Assumptions!$B$36:$H$41))</f>
        <v>0</v>
      </c>
      <c r="FXL28">
        <f t="array" ref="FXL28">_xlfn.XLOOKUP(FXL$11,Assumptions!$B$35:$H$35,_xlfn.XLOOKUP($C28,Assumptions!$B$36:$B$41,Assumptions!$B$36:$H$41))</f>
        <v>0</v>
      </c>
      <c r="FXM28">
        <f t="array" ref="FXM28">_xlfn.XLOOKUP(FXM$11,Assumptions!$B$35:$H$35,_xlfn.XLOOKUP($C28,Assumptions!$B$36:$B$41,Assumptions!$B$36:$H$41))</f>
        <v>0</v>
      </c>
      <c r="FXN28">
        <f t="array" ref="FXN28">_xlfn.XLOOKUP(FXN$11,Assumptions!$B$35:$H$35,_xlfn.XLOOKUP($C28,Assumptions!$B$36:$B$41,Assumptions!$B$36:$H$41))</f>
        <v>0</v>
      </c>
      <c r="FXO28">
        <f t="array" ref="FXO28">_xlfn.XLOOKUP(FXO$11,Assumptions!$B$35:$H$35,_xlfn.XLOOKUP($C28,Assumptions!$B$36:$B$41,Assumptions!$B$36:$H$41))</f>
        <v>0</v>
      </c>
      <c r="FXP28">
        <f t="array" ref="FXP28">_xlfn.XLOOKUP(FXP$11,Assumptions!$B$35:$H$35,_xlfn.XLOOKUP($C28,Assumptions!$B$36:$B$41,Assumptions!$B$36:$H$41))</f>
        <v>0</v>
      </c>
      <c r="FXQ28">
        <f t="array" ref="FXQ28">_xlfn.XLOOKUP(FXQ$11,Assumptions!$B$35:$H$35,_xlfn.XLOOKUP($C28,Assumptions!$B$36:$B$41,Assumptions!$B$36:$H$41))</f>
        <v>0</v>
      </c>
      <c r="FXR28">
        <f t="array" ref="FXR28">_xlfn.XLOOKUP(FXR$11,Assumptions!$B$35:$H$35,_xlfn.XLOOKUP($C28,Assumptions!$B$36:$B$41,Assumptions!$B$36:$H$41))</f>
        <v>0</v>
      </c>
      <c r="FXS28">
        <f t="array" ref="FXS28">_xlfn.XLOOKUP(FXS$11,Assumptions!$B$35:$H$35,_xlfn.XLOOKUP($C28,Assumptions!$B$36:$B$41,Assumptions!$B$36:$H$41))</f>
        <v>0</v>
      </c>
      <c r="FXT28">
        <f t="array" ref="FXT28">_xlfn.XLOOKUP(FXT$11,Assumptions!$B$35:$H$35,_xlfn.XLOOKUP($C28,Assumptions!$B$36:$B$41,Assumptions!$B$36:$H$41))</f>
        <v>0</v>
      </c>
      <c r="FXU28">
        <f t="array" ref="FXU28">_xlfn.XLOOKUP(FXU$11,Assumptions!$B$35:$H$35,_xlfn.XLOOKUP($C28,Assumptions!$B$36:$B$41,Assumptions!$B$36:$H$41))</f>
        <v>0</v>
      </c>
      <c r="FXV28">
        <f t="array" ref="FXV28">_xlfn.XLOOKUP(FXV$11,Assumptions!$B$35:$H$35,_xlfn.XLOOKUP($C28,Assumptions!$B$36:$B$41,Assumptions!$B$36:$H$41))</f>
        <v>0</v>
      </c>
      <c r="FXW28">
        <f t="array" ref="FXW28">_xlfn.XLOOKUP(FXW$11,Assumptions!$B$35:$H$35,_xlfn.XLOOKUP($C28,Assumptions!$B$36:$B$41,Assumptions!$B$36:$H$41))</f>
        <v>0</v>
      </c>
      <c r="FXX28">
        <f t="array" ref="FXX28">_xlfn.XLOOKUP(FXX$11,Assumptions!$B$35:$H$35,_xlfn.XLOOKUP($C28,Assumptions!$B$36:$B$41,Assumptions!$B$36:$H$41))</f>
        <v>0</v>
      </c>
      <c r="FXY28">
        <f t="array" ref="FXY28">_xlfn.XLOOKUP(FXY$11,Assumptions!$B$35:$H$35,_xlfn.XLOOKUP($C28,Assumptions!$B$36:$B$41,Assumptions!$B$36:$H$41))</f>
        <v>0</v>
      </c>
      <c r="FXZ28">
        <f t="array" ref="FXZ28">_xlfn.XLOOKUP(FXZ$11,Assumptions!$B$35:$H$35,_xlfn.XLOOKUP($C28,Assumptions!$B$36:$B$41,Assumptions!$B$36:$H$41))</f>
        <v>0</v>
      </c>
      <c r="FYA28">
        <f t="array" ref="FYA28">_xlfn.XLOOKUP(FYA$11,Assumptions!$B$35:$H$35,_xlfn.XLOOKUP($C28,Assumptions!$B$36:$B$41,Assumptions!$B$36:$H$41))</f>
        <v>0</v>
      </c>
      <c r="FYB28">
        <f t="array" ref="FYB28">_xlfn.XLOOKUP(FYB$11,Assumptions!$B$35:$H$35,_xlfn.XLOOKUP($C28,Assumptions!$B$36:$B$41,Assumptions!$B$36:$H$41))</f>
        <v>0</v>
      </c>
      <c r="FYC28">
        <f t="array" ref="FYC28">_xlfn.XLOOKUP(FYC$11,Assumptions!$B$35:$H$35,_xlfn.XLOOKUP($C28,Assumptions!$B$36:$B$41,Assumptions!$B$36:$H$41))</f>
        <v>0</v>
      </c>
      <c r="FYD28">
        <f t="array" ref="FYD28">_xlfn.XLOOKUP(FYD$11,Assumptions!$B$35:$H$35,_xlfn.XLOOKUP($C28,Assumptions!$B$36:$B$41,Assumptions!$B$36:$H$41))</f>
        <v>0</v>
      </c>
      <c r="FYE28">
        <f t="array" ref="FYE28">_xlfn.XLOOKUP(FYE$11,Assumptions!$B$35:$H$35,_xlfn.XLOOKUP($C28,Assumptions!$B$36:$B$41,Assumptions!$B$36:$H$41))</f>
        <v>0</v>
      </c>
      <c r="FYF28">
        <f t="array" ref="FYF28">_xlfn.XLOOKUP(FYF$11,Assumptions!$B$35:$H$35,_xlfn.XLOOKUP($C28,Assumptions!$B$36:$B$41,Assumptions!$B$36:$H$41))</f>
        <v>0</v>
      </c>
      <c r="FYG28">
        <f t="array" ref="FYG28">_xlfn.XLOOKUP(FYG$11,Assumptions!$B$35:$H$35,_xlfn.XLOOKUP($C28,Assumptions!$B$36:$B$41,Assumptions!$B$36:$H$41))</f>
        <v>0</v>
      </c>
      <c r="FYH28">
        <f t="array" ref="FYH28">_xlfn.XLOOKUP(FYH$11,Assumptions!$B$35:$H$35,_xlfn.XLOOKUP($C28,Assumptions!$B$36:$B$41,Assumptions!$B$36:$H$41))</f>
        <v>0</v>
      </c>
      <c r="FYI28">
        <f t="array" ref="FYI28">_xlfn.XLOOKUP(FYI$11,Assumptions!$B$35:$H$35,_xlfn.XLOOKUP($C28,Assumptions!$B$36:$B$41,Assumptions!$B$36:$H$41))</f>
        <v>0</v>
      </c>
      <c r="FYJ28">
        <f t="array" ref="FYJ28">_xlfn.XLOOKUP(FYJ$11,Assumptions!$B$35:$H$35,_xlfn.XLOOKUP($C28,Assumptions!$B$36:$B$41,Assumptions!$B$36:$H$41))</f>
        <v>0</v>
      </c>
      <c r="FYK28">
        <f t="array" ref="FYK28">_xlfn.XLOOKUP(FYK$11,Assumptions!$B$35:$H$35,_xlfn.XLOOKUP($C28,Assumptions!$B$36:$B$41,Assumptions!$B$36:$H$41))</f>
        <v>0</v>
      </c>
      <c r="FYL28">
        <f t="array" ref="FYL28">_xlfn.XLOOKUP(FYL$11,Assumptions!$B$35:$H$35,_xlfn.XLOOKUP($C28,Assumptions!$B$36:$B$41,Assumptions!$B$36:$H$41))</f>
        <v>0</v>
      </c>
      <c r="FYM28">
        <f t="array" ref="FYM28">_xlfn.XLOOKUP(FYM$11,Assumptions!$B$35:$H$35,_xlfn.XLOOKUP($C28,Assumptions!$B$36:$B$41,Assumptions!$B$36:$H$41))</f>
        <v>0</v>
      </c>
      <c r="FYN28">
        <f t="array" ref="FYN28">_xlfn.XLOOKUP(FYN$11,Assumptions!$B$35:$H$35,_xlfn.XLOOKUP($C28,Assumptions!$B$36:$B$41,Assumptions!$B$36:$H$41))</f>
        <v>0</v>
      </c>
      <c r="FYO28">
        <f t="array" ref="FYO28">_xlfn.XLOOKUP(FYO$11,Assumptions!$B$35:$H$35,_xlfn.XLOOKUP($C28,Assumptions!$B$36:$B$41,Assumptions!$B$36:$H$41))</f>
        <v>0</v>
      </c>
      <c r="FYP28">
        <f t="array" ref="FYP28">_xlfn.XLOOKUP(FYP$11,Assumptions!$B$35:$H$35,_xlfn.XLOOKUP($C28,Assumptions!$B$36:$B$41,Assumptions!$B$36:$H$41))</f>
        <v>0</v>
      </c>
      <c r="FYQ28">
        <f t="array" ref="FYQ28">_xlfn.XLOOKUP(FYQ$11,Assumptions!$B$35:$H$35,_xlfn.XLOOKUP($C28,Assumptions!$B$36:$B$41,Assumptions!$B$36:$H$41))</f>
        <v>0</v>
      </c>
      <c r="FYR28">
        <f t="array" ref="FYR28">_xlfn.XLOOKUP(FYR$11,Assumptions!$B$35:$H$35,_xlfn.XLOOKUP($C28,Assumptions!$B$36:$B$41,Assumptions!$B$36:$H$41))</f>
        <v>0</v>
      </c>
      <c r="FYS28">
        <f t="array" ref="FYS28">_xlfn.XLOOKUP(FYS$11,Assumptions!$B$35:$H$35,_xlfn.XLOOKUP($C28,Assumptions!$B$36:$B$41,Assumptions!$B$36:$H$41))</f>
        <v>0</v>
      </c>
      <c r="FYT28">
        <f t="array" ref="FYT28">_xlfn.XLOOKUP(FYT$11,Assumptions!$B$35:$H$35,_xlfn.XLOOKUP($C28,Assumptions!$B$36:$B$41,Assumptions!$B$36:$H$41))</f>
        <v>0</v>
      </c>
      <c r="FYU28">
        <f t="array" ref="FYU28">_xlfn.XLOOKUP(FYU$11,Assumptions!$B$35:$H$35,_xlfn.XLOOKUP($C28,Assumptions!$B$36:$B$41,Assumptions!$B$36:$H$41))</f>
        <v>0</v>
      </c>
      <c r="FYV28">
        <f t="array" ref="FYV28">_xlfn.XLOOKUP(FYV$11,Assumptions!$B$35:$H$35,_xlfn.XLOOKUP($C28,Assumptions!$B$36:$B$41,Assumptions!$B$36:$H$41))</f>
        <v>0</v>
      </c>
      <c r="FYW28">
        <f t="array" ref="FYW28">_xlfn.XLOOKUP(FYW$11,Assumptions!$B$35:$H$35,_xlfn.XLOOKUP($C28,Assumptions!$B$36:$B$41,Assumptions!$B$36:$H$41))</f>
        <v>0</v>
      </c>
      <c r="FYX28">
        <f t="array" ref="FYX28">_xlfn.XLOOKUP(FYX$11,Assumptions!$B$35:$H$35,_xlfn.XLOOKUP($C28,Assumptions!$B$36:$B$41,Assumptions!$B$36:$H$41))</f>
        <v>0</v>
      </c>
      <c r="FYY28">
        <f t="array" ref="FYY28">_xlfn.XLOOKUP(FYY$11,Assumptions!$B$35:$H$35,_xlfn.XLOOKUP($C28,Assumptions!$B$36:$B$41,Assumptions!$B$36:$H$41))</f>
        <v>0</v>
      </c>
      <c r="FYZ28">
        <f t="array" ref="FYZ28">_xlfn.XLOOKUP(FYZ$11,Assumptions!$B$35:$H$35,_xlfn.XLOOKUP($C28,Assumptions!$B$36:$B$41,Assumptions!$B$36:$H$41))</f>
        <v>0</v>
      </c>
      <c r="FZA28">
        <f t="array" ref="FZA28">_xlfn.XLOOKUP(FZA$11,Assumptions!$B$35:$H$35,_xlfn.XLOOKUP($C28,Assumptions!$B$36:$B$41,Assumptions!$B$36:$H$41))</f>
        <v>0</v>
      </c>
      <c r="FZB28">
        <f t="array" ref="FZB28">_xlfn.XLOOKUP(FZB$11,Assumptions!$B$35:$H$35,_xlfn.XLOOKUP($C28,Assumptions!$B$36:$B$41,Assumptions!$B$36:$H$41))</f>
        <v>0</v>
      </c>
      <c r="FZC28">
        <f t="array" ref="FZC28">_xlfn.XLOOKUP(FZC$11,Assumptions!$B$35:$H$35,_xlfn.XLOOKUP($C28,Assumptions!$B$36:$B$41,Assumptions!$B$36:$H$41))</f>
        <v>0</v>
      </c>
      <c r="FZD28">
        <f t="array" ref="FZD28">_xlfn.XLOOKUP(FZD$11,Assumptions!$B$35:$H$35,_xlfn.XLOOKUP($C28,Assumptions!$B$36:$B$41,Assumptions!$B$36:$H$41))</f>
        <v>0</v>
      </c>
      <c r="FZE28">
        <f t="array" ref="FZE28">_xlfn.XLOOKUP(FZE$11,Assumptions!$B$35:$H$35,_xlfn.XLOOKUP($C28,Assumptions!$B$36:$B$41,Assumptions!$B$36:$H$41))</f>
        <v>0</v>
      </c>
      <c r="FZF28">
        <f t="array" ref="FZF28">_xlfn.XLOOKUP(FZF$11,Assumptions!$B$35:$H$35,_xlfn.XLOOKUP($C28,Assumptions!$B$36:$B$41,Assumptions!$B$36:$H$41))</f>
        <v>0</v>
      </c>
      <c r="FZG28">
        <f t="array" ref="FZG28">_xlfn.XLOOKUP(FZG$11,Assumptions!$B$35:$H$35,_xlfn.XLOOKUP($C28,Assumptions!$B$36:$B$41,Assumptions!$B$36:$H$41))</f>
        <v>0</v>
      </c>
      <c r="FZH28">
        <f t="array" ref="FZH28">_xlfn.XLOOKUP(FZH$11,Assumptions!$B$35:$H$35,_xlfn.XLOOKUP($C28,Assumptions!$B$36:$B$41,Assumptions!$B$36:$H$41))</f>
        <v>0</v>
      </c>
      <c r="FZI28">
        <f t="array" ref="FZI28">_xlfn.XLOOKUP(FZI$11,Assumptions!$B$35:$H$35,_xlfn.XLOOKUP($C28,Assumptions!$B$36:$B$41,Assumptions!$B$36:$H$41))</f>
        <v>0</v>
      </c>
      <c r="FZJ28">
        <f t="array" ref="FZJ28">_xlfn.XLOOKUP(FZJ$11,Assumptions!$B$35:$H$35,_xlfn.XLOOKUP($C28,Assumptions!$B$36:$B$41,Assumptions!$B$36:$H$41))</f>
        <v>0</v>
      </c>
      <c r="FZK28">
        <f t="array" ref="FZK28">_xlfn.XLOOKUP(FZK$11,Assumptions!$B$35:$H$35,_xlfn.XLOOKUP($C28,Assumptions!$B$36:$B$41,Assumptions!$B$36:$H$41))</f>
        <v>0</v>
      </c>
      <c r="FZL28">
        <f t="array" ref="FZL28">_xlfn.XLOOKUP(FZL$11,Assumptions!$B$35:$H$35,_xlfn.XLOOKUP($C28,Assumptions!$B$36:$B$41,Assumptions!$B$36:$H$41))</f>
        <v>0</v>
      </c>
      <c r="FZM28">
        <f t="array" ref="FZM28">_xlfn.XLOOKUP(FZM$11,Assumptions!$B$35:$H$35,_xlfn.XLOOKUP($C28,Assumptions!$B$36:$B$41,Assumptions!$B$36:$H$41))</f>
        <v>0</v>
      </c>
      <c r="FZN28">
        <f t="array" ref="FZN28">_xlfn.XLOOKUP(FZN$11,Assumptions!$B$35:$H$35,_xlfn.XLOOKUP($C28,Assumptions!$B$36:$B$41,Assumptions!$B$36:$H$41))</f>
        <v>0</v>
      </c>
      <c r="FZO28">
        <f t="array" ref="FZO28">_xlfn.XLOOKUP(FZO$11,Assumptions!$B$35:$H$35,_xlfn.XLOOKUP($C28,Assumptions!$B$36:$B$41,Assumptions!$B$36:$H$41))</f>
        <v>0</v>
      </c>
      <c r="FZP28">
        <f t="array" ref="FZP28">_xlfn.XLOOKUP(FZP$11,Assumptions!$B$35:$H$35,_xlfn.XLOOKUP($C28,Assumptions!$B$36:$B$41,Assumptions!$B$36:$H$41))</f>
        <v>0</v>
      </c>
      <c r="FZQ28">
        <f t="array" ref="FZQ28">_xlfn.XLOOKUP(FZQ$11,Assumptions!$B$35:$H$35,_xlfn.XLOOKUP($C28,Assumptions!$B$36:$B$41,Assumptions!$B$36:$H$41))</f>
        <v>0</v>
      </c>
      <c r="FZR28">
        <f t="array" ref="FZR28">_xlfn.XLOOKUP(FZR$11,Assumptions!$B$35:$H$35,_xlfn.XLOOKUP($C28,Assumptions!$B$36:$B$41,Assumptions!$B$36:$H$41))</f>
        <v>0</v>
      </c>
      <c r="FZS28">
        <f t="array" ref="FZS28">_xlfn.XLOOKUP(FZS$11,Assumptions!$B$35:$H$35,_xlfn.XLOOKUP($C28,Assumptions!$B$36:$B$41,Assumptions!$B$36:$H$41))</f>
        <v>0</v>
      </c>
      <c r="FZT28">
        <f t="array" ref="FZT28">_xlfn.XLOOKUP(FZT$11,Assumptions!$B$35:$H$35,_xlfn.XLOOKUP($C28,Assumptions!$B$36:$B$41,Assumptions!$B$36:$H$41))</f>
        <v>0</v>
      </c>
      <c r="FZU28">
        <f t="array" ref="FZU28">_xlfn.XLOOKUP(FZU$11,Assumptions!$B$35:$H$35,_xlfn.XLOOKUP($C28,Assumptions!$B$36:$B$41,Assumptions!$B$36:$H$41))</f>
        <v>0</v>
      </c>
      <c r="FZV28">
        <f t="array" ref="FZV28">_xlfn.XLOOKUP(FZV$11,Assumptions!$B$35:$H$35,_xlfn.XLOOKUP($C28,Assumptions!$B$36:$B$41,Assumptions!$B$36:$H$41))</f>
        <v>0</v>
      </c>
      <c r="FZW28">
        <f t="array" ref="FZW28">_xlfn.XLOOKUP(FZW$11,Assumptions!$B$35:$H$35,_xlfn.XLOOKUP($C28,Assumptions!$B$36:$B$41,Assumptions!$B$36:$H$41))</f>
        <v>0</v>
      </c>
      <c r="FZX28">
        <f t="array" ref="FZX28">_xlfn.XLOOKUP(FZX$11,Assumptions!$B$35:$H$35,_xlfn.XLOOKUP($C28,Assumptions!$B$36:$B$41,Assumptions!$B$36:$H$41))</f>
        <v>0</v>
      </c>
      <c r="FZY28">
        <f t="array" ref="FZY28">_xlfn.XLOOKUP(FZY$11,Assumptions!$B$35:$H$35,_xlfn.XLOOKUP($C28,Assumptions!$B$36:$B$41,Assumptions!$B$36:$H$41))</f>
        <v>0</v>
      </c>
      <c r="FZZ28">
        <f t="array" ref="FZZ28">_xlfn.XLOOKUP(FZZ$11,Assumptions!$B$35:$H$35,_xlfn.XLOOKUP($C28,Assumptions!$B$36:$B$41,Assumptions!$B$36:$H$41))</f>
        <v>0</v>
      </c>
      <c r="GAA28">
        <f t="array" ref="GAA28">_xlfn.XLOOKUP(GAA$11,Assumptions!$B$35:$H$35,_xlfn.XLOOKUP($C28,Assumptions!$B$36:$B$41,Assumptions!$B$36:$H$41))</f>
        <v>0</v>
      </c>
      <c r="GAB28">
        <f t="array" ref="GAB28">_xlfn.XLOOKUP(GAB$11,Assumptions!$B$35:$H$35,_xlfn.XLOOKUP($C28,Assumptions!$B$36:$B$41,Assumptions!$B$36:$H$41))</f>
        <v>0</v>
      </c>
      <c r="GAC28">
        <f t="array" ref="GAC28">_xlfn.XLOOKUP(GAC$11,Assumptions!$B$35:$H$35,_xlfn.XLOOKUP($C28,Assumptions!$B$36:$B$41,Assumptions!$B$36:$H$41))</f>
        <v>0</v>
      </c>
      <c r="GAD28">
        <f t="array" ref="GAD28">_xlfn.XLOOKUP(GAD$11,Assumptions!$B$35:$H$35,_xlfn.XLOOKUP($C28,Assumptions!$B$36:$B$41,Assumptions!$B$36:$H$41))</f>
        <v>0</v>
      </c>
      <c r="GAE28">
        <f t="array" ref="GAE28">_xlfn.XLOOKUP(GAE$11,Assumptions!$B$35:$H$35,_xlfn.XLOOKUP($C28,Assumptions!$B$36:$B$41,Assumptions!$B$36:$H$41))</f>
        <v>0</v>
      </c>
      <c r="GAF28">
        <f t="array" ref="GAF28">_xlfn.XLOOKUP(GAF$11,Assumptions!$B$35:$H$35,_xlfn.XLOOKUP($C28,Assumptions!$B$36:$B$41,Assumptions!$B$36:$H$41))</f>
        <v>0</v>
      </c>
      <c r="GAG28">
        <f t="array" ref="GAG28">_xlfn.XLOOKUP(GAG$11,Assumptions!$B$35:$H$35,_xlfn.XLOOKUP($C28,Assumptions!$B$36:$B$41,Assumptions!$B$36:$H$41))</f>
        <v>0</v>
      </c>
      <c r="GAH28">
        <f t="array" ref="GAH28">_xlfn.XLOOKUP(GAH$11,Assumptions!$B$35:$H$35,_xlfn.XLOOKUP($C28,Assumptions!$B$36:$B$41,Assumptions!$B$36:$H$41))</f>
        <v>0</v>
      </c>
      <c r="GAI28">
        <f t="array" ref="GAI28">_xlfn.XLOOKUP(GAI$11,Assumptions!$B$35:$H$35,_xlfn.XLOOKUP($C28,Assumptions!$B$36:$B$41,Assumptions!$B$36:$H$41))</f>
        <v>0</v>
      </c>
      <c r="GAJ28">
        <f t="array" ref="GAJ28">_xlfn.XLOOKUP(GAJ$11,Assumptions!$B$35:$H$35,_xlfn.XLOOKUP($C28,Assumptions!$B$36:$B$41,Assumptions!$B$36:$H$41))</f>
        <v>0</v>
      </c>
      <c r="GAK28">
        <f t="array" ref="GAK28">_xlfn.XLOOKUP(GAK$11,Assumptions!$B$35:$H$35,_xlfn.XLOOKUP($C28,Assumptions!$B$36:$B$41,Assumptions!$B$36:$H$41))</f>
        <v>0</v>
      </c>
      <c r="GAL28">
        <f t="array" ref="GAL28">_xlfn.XLOOKUP(GAL$11,Assumptions!$B$35:$H$35,_xlfn.XLOOKUP($C28,Assumptions!$B$36:$B$41,Assumptions!$B$36:$H$41))</f>
        <v>0</v>
      </c>
      <c r="GAM28">
        <f t="array" ref="GAM28">_xlfn.XLOOKUP(GAM$11,Assumptions!$B$35:$H$35,_xlfn.XLOOKUP($C28,Assumptions!$B$36:$B$41,Assumptions!$B$36:$H$41))</f>
        <v>0</v>
      </c>
      <c r="GAN28">
        <f t="array" ref="GAN28">_xlfn.XLOOKUP(GAN$11,Assumptions!$B$35:$H$35,_xlfn.XLOOKUP($C28,Assumptions!$B$36:$B$41,Assumptions!$B$36:$H$41))</f>
        <v>0</v>
      </c>
      <c r="GAO28">
        <f t="array" ref="GAO28">_xlfn.XLOOKUP(GAO$11,Assumptions!$B$35:$H$35,_xlfn.XLOOKUP($C28,Assumptions!$B$36:$B$41,Assumptions!$B$36:$H$41))</f>
        <v>0</v>
      </c>
      <c r="GAP28">
        <f t="array" ref="GAP28">_xlfn.XLOOKUP(GAP$11,Assumptions!$B$35:$H$35,_xlfn.XLOOKUP($C28,Assumptions!$B$36:$B$41,Assumptions!$B$36:$H$41))</f>
        <v>0</v>
      </c>
      <c r="GAQ28">
        <f t="array" ref="GAQ28">_xlfn.XLOOKUP(GAQ$11,Assumptions!$B$35:$H$35,_xlfn.XLOOKUP($C28,Assumptions!$B$36:$B$41,Assumptions!$B$36:$H$41))</f>
        <v>0</v>
      </c>
      <c r="GAR28">
        <f t="array" ref="GAR28">_xlfn.XLOOKUP(GAR$11,Assumptions!$B$35:$H$35,_xlfn.XLOOKUP($C28,Assumptions!$B$36:$B$41,Assumptions!$B$36:$H$41))</f>
        <v>0</v>
      </c>
      <c r="GAS28">
        <f t="array" ref="GAS28">_xlfn.XLOOKUP(GAS$11,Assumptions!$B$35:$H$35,_xlfn.XLOOKUP($C28,Assumptions!$B$36:$B$41,Assumptions!$B$36:$H$41))</f>
        <v>0</v>
      </c>
      <c r="GAT28">
        <f t="array" ref="GAT28">_xlfn.XLOOKUP(GAT$11,Assumptions!$B$35:$H$35,_xlfn.XLOOKUP($C28,Assumptions!$B$36:$B$41,Assumptions!$B$36:$H$41))</f>
        <v>0</v>
      </c>
      <c r="GAU28">
        <f t="array" ref="GAU28">_xlfn.XLOOKUP(GAU$11,Assumptions!$B$35:$H$35,_xlfn.XLOOKUP($C28,Assumptions!$B$36:$B$41,Assumptions!$B$36:$H$41))</f>
        <v>0</v>
      </c>
      <c r="GAV28">
        <f t="array" ref="GAV28">_xlfn.XLOOKUP(GAV$11,Assumptions!$B$35:$H$35,_xlfn.XLOOKUP($C28,Assumptions!$B$36:$B$41,Assumptions!$B$36:$H$41))</f>
        <v>0</v>
      </c>
      <c r="GAW28">
        <f t="array" ref="GAW28">_xlfn.XLOOKUP(GAW$11,Assumptions!$B$35:$H$35,_xlfn.XLOOKUP($C28,Assumptions!$B$36:$B$41,Assumptions!$B$36:$H$41))</f>
        <v>0</v>
      </c>
      <c r="GAX28">
        <f t="array" ref="GAX28">_xlfn.XLOOKUP(GAX$11,Assumptions!$B$35:$H$35,_xlfn.XLOOKUP($C28,Assumptions!$B$36:$B$41,Assumptions!$B$36:$H$41))</f>
        <v>0</v>
      </c>
      <c r="GAY28">
        <f t="array" ref="GAY28">_xlfn.XLOOKUP(GAY$11,Assumptions!$B$35:$H$35,_xlfn.XLOOKUP($C28,Assumptions!$B$36:$B$41,Assumptions!$B$36:$H$41))</f>
        <v>0</v>
      </c>
      <c r="GAZ28">
        <f t="array" ref="GAZ28">_xlfn.XLOOKUP(GAZ$11,Assumptions!$B$35:$H$35,_xlfn.XLOOKUP($C28,Assumptions!$B$36:$B$41,Assumptions!$B$36:$H$41))</f>
        <v>0</v>
      </c>
      <c r="GBA28">
        <f t="array" ref="GBA28">_xlfn.XLOOKUP(GBA$11,Assumptions!$B$35:$H$35,_xlfn.XLOOKUP($C28,Assumptions!$B$36:$B$41,Assumptions!$B$36:$H$41))</f>
        <v>0</v>
      </c>
      <c r="GBB28">
        <f t="array" ref="GBB28">_xlfn.XLOOKUP(GBB$11,Assumptions!$B$35:$H$35,_xlfn.XLOOKUP($C28,Assumptions!$B$36:$B$41,Assumptions!$B$36:$H$41))</f>
        <v>0</v>
      </c>
      <c r="GBC28">
        <f t="array" ref="GBC28">_xlfn.XLOOKUP(GBC$11,Assumptions!$B$35:$H$35,_xlfn.XLOOKUP($C28,Assumptions!$B$36:$B$41,Assumptions!$B$36:$H$41))</f>
        <v>0</v>
      </c>
      <c r="GBD28">
        <f t="array" ref="GBD28">_xlfn.XLOOKUP(GBD$11,Assumptions!$B$35:$H$35,_xlfn.XLOOKUP($C28,Assumptions!$B$36:$B$41,Assumptions!$B$36:$H$41))</f>
        <v>0</v>
      </c>
      <c r="GBE28">
        <f t="array" ref="GBE28">_xlfn.XLOOKUP(GBE$11,Assumptions!$B$35:$H$35,_xlfn.XLOOKUP($C28,Assumptions!$B$36:$B$41,Assumptions!$B$36:$H$41))</f>
        <v>0</v>
      </c>
      <c r="GBF28">
        <f t="array" ref="GBF28">_xlfn.XLOOKUP(GBF$11,Assumptions!$B$35:$H$35,_xlfn.XLOOKUP($C28,Assumptions!$B$36:$B$41,Assumptions!$B$36:$H$41))</f>
        <v>0</v>
      </c>
      <c r="GBG28">
        <f t="array" ref="GBG28">_xlfn.XLOOKUP(GBG$11,Assumptions!$B$35:$H$35,_xlfn.XLOOKUP($C28,Assumptions!$B$36:$B$41,Assumptions!$B$36:$H$41))</f>
        <v>0</v>
      </c>
      <c r="GBH28">
        <f t="array" ref="GBH28">_xlfn.XLOOKUP(GBH$11,Assumptions!$B$35:$H$35,_xlfn.XLOOKUP($C28,Assumptions!$B$36:$B$41,Assumptions!$B$36:$H$41))</f>
        <v>0</v>
      </c>
      <c r="GBI28">
        <f t="array" ref="GBI28">_xlfn.XLOOKUP(GBI$11,Assumptions!$B$35:$H$35,_xlfn.XLOOKUP($C28,Assumptions!$B$36:$B$41,Assumptions!$B$36:$H$41))</f>
        <v>0</v>
      </c>
      <c r="GBJ28">
        <f t="array" ref="GBJ28">_xlfn.XLOOKUP(GBJ$11,Assumptions!$B$35:$H$35,_xlfn.XLOOKUP($C28,Assumptions!$B$36:$B$41,Assumptions!$B$36:$H$41))</f>
        <v>0</v>
      </c>
      <c r="GBK28">
        <f t="array" ref="GBK28">_xlfn.XLOOKUP(GBK$11,Assumptions!$B$35:$H$35,_xlfn.XLOOKUP($C28,Assumptions!$B$36:$B$41,Assumptions!$B$36:$H$41))</f>
        <v>0</v>
      </c>
      <c r="GBL28">
        <f t="array" ref="GBL28">_xlfn.XLOOKUP(GBL$11,Assumptions!$B$35:$H$35,_xlfn.XLOOKUP($C28,Assumptions!$B$36:$B$41,Assumptions!$B$36:$H$41))</f>
        <v>0</v>
      </c>
      <c r="GBM28">
        <f t="array" ref="GBM28">_xlfn.XLOOKUP(GBM$11,Assumptions!$B$35:$H$35,_xlfn.XLOOKUP($C28,Assumptions!$B$36:$B$41,Assumptions!$B$36:$H$41))</f>
        <v>0</v>
      </c>
      <c r="GBN28">
        <f t="array" ref="GBN28">_xlfn.XLOOKUP(GBN$11,Assumptions!$B$35:$H$35,_xlfn.XLOOKUP($C28,Assumptions!$B$36:$B$41,Assumptions!$B$36:$H$41))</f>
        <v>0</v>
      </c>
      <c r="GBO28">
        <f t="array" ref="GBO28">_xlfn.XLOOKUP(GBO$11,Assumptions!$B$35:$H$35,_xlfn.XLOOKUP($C28,Assumptions!$B$36:$B$41,Assumptions!$B$36:$H$41))</f>
        <v>0</v>
      </c>
      <c r="GBP28">
        <f t="array" ref="GBP28">_xlfn.XLOOKUP(GBP$11,Assumptions!$B$35:$H$35,_xlfn.XLOOKUP($C28,Assumptions!$B$36:$B$41,Assumptions!$B$36:$H$41))</f>
        <v>0</v>
      </c>
      <c r="GBQ28">
        <f t="array" ref="GBQ28">_xlfn.XLOOKUP(GBQ$11,Assumptions!$B$35:$H$35,_xlfn.XLOOKUP($C28,Assumptions!$B$36:$B$41,Assumptions!$B$36:$H$41))</f>
        <v>0</v>
      </c>
      <c r="GBR28">
        <f t="array" ref="GBR28">_xlfn.XLOOKUP(GBR$11,Assumptions!$B$35:$H$35,_xlfn.XLOOKUP($C28,Assumptions!$B$36:$B$41,Assumptions!$B$36:$H$41))</f>
        <v>0</v>
      </c>
      <c r="GBS28">
        <f t="array" ref="GBS28">_xlfn.XLOOKUP(GBS$11,Assumptions!$B$35:$H$35,_xlfn.XLOOKUP($C28,Assumptions!$B$36:$B$41,Assumptions!$B$36:$H$41))</f>
        <v>0</v>
      </c>
      <c r="GBT28">
        <f t="array" ref="GBT28">_xlfn.XLOOKUP(GBT$11,Assumptions!$B$35:$H$35,_xlfn.XLOOKUP($C28,Assumptions!$B$36:$B$41,Assumptions!$B$36:$H$41))</f>
        <v>0</v>
      </c>
      <c r="GBU28">
        <f t="array" ref="GBU28">_xlfn.XLOOKUP(GBU$11,Assumptions!$B$35:$H$35,_xlfn.XLOOKUP($C28,Assumptions!$B$36:$B$41,Assumptions!$B$36:$H$41))</f>
        <v>0</v>
      </c>
      <c r="GBV28">
        <f t="array" ref="GBV28">_xlfn.XLOOKUP(GBV$11,Assumptions!$B$35:$H$35,_xlfn.XLOOKUP($C28,Assumptions!$B$36:$B$41,Assumptions!$B$36:$H$41))</f>
        <v>0</v>
      </c>
      <c r="GBW28">
        <f t="array" ref="GBW28">_xlfn.XLOOKUP(GBW$11,Assumptions!$B$35:$H$35,_xlfn.XLOOKUP($C28,Assumptions!$B$36:$B$41,Assumptions!$B$36:$H$41))</f>
        <v>0</v>
      </c>
      <c r="GBX28">
        <f t="array" ref="GBX28">_xlfn.XLOOKUP(GBX$11,Assumptions!$B$35:$H$35,_xlfn.XLOOKUP($C28,Assumptions!$B$36:$B$41,Assumptions!$B$36:$H$41))</f>
        <v>0</v>
      </c>
      <c r="GBY28">
        <f t="array" ref="GBY28">_xlfn.XLOOKUP(GBY$11,Assumptions!$B$35:$H$35,_xlfn.XLOOKUP($C28,Assumptions!$B$36:$B$41,Assumptions!$B$36:$H$41))</f>
        <v>0</v>
      </c>
      <c r="GBZ28">
        <f t="array" ref="GBZ28">_xlfn.XLOOKUP(GBZ$11,Assumptions!$B$35:$H$35,_xlfn.XLOOKUP($C28,Assumptions!$B$36:$B$41,Assumptions!$B$36:$H$41))</f>
        <v>0</v>
      </c>
      <c r="GCA28">
        <f t="array" ref="GCA28">_xlfn.XLOOKUP(GCA$11,Assumptions!$B$35:$H$35,_xlfn.XLOOKUP($C28,Assumptions!$B$36:$B$41,Assumptions!$B$36:$H$41))</f>
        <v>0</v>
      </c>
      <c r="GCB28">
        <f t="array" ref="GCB28">_xlfn.XLOOKUP(GCB$11,Assumptions!$B$35:$H$35,_xlfn.XLOOKUP($C28,Assumptions!$B$36:$B$41,Assumptions!$B$36:$H$41))</f>
        <v>0</v>
      </c>
      <c r="GCC28">
        <f t="array" ref="GCC28">_xlfn.XLOOKUP(GCC$11,Assumptions!$B$35:$H$35,_xlfn.XLOOKUP($C28,Assumptions!$B$36:$B$41,Assumptions!$B$36:$H$41))</f>
        <v>0</v>
      </c>
      <c r="GCD28">
        <f t="array" ref="GCD28">_xlfn.XLOOKUP(GCD$11,Assumptions!$B$35:$H$35,_xlfn.XLOOKUP($C28,Assumptions!$B$36:$B$41,Assumptions!$B$36:$H$41))</f>
        <v>0</v>
      </c>
      <c r="GCE28">
        <f t="array" ref="GCE28">_xlfn.XLOOKUP(GCE$11,Assumptions!$B$35:$H$35,_xlfn.XLOOKUP($C28,Assumptions!$B$36:$B$41,Assumptions!$B$36:$H$41))</f>
        <v>0</v>
      </c>
      <c r="GCF28">
        <f t="array" ref="GCF28">_xlfn.XLOOKUP(GCF$11,Assumptions!$B$35:$H$35,_xlfn.XLOOKUP($C28,Assumptions!$B$36:$B$41,Assumptions!$B$36:$H$41))</f>
        <v>0</v>
      </c>
      <c r="GCG28">
        <f t="array" ref="GCG28">_xlfn.XLOOKUP(GCG$11,Assumptions!$B$35:$H$35,_xlfn.XLOOKUP($C28,Assumptions!$B$36:$B$41,Assumptions!$B$36:$H$41))</f>
        <v>0</v>
      </c>
      <c r="GCH28">
        <f t="array" ref="GCH28">_xlfn.XLOOKUP(GCH$11,Assumptions!$B$35:$H$35,_xlfn.XLOOKUP($C28,Assumptions!$B$36:$B$41,Assumptions!$B$36:$H$41))</f>
        <v>0</v>
      </c>
      <c r="GCI28">
        <f t="array" ref="GCI28">_xlfn.XLOOKUP(GCI$11,Assumptions!$B$35:$H$35,_xlfn.XLOOKUP($C28,Assumptions!$B$36:$B$41,Assumptions!$B$36:$H$41))</f>
        <v>0</v>
      </c>
      <c r="GCJ28">
        <f t="array" ref="GCJ28">_xlfn.XLOOKUP(GCJ$11,Assumptions!$B$35:$H$35,_xlfn.XLOOKUP($C28,Assumptions!$B$36:$B$41,Assumptions!$B$36:$H$41))</f>
        <v>0</v>
      </c>
      <c r="GCK28">
        <f t="array" ref="GCK28">_xlfn.XLOOKUP(GCK$11,Assumptions!$B$35:$H$35,_xlfn.XLOOKUP($C28,Assumptions!$B$36:$B$41,Assumptions!$B$36:$H$41))</f>
        <v>0</v>
      </c>
      <c r="GCL28">
        <f t="array" ref="GCL28">_xlfn.XLOOKUP(GCL$11,Assumptions!$B$35:$H$35,_xlfn.XLOOKUP($C28,Assumptions!$B$36:$B$41,Assumptions!$B$36:$H$41))</f>
        <v>0</v>
      </c>
      <c r="GCM28">
        <f t="array" ref="GCM28">_xlfn.XLOOKUP(GCM$11,Assumptions!$B$35:$H$35,_xlfn.XLOOKUP($C28,Assumptions!$B$36:$B$41,Assumptions!$B$36:$H$41))</f>
        <v>0</v>
      </c>
      <c r="GCN28">
        <f t="array" ref="GCN28">_xlfn.XLOOKUP(GCN$11,Assumptions!$B$35:$H$35,_xlfn.XLOOKUP($C28,Assumptions!$B$36:$B$41,Assumptions!$B$36:$H$41))</f>
        <v>0</v>
      </c>
      <c r="GCO28">
        <f t="array" ref="GCO28">_xlfn.XLOOKUP(GCO$11,Assumptions!$B$35:$H$35,_xlfn.XLOOKUP($C28,Assumptions!$B$36:$B$41,Assumptions!$B$36:$H$41))</f>
        <v>0</v>
      </c>
      <c r="GCP28">
        <f t="array" ref="GCP28">_xlfn.XLOOKUP(GCP$11,Assumptions!$B$35:$H$35,_xlfn.XLOOKUP($C28,Assumptions!$B$36:$B$41,Assumptions!$B$36:$H$41))</f>
        <v>0</v>
      </c>
      <c r="GCQ28">
        <f t="array" ref="GCQ28">_xlfn.XLOOKUP(GCQ$11,Assumptions!$B$35:$H$35,_xlfn.XLOOKUP($C28,Assumptions!$B$36:$B$41,Assumptions!$B$36:$H$41))</f>
        <v>0</v>
      </c>
      <c r="GCR28">
        <f t="array" ref="GCR28">_xlfn.XLOOKUP(GCR$11,Assumptions!$B$35:$H$35,_xlfn.XLOOKUP($C28,Assumptions!$B$36:$B$41,Assumptions!$B$36:$H$41))</f>
        <v>0</v>
      </c>
      <c r="GCS28">
        <f t="array" ref="GCS28">_xlfn.XLOOKUP(GCS$11,Assumptions!$B$35:$H$35,_xlfn.XLOOKUP($C28,Assumptions!$B$36:$B$41,Assumptions!$B$36:$H$41))</f>
        <v>0</v>
      </c>
      <c r="GCT28">
        <f t="array" ref="GCT28">_xlfn.XLOOKUP(GCT$11,Assumptions!$B$35:$H$35,_xlfn.XLOOKUP($C28,Assumptions!$B$36:$B$41,Assumptions!$B$36:$H$41))</f>
        <v>0</v>
      </c>
      <c r="GCU28">
        <f t="array" ref="GCU28">_xlfn.XLOOKUP(GCU$11,Assumptions!$B$35:$H$35,_xlfn.XLOOKUP($C28,Assumptions!$B$36:$B$41,Assumptions!$B$36:$H$41))</f>
        <v>0</v>
      </c>
      <c r="GCV28">
        <f t="array" ref="GCV28">_xlfn.XLOOKUP(GCV$11,Assumptions!$B$35:$H$35,_xlfn.XLOOKUP($C28,Assumptions!$B$36:$B$41,Assumptions!$B$36:$H$41))</f>
        <v>0</v>
      </c>
      <c r="GCW28">
        <f t="array" ref="GCW28">_xlfn.XLOOKUP(GCW$11,Assumptions!$B$35:$H$35,_xlfn.XLOOKUP($C28,Assumptions!$B$36:$B$41,Assumptions!$B$36:$H$41))</f>
        <v>0</v>
      </c>
      <c r="GCX28">
        <f t="array" ref="GCX28">_xlfn.XLOOKUP(GCX$11,Assumptions!$B$35:$H$35,_xlfn.XLOOKUP($C28,Assumptions!$B$36:$B$41,Assumptions!$B$36:$H$41))</f>
        <v>0</v>
      </c>
      <c r="GCY28">
        <f t="array" ref="GCY28">_xlfn.XLOOKUP(GCY$11,Assumptions!$B$35:$H$35,_xlfn.XLOOKUP($C28,Assumptions!$B$36:$B$41,Assumptions!$B$36:$H$41))</f>
        <v>0</v>
      </c>
      <c r="GCZ28">
        <f t="array" ref="GCZ28">_xlfn.XLOOKUP(GCZ$11,Assumptions!$B$35:$H$35,_xlfn.XLOOKUP($C28,Assumptions!$B$36:$B$41,Assumptions!$B$36:$H$41))</f>
        <v>0</v>
      </c>
      <c r="GDA28">
        <f t="array" ref="GDA28">_xlfn.XLOOKUP(GDA$11,Assumptions!$B$35:$H$35,_xlfn.XLOOKUP($C28,Assumptions!$B$36:$B$41,Assumptions!$B$36:$H$41))</f>
        <v>0</v>
      </c>
      <c r="GDB28">
        <f t="array" ref="GDB28">_xlfn.XLOOKUP(GDB$11,Assumptions!$B$35:$H$35,_xlfn.XLOOKUP($C28,Assumptions!$B$36:$B$41,Assumptions!$B$36:$H$41))</f>
        <v>0</v>
      </c>
      <c r="GDC28">
        <f t="array" ref="GDC28">_xlfn.XLOOKUP(GDC$11,Assumptions!$B$35:$H$35,_xlfn.XLOOKUP($C28,Assumptions!$B$36:$B$41,Assumptions!$B$36:$H$41))</f>
        <v>0</v>
      </c>
      <c r="GDD28">
        <f t="array" ref="GDD28">_xlfn.XLOOKUP(GDD$11,Assumptions!$B$35:$H$35,_xlfn.XLOOKUP($C28,Assumptions!$B$36:$B$41,Assumptions!$B$36:$H$41))</f>
        <v>0</v>
      </c>
      <c r="GDE28">
        <f t="array" ref="GDE28">_xlfn.XLOOKUP(GDE$11,Assumptions!$B$35:$H$35,_xlfn.XLOOKUP($C28,Assumptions!$B$36:$B$41,Assumptions!$B$36:$H$41))</f>
        <v>0</v>
      </c>
      <c r="GDF28">
        <f t="array" ref="GDF28">_xlfn.XLOOKUP(GDF$11,Assumptions!$B$35:$H$35,_xlfn.XLOOKUP($C28,Assumptions!$B$36:$B$41,Assumptions!$B$36:$H$41))</f>
        <v>0</v>
      </c>
      <c r="GDG28">
        <f t="array" ref="GDG28">_xlfn.XLOOKUP(GDG$11,Assumptions!$B$35:$H$35,_xlfn.XLOOKUP($C28,Assumptions!$B$36:$B$41,Assumptions!$B$36:$H$41))</f>
        <v>0</v>
      </c>
      <c r="GDH28">
        <f t="array" ref="GDH28">_xlfn.XLOOKUP(GDH$11,Assumptions!$B$35:$H$35,_xlfn.XLOOKUP($C28,Assumptions!$B$36:$B$41,Assumptions!$B$36:$H$41))</f>
        <v>0</v>
      </c>
      <c r="GDI28">
        <f t="array" ref="GDI28">_xlfn.XLOOKUP(GDI$11,Assumptions!$B$35:$H$35,_xlfn.XLOOKUP($C28,Assumptions!$B$36:$B$41,Assumptions!$B$36:$H$41))</f>
        <v>0</v>
      </c>
      <c r="GDJ28">
        <f t="array" ref="GDJ28">_xlfn.XLOOKUP(GDJ$11,Assumptions!$B$35:$H$35,_xlfn.XLOOKUP($C28,Assumptions!$B$36:$B$41,Assumptions!$B$36:$H$41))</f>
        <v>0</v>
      </c>
      <c r="GDK28">
        <f t="array" ref="GDK28">_xlfn.XLOOKUP(GDK$11,Assumptions!$B$35:$H$35,_xlfn.XLOOKUP($C28,Assumptions!$B$36:$B$41,Assumptions!$B$36:$H$41))</f>
        <v>0</v>
      </c>
      <c r="GDL28">
        <f t="array" ref="GDL28">_xlfn.XLOOKUP(GDL$11,Assumptions!$B$35:$H$35,_xlfn.XLOOKUP($C28,Assumptions!$B$36:$B$41,Assumptions!$B$36:$H$41))</f>
        <v>0</v>
      </c>
      <c r="GDM28">
        <f t="array" ref="GDM28">_xlfn.XLOOKUP(GDM$11,Assumptions!$B$35:$H$35,_xlfn.XLOOKUP($C28,Assumptions!$B$36:$B$41,Assumptions!$B$36:$H$41))</f>
        <v>0</v>
      </c>
      <c r="GDN28">
        <f t="array" ref="GDN28">_xlfn.XLOOKUP(GDN$11,Assumptions!$B$35:$H$35,_xlfn.XLOOKUP($C28,Assumptions!$B$36:$B$41,Assumptions!$B$36:$H$41))</f>
        <v>0</v>
      </c>
      <c r="GDO28">
        <f t="array" ref="GDO28">_xlfn.XLOOKUP(GDO$11,Assumptions!$B$35:$H$35,_xlfn.XLOOKUP($C28,Assumptions!$B$36:$B$41,Assumptions!$B$36:$H$41))</f>
        <v>0</v>
      </c>
      <c r="GDP28">
        <f t="array" ref="GDP28">_xlfn.XLOOKUP(GDP$11,Assumptions!$B$35:$H$35,_xlfn.XLOOKUP($C28,Assumptions!$B$36:$B$41,Assumptions!$B$36:$H$41))</f>
        <v>0</v>
      </c>
      <c r="GDQ28">
        <f t="array" ref="GDQ28">_xlfn.XLOOKUP(GDQ$11,Assumptions!$B$35:$H$35,_xlfn.XLOOKUP($C28,Assumptions!$B$36:$B$41,Assumptions!$B$36:$H$41))</f>
        <v>0</v>
      </c>
      <c r="GDR28">
        <f t="array" ref="GDR28">_xlfn.XLOOKUP(GDR$11,Assumptions!$B$35:$H$35,_xlfn.XLOOKUP($C28,Assumptions!$B$36:$B$41,Assumptions!$B$36:$H$41))</f>
        <v>0</v>
      </c>
      <c r="GDS28">
        <f t="array" ref="GDS28">_xlfn.XLOOKUP(GDS$11,Assumptions!$B$35:$H$35,_xlfn.XLOOKUP($C28,Assumptions!$B$36:$B$41,Assumptions!$B$36:$H$41))</f>
        <v>0</v>
      </c>
      <c r="GDT28">
        <f t="array" ref="GDT28">_xlfn.XLOOKUP(GDT$11,Assumptions!$B$35:$H$35,_xlfn.XLOOKUP($C28,Assumptions!$B$36:$B$41,Assumptions!$B$36:$H$41))</f>
        <v>0</v>
      </c>
      <c r="GDU28">
        <f t="array" ref="GDU28">_xlfn.XLOOKUP(GDU$11,Assumptions!$B$35:$H$35,_xlfn.XLOOKUP($C28,Assumptions!$B$36:$B$41,Assumptions!$B$36:$H$41))</f>
        <v>0</v>
      </c>
      <c r="GDV28">
        <f t="array" ref="GDV28">_xlfn.XLOOKUP(GDV$11,Assumptions!$B$35:$H$35,_xlfn.XLOOKUP($C28,Assumptions!$B$36:$B$41,Assumptions!$B$36:$H$41))</f>
        <v>0</v>
      </c>
      <c r="GDW28">
        <f t="array" ref="GDW28">_xlfn.XLOOKUP(GDW$11,Assumptions!$B$35:$H$35,_xlfn.XLOOKUP($C28,Assumptions!$B$36:$B$41,Assumptions!$B$36:$H$41))</f>
        <v>0</v>
      </c>
      <c r="GDX28">
        <f t="array" ref="GDX28">_xlfn.XLOOKUP(GDX$11,Assumptions!$B$35:$H$35,_xlfn.XLOOKUP($C28,Assumptions!$B$36:$B$41,Assumptions!$B$36:$H$41))</f>
        <v>0</v>
      </c>
      <c r="GDY28">
        <f t="array" ref="GDY28">_xlfn.XLOOKUP(GDY$11,Assumptions!$B$35:$H$35,_xlfn.XLOOKUP($C28,Assumptions!$B$36:$B$41,Assumptions!$B$36:$H$41))</f>
        <v>0</v>
      </c>
      <c r="GDZ28">
        <f t="array" ref="GDZ28">_xlfn.XLOOKUP(GDZ$11,Assumptions!$B$35:$H$35,_xlfn.XLOOKUP($C28,Assumptions!$B$36:$B$41,Assumptions!$B$36:$H$41))</f>
        <v>0</v>
      </c>
      <c r="GEA28">
        <f t="array" ref="GEA28">_xlfn.XLOOKUP(GEA$11,Assumptions!$B$35:$H$35,_xlfn.XLOOKUP($C28,Assumptions!$B$36:$B$41,Assumptions!$B$36:$H$41))</f>
        <v>0</v>
      </c>
      <c r="GEB28">
        <f t="array" ref="GEB28">_xlfn.XLOOKUP(GEB$11,Assumptions!$B$35:$H$35,_xlfn.XLOOKUP($C28,Assumptions!$B$36:$B$41,Assumptions!$B$36:$H$41))</f>
        <v>0</v>
      </c>
      <c r="GEC28">
        <f t="array" ref="GEC28">_xlfn.XLOOKUP(GEC$11,Assumptions!$B$35:$H$35,_xlfn.XLOOKUP($C28,Assumptions!$B$36:$B$41,Assumptions!$B$36:$H$41))</f>
        <v>0</v>
      </c>
      <c r="GED28">
        <f t="array" ref="GED28">_xlfn.XLOOKUP(GED$11,Assumptions!$B$35:$H$35,_xlfn.XLOOKUP($C28,Assumptions!$B$36:$B$41,Assumptions!$B$36:$H$41))</f>
        <v>0</v>
      </c>
      <c r="GEE28">
        <f t="array" ref="GEE28">_xlfn.XLOOKUP(GEE$11,Assumptions!$B$35:$H$35,_xlfn.XLOOKUP($C28,Assumptions!$B$36:$B$41,Assumptions!$B$36:$H$41))</f>
        <v>0</v>
      </c>
      <c r="GEF28">
        <f t="array" ref="GEF28">_xlfn.XLOOKUP(GEF$11,Assumptions!$B$35:$H$35,_xlfn.XLOOKUP($C28,Assumptions!$B$36:$B$41,Assumptions!$B$36:$H$41))</f>
        <v>0</v>
      </c>
      <c r="GEG28">
        <f t="array" ref="GEG28">_xlfn.XLOOKUP(GEG$11,Assumptions!$B$35:$H$35,_xlfn.XLOOKUP($C28,Assumptions!$B$36:$B$41,Assumptions!$B$36:$H$41))</f>
        <v>0</v>
      </c>
      <c r="GEH28">
        <f t="array" ref="GEH28">_xlfn.XLOOKUP(GEH$11,Assumptions!$B$35:$H$35,_xlfn.XLOOKUP($C28,Assumptions!$B$36:$B$41,Assumptions!$B$36:$H$41))</f>
        <v>0</v>
      </c>
      <c r="GEI28">
        <f t="array" ref="GEI28">_xlfn.XLOOKUP(GEI$11,Assumptions!$B$35:$H$35,_xlfn.XLOOKUP($C28,Assumptions!$B$36:$B$41,Assumptions!$B$36:$H$41))</f>
        <v>0</v>
      </c>
      <c r="GEJ28">
        <f t="array" ref="GEJ28">_xlfn.XLOOKUP(GEJ$11,Assumptions!$B$35:$H$35,_xlfn.XLOOKUP($C28,Assumptions!$B$36:$B$41,Assumptions!$B$36:$H$41))</f>
        <v>0</v>
      </c>
      <c r="GEK28">
        <f t="array" ref="GEK28">_xlfn.XLOOKUP(GEK$11,Assumptions!$B$35:$H$35,_xlfn.XLOOKUP($C28,Assumptions!$B$36:$B$41,Assumptions!$B$36:$H$41))</f>
        <v>0</v>
      </c>
      <c r="GEL28">
        <f t="array" ref="GEL28">_xlfn.XLOOKUP(GEL$11,Assumptions!$B$35:$H$35,_xlfn.XLOOKUP($C28,Assumptions!$B$36:$B$41,Assumptions!$B$36:$H$41))</f>
        <v>0</v>
      </c>
      <c r="GEM28">
        <f t="array" ref="GEM28">_xlfn.XLOOKUP(GEM$11,Assumptions!$B$35:$H$35,_xlfn.XLOOKUP($C28,Assumptions!$B$36:$B$41,Assumptions!$B$36:$H$41))</f>
        <v>0</v>
      </c>
      <c r="GEN28">
        <f t="array" ref="GEN28">_xlfn.XLOOKUP(GEN$11,Assumptions!$B$35:$H$35,_xlfn.XLOOKUP($C28,Assumptions!$B$36:$B$41,Assumptions!$B$36:$H$41))</f>
        <v>0</v>
      </c>
      <c r="GEO28">
        <f t="array" ref="GEO28">_xlfn.XLOOKUP(GEO$11,Assumptions!$B$35:$H$35,_xlfn.XLOOKUP($C28,Assumptions!$B$36:$B$41,Assumptions!$B$36:$H$41))</f>
        <v>0</v>
      </c>
      <c r="GEP28">
        <f t="array" ref="GEP28">_xlfn.XLOOKUP(GEP$11,Assumptions!$B$35:$H$35,_xlfn.XLOOKUP($C28,Assumptions!$B$36:$B$41,Assumptions!$B$36:$H$41))</f>
        <v>0</v>
      </c>
      <c r="GEQ28">
        <f t="array" ref="GEQ28">_xlfn.XLOOKUP(GEQ$11,Assumptions!$B$35:$H$35,_xlfn.XLOOKUP($C28,Assumptions!$B$36:$B$41,Assumptions!$B$36:$H$41))</f>
        <v>0</v>
      </c>
      <c r="GER28">
        <f t="array" ref="GER28">_xlfn.XLOOKUP(GER$11,Assumptions!$B$35:$H$35,_xlfn.XLOOKUP($C28,Assumptions!$B$36:$B$41,Assumptions!$B$36:$H$41))</f>
        <v>0</v>
      </c>
      <c r="GES28">
        <f t="array" ref="GES28">_xlfn.XLOOKUP(GES$11,Assumptions!$B$35:$H$35,_xlfn.XLOOKUP($C28,Assumptions!$B$36:$B$41,Assumptions!$B$36:$H$41))</f>
        <v>0</v>
      </c>
      <c r="GET28">
        <f t="array" ref="GET28">_xlfn.XLOOKUP(GET$11,Assumptions!$B$35:$H$35,_xlfn.XLOOKUP($C28,Assumptions!$B$36:$B$41,Assumptions!$B$36:$H$41))</f>
        <v>0</v>
      </c>
      <c r="GEU28">
        <f t="array" ref="GEU28">_xlfn.XLOOKUP(GEU$11,Assumptions!$B$35:$H$35,_xlfn.XLOOKUP($C28,Assumptions!$B$36:$B$41,Assumptions!$B$36:$H$41))</f>
        <v>0</v>
      </c>
      <c r="GEV28">
        <f t="array" ref="GEV28">_xlfn.XLOOKUP(GEV$11,Assumptions!$B$35:$H$35,_xlfn.XLOOKUP($C28,Assumptions!$B$36:$B$41,Assumptions!$B$36:$H$41))</f>
        <v>0</v>
      </c>
      <c r="GEW28">
        <f t="array" ref="GEW28">_xlfn.XLOOKUP(GEW$11,Assumptions!$B$35:$H$35,_xlfn.XLOOKUP($C28,Assumptions!$B$36:$B$41,Assumptions!$B$36:$H$41))</f>
        <v>0</v>
      </c>
      <c r="GEX28">
        <f t="array" ref="GEX28">_xlfn.XLOOKUP(GEX$11,Assumptions!$B$35:$H$35,_xlfn.XLOOKUP($C28,Assumptions!$B$36:$B$41,Assumptions!$B$36:$H$41))</f>
        <v>0</v>
      </c>
      <c r="GEY28">
        <f t="array" ref="GEY28">_xlfn.XLOOKUP(GEY$11,Assumptions!$B$35:$H$35,_xlfn.XLOOKUP($C28,Assumptions!$B$36:$B$41,Assumptions!$B$36:$H$41))</f>
        <v>0</v>
      </c>
      <c r="GEZ28">
        <f t="array" ref="GEZ28">_xlfn.XLOOKUP(GEZ$11,Assumptions!$B$35:$H$35,_xlfn.XLOOKUP($C28,Assumptions!$B$36:$B$41,Assumptions!$B$36:$H$41))</f>
        <v>0</v>
      </c>
      <c r="GFA28">
        <f t="array" ref="GFA28">_xlfn.XLOOKUP(GFA$11,Assumptions!$B$35:$H$35,_xlfn.XLOOKUP($C28,Assumptions!$B$36:$B$41,Assumptions!$B$36:$H$41))</f>
        <v>0</v>
      </c>
      <c r="GFB28">
        <f t="array" ref="GFB28">_xlfn.XLOOKUP(GFB$11,Assumptions!$B$35:$H$35,_xlfn.XLOOKUP($C28,Assumptions!$B$36:$B$41,Assumptions!$B$36:$H$41))</f>
        <v>0</v>
      </c>
      <c r="GFC28">
        <f t="array" ref="GFC28">_xlfn.XLOOKUP(GFC$11,Assumptions!$B$35:$H$35,_xlfn.XLOOKUP($C28,Assumptions!$B$36:$B$41,Assumptions!$B$36:$H$41))</f>
        <v>0</v>
      </c>
      <c r="GFD28">
        <f t="array" ref="GFD28">_xlfn.XLOOKUP(GFD$11,Assumptions!$B$35:$H$35,_xlfn.XLOOKUP($C28,Assumptions!$B$36:$B$41,Assumptions!$B$36:$H$41))</f>
        <v>0</v>
      </c>
      <c r="GFE28">
        <f t="array" ref="GFE28">_xlfn.XLOOKUP(GFE$11,Assumptions!$B$35:$H$35,_xlfn.XLOOKUP($C28,Assumptions!$B$36:$B$41,Assumptions!$B$36:$H$41))</f>
        <v>0</v>
      </c>
      <c r="GFF28">
        <f t="array" ref="GFF28">_xlfn.XLOOKUP(GFF$11,Assumptions!$B$35:$H$35,_xlfn.XLOOKUP($C28,Assumptions!$B$36:$B$41,Assumptions!$B$36:$H$41))</f>
        <v>0</v>
      </c>
      <c r="GFG28">
        <f t="array" ref="GFG28">_xlfn.XLOOKUP(GFG$11,Assumptions!$B$35:$H$35,_xlfn.XLOOKUP($C28,Assumptions!$B$36:$B$41,Assumptions!$B$36:$H$41))</f>
        <v>0</v>
      </c>
      <c r="GFH28">
        <f t="array" ref="GFH28">_xlfn.XLOOKUP(GFH$11,Assumptions!$B$35:$H$35,_xlfn.XLOOKUP($C28,Assumptions!$B$36:$B$41,Assumptions!$B$36:$H$41))</f>
        <v>0</v>
      </c>
      <c r="GFI28">
        <f t="array" ref="GFI28">_xlfn.XLOOKUP(GFI$11,Assumptions!$B$35:$H$35,_xlfn.XLOOKUP($C28,Assumptions!$B$36:$B$41,Assumptions!$B$36:$H$41))</f>
        <v>0</v>
      </c>
      <c r="GFJ28">
        <f t="array" ref="GFJ28">_xlfn.XLOOKUP(GFJ$11,Assumptions!$B$35:$H$35,_xlfn.XLOOKUP($C28,Assumptions!$B$36:$B$41,Assumptions!$B$36:$H$41))</f>
        <v>0</v>
      </c>
      <c r="GFK28">
        <f t="array" ref="GFK28">_xlfn.XLOOKUP(GFK$11,Assumptions!$B$35:$H$35,_xlfn.XLOOKUP($C28,Assumptions!$B$36:$B$41,Assumptions!$B$36:$H$41))</f>
        <v>0</v>
      </c>
      <c r="GFL28">
        <f t="array" ref="GFL28">_xlfn.XLOOKUP(GFL$11,Assumptions!$B$35:$H$35,_xlfn.XLOOKUP($C28,Assumptions!$B$36:$B$41,Assumptions!$B$36:$H$41))</f>
        <v>0</v>
      </c>
      <c r="GFM28">
        <f t="array" ref="GFM28">_xlfn.XLOOKUP(GFM$11,Assumptions!$B$35:$H$35,_xlfn.XLOOKUP($C28,Assumptions!$B$36:$B$41,Assumptions!$B$36:$H$41))</f>
        <v>0</v>
      </c>
      <c r="GFN28">
        <f t="array" ref="GFN28">_xlfn.XLOOKUP(GFN$11,Assumptions!$B$35:$H$35,_xlfn.XLOOKUP($C28,Assumptions!$B$36:$B$41,Assumptions!$B$36:$H$41))</f>
        <v>0</v>
      </c>
      <c r="GFO28">
        <f t="array" ref="GFO28">_xlfn.XLOOKUP(GFO$11,Assumptions!$B$35:$H$35,_xlfn.XLOOKUP($C28,Assumptions!$B$36:$B$41,Assumptions!$B$36:$H$41))</f>
        <v>0</v>
      </c>
      <c r="GFP28">
        <f t="array" ref="GFP28">_xlfn.XLOOKUP(GFP$11,Assumptions!$B$35:$H$35,_xlfn.XLOOKUP($C28,Assumptions!$B$36:$B$41,Assumptions!$B$36:$H$41))</f>
        <v>0</v>
      </c>
      <c r="GFQ28">
        <f t="array" ref="GFQ28">_xlfn.XLOOKUP(GFQ$11,Assumptions!$B$35:$H$35,_xlfn.XLOOKUP($C28,Assumptions!$B$36:$B$41,Assumptions!$B$36:$H$41))</f>
        <v>0</v>
      </c>
      <c r="GFR28">
        <f t="array" ref="GFR28">_xlfn.XLOOKUP(GFR$11,Assumptions!$B$35:$H$35,_xlfn.XLOOKUP($C28,Assumptions!$B$36:$B$41,Assumptions!$B$36:$H$41))</f>
        <v>0</v>
      </c>
      <c r="GFS28">
        <f t="array" ref="GFS28">_xlfn.XLOOKUP(GFS$11,Assumptions!$B$35:$H$35,_xlfn.XLOOKUP($C28,Assumptions!$B$36:$B$41,Assumptions!$B$36:$H$41))</f>
        <v>0</v>
      </c>
      <c r="GFT28">
        <f t="array" ref="GFT28">_xlfn.XLOOKUP(GFT$11,Assumptions!$B$35:$H$35,_xlfn.XLOOKUP($C28,Assumptions!$B$36:$B$41,Assumptions!$B$36:$H$41))</f>
        <v>0</v>
      </c>
      <c r="GFU28">
        <f t="array" ref="GFU28">_xlfn.XLOOKUP(GFU$11,Assumptions!$B$35:$H$35,_xlfn.XLOOKUP($C28,Assumptions!$B$36:$B$41,Assumptions!$B$36:$H$41))</f>
        <v>0</v>
      </c>
      <c r="GFV28">
        <f t="array" ref="GFV28">_xlfn.XLOOKUP(GFV$11,Assumptions!$B$35:$H$35,_xlfn.XLOOKUP($C28,Assumptions!$B$36:$B$41,Assumptions!$B$36:$H$41))</f>
        <v>0</v>
      </c>
      <c r="GFW28">
        <f t="array" ref="GFW28">_xlfn.XLOOKUP(GFW$11,Assumptions!$B$35:$H$35,_xlfn.XLOOKUP($C28,Assumptions!$B$36:$B$41,Assumptions!$B$36:$H$41))</f>
        <v>0</v>
      </c>
      <c r="GFX28">
        <f t="array" ref="GFX28">_xlfn.XLOOKUP(GFX$11,Assumptions!$B$35:$H$35,_xlfn.XLOOKUP($C28,Assumptions!$B$36:$B$41,Assumptions!$B$36:$H$41))</f>
        <v>0</v>
      </c>
      <c r="GFY28">
        <f t="array" ref="GFY28">_xlfn.XLOOKUP(GFY$11,Assumptions!$B$35:$H$35,_xlfn.XLOOKUP($C28,Assumptions!$B$36:$B$41,Assumptions!$B$36:$H$41))</f>
        <v>0</v>
      </c>
      <c r="GFZ28">
        <f t="array" ref="GFZ28">_xlfn.XLOOKUP(GFZ$11,Assumptions!$B$35:$H$35,_xlfn.XLOOKUP($C28,Assumptions!$B$36:$B$41,Assumptions!$B$36:$H$41))</f>
        <v>0</v>
      </c>
      <c r="GGA28">
        <f t="array" ref="GGA28">_xlfn.XLOOKUP(GGA$11,Assumptions!$B$35:$H$35,_xlfn.XLOOKUP($C28,Assumptions!$B$36:$B$41,Assumptions!$B$36:$H$41))</f>
        <v>0</v>
      </c>
      <c r="GGB28">
        <f t="array" ref="GGB28">_xlfn.XLOOKUP(GGB$11,Assumptions!$B$35:$H$35,_xlfn.XLOOKUP($C28,Assumptions!$B$36:$B$41,Assumptions!$B$36:$H$41))</f>
        <v>0</v>
      </c>
      <c r="GGC28">
        <f t="array" ref="GGC28">_xlfn.XLOOKUP(GGC$11,Assumptions!$B$35:$H$35,_xlfn.XLOOKUP($C28,Assumptions!$B$36:$B$41,Assumptions!$B$36:$H$41))</f>
        <v>0</v>
      </c>
      <c r="GGD28">
        <f t="array" ref="GGD28">_xlfn.XLOOKUP(GGD$11,Assumptions!$B$35:$H$35,_xlfn.XLOOKUP($C28,Assumptions!$B$36:$B$41,Assumptions!$B$36:$H$41))</f>
        <v>0</v>
      </c>
      <c r="GGE28">
        <f t="array" ref="GGE28">_xlfn.XLOOKUP(GGE$11,Assumptions!$B$35:$H$35,_xlfn.XLOOKUP($C28,Assumptions!$B$36:$B$41,Assumptions!$B$36:$H$41))</f>
        <v>0</v>
      </c>
      <c r="GGF28">
        <f t="array" ref="GGF28">_xlfn.XLOOKUP(GGF$11,Assumptions!$B$35:$H$35,_xlfn.XLOOKUP($C28,Assumptions!$B$36:$B$41,Assumptions!$B$36:$H$41))</f>
        <v>0</v>
      </c>
      <c r="GGG28">
        <f t="array" ref="GGG28">_xlfn.XLOOKUP(GGG$11,Assumptions!$B$35:$H$35,_xlfn.XLOOKUP($C28,Assumptions!$B$36:$B$41,Assumptions!$B$36:$H$41))</f>
        <v>0</v>
      </c>
      <c r="GGH28">
        <f t="array" ref="GGH28">_xlfn.XLOOKUP(GGH$11,Assumptions!$B$35:$H$35,_xlfn.XLOOKUP($C28,Assumptions!$B$36:$B$41,Assumptions!$B$36:$H$41))</f>
        <v>0</v>
      </c>
      <c r="GGI28">
        <f t="array" ref="GGI28">_xlfn.XLOOKUP(GGI$11,Assumptions!$B$35:$H$35,_xlfn.XLOOKUP($C28,Assumptions!$B$36:$B$41,Assumptions!$B$36:$H$41))</f>
        <v>0</v>
      </c>
      <c r="GGJ28">
        <f t="array" ref="GGJ28">_xlfn.XLOOKUP(GGJ$11,Assumptions!$B$35:$H$35,_xlfn.XLOOKUP($C28,Assumptions!$B$36:$B$41,Assumptions!$B$36:$H$41))</f>
        <v>0</v>
      </c>
      <c r="GGK28">
        <f t="array" ref="GGK28">_xlfn.XLOOKUP(GGK$11,Assumptions!$B$35:$H$35,_xlfn.XLOOKUP($C28,Assumptions!$B$36:$B$41,Assumptions!$B$36:$H$41))</f>
        <v>0</v>
      </c>
      <c r="GGL28">
        <f t="array" ref="GGL28">_xlfn.XLOOKUP(GGL$11,Assumptions!$B$35:$H$35,_xlfn.XLOOKUP($C28,Assumptions!$B$36:$B$41,Assumptions!$B$36:$H$41))</f>
        <v>0</v>
      </c>
      <c r="GGM28">
        <f t="array" ref="GGM28">_xlfn.XLOOKUP(GGM$11,Assumptions!$B$35:$H$35,_xlfn.XLOOKUP($C28,Assumptions!$B$36:$B$41,Assumptions!$B$36:$H$41))</f>
        <v>0</v>
      </c>
      <c r="GGN28">
        <f t="array" ref="GGN28">_xlfn.XLOOKUP(GGN$11,Assumptions!$B$35:$H$35,_xlfn.XLOOKUP($C28,Assumptions!$B$36:$B$41,Assumptions!$B$36:$H$41))</f>
        <v>0</v>
      </c>
      <c r="GGO28">
        <f t="array" ref="GGO28">_xlfn.XLOOKUP(GGO$11,Assumptions!$B$35:$H$35,_xlfn.XLOOKUP($C28,Assumptions!$B$36:$B$41,Assumptions!$B$36:$H$41))</f>
        <v>0</v>
      </c>
      <c r="GGP28">
        <f t="array" ref="GGP28">_xlfn.XLOOKUP(GGP$11,Assumptions!$B$35:$H$35,_xlfn.XLOOKUP($C28,Assumptions!$B$36:$B$41,Assumptions!$B$36:$H$41))</f>
        <v>0</v>
      </c>
      <c r="GGQ28">
        <f t="array" ref="GGQ28">_xlfn.XLOOKUP(GGQ$11,Assumptions!$B$35:$H$35,_xlfn.XLOOKUP($C28,Assumptions!$B$36:$B$41,Assumptions!$B$36:$H$41))</f>
        <v>0</v>
      </c>
      <c r="GGR28">
        <f t="array" ref="GGR28">_xlfn.XLOOKUP(GGR$11,Assumptions!$B$35:$H$35,_xlfn.XLOOKUP($C28,Assumptions!$B$36:$B$41,Assumptions!$B$36:$H$41))</f>
        <v>0</v>
      </c>
      <c r="GGS28">
        <f t="array" ref="GGS28">_xlfn.XLOOKUP(GGS$11,Assumptions!$B$35:$H$35,_xlfn.XLOOKUP($C28,Assumptions!$B$36:$B$41,Assumptions!$B$36:$H$41))</f>
        <v>0</v>
      </c>
      <c r="GGT28">
        <f t="array" ref="GGT28">_xlfn.XLOOKUP(GGT$11,Assumptions!$B$35:$H$35,_xlfn.XLOOKUP($C28,Assumptions!$B$36:$B$41,Assumptions!$B$36:$H$41))</f>
        <v>0</v>
      </c>
      <c r="GGU28">
        <f t="array" ref="GGU28">_xlfn.XLOOKUP(GGU$11,Assumptions!$B$35:$H$35,_xlfn.XLOOKUP($C28,Assumptions!$B$36:$B$41,Assumptions!$B$36:$H$41))</f>
        <v>0</v>
      </c>
      <c r="GGV28">
        <f t="array" ref="GGV28">_xlfn.XLOOKUP(GGV$11,Assumptions!$B$35:$H$35,_xlfn.XLOOKUP($C28,Assumptions!$B$36:$B$41,Assumptions!$B$36:$H$41))</f>
        <v>0</v>
      </c>
      <c r="GGW28">
        <f t="array" ref="GGW28">_xlfn.XLOOKUP(GGW$11,Assumptions!$B$35:$H$35,_xlfn.XLOOKUP($C28,Assumptions!$B$36:$B$41,Assumptions!$B$36:$H$41))</f>
        <v>0</v>
      </c>
      <c r="GGX28">
        <f t="array" ref="GGX28">_xlfn.XLOOKUP(GGX$11,Assumptions!$B$35:$H$35,_xlfn.XLOOKUP($C28,Assumptions!$B$36:$B$41,Assumptions!$B$36:$H$41))</f>
        <v>0</v>
      </c>
      <c r="GGY28">
        <f t="array" ref="GGY28">_xlfn.XLOOKUP(GGY$11,Assumptions!$B$35:$H$35,_xlfn.XLOOKUP($C28,Assumptions!$B$36:$B$41,Assumptions!$B$36:$H$41))</f>
        <v>0</v>
      </c>
      <c r="GGZ28">
        <f t="array" ref="GGZ28">_xlfn.XLOOKUP(GGZ$11,Assumptions!$B$35:$H$35,_xlfn.XLOOKUP($C28,Assumptions!$B$36:$B$41,Assumptions!$B$36:$H$41))</f>
        <v>0</v>
      </c>
      <c r="GHA28">
        <f t="array" ref="GHA28">_xlfn.XLOOKUP(GHA$11,Assumptions!$B$35:$H$35,_xlfn.XLOOKUP($C28,Assumptions!$B$36:$B$41,Assumptions!$B$36:$H$41))</f>
        <v>0</v>
      </c>
      <c r="GHB28">
        <f t="array" ref="GHB28">_xlfn.XLOOKUP(GHB$11,Assumptions!$B$35:$H$35,_xlfn.XLOOKUP($C28,Assumptions!$B$36:$B$41,Assumptions!$B$36:$H$41))</f>
        <v>0</v>
      </c>
      <c r="GHC28">
        <f t="array" ref="GHC28">_xlfn.XLOOKUP(GHC$11,Assumptions!$B$35:$H$35,_xlfn.XLOOKUP($C28,Assumptions!$B$36:$B$41,Assumptions!$B$36:$H$41))</f>
        <v>0</v>
      </c>
      <c r="GHD28">
        <f t="array" ref="GHD28">_xlfn.XLOOKUP(GHD$11,Assumptions!$B$35:$H$35,_xlfn.XLOOKUP($C28,Assumptions!$B$36:$B$41,Assumptions!$B$36:$H$41))</f>
        <v>0</v>
      </c>
      <c r="GHE28">
        <f t="array" ref="GHE28">_xlfn.XLOOKUP(GHE$11,Assumptions!$B$35:$H$35,_xlfn.XLOOKUP($C28,Assumptions!$B$36:$B$41,Assumptions!$B$36:$H$41))</f>
        <v>0</v>
      </c>
      <c r="GHF28">
        <f t="array" ref="GHF28">_xlfn.XLOOKUP(GHF$11,Assumptions!$B$35:$H$35,_xlfn.XLOOKUP($C28,Assumptions!$B$36:$B$41,Assumptions!$B$36:$H$41))</f>
        <v>0</v>
      </c>
      <c r="GHG28">
        <f t="array" ref="GHG28">_xlfn.XLOOKUP(GHG$11,Assumptions!$B$35:$H$35,_xlfn.XLOOKUP($C28,Assumptions!$B$36:$B$41,Assumptions!$B$36:$H$41))</f>
        <v>0</v>
      </c>
      <c r="GHH28">
        <f t="array" ref="GHH28">_xlfn.XLOOKUP(GHH$11,Assumptions!$B$35:$H$35,_xlfn.XLOOKUP($C28,Assumptions!$B$36:$B$41,Assumptions!$B$36:$H$41))</f>
        <v>0</v>
      </c>
      <c r="GHI28">
        <f t="array" ref="GHI28">_xlfn.XLOOKUP(GHI$11,Assumptions!$B$35:$H$35,_xlfn.XLOOKUP($C28,Assumptions!$B$36:$B$41,Assumptions!$B$36:$H$41))</f>
        <v>0</v>
      </c>
      <c r="GHJ28">
        <f t="array" ref="GHJ28">_xlfn.XLOOKUP(GHJ$11,Assumptions!$B$35:$H$35,_xlfn.XLOOKUP($C28,Assumptions!$B$36:$B$41,Assumptions!$B$36:$H$41))</f>
        <v>0</v>
      </c>
      <c r="GHK28">
        <f t="array" ref="GHK28">_xlfn.XLOOKUP(GHK$11,Assumptions!$B$35:$H$35,_xlfn.XLOOKUP($C28,Assumptions!$B$36:$B$41,Assumptions!$B$36:$H$41))</f>
        <v>0</v>
      </c>
      <c r="GHL28">
        <f t="array" ref="GHL28">_xlfn.XLOOKUP(GHL$11,Assumptions!$B$35:$H$35,_xlfn.XLOOKUP($C28,Assumptions!$B$36:$B$41,Assumptions!$B$36:$H$41))</f>
        <v>0</v>
      </c>
      <c r="GHM28">
        <f t="array" ref="GHM28">_xlfn.XLOOKUP(GHM$11,Assumptions!$B$35:$H$35,_xlfn.XLOOKUP($C28,Assumptions!$B$36:$B$41,Assumptions!$B$36:$H$41))</f>
        <v>0</v>
      </c>
      <c r="GHN28">
        <f t="array" ref="GHN28">_xlfn.XLOOKUP(GHN$11,Assumptions!$B$35:$H$35,_xlfn.XLOOKUP($C28,Assumptions!$B$36:$B$41,Assumptions!$B$36:$H$41))</f>
        <v>0</v>
      </c>
      <c r="GHO28">
        <f t="array" ref="GHO28">_xlfn.XLOOKUP(GHO$11,Assumptions!$B$35:$H$35,_xlfn.XLOOKUP($C28,Assumptions!$B$36:$B$41,Assumptions!$B$36:$H$41))</f>
        <v>0</v>
      </c>
      <c r="GHP28">
        <f t="array" ref="GHP28">_xlfn.XLOOKUP(GHP$11,Assumptions!$B$35:$H$35,_xlfn.XLOOKUP($C28,Assumptions!$B$36:$B$41,Assumptions!$B$36:$H$41))</f>
        <v>0</v>
      </c>
      <c r="GHQ28">
        <f t="array" ref="GHQ28">_xlfn.XLOOKUP(GHQ$11,Assumptions!$B$35:$H$35,_xlfn.XLOOKUP($C28,Assumptions!$B$36:$B$41,Assumptions!$B$36:$H$41))</f>
        <v>0</v>
      </c>
      <c r="GHR28">
        <f t="array" ref="GHR28">_xlfn.XLOOKUP(GHR$11,Assumptions!$B$35:$H$35,_xlfn.XLOOKUP($C28,Assumptions!$B$36:$B$41,Assumptions!$B$36:$H$41))</f>
        <v>0</v>
      </c>
      <c r="GHS28">
        <f t="array" ref="GHS28">_xlfn.XLOOKUP(GHS$11,Assumptions!$B$35:$H$35,_xlfn.XLOOKUP($C28,Assumptions!$B$36:$B$41,Assumptions!$B$36:$H$41))</f>
        <v>0</v>
      </c>
      <c r="GHT28">
        <f t="array" ref="GHT28">_xlfn.XLOOKUP(GHT$11,Assumptions!$B$35:$H$35,_xlfn.XLOOKUP($C28,Assumptions!$B$36:$B$41,Assumptions!$B$36:$H$41))</f>
        <v>0</v>
      </c>
      <c r="GHU28">
        <f t="array" ref="GHU28">_xlfn.XLOOKUP(GHU$11,Assumptions!$B$35:$H$35,_xlfn.XLOOKUP($C28,Assumptions!$B$36:$B$41,Assumptions!$B$36:$H$41))</f>
        <v>0</v>
      </c>
      <c r="GHV28">
        <f t="array" ref="GHV28">_xlfn.XLOOKUP(GHV$11,Assumptions!$B$35:$H$35,_xlfn.XLOOKUP($C28,Assumptions!$B$36:$B$41,Assumptions!$B$36:$H$41))</f>
        <v>0</v>
      </c>
      <c r="GHW28">
        <f t="array" ref="GHW28">_xlfn.XLOOKUP(GHW$11,Assumptions!$B$35:$H$35,_xlfn.XLOOKUP($C28,Assumptions!$B$36:$B$41,Assumptions!$B$36:$H$41))</f>
        <v>0</v>
      </c>
      <c r="GHX28">
        <f t="array" ref="GHX28">_xlfn.XLOOKUP(GHX$11,Assumptions!$B$35:$H$35,_xlfn.XLOOKUP($C28,Assumptions!$B$36:$B$41,Assumptions!$B$36:$H$41))</f>
        <v>0</v>
      </c>
      <c r="GHY28">
        <f t="array" ref="GHY28">_xlfn.XLOOKUP(GHY$11,Assumptions!$B$35:$H$35,_xlfn.XLOOKUP($C28,Assumptions!$B$36:$B$41,Assumptions!$B$36:$H$41))</f>
        <v>0</v>
      </c>
      <c r="GHZ28">
        <f t="array" ref="GHZ28">_xlfn.XLOOKUP(GHZ$11,Assumptions!$B$35:$H$35,_xlfn.XLOOKUP($C28,Assumptions!$B$36:$B$41,Assumptions!$B$36:$H$41))</f>
        <v>0</v>
      </c>
      <c r="GIA28">
        <f t="array" ref="GIA28">_xlfn.XLOOKUP(GIA$11,Assumptions!$B$35:$H$35,_xlfn.XLOOKUP($C28,Assumptions!$B$36:$B$41,Assumptions!$B$36:$H$41))</f>
        <v>0</v>
      </c>
      <c r="GIB28">
        <f t="array" ref="GIB28">_xlfn.XLOOKUP(GIB$11,Assumptions!$B$35:$H$35,_xlfn.XLOOKUP($C28,Assumptions!$B$36:$B$41,Assumptions!$B$36:$H$41))</f>
        <v>0</v>
      </c>
      <c r="GIC28">
        <f t="array" ref="GIC28">_xlfn.XLOOKUP(GIC$11,Assumptions!$B$35:$H$35,_xlfn.XLOOKUP($C28,Assumptions!$B$36:$B$41,Assumptions!$B$36:$H$41))</f>
        <v>0</v>
      </c>
      <c r="GID28">
        <f t="array" ref="GID28">_xlfn.XLOOKUP(GID$11,Assumptions!$B$35:$H$35,_xlfn.XLOOKUP($C28,Assumptions!$B$36:$B$41,Assumptions!$B$36:$H$41))</f>
        <v>0</v>
      </c>
      <c r="GIE28">
        <f t="array" ref="GIE28">_xlfn.XLOOKUP(GIE$11,Assumptions!$B$35:$H$35,_xlfn.XLOOKUP($C28,Assumptions!$B$36:$B$41,Assumptions!$B$36:$H$41))</f>
        <v>0</v>
      </c>
      <c r="GIF28">
        <f t="array" ref="GIF28">_xlfn.XLOOKUP(GIF$11,Assumptions!$B$35:$H$35,_xlfn.XLOOKUP($C28,Assumptions!$B$36:$B$41,Assumptions!$B$36:$H$41))</f>
        <v>0</v>
      </c>
      <c r="GIG28">
        <f t="array" ref="GIG28">_xlfn.XLOOKUP(GIG$11,Assumptions!$B$35:$H$35,_xlfn.XLOOKUP($C28,Assumptions!$B$36:$B$41,Assumptions!$B$36:$H$41))</f>
        <v>0</v>
      </c>
      <c r="GIH28">
        <f t="array" ref="GIH28">_xlfn.XLOOKUP(GIH$11,Assumptions!$B$35:$H$35,_xlfn.XLOOKUP($C28,Assumptions!$B$36:$B$41,Assumptions!$B$36:$H$41))</f>
        <v>0</v>
      </c>
      <c r="GII28">
        <f t="array" ref="GII28">_xlfn.XLOOKUP(GII$11,Assumptions!$B$35:$H$35,_xlfn.XLOOKUP($C28,Assumptions!$B$36:$B$41,Assumptions!$B$36:$H$41))</f>
        <v>0</v>
      </c>
      <c r="GIJ28">
        <f t="array" ref="GIJ28">_xlfn.XLOOKUP(GIJ$11,Assumptions!$B$35:$H$35,_xlfn.XLOOKUP($C28,Assumptions!$B$36:$B$41,Assumptions!$B$36:$H$41))</f>
        <v>0</v>
      </c>
      <c r="GIK28">
        <f t="array" ref="GIK28">_xlfn.XLOOKUP(GIK$11,Assumptions!$B$35:$H$35,_xlfn.XLOOKUP($C28,Assumptions!$B$36:$B$41,Assumptions!$B$36:$H$41))</f>
        <v>0</v>
      </c>
      <c r="GIL28">
        <f t="array" ref="GIL28">_xlfn.XLOOKUP(GIL$11,Assumptions!$B$35:$H$35,_xlfn.XLOOKUP($C28,Assumptions!$B$36:$B$41,Assumptions!$B$36:$H$41))</f>
        <v>0</v>
      </c>
      <c r="GIM28">
        <f t="array" ref="GIM28">_xlfn.XLOOKUP(GIM$11,Assumptions!$B$35:$H$35,_xlfn.XLOOKUP($C28,Assumptions!$B$36:$B$41,Assumptions!$B$36:$H$41))</f>
        <v>0</v>
      </c>
      <c r="GIN28">
        <f t="array" ref="GIN28">_xlfn.XLOOKUP(GIN$11,Assumptions!$B$35:$H$35,_xlfn.XLOOKUP($C28,Assumptions!$B$36:$B$41,Assumptions!$B$36:$H$41))</f>
        <v>0</v>
      </c>
      <c r="GIO28">
        <f t="array" ref="GIO28">_xlfn.XLOOKUP(GIO$11,Assumptions!$B$35:$H$35,_xlfn.XLOOKUP($C28,Assumptions!$B$36:$B$41,Assumptions!$B$36:$H$41))</f>
        <v>0</v>
      </c>
      <c r="GIP28">
        <f t="array" ref="GIP28">_xlfn.XLOOKUP(GIP$11,Assumptions!$B$35:$H$35,_xlfn.XLOOKUP($C28,Assumptions!$B$36:$B$41,Assumptions!$B$36:$H$41))</f>
        <v>0</v>
      </c>
      <c r="GIQ28">
        <f t="array" ref="GIQ28">_xlfn.XLOOKUP(GIQ$11,Assumptions!$B$35:$H$35,_xlfn.XLOOKUP($C28,Assumptions!$B$36:$B$41,Assumptions!$B$36:$H$41))</f>
        <v>0</v>
      </c>
      <c r="GIR28">
        <f t="array" ref="GIR28">_xlfn.XLOOKUP(GIR$11,Assumptions!$B$35:$H$35,_xlfn.XLOOKUP($C28,Assumptions!$B$36:$B$41,Assumptions!$B$36:$H$41))</f>
        <v>0</v>
      </c>
      <c r="GIS28">
        <f t="array" ref="GIS28">_xlfn.XLOOKUP(GIS$11,Assumptions!$B$35:$H$35,_xlfn.XLOOKUP($C28,Assumptions!$B$36:$B$41,Assumptions!$B$36:$H$41))</f>
        <v>0</v>
      </c>
      <c r="GIT28">
        <f t="array" ref="GIT28">_xlfn.XLOOKUP(GIT$11,Assumptions!$B$35:$H$35,_xlfn.XLOOKUP($C28,Assumptions!$B$36:$B$41,Assumptions!$B$36:$H$41))</f>
        <v>0</v>
      </c>
      <c r="GIU28">
        <f t="array" ref="GIU28">_xlfn.XLOOKUP(GIU$11,Assumptions!$B$35:$H$35,_xlfn.XLOOKUP($C28,Assumptions!$B$36:$B$41,Assumptions!$B$36:$H$41))</f>
        <v>0</v>
      </c>
      <c r="GIV28">
        <f t="array" ref="GIV28">_xlfn.XLOOKUP(GIV$11,Assumptions!$B$35:$H$35,_xlfn.XLOOKUP($C28,Assumptions!$B$36:$B$41,Assumptions!$B$36:$H$41))</f>
        <v>0</v>
      </c>
      <c r="GIW28">
        <f t="array" ref="GIW28">_xlfn.XLOOKUP(GIW$11,Assumptions!$B$35:$H$35,_xlfn.XLOOKUP($C28,Assumptions!$B$36:$B$41,Assumptions!$B$36:$H$41))</f>
        <v>0</v>
      </c>
      <c r="GIX28">
        <f t="array" ref="GIX28">_xlfn.XLOOKUP(GIX$11,Assumptions!$B$35:$H$35,_xlfn.XLOOKUP($C28,Assumptions!$B$36:$B$41,Assumptions!$B$36:$H$41))</f>
        <v>0</v>
      </c>
      <c r="GIY28">
        <f t="array" ref="GIY28">_xlfn.XLOOKUP(GIY$11,Assumptions!$B$35:$H$35,_xlfn.XLOOKUP($C28,Assumptions!$B$36:$B$41,Assumptions!$B$36:$H$41))</f>
        <v>0</v>
      </c>
      <c r="GIZ28">
        <f t="array" ref="GIZ28">_xlfn.XLOOKUP(GIZ$11,Assumptions!$B$35:$H$35,_xlfn.XLOOKUP($C28,Assumptions!$B$36:$B$41,Assumptions!$B$36:$H$41))</f>
        <v>0</v>
      </c>
      <c r="GJA28">
        <f t="array" ref="GJA28">_xlfn.XLOOKUP(GJA$11,Assumptions!$B$35:$H$35,_xlfn.XLOOKUP($C28,Assumptions!$B$36:$B$41,Assumptions!$B$36:$H$41))</f>
        <v>0</v>
      </c>
      <c r="GJB28">
        <f t="array" ref="GJB28">_xlfn.XLOOKUP(GJB$11,Assumptions!$B$35:$H$35,_xlfn.XLOOKUP($C28,Assumptions!$B$36:$B$41,Assumptions!$B$36:$H$41))</f>
        <v>0</v>
      </c>
      <c r="GJC28">
        <f t="array" ref="GJC28">_xlfn.XLOOKUP(GJC$11,Assumptions!$B$35:$H$35,_xlfn.XLOOKUP($C28,Assumptions!$B$36:$B$41,Assumptions!$B$36:$H$41))</f>
        <v>0</v>
      </c>
      <c r="GJD28">
        <f t="array" ref="GJD28">_xlfn.XLOOKUP(GJD$11,Assumptions!$B$35:$H$35,_xlfn.XLOOKUP($C28,Assumptions!$B$36:$B$41,Assumptions!$B$36:$H$41))</f>
        <v>0</v>
      </c>
      <c r="GJE28">
        <f t="array" ref="GJE28">_xlfn.XLOOKUP(GJE$11,Assumptions!$B$35:$H$35,_xlfn.XLOOKUP($C28,Assumptions!$B$36:$B$41,Assumptions!$B$36:$H$41))</f>
        <v>0</v>
      </c>
      <c r="GJF28">
        <f t="array" ref="GJF28">_xlfn.XLOOKUP(GJF$11,Assumptions!$B$35:$H$35,_xlfn.XLOOKUP($C28,Assumptions!$B$36:$B$41,Assumptions!$B$36:$H$41))</f>
        <v>0</v>
      </c>
      <c r="GJG28">
        <f t="array" ref="GJG28">_xlfn.XLOOKUP(GJG$11,Assumptions!$B$35:$H$35,_xlfn.XLOOKUP($C28,Assumptions!$B$36:$B$41,Assumptions!$B$36:$H$41))</f>
        <v>0</v>
      </c>
      <c r="GJH28">
        <f t="array" ref="GJH28">_xlfn.XLOOKUP(GJH$11,Assumptions!$B$35:$H$35,_xlfn.XLOOKUP($C28,Assumptions!$B$36:$B$41,Assumptions!$B$36:$H$41))</f>
        <v>0</v>
      </c>
      <c r="GJI28">
        <f t="array" ref="GJI28">_xlfn.XLOOKUP(GJI$11,Assumptions!$B$35:$H$35,_xlfn.XLOOKUP($C28,Assumptions!$B$36:$B$41,Assumptions!$B$36:$H$41))</f>
        <v>0</v>
      </c>
      <c r="GJJ28">
        <f t="array" ref="GJJ28">_xlfn.XLOOKUP(GJJ$11,Assumptions!$B$35:$H$35,_xlfn.XLOOKUP($C28,Assumptions!$B$36:$B$41,Assumptions!$B$36:$H$41))</f>
        <v>0</v>
      </c>
      <c r="GJK28">
        <f t="array" ref="GJK28">_xlfn.XLOOKUP(GJK$11,Assumptions!$B$35:$H$35,_xlfn.XLOOKUP($C28,Assumptions!$B$36:$B$41,Assumptions!$B$36:$H$41))</f>
        <v>0</v>
      </c>
      <c r="GJL28">
        <f t="array" ref="GJL28">_xlfn.XLOOKUP(GJL$11,Assumptions!$B$35:$H$35,_xlfn.XLOOKUP($C28,Assumptions!$B$36:$B$41,Assumptions!$B$36:$H$41))</f>
        <v>0</v>
      </c>
      <c r="GJM28">
        <f t="array" ref="GJM28">_xlfn.XLOOKUP(GJM$11,Assumptions!$B$35:$H$35,_xlfn.XLOOKUP($C28,Assumptions!$B$36:$B$41,Assumptions!$B$36:$H$41))</f>
        <v>0</v>
      </c>
      <c r="GJN28">
        <f t="array" ref="GJN28">_xlfn.XLOOKUP(GJN$11,Assumptions!$B$35:$H$35,_xlfn.XLOOKUP($C28,Assumptions!$B$36:$B$41,Assumptions!$B$36:$H$41))</f>
        <v>0</v>
      </c>
      <c r="GJO28">
        <f t="array" ref="GJO28">_xlfn.XLOOKUP(GJO$11,Assumptions!$B$35:$H$35,_xlfn.XLOOKUP($C28,Assumptions!$B$36:$B$41,Assumptions!$B$36:$H$41))</f>
        <v>0</v>
      </c>
      <c r="GJP28">
        <f t="array" ref="GJP28">_xlfn.XLOOKUP(GJP$11,Assumptions!$B$35:$H$35,_xlfn.XLOOKUP($C28,Assumptions!$B$36:$B$41,Assumptions!$B$36:$H$41))</f>
        <v>0</v>
      </c>
      <c r="GJQ28">
        <f t="array" ref="GJQ28">_xlfn.XLOOKUP(GJQ$11,Assumptions!$B$35:$H$35,_xlfn.XLOOKUP($C28,Assumptions!$B$36:$B$41,Assumptions!$B$36:$H$41))</f>
        <v>0</v>
      </c>
      <c r="GJR28">
        <f t="array" ref="GJR28">_xlfn.XLOOKUP(GJR$11,Assumptions!$B$35:$H$35,_xlfn.XLOOKUP($C28,Assumptions!$B$36:$B$41,Assumptions!$B$36:$H$41))</f>
        <v>0</v>
      </c>
      <c r="GJS28">
        <f t="array" ref="GJS28">_xlfn.XLOOKUP(GJS$11,Assumptions!$B$35:$H$35,_xlfn.XLOOKUP($C28,Assumptions!$B$36:$B$41,Assumptions!$B$36:$H$41))</f>
        <v>0</v>
      </c>
      <c r="GJT28">
        <f t="array" ref="GJT28">_xlfn.XLOOKUP(GJT$11,Assumptions!$B$35:$H$35,_xlfn.XLOOKUP($C28,Assumptions!$B$36:$B$41,Assumptions!$B$36:$H$41))</f>
        <v>0</v>
      </c>
      <c r="GJU28">
        <f t="array" ref="GJU28">_xlfn.XLOOKUP(GJU$11,Assumptions!$B$35:$H$35,_xlfn.XLOOKUP($C28,Assumptions!$B$36:$B$41,Assumptions!$B$36:$H$41))</f>
        <v>0</v>
      </c>
      <c r="GJV28">
        <f t="array" ref="GJV28">_xlfn.XLOOKUP(GJV$11,Assumptions!$B$35:$H$35,_xlfn.XLOOKUP($C28,Assumptions!$B$36:$B$41,Assumptions!$B$36:$H$41))</f>
        <v>0</v>
      </c>
      <c r="GJW28">
        <f t="array" ref="GJW28">_xlfn.XLOOKUP(GJW$11,Assumptions!$B$35:$H$35,_xlfn.XLOOKUP($C28,Assumptions!$B$36:$B$41,Assumptions!$B$36:$H$41))</f>
        <v>0</v>
      </c>
      <c r="GJX28">
        <f t="array" ref="GJX28">_xlfn.XLOOKUP(GJX$11,Assumptions!$B$35:$H$35,_xlfn.XLOOKUP($C28,Assumptions!$B$36:$B$41,Assumptions!$B$36:$H$41))</f>
        <v>0</v>
      </c>
      <c r="GJY28">
        <f t="array" ref="GJY28">_xlfn.XLOOKUP(GJY$11,Assumptions!$B$35:$H$35,_xlfn.XLOOKUP($C28,Assumptions!$B$36:$B$41,Assumptions!$B$36:$H$41))</f>
        <v>0</v>
      </c>
      <c r="GJZ28">
        <f t="array" ref="GJZ28">_xlfn.XLOOKUP(GJZ$11,Assumptions!$B$35:$H$35,_xlfn.XLOOKUP($C28,Assumptions!$B$36:$B$41,Assumptions!$B$36:$H$41))</f>
        <v>0</v>
      </c>
      <c r="GKA28">
        <f t="array" ref="GKA28">_xlfn.XLOOKUP(GKA$11,Assumptions!$B$35:$H$35,_xlfn.XLOOKUP($C28,Assumptions!$B$36:$B$41,Assumptions!$B$36:$H$41))</f>
        <v>0</v>
      </c>
      <c r="GKB28">
        <f t="array" ref="GKB28">_xlfn.XLOOKUP(GKB$11,Assumptions!$B$35:$H$35,_xlfn.XLOOKUP($C28,Assumptions!$B$36:$B$41,Assumptions!$B$36:$H$41))</f>
        <v>0</v>
      </c>
      <c r="GKC28">
        <f t="array" ref="GKC28">_xlfn.XLOOKUP(GKC$11,Assumptions!$B$35:$H$35,_xlfn.XLOOKUP($C28,Assumptions!$B$36:$B$41,Assumptions!$B$36:$H$41))</f>
        <v>0</v>
      </c>
      <c r="GKD28">
        <f t="array" ref="GKD28">_xlfn.XLOOKUP(GKD$11,Assumptions!$B$35:$H$35,_xlfn.XLOOKUP($C28,Assumptions!$B$36:$B$41,Assumptions!$B$36:$H$41))</f>
        <v>0</v>
      </c>
      <c r="GKE28">
        <f t="array" ref="GKE28">_xlfn.XLOOKUP(GKE$11,Assumptions!$B$35:$H$35,_xlfn.XLOOKUP($C28,Assumptions!$B$36:$B$41,Assumptions!$B$36:$H$41))</f>
        <v>0</v>
      </c>
      <c r="GKF28">
        <f t="array" ref="GKF28">_xlfn.XLOOKUP(GKF$11,Assumptions!$B$35:$H$35,_xlfn.XLOOKUP($C28,Assumptions!$B$36:$B$41,Assumptions!$B$36:$H$41))</f>
        <v>0</v>
      </c>
      <c r="GKG28">
        <f t="array" ref="GKG28">_xlfn.XLOOKUP(GKG$11,Assumptions!$B$35:$H$35,_xlfn.XLOOKUP($C28,Assumptions!$B$36:$B$41,Assumptions!$B$36:$H$41))</f>
        <v>0</v>
      </c>
      <c r="GKH28">
        <f t="array" ref="GKH28">_xlfn.XLOOKUP(GKH$11,Assumptions!$B$35:$H$35,_xlfn.XLOOKUP($C28,Assumptions!$B$36:$B$41,Assumptions!$B$36:$H$41))</f>
        <v>0</v>
      </c>
      <c r="GKI28">
        <f t="array" ref="GKI28">_xlfn.XLOOKUP(GKI$11,Assumptions!$B$35:$H$35,_xlfn.XLOOKUP($C28,Assumptions!$B$36:$B$41,Assumptions!$B$36:$H$41))</f>
        <v>0</v>
      </c>
      <c r="GKJ28">
        <f t="array" ref="GKJ28">_xlfn.XLOOKUP(GKJ$11,Assumptions!$B$35:$H$35,_xlfn.XLOOKUP($C28,Assumptions!$B$36:$B$41,Assumptions!$B$36:$H$41))</f>
        <v>0</v>
      </c>
      <c r="GKK28">
        <f t="array" ref="GKK28">_xlfn.XLOOKUP(GKK$11,Assumptions!$B$35:$H$35,_xlfn.XLOOKUP($C28,Assumptions!$B$36:$B$41,Assumptions!$B$36:$H$41))</f>
        <v>0</v>
      </c>
      <c r="GKL28">
        <f t="array" ref="GKL28">_xlfn.XLOOKUP(GKL$11,Assumptions!$B$35:$H$35,_xlfn.XLOOKUP($C28,Assumptions!$B$36:$B$41,Assumptions!$B$36:$H$41))</f>
        <v>0</v>
      </c>
      <c r="GKM28">
        <f t="array" ref="GKM28">_xlfn.XLOOKUP(GKM$11,Assumptions!$B$35:$H$35,_xlfn.XLOOKUP($C28,Assumptions!$B$36:$B$41,Assumptions!$B$36:$H$41))</f>
        <v>0</v>
      </c>
      <c r="GKN28">
        <f t="array" ref="GKN28">_xlfn.XLOOKUP(GKN$11,Assumptions!$B$35:$H$35,_xlfn.XLOOKUP($C28,Assumptions!$B$36:$B$41,Assumptions!$B$36:$H$41))</f>
        <v>0</v>
      </c>
      <c r="GKO28">
        <f t="array" ref="GKO28">_xlfn.XLOOKUP(GKO$11,Assumptions!$B$35:$H$35,_xlfn.XLOOKUP($C28,Assumptions!$B$36:$B$41,Assumptions!$B$36:$H$41))</f>
        <v>0</v>
      </c>
      <c r="GKP28">
        <f t="array" ref="GKP28">_xlfn.XLOOKUP(GKP$11,Assumptions!$B$35:$H$35,_xlfn.XLOOKUP($C28,Assumptions!$B$36:$B$41,Assumptions!$B$36:$H$41))</f>
        <v>0</v>
      </c>
      <c r="GKQ28">
        <f t="array" ref="GKQ28">_xlfn.XLOOKUP(GKQ$11,Assumptions!$B$35:$H$35,_xlfn.XLOOKUP($C28,Assumptions!$B$36:$B$41,Assumptions!$B$36:$H$41))</f>
        <v>0</v>
      </c>
      <c r="GKR28">
        <f t="array" ref="GKR28">_xlfn.XLOOKUP(GKR$11,Assumptions!$B$35:$H$35,_xlfn.XLOOKUP($C28,Assumptions!$B$36:$B$41,Assumptions!$B$36:$H$41))</f>
        <v>0</v>
      </c>
      <c r="GKS28">
        <f t="array" ref="GKS28">_xlfn.XLOOKUP(GKS$11,Assumptions!$B$35:$H$35,_xlfn.XLOOKUP($C28,Assumptions!$B$36:$B$41,Assumptions!$B$36:$H$41))</f>
        <v>0</v>
      </c>
      <c r="GKT28">
        <f t="array" ref="GKT28">_xlfn.XLOOKUP(GKT$11,Assumptions!$B$35:$H$35,_xlfn.XLOOKUP($C28,Assumptions!$B$36:$B$41,Assumptions!$B$36:$H$41))</f>
        <v>0</v>
      </c>
      <c r="GKU28">
        <f t="array" ref="GKU28">_xlfn.XLOOKUP(GKU$11,Assumptions!$B$35:$H$35,_xlfn.XLOOKUP($C28,Assumptions!$B$36:$B$41,Assumptions!$B$36:$H$41))</f>
        <v>0</v>
      </c>
      <c r="GKV28">
        <f t="array" ref="GKV28">_xlfn.XLOOKUP(GKV$11,Assumptions!$B$35:$H$35,_xlfn.XLOOKUP($C28,Assumptions!$B$36:$B$41,Assumptions!$B$36:$H$41))</f>
        <v>0</v>
      </c>
      <c r="GKW28">
        <f t="array" ref="GKW28">_xlfn.XLOOKUP(GKW$11,Assumptions!$B$35:$H$35,_xlfn.XLOOKUP($C28,Assumptions!$B$36:$B$41,Assumptions!$B$36:$H$41))</f>
        <v>0</v>
      </c>
      <c r="GKX28">
        <f t="array" ref="GKX28">_xlfn.XLOOKUP(GKX$11,Assumptions!$B$35:$H$35,_xlfn.XLOOKUP($C28,Assumptions!$B$36:$B$41,Assumptions!$B$36:$H$41))</f>
        <v>0</v>
      </c>
      <c r="GKY28">
        <f t="array" ref="GKY28">_xlfn.XLOOKUP(GKY$11,Assumptions!$B$35:$H$35,_xlfn.XLOOKUP($C28,Assumptions!$B$36:$B$41,Assumptions!$B$36:$H$41))</f>
        <v>0</v>
      </c>
      <c r="GKZ28">
        <f t="array" ref="GKZ28">_xlfn.XLOOKUP(GKZ$11,Assumptions!$B$35:$H$35,_xlfn.XLOOKUP($C28,Assumptions!$B$36:$B$41,Assumptions!$B$36:$H$41))</f>
        <v>0</v>
      </c>
      <c r="GLA28">
        <f t="array" ref="GLA28">_xlfn.XLOOKUP(GLA$11,Assumptions!$B$35:$H$35,_xlfn.XLOOKUP($C28,Assumptions!$B$36:$B$41,Assumptions!$B$36:$H$41))</f>
        <v>0</v>
      </c>
      <c r="GLB28">
        <f t="array" ref="GLB28">_xlfn.XLOOKUP(GLB$11,Assumptions!$B$35:$H$35,_xlfn.XLOOKUP($C28,Assumptions!$B$36:$B$41,Assumptions!$B$36:$H$41))</f>
        <v>0</v>
      </c>
      <c r="GLC28">
        <f t="array" ref="GLC28">_xlfn.XLOOKUP(GLC$11,Assumptions!$B$35:$H$35,_xlfn.XLOOKUP($C28,Assumptions!$B$36:$B$41,Assumptions!$B$36:$H$41))</f>
        <v>0</v>
      </c>
      <c r="GLD28">
        <f t="array" ref="GLD28">_xlfn.XLOOKUP(GLD$11,Assumptions!$B$35:$H$35,_xlfn.XLOOKUP($C28,Assumptions!$B$36:$B$41,Assumptions!$B$36:$H$41))</f>
        <v>0</v>
      </c>
      <c r="GLE28">
        <f t="array" ref="GLE28">_xlfn.XLOOKUP(GLE$11,Assumptions!$B$35:$H$35,_xlfn.XLOOKUP($C28,Assumptions!$B$36:$B$41,Assumptions!$B$36:$H$41))</f>
        <v>0</v>
      </c>
      <c r="GLF28">
        <f t="array" ref="GLF28">_xlfn.XLOOKUP(GLF$11,Assumptions!$B$35:$H$35,_xlfn.XLOOKUP($C28,Assumptions!$B$36:$B$41,Assumptions!$B$36:$H$41))</f>
        <v>0</v>
      </c>
      <c r="GLG28">
        <f t="array" ref="GLG28">_xlfn.XLOOKUP(GLG$11,Assumptions!$B$35:$H$35,_xlfn.XLOOKUP($C28,Assumptions!$B$36:$B$41,Assumptions!$B$36:$H$41))</f>
        <v>0</v>
      </c>
      <c r="GLH28">
        <f t="array" ref="GLH28">_xlfn.XLOOKUP(GLH$11,Assumptions!$B$35:$H$35,_xlfn.XLOOKUP($C28,Assumptions!$B$36:$B$41,Assumptions!$B$36:$H$41))</f>
        <v>0</v>
      </c>
      <c r="GLI28">
        <f t="array" ref="GLI28">_xlfn.XLOOKUP(GLI$11,Assumptions!$B$35:$H$35,_xlfn.XLOOKUP($C28,Assumptions!$B$36:$B$41,Assumptions!$B$36:$H$41))</f>
        <v>0</v>
      </c>
      <c r="GLJ28">
        <f t="array" ref="GLJ28">_xlfn.XLOOKUP(GLJ$11,Assumptions!$B$35:$H$35,_xlfn.XLOOKUP($C28,Assumptions!$B$36:$B$41,Assumptions!$B$36:$H$41))</f>
        <v>0</v>
      </c>
      <c r="GLK28">
        <f t="array" ref="GLK28">_xlfn.XLOOKUP(GLK$11,Assumptions!$B$35:$H$35,_xlfn.XLOOKUP($C28,Assumptions!$B$36:$B$41,Assumptions!$B$36:$H$41))</f>
        <v>0</v>
      </c>
      <c r="GLL28">
        <f t="array" ref="GLL28">_xlfn.XLOOKUP(GLL$11,Assumptions!$B$35:$H$35,_xlfn.XLOOKUP($C28,Assumptions!$B$36:$B$41,Assumptions!$B$36:$H$41))</f>
        <v>0</v>
      </c>
      <c r="GLM28">
        <f t="array" ref="GLM28">_xlfn.XLOOKUP(GLM$11,Assumptions!$B$35:$H$35,_xlfn.XLOOKUP($C28,Assumptions!$B$36:$B$41,Assumptions!$B$36:$H$41))</f>
        <v>0</v>
      </c>
      <c r="GLN28">
        <f t="array" ref="GLN28">_xlfn.XLOOKUP(GLN$11,Assumptions!$B$35:$H$35,_xlfn.XLOOKUP($C28,Assumptions!$B$36:$B$41,Assumptions!$B$36:$H$41))</f>
        <v>0</v>
      </c>
      <c r="GLO28">
        <f t="array" ref="GLO28">_xlfn.XLOOKUP(GLO$11,Assumptions!$B$35:$H$35,_xlfn.XLOOKUP($C28,Assumptions!$B$36:$B$41,Assumptions!$B$36:$H$41))</f>
        <v>0</v>
      </c>
      <c r="GLP28">
        <f t="array" ref="GLP28">_xlfn.XLOOKUP(GLP$11,Assumptions!$B$35:$H$35,_xlfn.XLOOKUP($C28,Assumptions!$B$36:$B$41,Assumptions!$B$36:$H$41))</f>
        <v>0</v>
      </c>
      <c r="GLQ28">
        <f t="array" ref="GLQ28">_xlfn.XLOOKUP(GLQ$11,Assumptions!$B$35:$H$35,_xlfn.XLOOKUP($C28,Assumptions!$B$36:$B$41,Assumptions!$B$36:$H$41))</f>
        <v>0</v>
      </c>
      <c r="GLR28">
        <f t="array" ref="GLR28">_xlfn.XLOOKUP(GLR$11,Assumptions!$B$35:$H$35,_xlfn.XLOOKUP($C28,Assumptions!$B$36:$B$41,Assumptions!$B$36:$H$41))</f>
        <v>0</v>
      </c>
      <c r="GLS28">
        <f t="array" ref="GLS28">_xlfn.XLOOKUP(GLS$11,Assumptions!$B$35:$H$35,_xlfn.XLOOKUP($C28,Assumptions!$B$36:$B$41,Assumptions!$B$36:$H$41))</f>
        <v>0</v>
      </c>
      <c r="GLT28">
        <f t="array" ref="GLT28">_xlfn.XLOOKUP(GLT$11,Assumptions!$B$35:$H$35,_xlfn.XLOOKUP($C28,Assumptions!$B$36:$B$41,Assumptions!$B$36:$H$41))</f>
        <v>0</v>
      </c>
      <c r="GLU28">
        <f t="array" ref="GLU28">_xlfn.XLOOKUP(GLU$11,Assumptions!$B$35:$H$35,_xlfn.XLOOKUP($C28,Assumptions!$B$36:$B$41,Assumptions!$B$36:$H$41))</f>
        <v>0</v>
      </c>
      <c r="GLV28">
        <f t="array" ref="GLV28">_xlfn.XLOOKUP(GLV$11,Assumptions!$B$35:$H$35,_xlfn.XLOOKUP($C28,Assumptions!$B$36:$B$41,Assumptions!$B$36:$H$41))</f>
        <v>0</v>
      </c>
      <c r="GLW28">
        <f t="array" ref="GLW28">_xlfn.XLOOKUP(GLW$11,Assumptions!$B$35:$H$35,_xlfn.XLOOKUP($C28,Assumptions!$B$36:$B$41,Assumptions!$B$36:$H$41))</f>
        <v>0</v>
      </c>
      <c r="GLX28">
        <f t="array" ref="GLX28">_xlfn.XLOOKUP(GLX$11,Assumptions!$B$35:$H$35,_xlfn.XLOOKUP($C28,Assumptions!$B$36:$B$41,Assumptions!$B$36:$H$41))</f>
        <v>0</v>
      </c>
      <c r="GLY28">
        <f t="array" ref="GLY28">_xlfn.XLOOKUP(GLY$11,Assumptions!$B$35:$H$35,_xlfn.XLOOKUP($C28,Assumptions!$B$36:$B$41,Assumptions!$B$36:$H$41))</f>
        <v>0</v>
      </c>
      <c r="GLZ28">
        <f t="array" ref="GLZ28">_xlfn.XLOOKUP(GLZ$11,Assumptions!$B$35:$H$35,_xlfn.XLOOKUP($C28,Assumptions!$B$36:$B$41,Assumptions!$B$36:$H$41))</f>
        <v>0</v>
      </c>
      <c r="GMA28">
        <f t="array" ref="GMA28">_xlfn.XLOOKUP(GMA$11,Assumptions!$B$35:$H$35,_xlfn.XLOOKUP($C28,Assumptions!$B$36:$B$41,Assumptions!$B$36:$H$41))</f>
        <v>0</v>
      </c>
      <c r="GMB28">
        <f t="array" ref="GMB28">_xlfn.XLOOKUP(GMB$11,Assumptions!$B$35:$H$35,_xlfn.XLOOKUP($C28,Assumptions!$B$36:$B$41,Assumptions!$B$36:$H$41))</f>
        <v>0</v>
      </c>
      <c r="GMC28">
        <f t="array" ref="GMC28">_xlfn.XLOOKUP(GMC$11,Assumptions!$B$35:$H$35,_xlfn.XLOOKUP($C28,Assumptions!$B$36:$B$41,Assumptions!$B$36:$H$41))</f>
        <v>0</v>
      </c>
      <c r="GMD28">
        <f t="array" ref="GMD28">_xlfn.XLOOKUP(GMD$11,Assumptions!$B$35:$H$35,_xlfn.XLOOKUP($C28,Assumptions!$B$36:$B$41,Assumptions!$B$36:$H$41))</f>
        <v>0</v>
      </c>
      <c r="GME28">
        <f t="array" ref="GME28">_xlfn.XLOOKUP(GME$11,Assumptions!$B$35:$H$35,_xlfn.XLOOKUP($C28,Assumptions!$B$36:$B$41,Assumptions!$B$36:$H$41))</f>
        <v>0</v>
      </c>
      <c r="GMF28">
        <f t="array" ref="GMF28">_xlfn.XLOOKUP(GMF$11,Assumptions!$B$35:$H$35,_xlfn.XLOOKUP($C28,Assumptions!$B$36:$B$41,Assumptions!$B$36:$H$41))</f>
        <v>0</v>
      </c>
      <c r="GMG28">
        <f t="array" ref="GMG28">_xlfn.XLOOKUP(GMG$11,Assumptions!$B$35:$H$35,_xlfn.XLOOKUP($C28,Assumptions!$B$36:$B$41,Assumptions!$B$36:$H$41))</f>
        <v>0</v>
      </c>
      <c r="GMH28">
        <f t="array" ref="GMH28">_xlfn.XLOOKUP(GMH$11,Assumptions!$B$35:$H$35,_xlfn.XLOOKUP($C28,Assumptions!$B$36:$B$41,Assumptions!$B$36:$H$41))</f>
        <v>0</v>
      </c>
      <c r="GMI28">
        <f t="array" ref="GMI28">_xlfn.XLOOKUP(GMI$11,Assumptions!$B$35:$H$35,_xlfn.XLOOKUP($C28,Assumptions!$B$36:$B$41,Assumptions!$B$36:$H$41))</f>
        <v>0</v>
      </c>
      <c r="GMJ28">
        <f t="array" ref="GMJ28">_xlfn.XLOOKUP(GMJ$11,Assumptions!$B$35:$H$35,_xlfn.XLOOKUP($C28,Assumptions!$B$36:$B$41,Assumptions!$B$36:$H$41))</f>
        <v>0</v>
      </c>
      <c r="GMK28">
        <f t="array" ref="GMK28">_xlfn.XLOOKUP(GMK$11,Assumptions!$B$35:$H$35,_xlfn.XLOOKUP($C28,Assumptions!$B$36:$B$41,Assumptions!$B$36:$H$41))</f>
        <v>0</v>
      </c>
      <c r="GML28">
        <f t="array" ref="GML28">_xlfn.XLOOKUP(GML$11,Assumptions!$B$35:$H$35,_xlfn.XLOOKUP($C28,Assumptions!$B$36:$B$41,Assumptions!$B$36:$H$41))</f>
        <v>0</v>
      </c>
      <c r="GMM28">
        <f t="array" ref="GMM28">_xlfn.XLOOKUP(GMM$11,Assumptions!$B$35:$H$35,_xlfn.XLOOKUP($C28,Assumptions!$B$36:$B$41,Assumptions!$B$36:$H$41))</f>
        <v>0</v>
      </c>
      <c r="GMN28">
        <f t="array" ref="GMN28">_xlfn.XLOOKUP(GMN$11,Assumptions!$B$35:$H$35,_xlfn.XLOOKUP($C28,Assumptions!$B$36:$B$41,Assumptions!$B$36:$H$41))</f>
        <v>0</v>
      </c>
      <c r="GMO28">
        <f t="array" ref="GMO28">_xlfn.XLOOKUP(GMO$11,Assumptions!$B$35:$H$35,_xlfn.XLOOKUP($C28,Assumptions!$B$36:$B$41,Assumptions!$B$36:$H$41))</f>
        <v>0</v>
      </c>
      <c r="GMP28">
        <f t="array" ref="GMP28">_xlfn.XLOOKUP(GMP$11,Assumptions!$B$35:$H$35,_xlfn.XLOOKUP($C28,Assumptions!$B$36:$B$41,Assumptions!$B$36:$H$41))</f>
        <v>0</v>
      </c>
      <c r="GMQ28">
        <f t="array" ref="GMQ28">_xlfn.XLOOKUP(GMQ$11,Assumptions!$B$35:$H$35,_xlfn.XLOOKUP($C28,Assumptions!$B$36:$B$41,Assumptions!$B$36:$H$41))</f>
        <v>0</v>
      </c>
      <c r="GMR28">
        <f t="array" ref="GMR28">_xlfn.XLOOKUP(GMR$11,Assumptions!$B$35:$H$35,_xlfn.XLOOKUP($C28,Assumptions!$B$36:$B$41,Assumptions!$B$36:$H$41))</f>
        <v>0</v>
      </c>
      <c r="GMS28">
        <f t="array" ref="GMS28">_xlfn.XLOOKUP(GMS$11,Assumptions!$B$35:$H$35,_xlfn.XLOOKUP($C28,Assumptions!$B$36:$B$41,Assumptions!$B$36:$H$41))</f>
        <v>0</v>
      </c>
      <c r="GMT28">
        <f t="array" ref="GMT28">_xlfn.XLOOKUP(GMT$11,Assumptions!$B$35:$H$35,_xlfn.XLOOKUP($C28,Assumptions!$B$36:$B$41,Assumptions!$B$36:$H$41))</f>
        <v>0</v>
      </c>
      <c r="GMU28">
        <f t="array" ref="GMU28">_xlfn.XLOOKUP(GMU$11,Assumptions!$B$35:$H$35,_xlfn.XLOOKUP($C28,Assumptions!$B$36:$B$41,Assumptions!$B$36:$H$41))</f>
        <v>0</v>
      </c>
      <c r="GMV28">
        <f t="array" ref="GMV28">_xlfn.XLOOKUP(GMV$11,Assumptions!$B$35:$H$35,_xlfn.XLOOKUP($C28,Assumptions!$B$36:$B$41,Assumptions!$B$36:$H$41))</f>
        <v>0</v>
      </c>
      <c r="GMW28">
        <f t="array" ref="GMW28">_xlfn.XLOOKUP(GMW$11,Assumptions!$B$35:$H$35,_xlfn.XLOOKUP($C28,Assumptions!$B$36:$B$41,Assumptions!$B$36:$H$41))</f>
        <v>0</v>
      </c>
      <c r="GMX28">
        <f t="array" ref="GMX28">_xlfn.XLOOKUP(GMX$11,Assumptions!$B$35:$H$35,_xlfn.XLOOKUP($C28,Assumptions!$B$36:$B$41,Assumptions!$B$36:$H$41))</f>
        <v>0</v>
      </c>
      <c r="GMY28">
        <f t="array" ref="GMY28">_xlfn.XLOOKUP(GMY$11,Assumptions!$B$35:$H$35,_xlfn.XLOOKUP($C28,Assumptions!$B$36:$B$41,Assumptions!$B$36:$H$41))</f>
        <v>0</v>
      </c>
      <c r="GMZ28">
        <f t="array" ref="GMZ28">_xlfn.XLOOKUP(GMZ$11,Assumptions!$B$35:$H$35,_xlfn.XLOOKUP($C28,Assumptions!$B$36:$B$41,Assumptions!$B$36:$H$41))</f>
        <v>0</v>
      </c>
      <c r="GNA28">
        <f t="array" ref="GNA28">_xlfn.XLOOKUP(GNA$11,Assumptions!$B$35:$H$35,_xlfn.XLOOKUP($C28,Assumptions!$B$36:$B$41,Assumptions!$B$36:$H$41))</f>
        <v>0</v>
      </c>
      <c r="GNB28">
        <f t="array" ref="GNB28">_xlfn.XLOOKUP(GNB$11,Assumptions!$B$35:$H$35,_xlfn.XLOOKUP($C28,Assumptions!$B$36:$B$41,Assumptions!$B$36:$H$41))</f>
        <v>0</v>
      </c>
      <c r="GNC28">
        <f t="array" ref="GNC28">_xlfn.XLOOKUP(GNC$11,Assumptions!$B$35:$H$35,_xlfn.XLOOKUP($C28,Assumptions!$B$36:$B$41,Assumptions!$B$36:$H$41))</f>
        <v>0</v>
      </c>
      <c r="GND28">
        <f t="array" ref="GND28">_xlfn.XLOOKUP(GND$11,Assumptions!$B$35:$H$35,_xlfn.XLOOKUP($C28,Assumptions!$B$36:$B$41,Assumptions!$B$36:$H$41))</f>
        <v>0</v>
      </c>
      <c r="GNE28">
        <f t="array" ref="GNE28">_xlfn.XLOOKUP(GNE$11,Assumptions!$B$35:$H$35,_xlfn.XLOOKUP($C28,Assumptions!$B$36:$B$41,Assumptions!$B$36:$H$41))</f>
        <v>0</v>
      </c>
      <c r="GNF28">
        <f t="array" ref="GNF28">_xlfn.XLOOKUP(GNF$11,Assumptions!$B$35:$H$35,_xlfn.XLOOKUP($C28,Assumptions!$B$36:$B$41,Assumptions!$B$36:$H$41))</f>
        <v>0</v>
      </c>
      <c r="GNG28">
        <f t="array" ref="GNG28">_xlfn.XLOOKUP(GNG$11,Assumptions!$B$35:$H$35,_xlfn.XLOOKUP($C28,Assumptions!$B$36:$B$41,Assumptions!$B$36:$H$41))</f>
        <v>0</v>
      </c>
      <c r="GNH28">
        <f t="array" ref="GNH28">_xlfn.XLOOKUP(GNH$11,Assumptions!$B$35:$H$35,_xlfn.XLOOKUP($C28,Assumptions!$B$36:$B$41,Assumptions!$B$36:$H$41))</f>
        <v>0</v>
      </c>
      <c r="GNI28">
        <f t="array" ref="GNI28">_xlfn.XLOOKUP(GNI$11,Assumptions!$B$35:$H$35,_xlfn.XLOOKUP($C28,Assumptions!$B$36:$B$41,Assumptions!$B$36:$H$41))</f>
        <v>0</v>
      </c>
      <c r="GNJ28">
        <f t="array" ref="GNJ28">_xlfn.XLOOKUP(GNJ$11,Assumptions!$B$35:$H$35,_xlfn.XLOOKUP($C28,Assumptions!$B$36:$B$41,Assumptions!$B$36:$H$41))</f>
        <v>0</v>
      </c>
      <c r="GNK28">
        <f t="array" ref="GNK28">_xlfn.XLOOKUP(GNK$11,Assumptions!$B$35:$H$35,_xlfn.XLOOKUP($C28,Assumptions!$B$36:$B$41,Assumptions!$B$36:$H$41))</f>
        <v>0</v>
      </c>
      <c r="GNL28">
        <f t="array" ref="GNL28">_xlfn.XLOOKUP(GNL$11,Assumptions!$B$35:$H$35,_xlfn.XLOOKUP($C28,Assumptions!$B$36:$B$41,Assumptions!$B$36:$H$41))</f>
        <v>0</v>
      </c>
      <c r="GNM28">
        <f t="array" ref="GNM28">_xlfn.XLOOKUP(GNM$11,Assumptions!$B$35:$H$35,_xlfn.XLOOKUP($C28,Assumptions!$B$36:$B$41,Assumptions!$B$36:$H$41))</f>
        <v>0</v>
      </c>
      <c r="GNN28">
        <f t="array" ref="GNN28">_xlfn.XLOOKUP(GNN$11,Assumptions!$B$35:$H$35,_xlfn.XLOOKUP($C28,Assumptions!$B$36:$B$41,Assumptions!$B$36:$H$41))</f>
        <v>0</v>
      </c>
      <c r="GNO28">
        <f t="array" ref="GNO28">_xlfn.XLOOKUP(GNO$11,Assumptions!$B$35:$H$35,_xlfn.XLOOKUP($C28,Assumptions!$B$36:$B$41,Assumptions!$B$36:$H$41))</f>
        <v>0</v>
      </c>
      <c r="GNP28">
        <f t="array" ref="GNP28">_xlfn.XLOOKUP(GNP$11,Assumptions!$B$35:$H$35,_xlfn.XLOOKUP($C28,Assumptions!$B$36:$B$41,Assumptions!$B$36:$H$41))</f>
        <v>0</v>
      </c>
      <c r="GNQ28">
        <f t="array" ref="GNQ28">_xlfn.XLOOKUP(GNQ$11,Assumptions!$B$35:$H$35,_xlfn.XLOOKUP($C28,Assumptions!$B$36:$B$41,Assumptions!$B$36:$H$41))</f>
        <v>0</v>
      </c>
      <c r="GNR28">
        <f t="array" ref="GNR28">_xlfn.XLOOKUP(GNR$11,Assumptions!$B$35:$H$35,_xlfn.XLOOKUP($C28,Assumptions!$B$36:$B$41,Assumptions!$B$36:$H$41))</f>
        <v>0</v>
      </c>
      <c r="GNS28">
        <f t="array" ref="GNS28">_xlfn.XLOOKUP(GNS$11,Assumptions!$B$35:$H$35,_xlfn.XLOOKUP($C28,Assumptions!$B$36:$B$41,Assumptions!$B$36:$H$41))</f>
        <v>0</v>
      </c>
      <c r="GNT28">
        <f t="array" ref="GNT28">_xlfn.XLOOKUP(GNT$11,Assumptions!$B$35:$H$35,_xlfn.XLOOKUP($C28,Assumptions!$B$36:$B$41,Assumptions!$B$36:$H$41))</f>
        <v>0</v>
      </c>
      <c r="GNU28">
        <f t="array" ref="GNU28">_xlfn.XLOOKUP(GNU$11,Assumptions!$B$35:$H$35,_xlfn.XLOOKUP($C28,Assumptions!$B$36:$B$41,Assumptions!$B$36:$H$41))</f>
        <v>0</v>
      </c>
      <c r="GNV28">
        <f t="array" ref="GNV28">_xlfn.XLOOKUP(GNV$11,Assumptions!$B$35:$H$35,_xlfn.XLOOKUP($C28,Assumptions!$B$36:$B$41,Assumptions!$B$36:$H$41))</f>
        <v>0</v>
      </c>
      <c r="GNW28">
        <f t="array" ref="GNW28">_xlfn.XLOOKUP(GNW$11,Assumptions!$B$35:$H$35,_xlfn.XLOOKUP($C28,Assumptions!$B$36:$B$41,Assumptions!$B$36:$H$41))</f>
        <v>0</v>
      </c>
      <c r="GNX28">
        <f t="array" ref="GNX28">_xlfn.XLOOKUP(GNX$11,Assumptions!$B$35:$H$35,_xlfn.XLOOKUP($C28,Assumptions!$B$36:$B$41,Assumptions!$B$36:$H$41))</f>
        <v>0</v>
      </c>
      <c r="GNY28">
        <f t="array" ref="GNY28">_xlfn.XLOOKUP(GNY$11,Assumptions!$B$35:$H$35,_xlfn.XLOOKUP($C28,Assumptions!$B$36:$B$41,Assumptions!$B$36:$H$41))</f>
        <v>0</v>
      </c>
      <c r="GNZ28">
        <f t="array" ref="GNZ28">_xlfn.XLOOKUP(GNZ$11,Assumptions!$B$35:$H$35,_xlfn.XLOOKUP($C28,Assumptions!$B$36:$B$41,Assumptions!$B$36:$H$41))</f>
        <v>0</v>
      </c>
      <c r="GOA28">
        <f t="array" ref="GOA28">_xlfn.XLOOKUP(GOA$11,Assumptions!$B$35:$H$35,_xlfn.XLOOKUP($C28,Assumptions!$B$36:$B$41,Assumptions!$B$36:$H$41))</f>
        <v>0</v>
      </c>
      <c r="GOB28">
        <f t="array" ref="GOB28">_xlfn.XLOOKUP(GOB$11,Assumptions!$B$35:$H$35,_xlfn.XLOOKUP($C28,Assumptions!$B$36:$B$41,Assumptions!$B$36:$H$41))</f>
        <v>0</v>
      </c>
      <c r="GOC28">
        <f t="array" ref="GOC28">_xlfn.XLOOKUP(GOC$11,Assumptions!$B$35:$H$35,_xlfn.XLOOKUP($C28,Assumptions!$B$36:$B$41,Assumptions!$B$36:$H$41))</f>
        <v>0</v>
      </c>
      <c r="GOD28">
        <f t="array" ref="GOD28">_xlfn.XLOOKUP(GOD$11,Assumptions!$B$35:$H$35,_xlfn.XLOOKUP($C28,Assumptions!$B$36:$B$41,Assumptions!$B$36:$H$41))</f>
        <v>0</v>
      </c>
      <c r="GOE28">
        <f t="array" ref="GOE28">_xlfn.XLOOKUP(GOE$11,Assumptions!$B$35:$H$35,_xlfn.XLOOKUP($C28,Assumptions!$B$36:$B$41,Assumptions!$B$36:$H$41))</f>
        <v>0</v>
      </c>
      <c r="GOF28">
        <f t="array" ref="GOF28">_xlfn.XLOOKUP(GOF$11,Assumptions!$B$35:$H$35,_xlfn.XLOOKUP($C28,Assumptions!$B$36:$B$41,Assumptions!$B$36:$H$41))</f>
        <v>0</v>
      </c>
      <c r="GOG28">
        <f t="array" ref="GOG28">_xlfn.XLOOKUP(GOG$11,Assumptions!$B$35:$H$35,_xlfn.XLOOKUP($C28,Assumptions!$B$36:$B$41,Assumptions!$B$36:$H$41))</f>
        <v>0</v>
      </c>
      <c r="GOH28">
        <f t="array" ref="GOH28">_xlfn.XLOOKUP(GOH$11,Assumptions!$B$35:$H$35,_xlfn.XLOOKUP($C28,Assumptions!$B$36:$B$41,Assumptions!$B$36:$H$41))</f>
        <v>0</v>
      </c>
      <c r="GOI28">
        <f t="array" ref="GOI28">_xlfn.XLOOKUP(GOI$11,Assumptions!$B$35:$H$35,_xlfn.XLOOKUP($C28,Assumptions!$B$36:$B$41,Assumptions!$B$36:$H$41))</f>
        <v>0</v>
      </c>
      <c r="GOJ28">
        <f t="array" ref="GOJ28">_xlfn.XLOOKUP(GOJ$11,Assumptions!$B$35:$H$35,_xlfn.XLOOKUP($C28,Assumptions!$B$36:$B$41,Assumptions!$B$36:$H$41))</f>
        <v>0</v>
      </c>
      <c r="GOK28">
        <f t="array" ref="GOK28">_xlfn.XLOOKUP(GOK$11,Assumptions!$B$35:$H$35,_xlfn.XLOOKUP($C28,Assumptions!$B$36:$B$41,Assumptions!$B$36:$H$41))</f>
        <v>0</v>
      </c>
      <c r="GOL28">
        <f t="array" ref="GOL28">_xlfn.XLOOKUP(GOL$11,Assumptions!$B$35:$H$35,_xlfn.XLOOKUP($C28,Assumptions!$B$36:$B$41,Assumptions!$B$36:$H$41))</f>
        <v>0</v>
      </c>
      <c r="GOM28">
        <f t="array" ref="GOM28">_xlfn.XLOOKUP(GOM$11,Assumptions!$B$35:$H$35,_xlfn.XLOOKUP($C28,Assumptions!$B$36:$B$41,Assumptions!$B$36:$H$41))</f>
        <v>0</v>
      </c>
      <c r="GON28">
        <f t="array" ref="GON28">_xlfn.XLOOKUP(GON$11,Assumptions!$B$35:$H$35,_xlfn.XLOOKUP($C28,Assumptions!$B$36:$B$41,Assumptions!$B$36:$H$41))</f>
        <v>0</v>
      </c>
      <c r="GOO28">
        <f t="array" ref="GOO28">_xlfn.XLOOKUP(GOO$11,Assumptions!$B$35:$H$35,_xlfn.XLOOKUP($C28,Assumptions!$B$36:$B$41,Assumptions!$B$36:$H$41))</f>
        <v>0</v>
      </c>
      <c r="GOP28">
        <f t="array" ref="GOP28">_xlfn.XLOOKUP(GOP$11,Assumptions!$B$35:$H$35,_xlfn.XLOOKUP($C28,Assumptions!$B$36:$B$41,Assumptions!$B$36:$H$41))</f>
        <v>0</v>
      </c>
      <c r="GOQ28">
        <f t="array" ref="GOQ28">_xlfn.XLOOKUP(GOQ$11,Assumptions!$B$35:$H$35,_xlfn.XLOOKUP($C28,Assumptions!$B$36:$B$41,Assumptions!$B$36:$H$41))</f>
        <v>0</v>
      </c>
      <c r="GOR28">
        <f t="array" ref="GOR28">_xlfn.XLOOKUP(GOR$11,Assumptions!$B$35:$H$35,_xlfn.XLOOKUP($C28,Assumptions!$B$36:$B$41,Assumptions!$B$36:$H$41))</f>
        <v>0</v>
      </c>
      <c r="GOS28">
        <f t="array" ref="GOS28">_xlfn.XLOOKUP(GOS$11,Assumptions!$B$35:$H$35,_xlfn.XLOOKUP($C28,Assumptions!$B$36:$B$41,Assumptions!$B$36:$H$41))</f>
        <v>0</v>
      </c>
      <c r="GOT28">
        <f t="array" ref="GOT28">_xlfn.XLOOKUP(GOT$11,Assumptions!$B$35:$H$35,_xlfn.XLOOKUP($C28,Assumptions!$B$36:$B$41,Assumptions!$B$36:$H$41))</f>
        <v>0</v>
      </c>
      <c r="GOU28">
        <f t="array" ref="GOU28">_xlfn.XLOOKUP(GOU$11,Assumptions!$B$35:$H$35,_xlfn.XLOOKUP($C28,Assumptions!$B$36:$B$41,Assumptions!$B$36:$H$41))</f>
        <v>0</v>
      </c>
      <c r="GOV28">
        <f t="array" ref="GOV28">_xlfn.XLOOKUP(GOV$11,Assumptions!$B$35:$H$35,_xlfn.XLOOKUP($C28,Assumptions!$B$36:$B$41,Assumptions!$B$36:$H$41))</f>
        <v>0</v>
      </c>
      <c r="GOW28">
        <f t="array" ref="GOW28">_xlfn.XLOOKUP(GOW$11,Assumptions!$B$35:$H$35,_xlfn.XLOOKUP($C28,Assumptions!$B$36:$B$41,Assumptions!$B$36:$H$41))</f>
        <v>0</v>
      </c>
      <c r="GOX28">
        <f t="array" ref="GOX28">_xlfn.XLOOKUP(GOX$11,Assumptions!$B$35:$H$35,_xlfn.XLOOKUP($C28,Assumptions!$B$36:$B$41,Assumptions!$B$36:$H$41))</f>
        <v>0</v>
      </c>
      <c r="GOY28">
        <f t="array" ref="GOY28">_xlfn.XLOOKUP(GOY$11,Assumptions!$B$35:$H$35,_xlfn.XLOOKUP($C28,Assumptions!$B$36:$B$41,Assumptions!$B$36:$H$41))</f>
        <v>0</v>
      </c>
      <c r="GOZ28">
        <f t="array" ref="GOZ28">_xlfn.XLOOKUP(GOZ$11,Assumptions!$B$35:$H$35,_xlfn.XLOOKUP($C28,Assumptions!$B$36:$B$41,Assumptions!$B$36:$H$41))</f>
        <v>0</v>
      </c>
      <c r="GPA28">
        <f t="array" ref="GPA28">_xlfn.XLOOKUP(GPA$11,Assumptions!$B$35:$H$35,_xlfn.XLOOKUP($C28,Assumptions!$B$36:$B$41,Assumptions!$B$36:$H$41))</f>
        <v>0</v>
      </c>
      <c r="GPB28">
        <f t="array" ref="GPB28">_xlfn.XLOOKUP(GPB$11,Assumptions!$B$35:$H$35,_xlfn.XLOOKUP($C28,Assumptions!$B$36:$B$41,Assumptions!$B$36:$H$41))</f>
        <v>0</v>
      </c>
      <c r="GPC28">
        <f t="array" ref="GPC28">_xlfn.XLOOKUP(GPC$11,Assumptions!$B$35:$H$35,_xlfn.XLOOKUP($C28,Assumptions!$B$36:$B$41,Assumptions!$B$36:$H$41))</f>
        <v>0</v>
      </c>
      <c r="GPD28">
        <f t="array" ref="GPD28">_xlfn.XLOOKUP(GPD$11,Assumptions!$B$35:$H$35,_xlfn.XLOOKUP($C28,Assumptions!$B$36:$B$41,Assumptions!$B$36:$H$41))</f>
        <v>0</v>
      </c>
      <c r="GPE28">
        <f t="array" ref="GPE28">_xlfn.XLOOKUP(GPE$11,Assumptions!$B$35:$H$35,_xlfn.XLOOKUP($C28,Assumptions!$B$36:$B$41,Assumptions!$B$36:$H$41))</f>
        <v>0</v>
      </c>
      <c r="GPF28">
        <f t="array" ref="GPF28">_xlfn.XLOOKUP(GPF$11,Assumptions!$B$35:$H$35,_xlfn.XLOOKUP($C28,Assumptions!$B$36:$B$41,Assumptions!$B$36:$H$41))</f>
        <v>0</v>
      </c>
      <c r="GPG28">
        <f t="array" ref="GPG28">_xlfn.XLOOKUP(GPG$11,Assumptions!$B$35:$H$35,_xlfn.XLOOKUP($C28,Assumptions!$B$36:$B$41,Assumptions!$B$36:$H$41))</f>
        <v>0</v>
      </c>
      <c r="GPH28">
        <f t="array" ref="GPH28">_xlfn.XLOOKUP(GPH$11,Assumptions!$B$35:$H$35,_xlfn.XLOOKUP($C28,Assumptions!$B$36:$B$41,Assumptions!$B$36:$H$41))</f>
        <v>0</v>
      </c>
      <c r="GPI28">
        <f t="array" ref="GPI28">_xlfn.XLOOKUP(GPI$11,Assumptions!$B$35:$H$35,_xlfn.XLOOKUP($C28,Assumptions!$B$36:$B$41,Assumptions!$B$36:$H$41))</f>
        <v>0</v>
      </c>
      <c r="GPJ28">
        <f t="array" ref="GPJ28">_xlfn.XLOOKUP(GPJ$11,Assumptions!$B$35:$H$35,_xlfn.XLOOKUP($C28,Assumptions!$B$36:$B$41,Assumptions!$B$36:$H$41))</f>
        <v>0</v>
      </c>
      <c r="GPK28">
        <f t="array" ref="GPK28">_xlfn.XLOOKUP(GPK$11,Assumptions!$B$35:$H$35,_xlfn.XLOOKUP($C28,Assumptions!$B$36:$B$41,Assumptions!$B$36:$H$41))</f>
        <v>0</v>
      </c>
      <c r="GPL28">
        <f t="array" ref="GPL28">_xlfn.XLOOKUP(GPL$11,Assumptions!$B$35:$H$35,_xlfn.XLOOKUP($C28,Assumptions!$B$36:$B$41,Assumptions!$B$36:$H$41))</f>
        <v>0</v>
      </c>
      <c r="GPM28">
        <f t="array" ref="GPM28">_xlfn.XLOOKUP(GPM$11,Assumptions!$B$35:$H$35,_xlfn.XLOOKUP($C28,Assumptions!$B$36:$B$41,Assumptions!$B$36:$H$41))</f>
        <v>0</v>
      </c>
      <c r="GPN28">
        <f t="array" ref="GPN28">_xlfn.XLOOKUP(GPN$11,Assumptions!$B$35:$H$35,_xlfn.XLOOKUP($C28,Assumptions!$B$36:$B$41,Assumptions!$B$36:$H$41))</f>
        <v>0</v>
      </c>
      <c r="GPO28">
        <f t="array" ref="GPO28">_xlfn.XLOOKUP(GPO$11,Assumptions!$B$35:$H$35,_xlfn.XLOOKUP($C28,Assumptions!$B$36:$B$41,Assumptions!$B$36:$H$41))</f>
        <v>0</v>
      </c>
      <c r="GPP28">
        <f t="array" ref="GPP28">_xlfn.XLOOKUP(GPP$11,Assumptions!$B$35:$H$35,_xlfn.XLOOKUP($C28,Assumptions!$B$36:$B$41,Assumptions!$B$36:$H$41))</f>
        <v>0</v>
      </c>
      <c r="GPQ28">
        <f t="array" ref="GPQ28">_xlfn.XLOOKUP(GPQ$11,Assumptions!$B$35:$H$35,_xlfn.XLOOKUP($C28,Assumptions!$B$36:$B$41,Assumptions!$B$36:$H$41))</f>
        <v>0</v>
      </c>
      <c r="GPR28">
        <f t="array" ref="GPR28">_xlfn.XLOOKUP(GPR$11,Assumptions!$B$35:$H$35,_xlfn.XLOOKUP($C28,Assumptions!$B$36:$B$41,Assumptions!$B$36:$H$41))</f>
        <v>0</v>
      </c>
      <c r="GPS28">
        <f t="array" ref="GPS28">_xlfn.XLOOKUP(GPS$11,Assumptions!$B$35:$H$35,_xlfn.XLOOKUP($C28,Assumptions!$B$36:$B$41,Assumptions!$B$36:$H$41))</f>
        <v>0</v>
      </c>
      <c r="GPT28">
        <f t="array" ref="GPT28">_xlfn.XLOOKUP(GPT$11,Assumptions!$B$35:$H$35,_xlfn.XLOOKUP($C28,Assumptions!$B$36:$B$41,Assumptions!$B$36:$H$41))</f>
        <v>0</v>
      </c>
      <c r="GPU28">
        <f t="array" ref="GPU28">_xlfn.XLOOKUP(GPU$11,Assumptions!$B$35:$H$35,_xlfn.XLOOKUP($C28,Assumptions!$B$36:$B$41,Assumptions!$B$36:$H$41))</f>
        <v>0</v>
      </c>
      <c r="GPV28">
        <f t="array" ref="GPV28">_xlfn.XLOOKUP(GPV$11,Assumptions!$B$35:$H$35,_xlfn.XLOOKUP($C28,Assumptions!$B$36:$B$41,Assumptions!$B$36:$H$41))</f>
        <v>0</v>
      </c>
      <c r="GPW28">
        <f t="array" ref="GPW28">_xlfn.XLOOKUP(GPW$11,Assumptions!$B$35:$H$35,_xlfn.XLOOKUP($C28,Assumptions!$B$36:$B$41,Assumptions!$B$36:$H$41))</f>
        <v>0</v>
      </c>
      <c r="GPX28">
        <f t="array" ref="GPX28">_xlfn.XLOOKUP(GPX$11,Assumptions!$B$35:$H$35,_xlfn.XLOOKUP($C28,Assumptions!$B$36:$B$41,Assumptions!$B$36:$H$41))</f>
        <v>0</v>
      </c>
      <c r="GPY28">
        <f t="array" ref="GPY28">_xlfn.XLOOKUP(GPY$11,Assumptions!$B$35:$H$35,_xlfn.XLOOKUP($C28,Assumptions!$B$36:$B$41,Assumptions!$B$36:$H$41))</f>
        <v>0</v>
      </c>
      <c r="GPZ28">
        <f t="array" ref="GPZ28">_xlfn.XLOOKUP(GPZ$11,Assumptions!$B$35:$H$35,_xlfn.XLOOKUP($C28,Assumptions!$B$36:$B$41,Assumptions!$B$36:$H$41))</f>
        <v>0</v>
      </c>
      <c r="GQA28">
        <f t="array" ref="GQA28">_xlfn.XLOOKUP(GQA$11,Assumptions!$B$35:$H$35,_xlfn.XLOOKUP($C28,Assumptions!$B$36:$B$41,Assumptions!$B$36:$H$41))</f>
        <v>0</v>
      </c>
      <c r="GQB28">
        <f t="array" ref="GQB28">_xlfn.XLOOKUP(GQB$11,Assumptions!$B$35:$H$35,_xlfn.XLOOKUP($C28,Assumptions!$B$36:$B$41,Assumptions!$B$36:$H$41))</f>
        <v>0</v>
      </c>
      <c r="GQC28">
        <f t="array" ref="GQC28">_xlfn.XLOOKUP(GQC$11,Assumptions!$B$35:$H$35,_xlfn.XLOOKUP($C28,Assumptions!$B$36:$B$41,Assumptions!$B$36:$H$41))</f>
        <v>0</v>
      </c>
      <c r="GQD28">
        <f t="array" ref="GQD28">_xlfn.XLOOKUP(GQD$11,Assumptions!$B$35:$H$35,_xlfn.XLOOKUP($C28,Assumptions!$B$36:$B$41,Assumptions!$B$36:$H$41))</f>
        <v>0</v>
      </c>
      <c r="GQE28">
        <f t="array" ref="GQE28">_xlfn.XLOOKUP(GQE$11,Assumptions!$B$35:$H$35,_xlfn.XLOOKUP($C28,Assumptions!$B$36:$B$41,Assumptions!$B$36:$H$41))</f>
        <v>0</v>
      </c>
      <c r="GQF28">
        <f t="array" ref="GQF28">_xlfn.XLOOKUP(GQF$11,Assumptions!$B$35:$H$35,_xlfn.XLOOKUP($C28,Assumptions!$B$36:$B$41,Assumptions!$B$36:$H$41))</f>
        <v>0</v>
      </c>
      <c r="GQG28">
        <f t="array" ref="GQG28">_xlfn.XLOOKUP(GQG$11,Assumptions!$B$35:$H$35,_xlfn.XLOOKUP($C28,Assumptions!$B$36:$B$41,Assumptions!$B$36:$H$41))</f>
        <v>0</v>
      </c>
      <c r="GQH28">
        <f t="array" ref="GQH28">_xlfn.XLOOKUP(GQH$11,Assumptions!$B$35:$H$35,_xlfn.XLOOKUP($C28,Assumptions!$B$36:$B$41,Assumptions!$B$36:$H$41))</f>
        <v>0</v>
      </c>
      <c r="GQI28">
        <f t="array" ref="GQI28">_xlfn.XLOOKUP(GQI$11,Assumptions!$B$35:$H$35,_xlfn.XLOOKUP($C28,Assumptions!$B$36:$B$41,Assumptions!$B$36:$H$41))</f>
        <v>0</v>
      </c>
      <c r="GQJ28">
        <f t="array" ref="GQJ28">_xlfn.XLOOKUP(GQJ$11,Assumptions!$B$35:$H$35,_xlfn.XLOOKUP($C28,Assumptions!$B$36:$B$41,Assumptions!$B$36:$H$41))</f>
        <v>0</v>
      </c>
      <c r="GQK28">
        <f t="array" ref="GQK28">_xlfn.XLOOKUP(GQK$11,Assumptions!$B$35:$H$35,_xlfn.XLOOKUP($C28,Assumptions!$B$36:$B$41,Assumptions!$B$36:$H$41))</f>
        <v>0</v>
      </c>
      <c r="GQL28">
        <f t="array" ref="GQL28">_xlfn.XLOOKUP(GQL$11,Assumptions!$B$35:$H$35,_xlfn.XLOOKUP($C28,Assumptions!$B$36:$B$41,Assumptions!$B$36:$H$41))</f>
        <v>0</v>
      </c>
      <c r="GQM28">
        <f t="array" ref="GQM28">_xlfn.XLOOKUP(GQM$11,Assumptions!$B$35:$H$35,_xlfn.XLOOKUP($C28,Assumptions!$B$36:$B$41,Assumptions!$B$36:$H$41))</f>
        <v>0</v>
      </c>
      <c r="GQN28">
        <f t="array" ref="GQN28">_xlfn.XLOOKUP(GQN$11,Assumptions!$B$35:$H$35,_xlfn.XLOOKUP($C28,Assumptions!$B$36:$B$41,Assumptions!$B$36:$H$41))</f>
        <v>0</v>
      </c>
      <c r="GQO28">
        <f t="array" ref="GQO28">_xlfn.XLOOKUP(GQO$11,Assumptions!$B$35:$H$35,_xlfn.XLOOKUP($C28,Assumptions!$B$36:$B$41,Assumptions!$B$36:$H$41))</f>
        <v>0</v>
      </c>
      <c r="GQP28">
        <f t="array" ref="GQP28">_xlfn.XLOOKUP(GQP$11,Assumptions!$B$35:$H$35,_xlfn.XLOOKUP($C28,Assumptions!$B$36:$B$41,Assumptions!$B$36:$H$41))</f>
        <v>0</v>
      </c>
      <c r="GQQ28">
        <f t="array" ref="GQQ28">_xlfn.XLOOKUP(GQQ$11,Assumptions!$B$35:$H$35,_xlfn.XLOOKUP($C28,Assumptions!$B$36:$B$41,Assumptions!$B$36:$H$41))</f>
        <v>0</v>
      </c>
      <c r="GQR28">
        <f t="array" ref="GQR28">_xlfn.XLOOKUP(GQR$11,Assumptions!$B$35:$H$35,_xlfn.XLOOKUP($C28,Assumptions!$B$36:$B$41,Assumptions!$B$36:$H$41))</f>
        <v>0</v>
      </c>
      <c r="GQS28">
        <f t="array" ref="GQS28">_xlfn.XLOOKUP(GQS$11,Assumptions!$B$35:$H$35,_xlfn.XLOOKUP($C28,Assumptions!$B$36:$B$41,Assumptions!$B$36:$H$41))</f>
        <v>0</v>
      </c>
      <c r="GQT28">
        <f t="array" ref="GQT28">_xlfn.XLOOKUP(GQT$11,Assumptions!$B$35:$H$35,_xlfn.XLOOKUP($C28,Assumptions!$B$36:$B$41,Assumptions!$B$36:$H$41))</f>
        <v>0</v>
      </c>
      <c r="GQU28">
        <f t="array" ref="GQU28">_xlfn.XLOOKUP(GQU$11,Assumptions!$B$35:$H$35,_xlfn.XLOOKUP($C28,Assumptions!$B$36:$B$41,Assumptions!$B$36:$H$41))</f>
        <v>0</v>
      </c>
      <c r="GQV28">
        <f t="array" ref="GQV28">_xlfn.XLOOKUP(GQV$11,Assumptions!$B$35:$H$35,_xlfn.XLOOKUP($C28,Assumptions!$B$36:$B$41,Assumptions!$B$36:$H$41))</f>
        <v>0</v>
      </c>
      <c r="GQW28">
        <f t="array" ref="GQW28">_xlfn.XLOOKUP(GQW$11,Assumptions!$B$35:$H$35,_xlfn.XLOOKUP($C28,Assumptions!$B$36:$B$41,Assumptions!$B$36:$H$41))</f>
        <v>0</v>
      </c>
      <c r="GQX28">
        <f t="array" ref="GQX28">_xlfn.XLOOKUP(GQX$11,Assumptions!$B$35:$H$35,_xlfn.XLOOKUP($C28,Assumptions!$B$36:$B$41,Assumptions!$B$36:$H$41))</f>
        <v>0</v>
      </c>
      <c r="GQY28">
        <f t="array" ref="GQY28">_xlfn.XLOOKUP(GQY$11,Assumptions!$B$35:$H$35,_xlfn.XLOOKUP($C28,Assumptions!$B$36:$B$41,Assumptions!$B$36:$H$41))</f>
        <v>0</v>
      </c>
      <c r="GQZ28">
        <f t="array" ref="GQZ28">_xlfn.XLOOKUP(GQZ$11,Assumptions!$B$35:$H$35,_xlfn.XLOOKUP($C28,Assumptions!$B$36:$B$41,Assumptions!$B$36:$H$41))</f>
        <v>0</v>
      </c>
      <c r="GRA28">
        <f t="array" ref="GRA28">_xlfn.XLOOKUP(GRA$11,Assumptions!$B$35:$H$35,_xlfn.XLOOKUP($C28,Assumptions!$B$36:$B$41,Assumptions!$B$36:$H$41))</f>
        <v>0</v>
      </c>
      <c r="GRB28">
        <f t="array" ref="GRB28">_xlfn.XLOOKUP(GRB$11,Assumptions!$B$35:$H$35,_xlfn.XLOOKUP($C28,Assumptions!$B$36:$B$41,Assumptions!$B$36:$H$41))</f>
        <v>0</v>
      </c>
      <c r="GRC28">
        <f t="array" ref="GRC28">_xlfn.XLOOKUP(GRC$11,Assumptions!$B$35:$H$35,_xlfn.XLOOKUP($C28,Assumptions!$B$36:$B$41,Assumptions!$B$36:$H$41))</f>
        <v>0</v>
      </c>
      <c r="GRD28">
        <f t="array" ref="GRD28">_xlfn.XLOOKUP(GRD$11,Assumptions!$B$35:$H$35,_xlfn.XLOOKUP($C28,Assumptions!$B$36:$B$41,Assumptions!$B$36:$H$41))</f>
        <v>0</v>
      </c>
      <c r="GRE28">
        <f t="array" ref="GRE28">_xlfn.XLOOKUP(GRE$11,Assumptions!$B$35:$H$35,_xlfn.XLOOKUP($C28,Assumptions!$B$36:$B$41,Assumptions!$B$36:$H$41))</f>
        <v>0</v>
      </c>
      <c r="GRF28">
        <f t="array" ref="GRF28">_xlfn.XLOOKUP(GRF$11,Assumptions!$B$35:$H$35,_xlfn.XLOOKUP($C28,Assumptions!$B$36:$B$41,Assumptions!$B$36:$H$41))</f>
        <v>0</v>
      </c>
      <c r="GRG28">
        <f t="array" ref="GRG28">_xlfn.XLOOKUP(GRG$11,Assumptions!$B$35:$H$35,_xlfn.XLOOKUP($C28,Assumptions!$B$36:$B$41,Assumptions!$B$36:$H$41))</f>
        <v>0</v>
      </c>
      <c r="GRH28">
        <f t="array" ref="GRH28">_xlfn.XLOOKUP(GRH$11,Assumptions!$B$35:$H$35,_xlfn.XLOOKUP($C28,Assumptions!$B$36:$B$41,Assumptions!$B$36:$H$41))</f>
        <v>0</v>
      </c>
      <c r="GRI28">
        <f t="array" ref="GRI28">_xlfn.XLOOKUP(GRI$11,Assumptions!$B$35:$H$35,_xlfn.XLOOKUP($C28,Assumptions!$B$36:$B$41,Assumptions!$B$36:$H$41))</f>
        <v>0</v>
      </c>
      <c r="GRJ28">
        <f t="array" ref="GRJ28">_xlfn.XLOOKUP(GRJ$11,Assumptions!$B$35:$H$35,_xlfn.XLOOKUP($C28,Assumptions!$B$36:$B$41,Assumptions!$B$36:$H$41))</f>
        <v>0</v>
      </c>
      <c r="GRK28">
        <f t="array" ref="GRK28">_xlfn.XLOOKUP(GRK$11,Assumptions!$B$35:$H$35,_xlfn.XLOOKUP($C28,Assumptions!$B$36:$B$41,Assumptions!$B$36:$H$41))</f>
        <v>0</v>
      </c>
      <c r="GRL28">
        <f t="array" ref="GRL28">_xlfn.XLOOKUP(GRL$11,Assumptions!$B$35:$H$35,_xlfn.XLOOKUP($C28,Assumptions!$B$36:$B$41,Assumptions!$B$36:$H$41))</f>
        <v>0</v>
      </c>
      <c r="GRM28">
        <f t="array" ref="GRM28">_xlfn.XLOOKUP(GRM$11,Assumptions!$B$35:$H$35,_xlfn.XLOOKUP($C28,Assumptions!$B$36:$B$41,Assumptions!$B$36:$H$41))</f>
        <v>0</v>
      </c>
      <c r="GRN28">
        <f t="array" ref="GRN28">_xlfn.XLOOKUP(GRN$11,Assumptions!$B$35:$H$35,_xlfn.XLOOKUP($C28,Assumptions!$B$36:$B$41,Assumptions!$B$36:$H$41))</f>
        <v>0</v>
      </c>
      <c r="GRO28">
        <f t="array" ref="GRO28">_xlfn.XLOOKUP(GRO$11,Assumptions!$B$35:$H$35,_xlfn.XLOOKUP($C28,Assumptions!$B$36:$B$41,Assumptions!$B$36:$H$41))</f>
        <v>0</v>
      </c>
      <c r="GRP28">
        <f t="array" ref="GRP28">_xlfn.XLOOKUP(GRP$11,Assumptions!$B$35:$H$35,_xlfn.XLOOKUP($C28,Assumptions!$B$36:$B$41,Assumptions!$B$36:$H$41))</f>
        <v>0</v>
      </c>
      <c r="GRQ28">
        <f t="array" ref="GRQ28">_xlfn.XLOOKUP(GRQ$11,Assumptions!$B$35:$H$35,_xlfn.XLOOKUP($C28,Assumptions!$B$36:$B$41,Assumptions!$B$36:$H$41))</f>
        <v>0</v>
      </c>
      <c r="GRR28">
        <f t="array" ref="GRR28">_xlfn.XLOOKUP(GRR$11,Assumptions!$B$35:$H$35,_xlfn.XLOOKUP($C28,Assumptions!$B$36:$B$41,Assumptions!$B$36:$H$41))</f>
        <v>0</v>
      </c>
      <c r="GRS28">
        <f t="array" ref="GRS28">_xlfn.XLOOKUP(GRS$11,Assumptions!$B$35:$H$35,_xlfn.XLOOKUP($C28,Assumptions!$B$36:$B$41,Assumptions!$B$36:$H$41))</f>
        <v>0</v>
      </c>
      <c r="GRT28">
        <f t="array" ref="GRT28">_xlfn.XLOOKUP(GRT$11,Assumptions!$B$35:$H$35,_xlfn.XLOOKUP($C28,Assumptions!$B$36:$B$41,Assumptions!$B$36:$H$41))</f>
        <v>0</v>
      </c>
      <c r="GRU28">
        <f t="array" ref="GRU28">_xlfn.XLOOKUP(GRU$11,Assumptions!$B$35:$H$35,_xlfn.XLOOKUP($C28,Assumptions!$B$36:$B$41,Assumptions!$B$36:$H$41))</f>
        <v>0</v>
      </c>
      <c r="GRV28">
        <f t="array" ref="GRV28">_xlfn.XLOOKUP(GRV$11,Assumptions!$B$35:$H$35,_xlfn.XLOOKUP($C28,Assumptions!$B$36:$B$41,Assumptions!$B$36:$H$41))</f>
        <v>0</v>
      </c>
      <c r="GRW28">
        <f t="array" ref="GRW28">_xlfn.XLOOKUP(GRW$11,Assumptions!$B$35:$H$35,_xlfn.XLOOKUP($C28,Assumptions!$B$36:$B$41,Assumptions!$B$36:$H$41))</f>
        <v>0</v>
      </c>
      <c r="GRX28">
        <f t="array" ref="GRX28">_xlfn.XLOOKUP(GRX$11,Assumptions!$B$35:$H$35,_xlfn.XLOOKUP($C28,Assumptions!$B$36:$B$41,Assumptions!$B$36:$H$41))</f>
        <v>0</v>
      </c>
      <c r="GRY28">
        <f t="array" ref="GRY28">_xlfn.XLOOKUP(GRY$11,Assumptions!$B$35:$H$35,_xlfn.XLOOKUP($C28,Assumptions!$B$36:$B$41,Assumptions!$B$36:$H$41))</f>
        <v>0</v>
      </c>
      <c r="GRZ28">
        <f t="array" ref="GRZ28">_xlfn.XLOOKUP(GRZ$11,Assumptions!$B$35:$H$35,_xlfn.XLOOKUP($C28,Assumptions!$B$36:$B$41,Assumptions!$B$36:$H$41))</f>
        <v>0</v>
      </c>
      <c r="GSA28">
        <f t="array" ref="GSA28">_xlfn.XLOOKUP(GSA$11,Assumptions!$B$35:$H$35,_xlfn.XLOOKUP($C28,Assumptions!$B$36:$B$41,Assumptions!$B$36:$H$41))</f>
        <v>0</v>
      </c>
      <c r="GSB28">
        <f t="array" ref="GSB28">_xlfn.XLOOKUP(GSB$11,Assumptions!$B$35:$H$35,_xlfn.XLOOKUP($C28,Assumptions!$B$36:$B$41,Assumptions!$B$36:$H$41))</f>
        <v>0</v>
      </c>
      <c r="GSC28">
        <f t="array" ref="GSC28">_xlfn.XLOOKUP(GSC$11,Assumptions!$B$35:$H$35,_xlfn.XLOOKUP($C28,Assumptions!$B$36:$B$41,Assumptions!$B$36:$H$41))</f>
        <v>0</v>
      </c>
      <c r="GSD28">
        <f t="array" ref="GSD28">_xlfn.XLOOKUP(GSD$11,Assumptions!$B$35:$H$35,_xlfn.XLOOKUP($C28,Assumptions!$B$36:$B$41,Assumptions!$B$36:$H$41))</f>
        <v>0</v>
      </c>
      <c r="GSE28">
        <f t="array" ref="GSE28">_xlfn.XLOOKUP(GSE$11,Assumptions!$B$35:$H$35,_xlfn.XLOOKUP($C28,Assumptions!$B$36:$B$41,Assumptions!$B$36:$H$41))</f>
        <v>0</v>
      </c>
      <c r="GSF28">
        <f t="array" ref="GSF28">_xlfn.XLOOKUP(GSF$11,Assumptions!$B$35:$H$35,_xlfn.XLOOKUP($C28,Assumptions!$B$36:$B$41,Assumptions!$B$36:$H$41))</f>
        <v>0</v>
      </c>
      <c r="GSG28">
        <f t="array" ref="GSG28">_xlfn.XLOOKUP(GSG$11,Assumptions!$B$35:$H$35,_xlfn.XLOOKUP($C28,Assumptions!$B$36:$B$41,Assumptions!$B$36:$H$41))</f>
        <v>0</v>
      </c>
      <c r="GSH28">
        <f t="array" ref="GSH28">_xlfn.XLOOKUP(GSH$11,Assumptions!$B$35:$H$35,_xlfn.XLOOKUP($C28,Assumptions!$B$36:$B$41,Assumptions!$B$36:$H$41))</f>
        <v>0</v>
      </c>
      <c r="GSI28">
        <f t="array" ref="GSI28">_xlfn.XLOOKUP(GSI$11,Assumptions!$B$35:$H$35,_xlfn.XLOOKUP($C28,Assumptions!$B$36:$B$41,Assumptions!$B$36:$H$41))</f>
        <v>0</v>
      </c>
      <c r="GSJ28">
        <f t="array" ref="GSJ28">_xlfn.XLOOKUP(GSJ$11,Assumptions!$B$35:$H$35,_xlfn.XLOOKUP($C28,Assumptions!$B$36:$B$41,Assumptions!$B$36:$H$41))</f>
        <v>0</v>
      </c>
      <c r="GSK28">
        <f t="array" ref="GSK28">_xlfn.XLOOKUP(GSK$11,Assumptions!$B$35:$H$35,_xlfn.XLOOKUP($C28,Assumptions!$B$36:$B$41,Assumptions!$B$36:$H$41))</f>
        <v>0</v>
      </c>
      <c r="GSL28">
        <f t="array" ref="GSL28">_xlfn.XLOOKUP(GSL$11,Assumptions!$B$35:$H$35,_xlfn.XLOOKUP($C28,Assumptions!$B$36:$B$41,Assumptions!$B$36:$H$41))</f>
        <v>0</v>
      </c>
      <c r="GSM28">
        <f t="array" ref="GSM28">_xlfn.XLOOKUP(GSM$11,Assumptions!$B$35:$H$35,_xlfn.XLOOKUP($C28,Assumptions!$B$36:$B$41,Assumptions!$B$36:$H$41))</f>
        <v>0</v>
      </c>
      <c r="GSN28">
        <f t="array" ref="GSN28">_xlfn.XLOOKUP(GSN$11,Assumptions!$B$35:$H$35,_xlfn.XLOOKUP($C28,Assumptions!$B$36:$B$41,Assumptions!$B$36:$H$41))</f>
        <v>0</v>
      </c>
      <c r="GSO28">
        <f t="array" ref="GSO28">_xlfn.XLOOKUP(GSO$11,Assumptions!$B$35:$H$35,_xlfn.XLOOKUP($C28,Assumptions!$B$36:$B$41,Assumptions!$B$36:$H$41))</f>
        <v>0</v>
      </c>
      <c r="GSP28">
        <f t="array" ref="GSP28">_xlfn.XLOOKUP(GSP$11,Assumptions!$B$35:$H$35,_xlfn.XLOOKUP($C28,Assumptions!$B$36:$B$41,Assumptions!$B$36:$H$41))</f>
        <v>0</v>
      </c>
      <c r="GSQ28">
        <f t="array" ref="GSQ28">_xlfn.XLOOKUP(GSQ$11,Assumptions!$B$35:$H$35,_xlfn.XLOOKUP($C28,Assumptions!$B$36:$B$41,Assumptions!$B$36:$H$41))</f>
        <v>0</v>
      </c>
      <c r="GSR28">
        <f t="array" ref="GSR28">_xlfn.XLOOKUP(GSR$11,Assumptions!$B$35:$H$35,_xlfn.XLOOKUP($C28,Assumptions!$B$36:$B$41,Assumptions!$B$36:$H$41))</f>
        <v>0</v>
      </c>
      <c r="GSS28">
        <f t="array" ref="GSS28">_xlfn.XLOOKUP(GSS$11,Assumptions!$B$35:$H$35,_xlfn.XLOOKUP($C28,Assumptions!$B$36:$B$41,Assumptions!$B$36:$H$41))</f>
        <v>0</v>
      </c>
      <c r="GST28">
        <f t="array" ref="GST28">_xlfn.XLOOKUP(GST$11,Assumptions!$B$35:$H$35,_xlfn.XLOOKUP($C28,Assumptions!$B$36:$B$41,Assumptions!$B$36:$H$41))</f>
        <v>0</v>
      </c>
      <c r="GSU28">
        <f t="array" ref="GSU28">_xlfn.XLOOKUP(GSU$11,Assumptions!$B$35:$H$35,_xlfn.XLOOKUP($C28,Assumptions!$B$36:$B$41,Assumptions!$B$36:$H$41))</f>
        <v>0</v>
      </c>
      <c r="GSV28">
        <f t="array" ref="GSV28">_xlfn.XLOOKUP(GSV$11,Assumptions!$B$35:$H$35,_xlfn.XLOOKUP($C28,Assumptions!$B$36:$B$41,Assumptions!$B$36:$H$41))</f>
        <v>0</v>
      </c>
      <c r="GSW28">
        <f t="array" ref="GSW28">_xlfn.XLOOKUP(GSW$11,Assumptions!$B$35:$H$35,_xlfn.XLOOKUP($C28,Assumptions!$B$36:$B$41,Assumptions!$B$36:$H$41))</f>
        <v>0</v>
      </c>
      <c r="GSX28">
        <f t="array" ref="GSX28">_xlfn.XLOOKUP(GSX$11,Assumptions!$B$35:$H$35,_xlfn.XLOOKUP($C28,Assumptions!$B$36:$B$41,Assumptions!$B$36:$H$41))</f>
        <v>0</v>
      </c>
      <c r="GSY28">
        <f t="array" ref="GSY28">_xlfn.XLOOKUP(GSY$11,Assumptions!$B$35:$H$35,_xlfn.XLOOKUP($C28,Assumptions!$B$36:$B$41,Assumptions!$B$36:$H$41))</f>
        <v>0</v>
      </c>
      <c r="GSZ28">
        <f t="array" ref="GSZ28">_xlfn.XLOOKUP(GSZ$11,Assumptions!$B$35:$H$35,_xlfn.XLOOKUP($C28,Assumptions!$B$36:$B$41,Assumptions!$B$36:$H$41))</f>
        <v>0</v>
      </c>
      <c r="GTA28">
        <f t="array" ref="GTA28">_xlfn.XLOOKUP(GTA$11,Assumptions!$B$35:$H$35,_xlfn.XLOOKUP($C28,Assumptions!$B$36:$B$41,Assumptions!$B$36:$H$41))</f>
        <v>0</v>
      </c>
      <c r="GTB28">
        <f t="array" ref="GTB28">_xlfn.XLOOKUP(GTB$11,Assumptions!$B$35:$H$35,_xlfn.XLOOKUP($C28,Assumptions!$B$36:$B$41,Assumptions!$B$36:$H$41))</f>
        <v>0</v>
      </c>
      <c r="GTC28">
        <f t="array" ref="GTC28">_xlfn.XLOOKUP(GTC$11,Assumptions!$B$35:$H$35,_xlfn.XLOOKUP($C28,Assumptions!$B$36:$B$41,Assumptions!$B$36:$H$41))</f>
        <v>0</v>
      </c>
      <c r="GTD28">
        <f t="array" ref="GTD28">_xlfn.XLOOKUP(GTD$11,Assumptions!$B$35:$H$35,_xlfn.XLOOKUP($C28,Assumptions!$B$36:$B$41,Assumptions!$B$36:$H$41))</f>
        <v>0</v>
      </c>
      <c r="GTE28">
        <f t="array" ref="GTE28">_xlfn.XLOOKUP(GTE$11,Assumptions!$B$35:$H$35,_xlfn.XLOOKUP($C28,Assumptions!$B$36:$B$41,Assumptions!$B$36:$H$41))</f>
        <v>0</v>
      </c>
      <c r="GTF28">
        <f t="array" ref="GTF28">_xlfn.XLOOKUP(GTF$11,Assumptions!$B$35:$H$35,_xlfn.XLOOKUP($C28,Assumptions!$B$36:$B$41,Assumptions!$B$36:$H$41))</f>
        <v>0</v>
      </c>
      <c r="GTG28">
        <f t="array" ref="GTG28">_xlfn.XLOOKUP(GTG$11,Assumptions!$B$35:$H$35,_xlfn.XLOOKUP($C28,Assumptions!$B$36:$B$41,Assumptions!$B$36:$H$41))</f>
        <v>0</v>
      </c>
      <c r="GTH28">
        <f t="array" ref="GTH28">_xlfn.XLOOKUP(GTH$11,Assumptions!$B$35:$H$35,_xlfn.XLOOKUP($C28,Assumptions!$B$36:$B$41,Assumptions!$B$36:$H$41))</f>
        <v>0</v>
      </c>
      <c r="GTI28">
        <f t="array" ref="GTI28">_xlfn.XLOOKUP(GTI$11,Assumptions!$B$35:$H$35,_xlfn.XLOOKUP($C28,Assumptions!$B$36:$B$41,Assumptions!$B$36:$H$41))</f>
        <v>0</v>
      </c>
      <c r="GTJ28">
        <f t="array" ref="GTJ28">_xlfn.XLOOKUP(GTJ$11,Assumptions!$B$35:$H$35,_xlfn.XLOOKUP($C28,Assumptions!$B$36:$B$41,Assumptions!$B$36:$H$41))</f>
        <v>0</v>
      </c>
      <c r="GTK28">
        <f t="array" ref="GTK28">_xlfn.XLOOKUP(GTK$11,Assumptions!$B$35:$H$35,_xlfn.XLOOKUP($C28,Assumptions!$B$36:$B$41,Assumptions!$B$36:$H$41))</f>
        <v>0</v>
      </c>
      <c r="GTL28">
        <f t="array" ref="GTL28">_xlfn.XLOOKUP(GTL$11,Assumptions!$B$35:$H$35,_xlfn.XLOOKUP($C28,Assumptions!$B$36:$B$41,Assumptions!$B$36:$H$41))</f>
        <v>0</v>
      </c>
      <c r="GTM28">
        <f t="array" ref="GTM28">_xlfn.XLOOKUP(GTM$11,Assumptions!$B$35:$H$35,_xlfn.XLOOKUP($C28,Assumptions!$B$36:$B$41,Assumptions!$B$36:$H$41))</f>
        <v>0</v>
      </c>
      <c r="GTN28">
        <f t="array" ref="GTN28">_xlfn.XLOOKUP(GTN$11,Assumptions!$B$35:$H$35,_xlfn.XLOOKUP($C28,Assumptions!$B$36:$B$41,Assumptions!$B$36:$H$41))</f>
        <v>0</v>
      </c>
      <c r="GTO28">
        <f t="array" ref="GTO28">_xlfn.XLOOKUP(GTO$11,Assumptions!$B$35:$H$35,_xlfn.XLOOKUP($C28,Assumptions!$B$36:$B$41,Assumptions!$B$36:$H$41))</f>
        <v>0</v>
      </c>
      <c r="GTP28">
        <f t="array" ref="GTP28">_xlfn.XLOOKUP(GTP$11,Assumptions!$B$35:$H$35,_xlfn.XLOOKUP($C28,Assumptions!$B$36:$B$41,Assumptions!$B$36:$H$41))</f>
        <v>0</v>
      </c>
      <c r="GTQ28">
        <f t="array" ref="GTQ28">_xlfn.XLOOKUP(GTQ$11,Assumptions!$B$35:$H$35,_xlfn.XLOOKUP($C28,Assumptions!$B$36:$B$41,Assumptions!$B$36:$H$41))</f>
        <v>0</v>
      </c>
      <c r="GTR28">
        <f t="array" ref="GTR28">_xlfn.XLOOKUP(GTR$11,Assumptions!$B$35:$H$35,_xlfn.XLOOKUP($C28,Assumptions!$B$36:$B$41,Assumptions!$B$36:$H$41))</f>
        <v>0</v>
      </c>
      <c r="GTS28">
        <f t="array" ref="GTS28">_xlfn.XLOOKUP(GTS$11,Assumptions!$B$35:$H$35,_xlfn.XLOOKUP($C28,Assumptions!$B$36:$B$41,Assumptions!$B$36:$H$41))</f>
        <v>0</v>
      </c>
      <c r="GTT28">
        <f t="array" ref="GTT28">_xlfn.XLOOKUP(GTT$11,Assumptions!$B$35:$H$35,_xlfn.XLOOKUP($C28,Assumptions!$B$36:$B$41,Assumptions!$B$36:$H$41))</f>
        <v>0</v>
      </c>
      <c r="GTU28">
        <f t="array" ref="GTU28">_xlfn.XLOOKUP(GTU$11,Assumptions!$B$35:$H$35,_xlfn.XLOOKUP($C28,Assumptions!$B$36:$B$41,Assumptions!$B$36:$H$41))</f>
        <v>0</v>
      </c>
      <c r="GTV28">
        <f t="array" ref="GTV28">_xlfn.XLOOKUP(GTV$11,Assumptions!$B$35:$H$35,_xlfn.XLOOKUP($C28,Assumptions!$B$36:$B$41,Assumptions!$B$36:$H$41))</f>
        <v>0</v>
      </c>
      <c r="GTW28">
        <f t="array" ref="GTW28">_xlfn.XLOOKUP(GTW$11,Assumptions!$B$35:$H$35,_xlfn.XLOOKUP($C28,Assumptions!$B$36:$B$41,Assumptions!$B$36:$H$41))</f>
        <v>0</v>
      </c>
      <c r="GTX28">
        <f t="array" ref="GTX28">_xlfn.XLOOKUP(GTX$11,Assumptions!$B$35:$H$35,_xlfn.XLOOKUP($C28,Assumptions!$B$36:$B$41,Assumptions!$B$36:$H$41))</f>
        <v>0</v>
      </c>
      <c r="GTY28">
        <f t="array" ref="GTY28">_xlfn.XLOOKUP(GTY$11,Assumptions!$B$35:$H$35,_xlfn.XLOOKUP($C28,Assumptions!$B$36:$B$41,Assumptions!$B$36:$H$41))</f>
        <v>0</v>
      </c>
      <c r="GTZ28">
        <f t="array" ref="GTZ28">_xlfn.XLOOKUP(GTZ$11,Assumptions!$B$35:$H$35,_xlfn.XLOOKUP($C28,Assumptions!$B$36:$B$41,Assumptions!$B$36:$H$41))</f>
        <v>0</v>
      </c>
      <c r="GUA28">
        <f t="array" ref="GUA28">_xlfn.XLOOKUP(GUA$11,Assumptions!$B$35:$H$35,_xlfn.XLOOKUP($C28,Assumptions!$B$36:$B$41,Assumptions!$B$36:$H$41))</f>
        <v>0</v>
      </c>
      <c r="GUB28">
        <f t="array" ref="GUB28">_xlfn.XLOOKUP(GUB$11,Assumptions!$B$35:$H$35,_xlfn.XLOOKUP($C28,Assumptions!$B$36:$B$41,Assumptions!$B$36:$H$41))</f>
        <v>0</v>
      </c>
      <c r="GUC28">
        <f t="array" ref="GUC28">_xlfn.XLOOKUP(GUC$11,Assumptions!$B$35:$H$35,_xlfn.XLOOKUP($C28,Assumptions!$B$36:$B$41,Assumptions!$B$36:$H$41))</f>
        <v>0</v>
      </c>
      <c r="GUD28">
        <f t="array" ref="GUD28">_xlfn.XLOOKUP(GUD$11,Assumptions!$B$35:$H$35,_xlfn.XLOOKUP($C28,Assumptions!$B$36:$B$41,Assumptions!$B$36:$H$41))</f>
        <v>0</v>
      </c>
      <c r="GUE28">
        <f t="array" ref="GUE28">_xlfn.XLOOKUP(GUE$11,Assumptions!$B$35:$H$35,_xlfn.XLOOKUP($C28,Assumptions!$B$36:$B$41,Assumptions!$B$36:$H$41))</f>
        <v>0</v>
      </c>
      <c r="GUF28">
        <f t="array" ref="GUF28">_xlfn.XLOOKUP(GUF$11,Assumptions!$B$35:$H$35,_xlfn.XLOOKUP($C28,Assumptions!$B$36:$B$41,Assumptions!$B$36:$H$41))</f>
        <v>0</v>
      </c>
      <c r="GUG28">
        <f t="array" ref="GUG28">_xlfn.XLOOKUP(GUG$11,Assumptions!$B$35:$H$35,_xlfn.XLOOKUP($C28,Assumptions!$B$36:$B$41,Assumptions!$B$36:$H$41))</f>
        <v>0</v>
      </c>
      <c r="GUH28">
        <f t="array" ref="GUH28">_xlfn.XLOOKUP(GUH$11,Assumptions!$B$35:$H$35,_xlfn.XLOOKUP($C28,Assumptions!$B$36:$B$41,Assumptions!$B$36:$H$41))</f>
        <v>0</v>
      </c>
      <c r="GUI28">
        <f t="array" ref="GUI28">_xlfn.XLOOKUP(GUI$11,Assumptions!$B$35:$H$35,_xlfn.XLOOKUP($C28,Assumptions!$B$36:$B$41,Assumptions!$B$36:$H$41))</f>
        <v>0</v>
      </c>
      <c r="GUJ28">
        <f t="array" ref="GUJ28">_xlfn.XLOOKUP(GUJ$11,Assumptions!$B$35:$H$35,_xlfn.XLOOKUP($C28,Assumptions!$B$36:$B$41,Assumptions!$B$36:$H$41))</f>
        <v>0</v>
      </c>
      <c r="GUK28">
        <f t="array" ref="GUK28">_xlfn.XLOOKUP(GUK$11,Assumptions!$B$35:$H$35,_xlfn.XLOOKUP($C28,Assumptions!$B$36:$B$41,Assumptions!$B$36:$H$41))</f>
        <v>0</v>
      </c>
      <c r="GUL28">
        <f t="array" ref="GUL28">_xlfn.XLOOKUP(GUL$11,Assumptions!$B$35:$H$35,_xlfn.XLOOKUP($C28,Assumptions!$B$36:$B$41,Assumptions!$B$36:$H$41))</f>
        <v>0</v>
      </c>
      <c r="GUM28">
        <f t="array" ref="GUM28">_xlfn.XLOOKUP(GUM$11,Assumptions!$B$35:$H$35,_xlfn.XLOOKUP($C28,Assumptions!$B$36:$B$41,Assumptions!$B$36:$H$41))</f>
        <v>0</v>
      </c>
      <c r="GUN28">
        <f t="array" ref="GUN28">_xlfn.XLOOKUP(GUN$11,Assumptions!$B$35:$H$35,_xlfn.XLOOKUP($C28,Assumptions!$B$36:$B$41,Assumptions!$B$36:$H$41))</f>
        <v>0</v>
      </c>
      <c r="GUO28">
        <f t="array" ref="GUO28">_xlfn.XLOOKUP(GUO$11,Assumptions!$B$35:$H$35,_xlfn.XLOOKUP($C28,Assumptions!$B$36:$B$41,Assumptions!$B$36:$H$41))</f>
        <v>0</v>
      </c>
      <c r="GUP28">
        <f t="array" ref="GUP28">_xlfn.XLOOKUP(GUP$11,Assumptions!$B$35:$H$35,_xlfn.XLOOKUP($C28,Assumptions!$B$36:$B$41,Assumptions!$B$36:$H$41))</f>
        <v>0</v>
      </c>
      <c r="GUQ28">
        <f t="array" ref="GUQ28">_xlfn.XLOOKUP(GUQ$11,Assumptions!$B$35:$H$35,_xlfn.XLOOKUP($C28,Assumptions!$B$36:$B$41,Assumptions!$B$36:$H$41))</f>
        <v>0</v>
      </c>
      <c r="GUR28">
        <f t="array" ref="GUR28">_xlfn.XLOOKUP(GUR$11,Assumptions!$B$35:$H$35,_xlfn.XLOOKUP($C28,Assumptions!$B$36:$B$41,Assumptions!$B$36:$H$41))</f>
        <v>0</v>
      </c>
      <c r="GUS28">
        <f t="array" ref="GUS28">_xlfn.XLOOKUP(GUS$11,Assumptions!$B$35:$H$35,_xlfn.XLOOKUP($C28,Assumptions!$B$36:$B$41,Assumptions!$B$36:$H$41))</f>
        <v>0</v>
      </c>
      <c r="GUT28">
        <f t="array" ref="GUT28">_xlfn.XLOOKUP(GUT$11,Assumptions!$B$35:$H$35,_xlfn.XLOOKUP($C28,Assumptions!$B$36:$B$41,Assumptions!$B$36:$H$41))</f>
        <v>0</v>
      </c>
      <c r="GUU28">
        <f t="array" ref="GUU28">_xlfn.XLOOKUP(GUU$11,Assumptions!$B$35:$H$35,_xlfn.XLOOKUP($C28,Assumptions!$B$36:$B$41,Assumptions!$B$36:$H$41))</f>
        <v>0</v>
      </c>
      <c r="GUV28">
        <f t="array" ref="GUV28">_xlfn.XLOOKUP(GUV$11,Assumptions!$B$35:$H$35,_xlfn.XLOOKUP($C28,Assumptions!$B$36:$B$41,Assumptions!$B$36:$H$41))</f>
        <v>0</v>
      </c>
      <c r="GUW28">
        <f t="array" ref="GUW28">_xlfn.XLOOKUP(GUW$11,Assumptions!$B$35:$H$35,_xlfn.XLOOKUP($C28,Assumptions!$B$36:$B$41,Assumptions!$B$36:$H$41))</f>
        <v>0</v>
      </c>
      <c r="GUX28">
        <f t="array" ref="GUX28">_xlfn.XLOOKUP(GUX$11,Assumptions!$B$35:$H$35,_xlfn.XLOOKUP($C28,Assumptions!$B$36:$B$41,Assumptions!$B$36:$H$41))</f>
        <v>0</v>
      </c>
      <c r="GUY28">
        <f t="array" ref="GUY28">_xlfn.XLOOKUP(GUY$11,Assumptions!$B$35:$H$35,_xlfn.XLOOKUP($C28,Assumptions!$B$36:$B$41,Assumptions!$B$36:$H$41))</f>
        <v>0</v>
      </c>
      <c r="GUZ28">
        <f t="array" ref="GUZ28">_xlfn.XLOOKUP(GUZ$11,Assumptions!$B$35:$H$35,_xlfn.XLOOKUP($C28,Assumptions!$B$36:$B$41,Assumptions!$B$36:$H$41))</f>
        <v>0</v>
      </c>
      <c r="GVA28">
        <f t="array" ref="GVA28">_xlfn.XLOOKUP(GVA$11,Assumptions!$B$35:$H$35,_xlfn.XLOOKUP($C28,Assumptions!$B$36:$B$41,Assumptions!$B$36:$H$41))</f>
        <v>0</v>
      </c>
      <c r="GVB28">
        <f t="array" ref="GVB28">_xlfn.XLOOKUP(GVB$11,Assumptions!$B$35:$H$35,_xlfn.XLOOKUP($C28,Assumptions!$B$36:$B$41,Assumptions!$B$36:$H$41))</f>
        <v>0</v>
      </c>
      <c r="GVC28">
        <f t="array" ref="GVC28">_xlfn.XLOOKUP(GVC$11,Assumptions!$B$35:$H$35,_xlfn.XLOOKUP($C28,Assumptions!$B$36:$B$41,Assumptions!$B$36:$H$41))</f>
        <v>0</v>
      </c>
      <c r="GVD28">
        <f t="array" ref="GVD28">_xlfn.XLOOKUP(GVD$11,Assumptions!$B$35:$H$35,_xlfn.XLOOKUP($C28,Assumptions!$B$36:$B$41,Assumptions!$B$36:$H$41))</f>
        <v>0</v>
      </c>
      <c r="GVE28">
        <f t="array" ref="GVE28">_xlfn.XLOOKUP(GVE$11,Assumptions!$B$35:$H$35,_xlfn.XLOOKUP($C28,Assumptions!$B$36:$B$41,Assumptions!$B$36:$H$41))</f>
        <v>0</v>
      </c>
      <c r="GVF28">
        <f t="array" ref="GVF28">_xlfn.XLOOKUP(GVF$11,Assumptions!$B$35:$H$35,_xlfn.XLOOKUP($C28,Assumptions!$B$36:$B$41,Assumptions!$B$36:$H$41))</f>
        <v>0</v>
      </c>
      <c r="GVG28">
        <f t="array" ref="GVG28">_xlfn.XLOOKUP(GVG$11,Assumptions!$B$35:$H$35,_xlfn.XLOOKUP($C28,Assumptions!$B$36:$B$41,Assumptions!$B$36:$H$41))</f>
        <v>0</v>
      </c>
      <c r="GVH28">
        <f t="array" ref="GVH28">_xlfn.XLOOKUP(GVH$11,Assumptions!$B$35:$H$35,_xlfn.XLOOKUP($C28,Assumptions!$B$36:$B$41,Assumptions!$B$36:$H$41))</f>
        <v>0</v>
      </c>
      <c r="GVI28">
        <f t="array" ref="GVI28">_xlfn.XLOOKUP(GVI$11,Assumptions!$B$35:$H$35,_xlfn.XLOOKUP($C28,Assumptions!$B$36:$B$41,Assumptions!$B$36:$H$41))</f>
        <v>0</v>
      </c>
      <c r="GVJ28">
        <f t="array" ref="GVJ28">_xlfn.XLOOKUP(GVJ$11,Assumptions!$B$35:$H$35,_xlfn.XLOOKUP($C28,Assumptions!$B$36:$B$41,Assumptions!$B$36:$H$41))</f>
        <v>0</v>
      </c>
      <c r="GVK28">
        <f t="array" ref="GVK28">_xlfn.XLOOKUP(GVK$11,Assumptions!$B$35:$H$35,_xlfn.XLOOKUP($C28,Assumptions!$B$36:$B$41,Assumptions!$B$36:$H$41))</f>
        <v>0</v>
      </c>
      <c r="GVL28">
        <f t="array" ref="GVL28">_xlfn.XLOOKUP(GVL$11,Assumptions!$B$35:$H$35,_xlfn.XLOOKUP($C28,Assumptions!$B$36:$B$41,Assumptions!$B$36:$H$41))</f>
        <v>0</v>
      </c>
      <c r="GVM28">
        <f t="array" ref="GVM28">_xlfn.XLOOKUP(GVM$11,Assumptions!$B$35:$H$35,_xlfn.XLOOKUP($C28,Assumptions!$B$36:$B$41,Assumptions!$B$36:$H$41))</f>
        <v>0</v>
      </c>
      <c r="GVN28">
        <f t="array" ref="GVN28">_xlfn.XLOOKUP(GVN$11,Assumptions!$B$35:$H$35,_xlfn.XLOOKUP($C28,Assumptions!$B$36:$B$41,Assumptions!$B$36:$H$41))</f>
        <v>0</v>
      </c>
      <c r="GVO28">
        <f t="array" ref="GVO28">_xlfn.XLOOKUP(GVO$11,Assumptions!$B$35:$H$35,_xlfn.XLOOKUP($C28,Assumptions!$B$36:$B$41,Assumptions!$B$36:$H$41))</f>
        <v>0</v>
      </c>
      <c r="GVP28">
        <f t="array" ref="GVP28">_xlfn.XLOOKUP(GVP$11,Assumptions!$B$35:$H$35,_xlfn.XLOOKUP($C28,Assumptions!$B$36:$B$41,Assumptions!$B$36:$H$41))</f>
        <v>0</v>
      </c>
      <c r="GVQ28">
        <f t="array" ref="GVQ28">_xlfn.XLOOKUP(GVQ$11,Assumptions!$B$35:$H$35,_xlfn.XLOOKUP($C28,Assumptions!$B$36:$B$41,Assumptions!$B$36:$H$41))</f>
        <v>0</v>
      </c>
      <c r="GVR28">
        <f t="array" ref="GVR28">_xlfn.XLOOKUP(GVR$11,Assumptions!$B$35:$H$35,_xlfn.XLOOKUP($C28,Assumptions!$B$36:$B$41,Assumptions!$B$36:$H$41))</f>
        <v>0</v>
      </c>
      <c r="GVS28">
        <f t="array" ref="GVS28">_xlfn.XLOOKUP(GVS$11,Assumptions!$B$35:$H$35,_xlfn.XLOOKUP($C28,Assumptions!$B$36:$B$41,Assumptions!$B$36:$H$41))</f>
        <v>0</v>
      </c>
      <c r="GVT28">
        <f t="array" ref="GVT28">_xlfn.XLOOKUP(GVT$11,Assumptions!$B$35:$H$35,_xlfn.XLOOKUP($C28,Assumptions!$B$36:$B$41,Assumptions!$B$36:$H$41))</f>
        <v>0</v>
      </c>
      <c r="GVU28">
        <f t="array" ref="GVU28">_xlfn.XLOOKUP(GVU$11,Assumptions!$B$35:$H$35,_xlfn.XLOOKUP($C28,Assumptions!$B$36:$B$41,Assumptions!$B$36:$H$41))</f>
        <v>0</v>
      </c>
      <c r="GVV28">
        <f t="array" ref="GVV28">_xlfn.XLOOKUP(GVV$11,Assumptions!$B$35:$H$35,_xlfn.XLOOKUP($C28,Assumptions!$B$36:$B$41,Assumptions!$B$36:$H$41))</f>
        <v>0</v>
      </c>
      <c r="GVW28">
        <f t="array" ref="GVW28">_xlfn.XLOOKUP(GVW$11,Assumptions!$B$35:$H$35,_xlfn.XLOOKUP($C28,Assumptions!$B$36:$B$41,Assumptions!$B$36:$H$41))</f>
        <v>0</v>
      </c>
      <c r="GVX28">
        <f t="array" ref="GVX28">_xlfn.XLOOKUP(GVX$11,Assumptions!$B$35:$H$35,_xlfn.XLOOKUP($C28,Assumptions!$B$36:$B$41,Assumptions!$B$36:$H$41))</f>
        <v>0</v>
      </c>
      <c r="GVY28">
        <f t="array" ref="GVY28">_xlfn.XLOOKUP(GVY$11,Assumptions!$B$35:$H$35,_xlfn.XLOOKUP($C28,Assumptions!$B$36:$B$41,Assumptions!$B$36:$H$41))</f>
        <v>0</v>
      </c>
      <c r="GVZ28">
        <f t="array" ref="GVZ28">_xlfn.XLOOKUP(GVZ$11,Assumptions!$B$35:$H$35,_xlfn.XLOOKUP($C28,Assumptions!$B$36:$B$41,Assumptions!$B$36:$H$41))</f>
        <v>0</v>
      </c>
      <c r="GWA28">
        <f t="array" ref="GWA28">_xlfn.XLOOKUP(GWA$11,Assumptions!$B$35:$H$35,_xlfn.XLOOKUP($C28,Assumptions!$B$36:$B$41,Assumptions!$B$36:$H$41))</f>
        <v>0</v>
      </c>
      <c r="GWB28">
        <f t="array" ref="GWB28">_xlfn.XLOOKUP(GWB$11,Assumptions!$B$35:$H$35,_xlfn.XLOOKUP($C28,Assumptions!$B$36:$B$41,Assumptions!$B$36:$H$41))</f>
        <v>0</v>
      </c>
      <c r="GWC28">
        <f t="array" ref="GWC28">_xlfn.XLOOKUP(GWC$11,Assumptions!$B$35:$H$35,_xlfn.XLOOKUP($C28,Assumptions!$B$36:$B$41,Assumptions!$B$36:$H$41))</f>
        <v>0</v>
      </c>
      <c r="GWD28">
        <f t="array" ref="GWD28">_xlfn.XLOOKUP(GWD$11,Assumptions!$B$35:$H$35,_xlfn.XLOOKUP($C28,Assumptions!$B$36:$B$41,Assumptions!$B$36:$H$41))</f>
        <v>0</v>
      </c>
      <c r="GWE28">
        <f t="array" ref="GWE28">_xlfn.XLOOKUP(GWE$11,Assumptions!$B$35:$H$35,_xlfn.XLOOKUP($C28,Assumptions!$B$36:$B$41,Assumptions!$B$36:$H$41))</f>
        <v>0</v>
      </c>
      <c r="GWF28">
        <f t="array" ref="GWF28">_xlfn.XLOOKUP(GWF$11,Assumptions!$B$35:$H$35,_xlfn.XLOOKUP($C28,Assumptions!$B$36:$B$41,Assumptions!$B$36:$H$41))</f>
        <v>0</v>
      </c>
      <c r="GWG28">
        <f t="array" ref="GWG28">_xlfn.XLOOKUP(GWG$11,Assumptions!$B$35:$H$35,_xlfn.XLOOKUP($C28,Assumptions!$B$36:$B$41,Assumptions!$B$36:$H$41))</f>
        <v>0</v>
      </c>
      <c r="GWH28">
        <f t="array" ref="GWH28">_xlfn.XLOOKUP(GWH$11,Assumptions!$B$35:$H$35,_xlfn.XLOOKUP($C28,Assumptions!$B$36:$B$41,Assumptions!$B$36:$H$41))</f>
        <v>0</v>
      </c>
      <c r="GWI28">
        <f t="array" ref="GWI28">_xlfn.XLOOKUP(GWI$11,Assumptions!$B$35:$H$35,_xlfn.XLOOKUP($C28,Assumptions!$B$36:$B$41,Assumptions!$B$36:$H$41))</f>
        <v>0</v>
      </c>
      <c r="GWJ28">
        <f t="array" ref="GWJ28">_xlfn.XLOOKUP(GWJ$11,Assumptions!$B$35:$H$35,_xlfn.XLOOKUP($C28,Assumptions!$B$36:$B$41,Assumptions!$B$36:$H$41))</f>
        <v>0</v>
      </c>
      <c r="GWK28">
        <f t="array" ref="GWK28">_xlfn.XLOOKUP(GWK$11,Assumptions!$B$35:$H$35,_xlfn.XLOOKUP($C28,Assumptions!$B$36:$B$41,Assumptions!$B$36:$H$41))</f>
        <v>0</v>
      </c>
      <c r="GWL28">
        <f t="array" ref="GWL28">_xlfn.XLOOKUP(GWL$11,Assumptions!$B$35:$H$35,_xlfn.XLOOKUP($C28,Assumptions!$B$36:$B$41,Assumptions!$B$36:$H$41))</f>
        <v>0</v>
      </c>
      <c r="GWM28">
        <f t="array" ref="GWM28">_xlfn.XLOOKUP(GWM$11,Assumptions!$B$35:$H$35,_xlfn.XLOOKUP($C28,Assumptions!$B$36:$B$41,Assumptions!$B$36:$H$41))</f>
        <v>0</v>
      </c>
      <c r="GWN28">
        <f t="array" ref="GWN28">_xlfn.XLOOKUP(GWN$11,Assumptions!$B$35:$H$35,_xlfn.XLOOKUP($C28,Assumptions!$B$36:$B$41,Assumptions!$B$36:$H$41))</f>
        <v>0</v>
      </c>
      <c r="GWO28">
        <f t="array" ref="GWO28">_xlfn.XLOOKUP(GWO$11,Assumptions!$B$35:$H$35,_xlfn.XLOOKUP($C28,Assumptions!$B$36:$B$41,Assumptions!$B$36:$H$41))</f>
        <v>0</v>
      </c>
      <c r="GWP28">
        <f t="array" ref="GWP28">_xlfn.XLOOKUP(GWP$11,Assumptions!$B$35:$H$35,_xlfn.XLOOKUP($C28,Assumptions!$B$36:$B$41,Assumptions!$B$36:$H$41))</f>
        <v>0</v>
      </c>
      <c r="GWQ28">
        <f t="array" ref="GWQ28">_xlfn.XLOOKUP(GWQ$11,Assumptions!$B$35:$H$35,_xlfn.XLOOKUP($C28,Assumptions!$B$36:$B$41,Assumptions!$B$36:$H$41))</f>
        <v>0</v>
      </c>
      <c r="GWR28">
        <f t="array" ref="GWR28">_xlfn.XLOOKUP(GWR$11,Assumptions!$B$35:$H$35,_xlfn.XLOOKUP($C28,Assumptions!$B$36:$B$41,Assumptions!$B$36:$H$41))</f>
        <v>0</v>
      </c>
      <c r="GWS28">
        <f t="array" ref="GWS28">_xlfn.XLOOKUP(GWS$11,Assumptions!$B$35:$H$35,_xlfn.XLOOKUP($C28,Assumptions!$B$36:$B$41,Assumptions!$B$36:$H$41))</f>
        <v>0</v>
      </c>
      <c r="GWT28">
        <f t="array" ref="GWT28">_xlfn.XLOOKUP(GWT$11,Assumptions!$B$35:$H$35,_xlfn.XLOOKUP($C28,Assumptions!$B$36:$B$41,Assumptions!$B$36:$H$41))</f>
        <v>0</v>
      </c>
      <c r="GWU28">
        <f t="array" ref="GWU28">_xlfn.XLOOKUP(GWU$11,Assumptions!$B$35:$H$35,_xlfn.XLOOKUP($C28,Assumptions!$B$36:$B$41,Assumptions!$B$36:$H$41))</f>
        <v>0</v>
      </c>
      <c r="GWV28">
        <f t="array" ref="GWV28">_xlfn.XLOOKUP(GWV$11,Assumptions!$B$35:$H$35,_xlfn.XLOOKUP($C28,Assumptions!$B$36:$B$41,Assumptions!$B$36:$H$41))</f>
        <v>0</v>
      </c>
      <c r="GWW28">
        <f t="array" ref="GWW28">_xlfn.XLOOKUP(GWW$11,Assumptions!$B$35:$H$35,_xlfn.XLOOKUP($C28,Assumptions!$B$36:$B$41,Assumptions!$B$36:$H$41))</f>
        <v>0</v>
      </c>
      <c r="GWX28">
        <f t="array" ref="GWX28">_xlfn.XLOOKUP(GWX$11,Assumptions!$B$35:$H$35,_xlfn.XLOOKUP($C28,Assumptions!$B$36:$B$41,Assumptions!$B$36:$H$41))</f>
        <v>0</v>
      </c>
      <c r="GWY28">
        <f t="array" ref="GWY28">_xlfn.XLOOKUP(GWY$11,Assumptions!$B$35:$H$35,_xlfn.XLOOKUP($C28,Assumptions!$B$36:$B$41,Assumptions!$B$36:$H$41))</f>
        <v>0</v>
      </c>
      <c r="GWZ28">
        <f t="array" ref="GWZ28">_xlfn.XLOOKUP(GWZ$11,Assumptions!$B$35:$H$35,_xlfn.XLOOKUP($C28,Assumptions!$B$36:$B$41,Assumptions!$B$36:$H$41))</f>
        <v>0</v>
      </c>
      <c r="GXA28">
        <f t="array" ref="GXA28">_xlfn.XLOOKUP(GXA$11,Assumptions!$B$35:$H$35,_xlfn.XLOOKUP($C28,Assumptions!$B$36:$B$41,Assumptions!$B$36:$H$41))</f>
        <v>0</v>
      </c>
      <c r="GXB28">
        <f t="array" ref="GXB28">_xlfn.XLOOKUP(GXB$11,Assumptions!$B$35:$H$35,_xlfn.XLOOKUP($C28,Assumptions!$B$36:$B$41,Assumptions!$B$36:$H$41))</f>
        <v>0</v>
      </c>
      <c r="GXC28">
        <f t="array" ref="GXC28">_xlfn.XLOOKUP(GXC$11,Assumptions!$B$35:$H$35,_xlfn.XLOOKUP($C28,Assumptions!$B$36:$B$41,Assumptions!$B$36:$H$41))</f>
        <v>0</v>
      </c>
      <c r="GXD28">
        <f t="array" ref="GXD28">_xlfn.XLOOKUP(GXD$11,Assumptions!$B$35:$H$35,_xlfn.XLOOKUP($C28,Assumptions!$B$36:$B$41,Assumptions!$B$36:$H$41))</f>
        <v>0</v>
      </c>
      <c r="GXE28">
        <f t="array" ref="GXE28">_xlfn.XLOOKUP(GXE$11,Assumptions!$B$35:$H$35,_xlfn.XLOOKUP($C28,Assumptions!$B$36:$B$41,Assumptions!$B$36:$H$41))</f>
        <v>0</v>
      </c>
      <c r="GXF28">
        <f t="array" ref="GXF28">_xlfn.XLOOKUP(GXF$11,Assumptions!$B$35:$H$35,_xlfn.XLOOKUP($C28,Assumptions!$B$36:$B$41,Assumptions!$B$36:$H$41))</f>
        <v>0</v>
      </c>
      <c r="GXG28">
        <f t="array" ref="GXG28">_xlfn.XLOOKUP(GXG$11,Assumptions!$B$35:$H$35,_xlfn.XLOOKUP($C28,Assumptions!$B$36:$B$41,Assumptions!$B$36:$H$41))</f>
        <v>0</v>
      </c>
      <c r="GXH28">
        <f t="array" ref="GXH28">_xlfn.XLOOKUP(GXH$11,Assumptions!$B$35:$H$35,_xlfn.XLOOKUP($C28,Assumptions!$B$36:$B$41,Assumptions!$B$36:$H$41))</f>
        <v>0</v>
      </c>
      <c r="GXI28">
        <f t="array" ref="GXI28">_xlfn.XLOOKUP(GXI$11,Assumptions!$B$35:$H$35,_xlfn.XLOOKUP($C28,Assumptions!$B$36:$B$41,Assumptions!$B$36:$H$41))</f>
        <v>0</v>
      </c>
      <c r="GXJ28">
        <f t="array" ref="GXJ28">_xlfn.XLOOKUP(GXJ$11,Assumptions!$B$35:$H$35,_xlfn.XLOOKUP($C28,Assumptions!$B$36:$B$41,Assumptions!$B$36:$H$41))</f>
        <v>0</v>
      </c>
      <c r="GXK28">
        <f t="array" ref="GXK28">_xlfn.XLOOKUP(GXK$11,Assumptions!$B$35:$H$35,_xlfn.XLOOKUP($C28,Assumptions!$B$36:$B$41,Assumptions!$B$36:$H$41))</f>
        <v>0</v>
      </c>
      <c r="GXL28">
        <f t="array" ref="GXL28">_xlfn.XLOOKUP(GXL$11,Assumptions!$B$35:$H$35,_xlfn.XLOOKUP($C28,Assumptions!$B$36:$B$41,Assumptions!$B$36:$H$41))</f>
        <v>0</v>
      </c>
      <c r="GXM28">
        <f t="array" ref="GXM28">_xlfn.XLOOKUP(GXM$11,Assumptions!$B$35:$H$35,_xlfn.XLOOKUP($C28,Assumptions!$B$36:$B$41,Assumptions!$B$36:$H$41))</f>
        <v>0</v>
      </c>
      <c r="GXN28">
        <f t="array" ref="GXN28">_xlfn.XLOOKUP(GXN$11,Assumptions!$B$35:$H$35,_xlfn.XLOOKUP($C28,Assumptions!$B$36:$B$41,Assumptions!$B$36:$H$41))</f>
        <v>0</v>
      </c>
      <c r="GXO28">
        <f t="array" ref="GXO28">_xlfn.XLOOKUP(GXO$11,Assumptions!$B$35:$H$35,_xlfn.XLOOKUP($C28,Assumptions!$B$36:$B$41,Assumptions!$B$36:$H$41))</f>
        <v>0</v>
      </c>
      <c r="GXP28">
        <f t="array" ref="GXP28">_xlfn.XLOOKUP(GXP$11,Assumptions!$B$35:$H$35,_xlfn.XLOOKUP($C28,Assumptions!$B$36:$B$41,Assumptions!$B$36:$H$41))</f>
        <v>0</v>
      </c>
      <c r="GXQ28">
        <f t="array" ref="GXQ28">_xlfn.XLOOKUP(GXQ$11,Assumptions!$B$35:$H$35,_xlfn.XLOOKUP($C28,Assumptions!$B$36:$B$41,Assumptions!$B$36:$H$41))</f>
        <v>0</v>
      </c>
      <c r="GXR28">
        <f t="array" ref="GXR28">_xlfn.XLOOKUP(GXR$11,Assumptions!$B$35:$H$35,_xlfn.XLOOKUP($C28,Assumptions!$B$36:$B$41,Assumptions!$B$36:$H$41))</f>
        <v>0</v>
      </c>
      <c r="GXS28">
        <f t="array" ref="GXS28">_xlfn.XLOOKUP(GXS$11,Assumptions!$B$35:$H$35,_xlfn.XLOOKUP($C28,Assumptions!$B$36:$B$41,Assumptions!$B$36:$H$41))</f>
        <v>0</v>
      </c>
      <c r="GXT28">
        <f t="array" ref="GXT28">_xlfn.XLOOKUP(GXT$11,Assumptions!$B$35:$H$35,_xlfn.XLOOKUP($C28,Assumptions!$B$36:$B$41,Assumptions!$B$36:$H$41))</f>
        <v>0</v>
      </c>
      <c r="GXU28">
        <f t="array" ref="GXU28">_xlfn.XLOOKUP(GXU$11,Assumptions!$B$35:$H$35,_xlfn.XLOOKUP($C28,Assumptions!$B$36:$B$41,Assumptions!$B$36:$H$41))</f>
        <v>0</v>
      </c>
      <c r="GXV28">
        <f t="array" ref="GXV28">_xlfn.XLOOKUP(GXV$11,Assumptions!$B$35:$H$35,_xlfn.XLOOKUP($C28,Assumptions!$B$36:$B$41,Assumptions!$B$36:$H$41))</f>
        <v>0</v>
      </c>
      <c r="GXW28">
        <f t="array" ref="GXW28">_xlfn.XLOOKUP(GXW$11,Assumptions!$B$35:$H$35,_xlfn.XLOOKUP($C28,Assumptions!$B$36:$B$41,Assumptions!$B$36:$H$41))</f>
        <v>0</v>
      </c>
      <c r="GXX28">
        <f t="array" ref="GXX28">_xlfn.XLOOKUP(GXX$11,Assumptions!$B$35:$H$35,_xlfn.XLOOKUP($C28,Assumptions!$B$36:$B$41,Assumptions!$B$36:$H$41))</f>
        <v>0</v>
      </c>
      <c r="GXY28">
        <f t="array" ref="GXY28">_xlfn.XLOOKUP(GXY$11,Assumptions!$B$35:$H$35,_xlfn.XLOOKUP($C28,Assumptions!$B$36:$B$41,Assumptions!$B$36:$H$41))</f>
        <v>0</v>
      </c>
      <c r="GXZ28">
        <f t="array" ref="GXZ28">_xlfn.XLOOKUP(GXZ$11,Assumptions!$B$35:$H$35,_xlfn.XLOOKUP($C28,Assumptions!$B$36:$B$41,Assumptions!$B$36:$H$41))</f>
        <v>0</v>
      </c>
      <c r="GYA28">
        <f t="array" ref="GYA28">_xlfn.XLOOKUP(GYA$11,Assumptions!$B$35:$H$35,_xlfn.XLOOKUP($C28,Assumptions!$B$36:$B$41,Assumptions!$B$36:$H$41))</f>
        <v>0</v>
      </c>
      <c r="GYB28">
        <f t="array" ref="GYB28">_xlfn.XLOOKUP(GYB$11,Assumptions!$B$35:$H$35,_xlfn.XLOOKUP($C28,Assumptions!$B$36:$B$41,Assumptions!$B$36:$H$41))</f>
        <v>0</v>
      </c>
      <c r="GYC28">
        <f t="array" ref="GYC28">_xlfn.XLOOKUP(GYC$11,Assumptions!$B$35:$H$35,_xlfn.XLOOKUP($C28,Assumptions!$B$36:$B$41,Assumptions!$B$36:$H$41))</f>
        <v>0</v>
      </c>
      <c r="GYD28">
        <f t="array" ref="GYD28">_xlfn.XLOOKUP(GYD$11,Assumptions!$B$35:$H$35,_xlfn.XLOOKUP($C28,Assumptions!$B$36:$B$41,Assumptions!$B$36:$H$41))</f>
        <v>0</v>
      </c>
      <c r="GYE28">
        <f t="array" ref="GYE28">_xlfn.XLOOKUP(GYE$11,Assumptions!$B$35:$H$35,_xlfn.XLOOKUP($C28,Assumptions!$B$36:$B$41,Assumptions!$B$36:$H$41))</f>
        <v>0</v>
      </c>
      <c r="GYF28">
        <f t="array" ref="GYF28">_xlfn.XLOOKUP(GYF$11,Assumptions!$B$35:$H$35,_xlfn.XLOOKUP($C28,Assumptions!$B$36:$B$41,Assumptions!$B$36:$H$41))</f>
        <v>0</v>
      </c>
      <c r="GYG28">
        <f t="array" ref="GYG28">_xlfn.XLOOKUP(GYG$11,Assumptions!$B$35:$H$35,_xlfn.XLOOKUP($C28,Assumptions!$B$36:$B$41,Assumptions!$B$36:$H$41))</f>
        <v>0</v>
      </c>
      <c r="GYH28">
        <f t="array" ref="GYH28">_xlfn.XLOOKUP(GYH$11,Assumptions!$B$35:$H$35,_xlfn.XLOOKUP($C28,Assumptions!$B$36:$B$41,Assumptions!$B$36:$H$41))</f>
        <v>0</v>
      </c>
      <c r="GYI28">
        <f t="array" ref="GYI28">_xlfn.XLOOKUP(GYI$11,Assumptions!$B$35:$H$35,_xlfn.XLOOKUP($C28,Assumptions!$B$36:$B$41,Assumptions!$B$36:$H$41))</f>
        <v>0</v>
      </c>
      <c r="GYJ28">
        <f t="array" ref="GYJ28">_xlfn.XLOOKUP(GYJ$11,Assumptions!$B$35:$H$35,_xlfn.XLOOKUP($C28,Assumptions!$B$36:$B$41,Assumptions!$B$36:$H$41))</f>
        <v>0</v>
      </c>
      <c r="GYK28">
        <f t="array" ref="GYK28">_xlfn.XLOOKUP(GYK$11,Assumptions!$B$35:$H$35,_xlfn.XLOOKUP($C28,Assumptions!$B$36:$B$41,Assumptions!$B$36:$H$41))</f>
        <v>0</v>
      </c>
      <c r="GYL28">
        <f t="array" ref="GYL28">_xlfn.XLOOKUP(GYL$11,Assumptions!$B$35:$H$35,_xlfn.XLOOKUP($C28,Assumptions!$B$36:$B$41,Assumptions!$B$36:$H$41))</f>
        <v>0</v>
      </c>
      <c r="GYM28">
        <f t="array" ref="GYM28">_xlfn.XLOOKUP(GYM$11,Assumptions!$B$35:$H$35,_xlfn.XLOOKUP($C28,Assumptions!$B$36:$B$41,Assumptions!$B$36:$H$41))</f>
        <v>0</v>
      </c>
      <c r="GYN28">
        <f t="array" ref="GYN28">_xlfn.XLOOKUP(GYN$11,Assumptions!$B$35:$H$35,_xlfn.XLOOKUP($C28,Assumptions!$B$36:$B$41,Assumptions!$B$36:$H$41))</f>
        <v>0</v>
      </c>
      <c r="GYO28">
        <f t="array" ref="GYO28">_xlfn.XLOOKUP(GYO$11,Assumptions!$B$35:$H$35,_xlfn.XLOOKUP($C28,Assumptions!$B$36:$B$41,Assumptions!$B$36:$H$41))</f>
        <v>0</v>
      </c>
      <c r="GYP28">
        <f t="array" ref="GYP28">_xlfn.XLOOKUP(GYP$11,Assumptions!$B$35:$H$35,_xlfn.XLOOKUP($C28,Assumptions!$B$36:$B$41,Assumptions!$B$36:$H$41))</f>
        <v>0</v>
      </c>
      <c r="GYQ28">
        <f t="array" ref="GYQ28">_xlfn.XLOOKUP(GYQ$11,Assumptions!$B$35:$H$35,_xlfn.XLOOKUP($C28,Assumptions!$B$36:$B$41,Assumptions!$B$36:$H$41))</f>
        <v>0</v>
      </c>
      <c r="GYR28">
        <f t="array" ref="GYR28">_xlfn.XLOOKUP(GYR$11,Assumptions!$B$35:$H$35,_xlfn.XLOOKUP($C28,Assumptions!$B$36:$B$41,Assumptions!$B$36:$H$41))</f>
        <v>0</v>
      </c>
      <c r="GYS28">
        <f t="array" ref="GYS28">_xlfn.XLOOKUP(GYS$11,Assumptions!$B$35:$H$35,_xlfn.XLOOKUP($C28,Assumptions!$B$36:$B$41,Assumptions!$B$36:$H$41))</f>
        <v>0</v>
      </c>
      <c r="GYT28">
        <f t="array" ref="GYT28">_xlfn.XLOOKUP(GYT$11,Assumptions!$B$35:$H$35,_xlfn.XLOOKUP($C28,Assumptions!$B$36:$B$41,Assumptions!$B$36:$H$41))</f>
        <v>0</v>
      </c>
      <c r="GYU28">
        <f t="array" ref="GYU28">_xlfn.XLOOKUP(GYU$11,Assumptions!$B$35:$H$35,_xlfn.XLOOKUP($C28,Assumptions!$B$36:$B$41,Assumptions!$B$36:$H$41))</f>
        <v>0</v>
      </c>
      <c r="GYV28">
        <f t="array" ref="GYV28">_xlfn.XLOOKUP(GYV$11,Assumptions!$B$35:$H$35,_xlfn.XLOOKUP($C28,Assumptions!$B$36:$B$41,Assumptions!$B$36:$H$41))</f>
        <v>0</v>
      </c>
      <c r="GYW28">
        <f t="array" ref="GYW28">_xlfn.XLOOKUP(GYW$11,Assumptions!$B$35:$H$35,_xlfn.XLOOKUP($C28,Assumptions!$B$36:$B$41,Assumptions!$B$36:$H$41))</f>
        <v>0</v>
      </c>
      <c r="GYX28">
        <f t="array" ref="GYX28">_xlfn.XLOOKUP(GYX$11,Assumptions!$B$35:$H$35,_xlfn.XLOOKUP($C28,Assumptions!$B$36:$B$41,Assumptions!$B$36:$H$41))</f>
        <v>0</v>
      </c>
      <c r="GYY28">
        <f t="array" ref="GYY28">_xlfn.XLOOKUP(GYY$11,Assumptions!$B$35:$H$35,_xlfn.XLOOKUP($C28,Assumptions!$B$36:$B$41,Assumptions!$B$36:$H$41))</f>
        <v>0</v>
      </c>
      <c r="GYZ28">
        <f t="array" ref="GYZ28">_xlfn.XLOOKUP(GYZ$11,Assumptions!$B$35:$H$35,_xlfn.XLOOKUP($C28,Assumptions!$B$36:$B$41,Assumptions!$B$36:$H$41))</f>
        <v>0</v>
      </c>
      <c r="GZA28">
        <f t="array" ref="GZA28">_xlfn.XLOOKUP(GZA$11,Assumptions!$B$35:$H$35,_xlfn.XLOOKUP($C28,Assumptions!$B$36:$B$41,Assumptions!$B$36:$H$41))</f>
        <v>0</v>
      </c>
      <c r="GZB28">
        <f t="array" ref="GZB28">_xlfn.XLOOKUP(GZB$11,Assumptions!$B$35:$H$35,_xlfn.XLOOKUP($C28,Assumptions!$B$36:$B$41,Assumptions!$B$36:$H$41))</f>
        <v>0</v>
      </c>
      <c r="GZC28">
        <f t="array" ref="GZC28">_xlfn.XLOOKUP(GZC$11,Assumptions!$B$35:$H$35,_xlfn.XLOOKUP($C28,Assumptions!$B$36:$B$41,Assumptions!$B$36:$H$41))</f>
        <v>0</v>
      </c>
      <c r="GZD28">
        <f t="array" ref="GZD28">_xlfn.XLOOKUP(GZD$11,Assumptions!$B$35:$H$35,_xlfn.XLOOKUP($C28,Assumptions!$B$36:$B$41,Assumptions!$B$36:$H$41))</f>
        <v>0</v>
      </c>
      <c r="GZE28">
        <f t="array" ref="GZE28">_xlfn.XLOOKUP(GZE$11,Assumptions!$B$35:$H$35,_xlfn.XLOOKUP($C28,Assumptions!$B$36:$B$41,Assumptions!$B$36:$H$41))</f>
        <v>0</v>
      </c>
      <c r="GZF28">
        <f t="array" ref="GZF28">_xlfn.XLOOKUP(GZF$11,Assumptions!$B$35:$H$35,_xlfn.XLOOKUP($C28,Assumptions!$B$36:$B$41,Assumptions!$B$36:$H$41))</f>
        <v>0</v>
      </c>
      <c r="GZG28">
        <f t="array" ref="GZG28">_xlfn.XLOOKUP(GZG$11,Assumptions!$B$35:$H$35,_xlfn.XLOOKUP($C28,Assumptions!$B$36:$B$41,Assumptions!$B$36:$H$41))</f>
        <v>0</v>
      </c>
      <c r="GZH28">
        <f t="array" ref="GZH28">_xlfn.XLOOKUP(GZH$11,Assumptions!$B$35:$H$35,_xlfn.XLOOKUP($C28,Assumptions!$B$36:$B$41,Assumptions!$B$36:$H$41))</f>
        <v>0</v>
      </c>
      <c r="GZI28">
        <f t="array" ref="GZI28">_xlfn.XLOOKUP(GZI$11,Assumptions!$B$35:$H$35,_xlfn.XLOOKUP($C28,Assumptions!$B$36:$B$41,Assumptions!$B$36:$H$41))</f>
        <v>0</v>
      </c>
      <c r="GZJ28">
        <f t="array" ref="GZJ28">_xlfn.XLOOKUP(GZJ$11,Assumptions!$B$35:$H$35,_xlfn.XLOOKUP($C28,Assumptions!$B$36:$B$41,Assumptions!$B$36:$H$41))</f>
        <v>0</v>
      </c>
      <c r="GZK28">
        <f t="array" ref="GZK28">_xlfn.XLOOKUP(GZK$11,Assumptions!$B$35:$H$35,_xlfn.XLOOKUP($C28,Assumptions!$B$36:$B$41,Assumptions!$B$36:$H$41))</f>
        <v>0</v>
      </c>
      <c r="GZL28">
        <f t="array" ref="GZL28">_xlfn.XLOOKUP(GZL$11,Assumptions!$B$35:$H$35,_xlfn.XLOOKUP($C28,Assumptions!$B$36:$B$41,Assumptions!$B$36:$H$41))</f>
        <v>0</v>
      </c>
      <c r="GZM28">
        <f t="array" ref="GZM28">_xlfn.XLOOKUP(GZM$11,Assumptions!$B$35:$H$35,_xlfn.XLOOKUP($C28,Assumptions!$B$36:$B$41,Assumptions!$B$36:$H$41))</f>
        <v>0</v>
      </c>
      <c r="GZN28">
        <f t="array" ref="GZN28">_xlfn.XLOOKUP(GZN$11,Assumptions!$B$35:$H$35,_xlfn.XLOOKUP($C28,Assumptions!$B$36:$B$41,Assumptions!$B$36:$H$41))</f>
        <v>0</v>
      </c>
      <c r="GZO28">
        <f t="array" ref="GZO28">_xlfn.XLOOKUP(GZO$11,Assumptions!$B$35:$H$35,_xlfn.XLOOKUP($C28,Assumptions!$B$36:$B$41,Assumptions!$B$36:$H$41))</f>
        <v>0</v>
      </c>
      <c r="GZP28">
        <f t="array" ref="GZP28">_xlfn.XLOOKUP(GZP$11,Assumptions!$B$35:$H$35,_xlfn.XLOOKUP($C28,Assumptions!$B$36:$B$41,Assumptions!$B$36:$H$41))</f>
        <v>0</v>
      </c>
      <c r="GZQ28">
        <f t="array" ref="GZQ28">_xlfn.XLOOKUP(GZQ$11,Assumptions!$B$35:$H$35,_xlfn.XLOOKUP($C28,Assumptions!$B$36:$B$41,Assumptions!$B$36:$H$41))</f>
        <v>0</v>
      </c>
      <c r="GZR28">
        <f t="array" ref="GZR28">_xlfn.XLOOKUP(GZR$11,Assumptions!$B$35:$H$35,_xlfn.XLOOKUP($C28,Assumptions!$B$36:$B$41,Assumptions!$B$36:$H$41))</f>
        <v>0</v>
      </c>
      <c r="GZS28">
        <f t="array" ref="GZS28">_xlfn.XLOOKUP(GZS$11,Assumptions!$B$35:$H$35,_xlfn.XLOOKUP($C28,Assumptions!$B$36:$B$41,Assumptions!$B$36:$H$41))</f>
        <v>0</v>
      </c>
      <c r="GZT28">
        <f t="array" ref="GZT28">_xlfn.XLOOKUP(GZT$11,Assumptions!$B$35:$H$35,_xlfn.XLOOKUP($C28,Assumptions!$B$36:$B$41,Assumptions!$B$36:$H$41))</f>
        <v>0</v>
      </c>
      <c r="GZU28">
        <f t="array" ref="GZU28">_xlfn.XLOOKUP(GZU$11,Assumptions!$B$35:$H$35,_xlfn.XLOOKUP($C28,Assumptions!$B$36:$B$41,Assumptions!$B$36:$H$41))</f>
        <v>0</v>
      </c>
      <c r="GZV28">
        <f t="array" ref="GZV28">_xlfn.XLOOKUP(GZV$11,Assumptions!$B$35:$H$35,_xlfn.XLOOKUP($C28,Assumptions!$B$36:$B$41,Assumptions!$B$36:$H$41))</f>
        <v>0</v>
      </c>
      <c r="GZW28">
        <f t="array" ref="GZW28">_xlfn.XLOOKUP(GZW$11,Assumptions!$B$35:$H$35,_xlfn.XLOOKUP($C28,Assumptions!$B$36:$B$41,Assumptions!$B$36:$H$41))</f>
        <v>0</v>
      </c>
      <c r="GZX28">
        <f t="array" ref="GZX28">_xlfn.XLOOKUP(GZX$11,Assumptions!$B$35:$H$35,_xlfn.XLOOKUP($C28,Assumptions!$B$36:$B$41,Assumptions!$B$36:$H$41))</f>
        <v>0</v>
      </c>
      <c r="GZY28">
        <f t="array" ref="GZY28">_xlfn.XLOOKUP(GZY$11,Assumptions!$B$35:$H$35,_xlfn.XLOOKUP($C28,Assumptions!$B$36:$B$41,Assumptions!$B$36:$H$41))</f>
        <v>0</v>
      </c>
      <c r="GZZ28">
        <f t="array" ref="GZZ28">_xlfn.XLOOKUP(GZZ$11,Assumptions!$B$35:$H$35,_xlfn.XLOOKUP($C28,Assumptions!$B$36:$B$41,Assumptions!$B$36:$H$41))</f>
        <v>0</v>
      </c>
      <c r="HAA28">
        <f t="array" ref="HAA28">_xlfn.XLOOKUP(HAA$11,Assumptions!$B$35:$H$35,_xlfn.XLOOKUP($C28,Assumptions!$B$36:$B$41,Assumptions!$B$36:$H$41))</f>
        <v>0</v>
      </c>
      <c r="HAB28">
        <f t="array" ref="HAB28">_xlfn.XLOOKUP(HAB$11,Assumptions!$B$35:$H$35,_xlfn.XLOOKUP($C28,Assumptions!$B$36:$B$41,Assumptions!$B$36:$H$41))</f>
        <v>0</v>
      </c>
      <c r="HAC28">
        <f t="array" ref="HAC28">_xlfn.XLOOKUP(HAC$11,Assumptions!$B$35:$H$35,_xlfn.XLOOKUP($C28,Assumptions!$B$36:$B$41,Assumptions!$B$36:$H$41))</f>
        <v>0</v>
      </c>
      <c r="HAD28">
        <f t="array" ref="HAD28">_xlfn.XLOOKUP(HAD$11,Assumptions!$B$35:$H$35,_xlfn.XLOOKUP($C28,Assumptions!$B$36:$B$41,Assumptions!$B$36:$H$41))</f>
        <v>0</v>
      </c>
      <c r="HAE28">
        <f t="array" ref="HAE28">_xlfn.XLOOKUP(HAE$11,Assumptions!$B$35:$H$35,_xlfn.XLOOKUP($C28,Assumptions!$B$36:$B$41,Assumptions!$B$36:$H$41))</f>
        <v>0</v>
      </c>
      <c r="HAF28">
        <f t="array" ref="HAF28">_xlfn.XLOOKUP(HAF$11,Assumptions!$B$35:$H$35,_xlfn.XLOOKUP($C28,Assumptions!$B$36:$B$41,Assumptions!$B$36:$H$41))</f>
        <v>0</v>
      </c>
      <c r="HAG28">
        <f t="array" ref="HAG28">_xlfn.XLOOKUP(HAG$11,Assumptions!$B$35:$H$35,_xlfn.XLOOKUP($C28,Assumptions!$B$36:$B$41,Assumptions!$B$36:$H$41))</f>
        <v>0</v>
      </c>
      <c r="HAH28">
        <f t="array" ref="HAH28">_xlfn.XLOOKUP(HAH$11,Assumptions!$B$35:$H$35,_xlfn.XLOOKUP($C28,Assumptions!$B$36:$B$41,Assumptions!$B$36:$H$41))</f>
        <v>0</v>
      </c>
      <c r="HAI28">
        <f t="array" ref="HAI28">_xlfn.XLOOKUP(HAI$11,Assumptions!$B$35:$H$35,_xlfn.XLOOKUP($C28,Assumptions!$B$36:$B$41,Assumptions!$B$36:$H$41))</f>
        <v>0</v>
      </c>
      <c r="HAJ28">
        <f t="array" ref="HAJ28">_xlfn.XLOOKUP(HAJ$11,Assumptions!$B$35:$H$35,_xlfn.XLOOKUP($C28,Assumptions!$B$36:$B$41,Assumptions!$B$36:$H$41))</f>
        <v>0</v>
      </c>
      <c r="HAK28">
        <f t="array" ref="HAK28">_xlfn.XLOOKUP(HAK$11,Assumptions!$B$35:$H$35,_xlfn.XLOOKUP($C28,Assumptions!$B$36:$B$41,Assumptions!$B$36:$H$41))</f>
        <v>0</v>
      </c>
      <c r="HAL28">
        <f t="array" ref="HAL28">_xlfn.XLOOKUP(HAL$11,Assumptions!$B$35:$H$35,_xlfn.XLOOKUP($C28,Assumptions!$B$36:$B$41,Assumptions!$B$36:$H$41))</f>
        <v>0</v>
      </c>
      <c r="HAM28">
        <f t="array" ref="HAM28">_xlfn.XLOOKUP(HAM$11,Assumptions!$B$35:$H$35,_xlfn.XLOOKUP($C28,Assumptions!$B$36:$B$41,Assumptions!$B$36:$H$41))</f>
        <v>0</v>
      </c>
      <c r="HAN28">
        <f t="array" ref="HAN28">_xlfn.XLOOKUP(HAN$11,Assumptions!$B$35:$H$35,_xlfn.XLOOKUP($C28,Assumptions!$B$36:$B$41,Assumptions!$B$36:$H$41))</f>
        <v>0</v>
      </c>
      <c r="HAO28">
        <f t="array" ref="HAO28">_xlfn.XLOOKUP(HAO$11,Assumptions!$B$35:$H$35,_xlfn.XLOOKUP($C28,Assumptions!$B$36:$B$41,Assumptions!$B$36:$H$41))</f>
        <v>0</v>
      </c>
      <c r="HAP28">
        <f t="array" ref="HAP28">_xlfn.XLOOKUP(HAP$11,Assumptions!$B$35:$H$35,_xlfn.XLOOKUP($C28,Assumptions!$B$36:$B$41,Assumptions!$B$36:$H$41))</f>
        <v>0</v>
      </c>
      <c r="HAQ28">
        <f t="array" ref="HAQ28">_xlfn.XLOOKUP(HAQ$11,Assumptions!$B$35:$H$35,_xlfn.XLOOKUP($C28,Assumptions!$B$36:$B$41,Assumptions!$B$36:$H$41))</f>
        <v>0</v>
      </c>
      <c r="HAR28">
        <f t="array" ref="HAR28">_xlfn.XLOOKUP(HAR$11,Assumptions!$B$35:$H$35,_xlfn.XLOOKUP($C28,Assumptions!$B$36:$B$41,Assumptions!$B$36:$H$41))</f>
        <v>0</v>
      </c>
      <c r="HAS28">
        <f t="array" ref="HAS28">_xlfn.XLOOKUP(HAS$11,Assumptions!$B$35:$H$35,_xlfn.XLOOKUP($C28,Assumptions!$B$36:$B$41,Assumptions!$B$36:$H$41))</f>
        <v>0</v>
      </c>
      <c r="HAT28">
        <f t="array" ref="HAT28">_xlfn.XLOOKUP(HAT$11,Assumptions!$B$35:$H$35,_xlfn.XLOOKUP($C28,Assumptions!$B$36:$B$41,Assumptions!$B$36:$H$41))</f>
        <v>0</v>
      </c>
      <c r="HAU28">
        <f t="array" ref="HAU28">_xlfn.XLOOKUP(HAU$11,Assumptions!$B$35:$H$35,_xlfn.XLOOKUP($C28,Assumptions!$B$36:$B$41,Assumptions!$B$36:$H$41))</f>
        <v>0</v>
      </c>
      <c r="HAV28">
        <f t="array" ref="HAV28">_xlfn.XLOOKUP(HAV$11,Assumptions!$B$35:$H$35,_xlfn.XLOOKUP($C28,Assumptions!$B$36:$B$41,Assumptions!$B$36:$H$41))</f>
        <v>0</v>
      </c>
      <c r="HAW28">
        <f t="array" ref="HAW28">_xlfn.XLOOKUP(HAW$11,Assumptions!$B$35:$H$35,_xlfn.XLOOKUP($C28,Assumptions!$B$36:$B$41,Assumptions!$B$36:$H$41))</f>
        <v>0</v>
      </c>
      <c r="HAX28">
        <f t="array" ref="HAX28">_xlfn.XLOOKUP(HAX$11,Assumptions!$B$35:$H$35,_xlfn.XLOOKUP($C28,Assumptions!$B$36:$B$41,Assumptions!$B$36:$H$41))</f>
        <v>0</v>
      </c>
      <c r="HAY28">
        <f t="array" ref="HAY28">_xlfn.XLOOKUP(HAY$11,Assumptions!$B$35:$H$35,_xlfn.XLOOKUP($C28,Assumptions!$B$36:$B$41,Assumptions!$B$36:$H$41))</f>
        <v>0</v>
      </c>
      <c r="HAZ28">
        <f t="array" ref="HAZ28">_xlfn.XLOOKUP(HAZ$11,Assumptions!$B$35:$H$35,_xlfn.XLOOKUP($C28,Assumptions!$B$36:$B$41,Assumptions!$B$36:$H$41))</f>
        <v>0</v>
      </c>
      <c r="HBA28">
        <f t="array" ref="HBA28">_xlfn.XLOOKUP(HBA$11,Assumptions!$B$35:$H$35,_xlfn.XLOOKUP($C28,Assumptions!$B$36:$B$41,Assumptions!$B$36:$H$41))</f>
        <v>0</v>
      </c>
      <c r="HBB28">
        <f t="array" ref="HBB28">_xlfn.XLOOKUP(HBB$11,Assumptions!$B$35:$H$35,_xlfn.XLOOKUP($C28,Assumptions!$B$36:$B$41,Assumptions!$B$36:$H$41))</f>
        <v>0</v>
      </c>
      <c r="HBC28">
        <f t="array" ref="HBC28">_xlfn.XLOOKUP(HBC$11,Assumptions!$B$35:$H$35,_xlfn.XLOOKUP($C28,Assumptions!$B$36:$B$41,Assumptions!$B$36:$H$41))</f>
        <v>0</v>
      </c>
      <c r="HBD28">
        <f t="array" ref="HBD28">_xlfn.XLOOKUP(HBD$11,Assumptions!$B$35:$H$35,_xlfn.XLOOKUP($C28,Assumptions!$B$36:$B$41,Assumptions!$B$36:$H$41))</f>
        <v>0</v>
      </c>
      <c r="HBE28">
        <f t="array" ref="HBE28">_xlfn.XLOOKUP(HBE$11,Assumptions!$B$35:$H$35,_xlfn.XLOOKUP($C28,Assumptions!$B$36:$B$41,Assumptions!$B$36:$H$41))</f>
        <v>0</v>
      </c>
      <c r="HBF28">
        <f t="array" ref="HBF28">_xlfn.XLOOKUP(HBF$11,Assumptions!$B$35:$H$35,_xlfn.XLOOKUP($C28,Assumptions!$B$36:$B$41,Assumptions!$B$36:$H$41))</f>
        <v>0</v>
      </c>
      <c r="HBG28">
        <f t="array" ref="HBG28">_xlfn.XLOOKUP(HBG$11,Assumptions!$B$35:$H$35,_xlfn.XLOOKUP($C28,Assumptions!$B$36:$B$41,Assumptions!$B$36:$H$41))</f>
        <v>0</v>
      </c>
      <c r="HBH28">
        <f t="array" ref="HBH28">_xlfn.XLOOKUP(HBH$11,Assumptions!$B$35:$H$35,_xlfn.XLOOKUP($C28,Assumptions!$B$36:$B$41,Assumptions!$B$36:$H$41))</f>
        <v>0</v>
      </c>
      <c r="HBI28">
        <f t="array" ref="HBI28">_xlfn.XLOOKUP(HBI$11,Assumptions!$B$35:$H$35,_xlfn.XLOOKUP($C28,Assumptions!$B$36:$B$41,Assumptions!$B$36:$H$41))</f>
        <v>0</v>
      </c>
      <c r="HBJ28">
        <f t="array" ref="HBJ28">_xlfn.XLOOKUP(HBJ$11,Assumptions!$B$35:$H$35,_xlfn.XLOOKUP($C28,Assumptions!$B$36:$B$41,Assumptions!$B$36:$H$41))</f>
        <v>0</v>
      </c>
      <c r="HBK28">
        <f t="array" ref="HBK28">_xlfn.XLOOKUP(HBK$11,Assumptions!$B$35:$H$35,_xlfn.XLOOKUP($C28,Assumptions!$B$36:$B$41,Assumptions!$B$36:$H$41))</f>
        <v>0</v>
      </c>
      <c r="HBL28">
        <f t="array" ref="HBL28">_xlfn.XLOOKUP(HBL$11,Assumptions!$B$35:$H$35,_xlfn.XLOOKUP($C28,Assumptions!$B$36:$B$41,Assumptions!$B$36:$H$41))</f>
        <v>0</v>
      </c>
      <c r="HBM28">
        <f t="array" ref="HBM28">_xlfn.XLOOKUP(HBM$11,Assumptions!$B$35:$H$35,_xlfn.XLOOKUP($C28,Assumptions!$B$36:$B$41,Assumptions!$B$36:$H$41))</f>
        <v>0</v>
      </c>
      <c r="HBN28">
        <f t="array" ref="HBN28">_xlfn.XLOOKUP(HBN$11,Assumptions!$B$35:$H$35,_xlfn.XLOOKUP($C28,Assumptions!$B$36:$B$41,Assumptions!$B$36:$H$41))</f>
        <v>0</v>
      </c>
      <c r="HBO28">
        <f t="array" ref="HBO28">_xlfn.XLOOKUP(HBO$11,Assumptions!$B$35:$H$35,_xlfn.XLOOKUP($C28,Assumptions!$B$36:$B$41,Assumptions!$B$36:$H$41))</f>
        <v>0</v>
      </c>
      <c r="HBP28">
        <f t="array" ref="HBP28">_xlfn.XLOOKUP(HBP$11,Assumptions!$B$35:$H$35,_xlfn.XLOOKUP($C28,Assumptions!$B$36:$B$41,Assumptions!$B$36:$H$41))</f>
        <v>0</v>
      </c>
      <c r="HBQ28">
        <f t="array" ref="HBQ28">_xlfn.XLOOKUP(HBQ$11,Assumptions!$B$35:$H$35,_xlfn.XLOOKUP($C28,Assumptions!$B$36:$B$41,Assumptions!$B$36:$H$41))</f>
        <v>0</v>
      </c>
      <c r="HBR28">
        <f t="array" ref="HBR28">_xlfn.XLOOKUP(HBR$11,Assumptions!$B$35:$H$35,_xlfn.XLOOKUP($C28,Assumptions!$B$36:$B$41,Assumptions!$B$36:$H$41))</f>
        <v>0</v>
      </c>
      <c r="HBS28">
        <f t="array" ref="HBS28">_xlfn.XLOOKUP(HBS$11,Assumptions!$B$35:$H$35,_xlfn.XLOOKUP($C28,Assumptions!$B$36:$B$41,Assumptions!$B$36:$H$41))</f>
        <v>0</v>
      </c>
      <c r="HBT28">
        <f t="array" ref="HBT28">_xlfn.XLOOKUP(HBT$11,Assumptions!$B$35:$H$35,_xlfn.XLOOKUP($C28,Assumptions!$B$36:$B$41,Assumptions!$B$36:$H$41))</f>
        <v>0</v>
      </c>
      <c r="HBU28">
        <f t="array" ref="HBU28">_xlfn.XLOOKUP(HBU$11,Assumptions!$B$35:$H$35,_xlfn.XLOOKUP($C28,Assumptions!$B$36:$B$41,Assumptions!$B$36:$H$41))</f>
        <v>0</v>
      </c>
      <c r="HBV28">
        <f t="array" ref="HBV28">_xlfn.XLOOKUP(HBV$11,Assumptions!$B$35:$H$35,_xlfn.XLOOKUP($C28,Assumptions!$B$36:$B$41,Assumptions!$B$36:$H$41))</f>
        <v>0</v>
      </c>
      <c r="HBW28">
        <f t="array" ref="HBW28">_xlfn.XLOOKUP(HBW$11,Assumptions!$B$35:$H$35,_xlfn.XLOOKUP($C28,Assumptions!$B$36:$B$41,Assumptions!$B$36:$H$41))</f>
        <v>0</v>
      </c>
      <c r="HBX28">
        <f t="array" ref="HBX28">_xlfn.XLOOKUP(HBX$11,Assumptions!$B$35:$H$35,_xlfn.XLOOKUP($C28,Assumptions!$B$36:$B$41,Assumptions!$B$36:$H$41))</f>
        <v>0</v>
      </c>
      <c r="HBY28">
        <f t="array" ref="HBY28">_xlfn.XLOOKUP(HBY$11,Assumptions!$B$35:$H$35,_xlfn.XLOOKUP($C28,Assumptions!$B$36:$B$41,Assumptions!$B$36:$H$41))</f>
        <v>0</v>
      </c>
      <c r="HBZ28">
        <f t="array" ref="HBZ28">_xlfn.XLOOKUP(HBZ$11,Assumptions!$B$35:$H$35,_xlfn.XLOOKUP($C28,Assumptions!$B$36:$B$41,Assumptions!$B$36:$H$41))</f>
        <v>0</v>
      </c>
      <c r="HCA28">
        <f t="array" ref="HCA28">_xlfn.XLOOKUP(HCA$11,Assumptions!$B$35:$H$35,_xlfn.XLOOKUP($C28,Assumptions!$B$36:$B$41,Assumptions!$B$36:$H$41))</f>
        <v>0</v>
      </c>
      <c r="HCB28">
        <f t="array" ref="HCB28">_xlfn.XLOOKUP(HCB$11,Assumptions!$B$35:$H$35,_xlfn.XLOOKUP($C28,Assumptions!$B$36:$B$41,Assumptions!$B$36:$H$41))</f>
        <v>0</v>
      </c>
      <c r="HCC28">
        <f t="array" ref="HCC28">_xlfn.XLOOKUP(HCC$11,Assumptions!$B$35:$H$35,_xlfn.XLOOKUP($C28,Assumptions!$B$36:$B$41,Assumptions!$B$36:$H$41))</f>
        <v>0</v>
      </c>
      <c r="HCD28">
        <f t="array" ref="HCD28">_xlfn.XLOOKUP(HCD$11,Assumptions!$B$35:$H$35,_xlfn.XLOOKUP($C28,Assumptions!$B$36:$B$41,Assumptions!$B$36:$H$41))</f>
        <v>0</v>
      </c>
      <c r="HCE28">
        <f t="array" ref="HCE28">_xlfn.XLOOKUP(HCE$11,Assumptions!$B$35:$H$35,_xlfn.XLOOKUP($C28,Assumptions!$B$36:$B$41,Assumptions!$B$36:$H$41))</f>
        <v>0</v>
      </c>
      <c r="HCF28">
        <f t="array" ref="HCF28">_xlfn.XLOOKUP(HCF$11,Assumptions!$B$35:$H$35,_xlfn.XLOOKUP($C28,Assumptions!$B$36:$B$41,Assumptions!$B$36:$H$41))</f>
        <v>0</v>
      </c>
      <c r="HCG28">
        <f t="array" ref="HCG28">_xlfn.XLOOKUP(HCG$11,Assumptions!$B$35:$H$35,_xlfn.XLOOKUP($C28,Assumptions!$B$36:$B$41,Assumptions!$B$36:$H$41))</f>
        <v>0</v>
      </c>
      <c r="HCH28">
        <f t="array" ref="HCH28">_xlfn.XLOOKUP(HCH$11,Assumptions!$B$35:$H$35,_xlfn.XLOOKUP($C28,Assumptions!$B$36:$B$41,Assumptions!$B$36:$H$41))</f>
        <v>0</v>
      </c>
      <c r="HCI28">
        <f t="array" ref="HCI28">_xlfn.XLOOKUP(HCI$11,Assumptions!$B$35:$H$35,_xlfn.XLOOKUP($C28,Assumptions!$B$36:$B$41,Assumptions!$B$36:$H$41))</f>
        <v>0</v>
      </c>
      <c r="HCJ28">
        <f t="array" ref="HCJ28">_xlfn.XLOOKUP(HCJ$11,Assumptions!$B$35:$H$35,_xlfn.XLOOKUP($C28,Assumptions!$B$36:$B$41,Assumptions!$B$36:$H$41))</f>
        <v>0</v>
      </c>
      <c r="HCK28">
        <f t="array" ref="HCK28">_xlfn.XLOOKUP(HCK$11,Assumptions!$B$35:$H$35,_xlfn.XLOOKUP($C28,Assumptions!$B$36:$B$41,Assumptions!$B$36:$H$41))</f>
        <v>0</v>
      </c>
      <c r="HCL28">
        <f t="array" ref="HCL28">_xlfn.XLOOKUP(HCL$11,Assumptions!$B$35:$H$35,_xlfn.XLOOKUP($C28,Assumptions!$B$36:$B$41,Assumptions!$B$36:$H$41))</f>
        <v>0</v>
      </c>
      <c r="HCM28">
        <f t="array" ref="HCM28">_xlfn.XLOOKUP(HCM$11,Assumptions!$B$35:$H$35,_xlfn.XLOOKUP($C28,Assumptions!$B$36:$B$41,Assumptions!$B$36:$H$41))</f>
        <v>0</v>
      </c>
      <c r="HCN28">
        <f t="array" ref="HCN28">_xlfn.XLOOKUP(HCN$11,Assumptions!$B$35:$H$35,_xlfn.XLOOKUP($C28,Assumptions!$B$36:$B$41,Assumptions!$B$36:$H$41))</f>
        <v>0</v>
      </c>
      <c r="HCO28">
        <f t="array" ref="HCO28">_xlfn.XLOOKUP(HCO$11,Assumptions!$B$35:$H$35,_xlfn.XLOOKUP($C28,Assumptions!$B$36:$B$41,Assumptions!$B$36:$H$41))</f>
        <v>0</v>
      </c>
      <c r="HCP28">
        <f t="array" ref="HCP28">_xlfn.XLOOKUP(HCP$11,Assumptions!$B$35:$H$35,_xlfn.XLOOKUP($C28,Assumptions!$B$36:$B$41,Assumptions!$B$36:$H$41))</f>
        <v>0</v>
      </c>
      <c r="HCQ28">
        <f t="array" ref="HCQ28">_xlfn.XLOOKUP(HCQ$11,Assumptions!$B$35:$H$35,_xlfn.XLOOKUP($C28,Assumptions!$B$36:$B$41,Assumptions!$B$36:$H$41))</f>
        <v>0</v>
      </c>
      <c r="HCR28">
        <f t="array" ref="HCR28">_xlfn.XLOOKUP(HCR$11,Assumptions!$B$35:$H$35,_xlfn.XLOOKUP($C28,Assumptions!$B$36:$B$41,Assumptions!$B$36:$H$41))</f>
        <v>0</v>
      </c>
      <c r="HCS28">
        <f t="array" ref="HCS28">_xlfn.XLOOKUP(HCS$11,Assumptions!$B$35:$H$35,_xlfn.XLOOKUP($C28,Assumptions!$B$36:$B$41,Assumptions!$B$36:$H$41))</f>
        <v>0</v>
      </c>
      <c r="HCT28">
        <f t="array" ref="HCT28">_xlfn.XLOOKUP(HCT$11,Assumptions!$B$35:$H$35,_xlfn.XLOOKUP($C28,Assumptions!$B$36:$B$41,Assumptions!$B$36:$H$41))</f>
        <v>0</v>
      </c>
      <c r="HCU28">
        <f t="array" ref="HCU28">_xlfn.XLOOKUP(HCU$11,Assumptions!$B$35:$H$35,_xlfn.XLOOKUP($C28,Assumptions!$B$36:$B$41,Assumptions!$B$36:$H$41))</f>
        <v>0</v>
      </c>
      <c r="HCV28">
        <f t="array" ref="HCV28">_xlfn.XLOOKUP(HCV$11,Assumptions!$B$35:$H$35,_xlfn.XLOOKUP($C28,Assumptions!$B$36:$B$41,Assumptions!$B$36:$H$41))</f>
        <v>0</v>
      </c>
      <c r="HCW28">
        <f t="array" ref="HCW28">_xlfn.XLOOKUP(HCW$11,Assumptions!$B$35:$H$35,_xlfn.XLOOKUP($C28,Assumptions!$B$36:$B$41,Assumptions!$B$36:$H$41))</f>
        <v>0</v>
      </c>
      <c r="HCX28">
        <f t="array" ref="HCX28">_xlfn.XLOOKUP(HCX$11,Assumptions!$B$35:$H$35,_xlfn.XLOOKUP($C28,Assumptions!$B$36:$B$41,Assumptions!$B$36:$H$41))</f>
        <v>0</v>
      </c>
      <c r="HCY28">
        <f t="array" ref="HCY28">_xlfn.XLOOKUP(HCY$11,Assumptions!$B$35:$H$35,_xlfn.XLOOKUP($C28,Assumptions!$B$36:$B$41,Assumptions!$B$36:$H$41))</f>
        <v>0</v>
      </c>
      <c r="HCZ28">
        <f t="array" ref="HCZ28">_xlfn.XLOOKUP(HCZ$11,Assumptions!$B$35:$H$35,_xlfn.XLOOKUP($C28,Assumptions!$B$36:$B$41,Assumptions!$B$36:$H$41))</f>
        <v>0</v>
      </c>
      <c r="HDA28">
        <f t="array" ref="HDA28">_xlfn.XLOOKUP(HDA$11,Assumptions!$B$35:$H$35,_xlfn.XLOOKUP($C28,Assumptions!$B$36:$B$41,Assumptions!$B$36:$H$41))</f>
        <v>0</v>
      </c>
      <c r="HDB28">
        <f t="array" ref="HDB28">_xlfn.XLOOKUP(HDB$11,Assumptions!$B$35:$H$35,_xlfn.XLOOKUP($C28,Assumptions!$B$36:$B$41,Assumptions!$B$36:$H$41))</f>
        <v>0</v>
      </c>
      <c r="HDC28">
        <f t="array" ref="HDC28">_xlfn.XLOOKUP(HDC$11,Assumptions!$B$35:$H$35,_xlfn.XLOOKUP($C28,Assumptions!$B$36:$B$41,Assumptions!$B$36:$H$41))</f>
        <v>0</v>
      </c>
      <c r="HDD28">
        <f t="array" ref="HDD28">_xlfn.XLOOKUP(HDD$11,Assumptions!$B$35:$H$35,_xlfn.XLOOKUP($C28,Assumptions!$B$36:$B$41,Assumptions!$B$36:$H$41))</f>
        <v>0</v>
      </c>
      <c r="HDE28">
        <f t="array" ref="HDE28">_xlfn.XLOOKUP(HDE$11,Assumptions!$B$35:$H$35,_xlfn.XLOOKUP($C28,Assumptions!$B$36:$B$41,Assumptions!$B$36:$H$41))</f>
        <v>0</v>
      </c>
      <c r="HDF28">
        <f t="array" ref="HDF28">_xlfn.XLOOKUP(HDF$11,Assumptions!$B$35:$H$35,_xlfn.XLOOKUP($C28,Assumptions!$B$36:$B$41,Assumptions!$B$36:$H$41))</f>
        <v>0</v>
      </c>
      <c r="HDG28">
        <f t="array" ref="HDG28">_xlfn.XLOOKUP(HDG$11,Assumptions!$B$35:$H$35,_xlfn.XLOOKUP($C28,Assumptions!$B$36:$B$41,Assumptions!$B$36:$H$41))</f>
        <v>0</v>
      </c>
      <c r="HDH28">
        <f t="array" ref="HDH28">_xlfn.XLOOKUP(HDH$11,Assumptions!$B$35:$H$35,_xlfn.XLOOKUP($C28,Assumptions!$B$36:$B$41,Assumptions!$B$36:$H$41))</f>
        <v>0</v>
      </c>
      <c r="HDI28">
        <f t="array" ref="HDI28">_xlfn.XLOOKUP(HDI$11,Assumptions!$B$35:$H$35,_xlfn.XLOOKUP($C28,Assumptions!$B$36:$B$41,Assumptions!$B$36:$H$41))</f>
        <v>0</v>
      </c>
      <c r="HDJ28">
        <f t="array" ref="HDJ28">_xlfn.XLOOKUP(HDJ$11,Assumptions!$B$35:$H$35,_xlfn.XLOOKUP($C28,Assumptions!$B$36:$B$41,Assumptions!$B$36:$H$41))</f>
        <v>0</v>
      </c>
      <c r="HDK28">
        <f t="array" ref="HDK28">_xlfn.XLOOKUP(HDK$11,Assumptions!$B$35:$H$35,_xlfn.XLOOKUP($C28,Assumptions!$B$36:$B$41,Assumptions!$B$36:$H$41))</f>
        <v>0</v>
      </c>
      <c r="HDL28">
        <f t="array" ref="HDL28">_xlfn.XLOOKUP(HDL$11,Assumptions!$B$35:$H$35,_xlfn.XLOOKUP($C28,Assumptions!$B$36:$B$41,Assumptions!$B$36:$H$41))</f>
        <v>0</v>
      </c>
      <c r="HDM28">
        <f t="array" ref="HDM28">_xlfn.XLOOKUP(HDM$11,Assumptions!$B$35:$H$35,_xlfn.XLOOKUP($C28,Assumptions!$B$36:$B$41,Assumptions!$B$36:$H$41))</f>
        <v>0</v>
      </c>
      <c r="HDN28">
        <f t="array" ref="HDN28">_xlfn.XLOOKUP(HDN$11,Assumptions!$B$35:$H$35,_xlfn.XLOOKUP($C28,Assumptions!$B$36:$B$41,Assumptions!$B$36:$H$41))</f>
        <v>0</v>
      </c>
      <c r="HDO28">
        <f t="array" ref="HDO28">_xlfn.XLOOKUP(HDO$11,Assumptions!$B$35:$H$35,_xlfn.XLOOKUP($C28,Assumptions!$B$36:$B$41,Assumptions!$B$36:$H$41))</f>
        <v>0</v>
      </c>
      <c r="HDP28">
        <f t="array" ref="HDP28">_xlfn.XLOOKUP(HDP$11,Assumptions!$B$35:$H$35,_xlfn.XLOOKUP($C28,Assumptions!$B$36:$B$41,Assumptions!$B$36:$H$41))</f>
        <v>0</v>
      </c>
      <c r="HDQ28">
        <f t="array" ref="HDQ28">_xlfn.XLOOKUP(HDQ$11,Assumptions!$B$35:$H$35,_xlfn.XLOOKUP($C28,Assumptions!$B$36:$B$41,Assumptions!$B$36:$H$41))</f>
        <v>0</v>
      </c>
      <c r="HDR28">
        <f t="array" ref="HDR28">_xlfn.XLOOKUP(HDR$11,Assumptions!$B$35:$H$35,_xlfn.XLOOKUP($C28,Assumptions!$B$36:$B$41,Assumptions!$B$36:$H$41))</f>
        <v>0</v>
      </c>
      <c r="HDS28">
        <f t="array" ref="HDS28">_xlfn.XLOOKUP(HDS$11,Assumptions!$B$35:$H$35,_xlfn.XLOOKUP($C28,Assumptions!$B$36:$B$41,Assumptions!$B$36:$H$41))</f>
        <v>0</v>
      </c>
      <c r="HDT28">
        <f t="array" ref="HDT28">_xlfn.XLOOKUP(HDT$11,Assumptions!$B$35:$H$35,_xlfn.XLOOKUP($C28,Assumptions!$B$36:$B$41,Assumptions!$B$36:$H$41))</f>
        <v>0</v>
      </c>
      <c r="HDU28">
        <f t="array" ref="HDU28">_xlfn.XLOOKUP(HDU$11,Assumptions!$B$35:$H$35,_xlfn.XLOOKUP($C28,Assumptions!$B$36:$B$41,Assumptions!$B$36:$H$41))</f>
        <v>0</v>
      </c>
      <c r="HDV28">
        <f t="array" ref="HDV28">_xlfn.XLOOKUP(HDV$11,Assumptions!$B$35:$H$35,_xlfn.XLOOKUP($C28,Assumptions!$B$36:$B$41,Assumptions!$B$36:$H$41))</f>
        <v>0</v>
      </c>
      <c r="HDW28">
        <f t="array" ref="HDW28">_xlfn.XLOOKUP(HDW$11,Assumptions!$B$35:$H$35,_xlfn.XLOOKUP($C28,Assumptions!$B$36:$B$41,Assumptions!$B$36:$H$41))</f>
        <v>0</v>
      </c>
      <c r="HDX28">
        <f t="array" ref="HDX28">_xlfn.XLOOKUP(HDX$11,Assumptions!$B$35:$H$35,_xlfn.XLOOKUP($C28,Assumptions!$B$36:$B$41,Assumptions!$B$36:$H$41))</f>
        <v>0</v>
      </c>
      <c r="HDY28">
        <f t="array" ref="HDY28">_xlfn.XLOOKUP(HDY$11,Assumptions!$B$35:$H$35,_xlfn.XLOOKUP($C28,Assumptions!$B$36:$B$41,Assumptions!$B$36:$H$41))</f>
        <v>0</v>
      </c>
      <c r="HDZ28">
        <f t="array" ref="HDZ28">_xlfn.XLOOKUP(HDZ$11,Assumptions!$B$35:$H$35,_xlfn.XLOOKUP($C28,Assumptions!$B$36:$B$41,Assumptions!$B$36:$H$41))</f>
        <v>0</v>
      </c>
      <c r="HEA28">
        <f t="array" ref="HEA28">_xlfn.XLOOKUP(HEA$11,Assumptions!$B$35:$H$35,_xlfn.XLOOKUP($C28,Assumptions!$B$36:$B$41,Assumptions!$B$36:$H$41))</f>
        <v>0</v>
      </c>
      <c r="HEB28">
        <f t="array" ref="HEB28">_xlfn.XLOOKUP(HEB$11,Assumptions!$B$35:$H$35,_xlfn.XLOOKUP($C28,Assumptions!$B$36:$B$41,Assumptions!$B$36:$H$41))</f>
        <v>0</v>
      </c>
      <c r="HEC28">
        <f t="array" ref="HEC28">_xlfn.XLOOKUP(HEC$11,Assumptions!$B$35:$H$35,_xlfn.XLOOKUP($C28,Assumptions!$B$36:$B$41,Assumptions!$B$36:$H$41))</f>
        <v>0</v>
      </c>
      <c r="HED28">
        <f t="array" ref="HED28">_xlfn.XLOOKUP(HED$11,Assumptions!$B$35:$H$35,_xlfn.XLOOKUP($C28,Assumptions!$B$36:$B$41,Assumptions!$B$36:$H$41))</f>
        <v>0</v>
      </c>
      <c r="HEE28">
        <f t="array" ref="HEE28">_xlfn.XLOOKUP(HEE$11,Assumptions!$B$35:$H$35,_xlfn.XLOOKUP($C28,Assumptions!$B$36:$B$41,Assumptions!$B$36:$H$41))</f>
        <v>0</v>
      </c>
      <c r="HEF28">
        <f t="array" ref="HEF28">_xlfn.XLOOKUP(HEF$11,Assumptions!$B$35:$H$35,_xlfn.XLOOKUP($C28,Assumptions!$B$36:$B$41,Assumptions!$B$36:$H$41))</f>
        <v>0</v>
      </c>
      <c r="HEG28">
        <f t="array" ref="HEG28">_xlfn.XLOOKUP(HEG$11,Assumptions!$B$35:$H$35,_xlfn.XLOOKUP($C28,Assumptions!$B$36:$B$41,Assumptions!$B$36:$H$41))</f>
        <v>0</v>
      </c>
      <c r="HEH28">
        <f t="array" ref="HEH28">_xlfn.XLOOKUP(HEH$11,Assumptions!$B$35:$H$35,_xlfn.XLOOKUP($C28,Assumptions!$B$36:$B$41,Assumptions!$B$36:$H$41))</f>
        <v>0</v>
      </c>
      <c r="HEI28">
        <f t="array" ref="HEI28">_xlfn.XLOOKUP(HEI$11,Assumptions!$B$35:$H$35,_xlfn.XLOOKUP($C28,Assumptions!$B$36:$B$41,Assumptions!$B$36:$H$41))</f>
        <v>0</v>
      </c>
      <c r="HEJ28">
        <f t="array" ref="HEJ28">_xlfn.XLOOKUP(HEJ$11,Assumptions!$B$35:$H$35,_xlfn.XLOOKUP($C28,Assumptions!$B$36:$B$41,Assumptions!$B$36:$H$41))</f>
        <v>0</v>
      </c>
      <c r="HEK28">
        <f t="array" ref="HEK28">_xlfn.XLOOKUP(HEK$11,Assumptions!$B$35:$H$35,_xlfn.XLOOKUP($C28,Assumptions!$B$36:$B$41,Assumptions!$B$36:$H$41))</f>
        <v>0</v>
      </c>
      <c r="HEL28">
        <f t="array" ref="HEL28">_xlfn.XLOOKUP(HEL$11,Assumptions!$B$35:$H$35,_xlfn.XLOOKUP($C28,Assumptions!$B$36:$B$41,Assumptions!$B$36:$H$41))</f>
        <v>0</v>
      </c>
      <c r="HEM28">
        <f t="array" ref="HEM28">_xlfn.XLOOKUP(HEM$11,Assumptions!$B$35:$H$35,_xlfn.XLOOKUP($C28,Assumptions!$B$36:$B$41,Assumptions!$B$36:$H$41))</f>
        <v>0</v>
      </c>
      <c r="HEN28">
        <f t="array" ref="HEN28">_xlfn.XLOOKUP(HEN$11,Assumptions!$B$35:$H$35,_xlfn.XLOOKUP($C28,Assumptions!$B$36:$B$41,Assumptions!$B$36:$H$41))</f>
        <v>0</v>
      </c>
      <c r="HEO28">
        <f t="array" ref="HEO28">_xlfn.XLOOKUP(HEO$11,Assumptions!$B$35:$H$35,_xlfn.XLOOKUP($C28,Assumptions!$B$36:$B$41,Assumptions!$B$36:$H$41))</f>
        <v>0</v>
      </c>
      <c r="HEP28">
        <f t="array" ref="HEP28">_xlfn.XLOOKUP(HEP$11,Assumptions!$B$35:$H$35,_xlfn.XLOOKUP($C28,Assumptions!$B$36:$B$41,Assumptions!$B$36:$H$41))</f>
        <v>0</v>
      </c>
      <c r="HEQ28">
        <f t="array" ref="HEQ28">_xlfn.XLOOKUP(HEQ$11,Assumptions!$B$35:$H$35,_xlfn.XLOOKUP($C28,Assumptions!$B$36:$B$41,Assumptions!$B$36:$H$41))</f>
        <v>0</v>
      </c>
      <c r="HER28">
        <f t="array" ref="HER28">_xlfn.XLOOKUP(HER$11,Assumptions!$B$35:$H$35,_xlfn.XLOOKUP($C28,Assumptions!$B$36:$B$41,Assumptions!$B$36:$H$41))</f>
        <v>0</v>
      </c>
      <c r="HES28">
        <f t="array" ref="HES28">_xlfn.XLOOKUP(HES$11,Assumptions!$B$35:$H$35,_xlfn.XLOOKUP($C28,Assumptions!$B$36:$B$41,Assumptions!$B$36:$H$41))</f>
        <v>0</v>
      </c>
      <c r="HET28">
        <f t="array" ref="HET28">_xlfn.XLOOKUP(HET$11,Assumptions!$B$35:$H$35,_xlfn.XLOOKUP($C28,Assumptions!$B$36:$B$41,Assumptions!$B$36:$H$41))</f>
        <v>0</v>
      </c>
      <c r="HEU28">
        <f t="array" ref="HEU28">_xlfn.XLOOKUP(HEU$11,Assumptions!$B$35:$H$35,_xlfn.XLOOKUP($C28,Assumptions!$B$36:$B$41,Assumptions!$B$36:$H$41))</f>
        <v>0</v>
      </c>
      <c r="HEV28">
        <f t="array" ref="HEV28">_xlfn.XLOOKUP(HEV$11,Assumptions!$B$35:$H$35,_xlfn.XLOOKUP($C28,Assumptions!$B$36:$B$41,Assumptions!$B$36:$H$41))</f>
        <v>0</v>
      </c>
      <c r="HEW28">
        <f t="array" ref="HEW28">_xlfn.XLOOKUP(HEW$11,Assumptions!$B$35:$H$35,_xlfn.XLOOKUP($C28,Assumptions!$B$36:$B$41,Assumptions!$B$36:$H$41))</f>
        <v>0</v>
      </c>
      <c r="HEX28">
        <f t="array" ref="HEX28">_xlfn.XLOOKUP(HEX$11,Assumptions!$B$35:$H$35,_xlfn.XLOOKUP($C28,Assumptions!$B$36:$B$41,Assumptions!$B$36:$H$41))</f>
        <v>0</v>
      </c>
      <c r="HEY28">
        <f t="array" ref="HEY28">_xlfn.XLOOKUP(HEY$11,Assumptions!$B$35:$H$35,_xlfn.XLOOKUP($C28,Assumptions!$B$36:$B$41,Assumptions!$B$36:$H$41))</f>
        <v>0</v>
      </c>
      <c r="HEZ28">
        <f t="array" ref="HEZ28">_xlfn.XLOOKUP(HEZ$11,Assumptions!$B$35:$H$35,_xlfn.XLOOKUP($C28,Assumptions!$B$36:$B$41,Assumptions!$B$36:$H$41))</f>
        <v>0</v>
      </c>
      <c r="HFA28">
        <f t="array" ref="HFA28">_xlfn.XLOOKUP(HFA$11,Assumptions!$B$35:$H$35,_xlfn.XLOOKUP($C28,Assumptions!$B$36:$B$41,Assumptions!$B$36:$H$41))</f>
        <v>0</v>
      </c>
      <c r="HFB28">
        <f t="array" ref="HFB28">_xlfn.XLOOKUP(HFB$11,Assumptions!$B$35:$H$35,_xlfn.XLOOKUP($C28,Assumptions!$B$36:$B$41,Assumptions!$B$36:$H$41))</f>
        <v>0</v>
      </c>
      <c r="HFC28">
        <f t="array" ref="HFC28">_xlfn.XLOOKUP(HFC$11,Assumptions!$B$35:$H$35,_xlfn.XLOOKUP($C28,Assumptions!$B$36:$B$41,Assumptions!$B$36:$H$41))</f>
        <v>0</v>
      </c>
      <c r="HFD28">
        <f t="array" ref="HFD28">_xlfn.XLOOKUP(HFD$11,Assumptions!$B$35:$H$35,_xlfn.XLOOKUP($C28,Assumptions!$B$36:$B$41,Assumptions!$B$36:$H$41))</f>
        <v>0</v>
      </c>
      <c r="HFE28">
        <f t="array" ref="HFE28">_xlfn.XLOOKUP(HFE$11,Assumptions!$B$35:$H$35,_xlfn.XLOOKUP($C28,Assumptions!$B$36:$B$41,Assumptions!$B$36:$H$41))</f>
        <v>0</v>
      </c>
      <c r="HFF28">
        <f t="array" ref="HFF28">_xlfn.XLOOKUP(HFF$11,Assumptions!$B$35:$H$35,_xlfn.XLOOKUP($C28,Assumptions!$B$36:$B$41,Assumptions!$B$36:$H$41))</f>
        <v>0</v>
      </c>
      <c r="HFG28">
        <f t="array" ref="HFG28">_xlfn.XLOOKUP(HFG$11,Assumptions!$B$35:$H$35,_xlfn.XLOOKUP($C28,Assumptions!$B$36:$B$41,Assumptions!$B$36:$H$41))</f>
        <v>0</v>
      </c>
      <c r="HFH28">
        <f t="array" ref="HFH28">_xlfn.XLOOKUP(HFH$11,Assumptions!$B$35:$H$35,_xlfn.XLOOKUP($C28,Assumptions!$B$36:$B$41,Assumptions!$B$36:$H$41))</f>
        <v>0</v>
      </c>
      <c r="HFI28">
        <f t="array" ref="HFI28">_xlfn.XLOOKUP(HFI$11,Assumptions!$B$35:$H$35,_xlfn.XLOOKUP($C28,Assumptions!$B$36:$B$41,Assumptions!$B$36:$H$41))</f>
        <v>0</v>
      </c>
      <c r="HFJ28">
        <f t="array" ref="HFJ28">_xlfn.XLOOKUP(HFJ$11,Assumptions!$B$35:$H$35,_xlfn.XLOOKUP($C28,Assumptions!$B$36:$B$41,Assumptions!$B$36:$H$41))</f>
        <v>0</v>
      </c>
      <c r="HFK28">
        <f t="array" ref="HFK28">_xlfn.XLOOKUP(HFK$11,Assumptions!$B$35:$H$35,_xlfn.XLOOKUP($C28,Assumptions!$B$36:$B$41,Assumptions!$B$36:$H$41))</f>
        <v>0</v>
      </c>
      <c r="HFL28">
        <f t="array" ref="HFL28">_xlfn.XLOOKUP(HFL$11,Assumptions!$B$35:$H$35,_xlfn.XLOOKUP($C28,Assumptions!$B$36:$B$41,Assumptions!$B$36:$H$41))</f>
        <v>0</v>
      </c>
      <c r="HFM28">
        <f t="array" ref="HFM28">_xlfn.XLOOKUP(HFM$11,Assumptions!$B$35:$H$35,_xlfn.XLOOKUP($C28,Assumptions!$B$36:$B$41,Assumptions!$B$36:$H$41))</f>
        <v>0</v>
      </c>
      <c r="HFN28">
        <f t="array" ref="HFN28">_xlfn.XLOOKUP(HFN$11,Assumptions!$B$35:$H$35,_xlfn.XLOOKUP($C28,Assumptions!$B$36:$B$41,Assumptions!$B$36:$H$41))</f>
        <v>0</v>
      </c>
      <c r="HFO28">
        <f t="array" ref="HFO28">_xlfn.XLOOKUP(HFO$11,Assumptions!$B$35:$H$35,_xlfn.XLOOKUP($C28,Assumptions!$B$36:$B$41,Assumptions!$B$36:$H$41))</f>
        <v>0</v>
      </c>
      <c r="HFP28">
        <f t="array" ref="HFP28">_xlfn.XLOOKUP(HFP$11,Assumptions!$B$35:$H$35,_xlfn.XLOOKUP($C28,Assumptions!$B$36:$B$41,Assumptions!$B$36:$H$41))</f>
        <v>0</v>
      </c>
      <c r="HFQ28">
        <f t="array" ref="HFQ28">_xlfn.XLOOKUP(HFQ$11,Assumptions!$B$35:$H$35,_xlfn.XLOOKUP($C28,Assumptions!$B$36:$B$41,Assumptions!$B$36:$H$41))</f>
        <v>0</v>
      </c>
      <c r="HFR28">
        <f t="array" ref="HFR28">_xlfn.XLOOKUP(HFR$11,Assumptions!$B$35:$H$35,_xlfn.XLOOKUP($C28,Assumptions!$B$36:$B$41,Assumptions!$B$36:$H$41))</f>
        <v>0</v>
      </c>
      <c r="HFS28">
        <f t="array" ref="HFS28">_xlfn.XLOOKUP(HFS$11,Assumptions!$B$35:$H$35,_xlfn.XLOOKUP($C28,Assumptions!$B$36:$B$41,Assumptions!$B$36:$H$41))</f>
        <v>0</v>
      </c>
      <c r="HFT28">
        <f t="array" ref="HFT28">_xlfn.XLOOKUP(HFT$11,Assumptions!$B$35:$H$35,_xlfn.XLOOKUP($C28,Assumptions!$B$36:$B$41,Assumptions!$B$36:$H$41))</f>
        <v>0</v>
      </c>
      <c r="HFU28">
        <f t="array" ref="HFU28">_xlfn.XLOOKUP(HFU$11,Assumptions!$B$35:$H$35,_xlfn.XLOOKUP($C28,Assumptions!$B$36:$B$41,Assumptions!$B$36:$H$41))</f>
        <v>0</v>
      </c>
      <c r="HFV28">
        <f t="array" ref="HFV28">_xlfn.XLOOKUP(HFV$11,Assumptions!$B$35:$H$35,_xlfn.XLOOKUP($C28,Assumptions!$B$36:$B$41,Assumptions!$B$36:$H$41))</f>
        <v>0</v>
      </c>
      <c r="HFW28">
        <f t="array" ref="HFW28">_xlfn.XLOOKUP(HFW$11,Assumptions!$B$35:$H$35,_xlfn.XLOOKUP($C28,Assumptions!$B$36:$B$41,Assumptions!$B$36:$H$41))</f>
        <v>0</v>
      </c>
      <c r="HFX28">
        <f t="array" ref="HFX28">_xlfn.XLOOKUP(HFX$11,Assumptions!$B$35:$H$35,_xlfn.XLOOKUP($C28,Assumptions!$B$36:$B$41,Assumptions!$B$36:$H$41))</f>
        <v>0</v>
      </c>
      <c r="HFY28">
        <f t="array" ref="HFY28">_xlfn.XLOOKUP(HFY$11,Assumptions!$B$35:$H$35,_xlfn.XLOOKUP($C28,Assumptions!$B$36:$B$41,Assumptions!$B$36:$H$41))</f>
        <v>0</v>
      </c>
      <c r="HFZ28">
        <f t="array" ref="HFZ28">_xlfn.XLOOKUP(HFZ$11,Assumptions!$B$35:$H$35,_xlfn.XLOOKUP($C28,Assumptions!$B$36:$B$41,Assumptions!$B$36:$H$41))</f>
        <v>0</v>
      </c>
      <c r="HGA28">
        <f t="array" ref="HGA28">_xlfn.XLOOKUP(HGA$11,Assumptions!$B$35:$H$35,_xlfn.XLOOKUP($C28,Assumptions!$B$36:$B$41,Assumptions!$B$36:$H$41))</f>
        <v>0</v>
      </c>
      <c r="HGB28">
        <f t="array" ref="HGB28">_xlfn.XLOOKUP(HGB$11,Assumptions!$B$35:$H$35,_xlfn.XLOOKUP($C28,Assumptions!$B$36:$B$41,Assumptions!$B$36:$H$41))</f>
        <v>0</v>
      </c>
      <c r="HGC28">
        <f t="array" ref="HGC28">_xlfn.XLOOKUP(HGC$11,Assumptions!$B$35:$H$35,_xlfn.XLOOKUP($C28,Assumptions!$B$36:$B$41,Assumptions!$B$36:$H$41))</f>
        <v>0</v>
      </c>
      <c r="HGD28">
        <f t="array" ref="HGD28">_xlfn.XLOOKUP(HGD$11,Assumptions!$B$35:$H$35,_xlfn.XLOOKUP($C28,Assumptions!$B$36:$B$41,Assumptions!$B$36:$H$41))</f>
        <v>0</v>
      </c>
      <c r="HGE28">
        <f t="array" ref="HGE28">_xlfn.XLOOKUP(HGE$11,Assumptions!$B$35:$H$35,_xlfn.XLOOKUP($C28,Assumptions!$B$36:$B$41,Assumptions!$B$36:$H$41))</f>
        <v>0</v>
      </c>
      <c r="HGF28">
        <f t="array" ref="HGF28">_xlfn.XLOOKUP(HGF$11,Assumptions!$B$35:$H$35,_xlfn.XLOOKUP($C28,Assumptions!$B$36:$B$41,Assumptions!$B$36:$H$41))</f>
        <v>0</v>
      </c>
      <c r="HGG28">
        <f t="array" ref="HGG28">_xlfn.XLOOKUP(HGG$11,Assumptions!$B$35:$H$35,_xlfn.XLOOKUP($C28,Assumptions!$B$36:$B$41,Assumptions!$B$36:$H$41))</f>
        <v>0</v>
      </c>
      <c r="HGH28">
        <f t="array" ref="HGH28">_xlfn.XLOOKUP(HGH$11,Assumptions!$B$35:$H$35,_xlfn.XLOOKUP($C28,Assumptions!$B$36:$B$41,Assumptions!$B$36:$H$41))</f>
        <v>0</v>
      </c>
      <c r="HGI28">
        <f t="array" ref="HGI28">_xlfn.XLOOKUP(HGI$11,Assumptions!$B$35:$H$35,_xlfn.XLOOKUP($C28,Assumptions!$B$36:$B$41,Assumptions!$B$36:$H$41))</f>
        <v>0</v>
      </c>
      <c r="HGJ28">
        <f t="array" ref="HGJ28">_xlfn.XLOOKUP(HGJ$11,Assumptions!$B$35:$H$35,_xlfn.XLOOKUP($C28,Assumptions!$B$36:$B$41,Assumptions!$B$36:$H$41))</f>
        <v>0</v>
      </c>
      <c r="HGK28">
        <f t="array" ref="HGK28">_xlfn.XLOOKUP(HGK$11,Assumptions!$B$35:$H$35,_xlfn.XLOOKUP($C28,Assumptions!$B$36:$B$41,Assumptions!$B$36:$H$41))</f>
        <v>0</v>
      </c>
      <c r="HGL28">
        <f t="array" ref="HGL28">_xlfn.XLOOKUP(HGL$11,Assumptions!$B$35:$H$35,_xlfn.XLOOKUP($C28,Assumptions!$B$36:$B$41,Assumptions!$B$36:$H$41))</f>
        <v>0</v>
      </c>
      <c r="HGM28">
        <f t="array" ref="HGM28">_xlfn.XLOOKUP(HGM$11,Assumptions!$B$35:$H$35,_xlfn.XLOOKUP($C28,Assumptions!$B$36:$B$41,Assumptions!$B$36:$H$41))</f>
        <v>0</v>
      </c>
      <c r="HGN28">
        <f t="array" ref="HGN28">_xlfn.XLOOKUP(HGN$11,Assumptions!$B$35:$H$35,_xlfn.XLOOKUP($C28,Assumptions!$B$36:$B$41,Assumptions!$B$36:$H$41))</f>
        <v>0</v>
      </c>
      <c r="HGO28">
        <f t="array" ref="HGO28">_xlfn.XLOOKUP(HGO$11,Assumptions!$B$35:$H$35,_xlfn.XLOOKUP($C28,Assumptions!$B$36:$B$41,Assumptions!$B$36:$H$41))</f>
        <v>0</v>
      </c>
      <c r="HGP28">
        <f t="array" ref="HGP28">_xlfn.XLOOKUP(HGP$11,Assumptions!$B$35:$H$35,_xlfn.XLOOKUP($C28,Assumptions!$B$36:$B$41,Assumptions!$B$36:$H$41))</f>
        <v>0</v>
      </c>
      <c r="HGQ28">
        <f t="array" ref="HGQ28">_xlfn.XLOOKUP(HGQ$11,Assumptions!$B$35:$H$35,_xlfn.XLOOKUP($C28,Assumptions!$B$36:$B$41,Assumptions!$B$36:$H$41))</f>
        <v>0</v>
      </c>
      <c r="HGR28">
        <f t="array" ref="HGR28">_xlfn.XLOOKUP(HGR$11,Assumptions!$B$35:$H$35,_xlfn.XLOOKUP($C28,Assumptions!$B$36:$B$41,Assumptions!$B$36:$H$41))</f>
        <v>0</v>
      </c>
      <c r="HGS28">
        <f t="array" ref="HGS28">_xlfn.XLOOKUP(HGS$11,Assumptions!$B$35:$H$35,_xlfn.XLOOKUP($C28,Assumptions!$B$36:$B$41,Assumptions!$B$36:$H$41))</f>
        <v>0</v>
      </c>
      <c r="HGT28">
        <f t="array" ref="HGT28">_xlfn.XLOOKUP(HGT$11,Assumptions!$B$35:$H$35,_xlfn.XLOOKUP($C28,Assumptions!$B$36:$B$41,Assumptions!$B$36:$H$41))</f>
        <v>0</v>
      </c>
      <c r="HGU28">
        <f t="array" ref="HGU28">_xlfn.XLOOKUP(HGU$11,Assumptions!$B$35:$H$35,_xlfn.XLOOKUP($C28,Assumptions!$B$36:$B$41,Assumptions!$B$36:$H$41))</f>
        <v>0</v>
      </c>
      <c r="HGV28">
        <f t="array" ref="HGV28">_xlfn.XLOOKUP(HGV$11,Assumptions!$B$35:$H$35,_xlfn.XLOOKUP($C28,Assumptions!$B$36:$B$41,Assumptions!$B$36:$H$41))</f>
        <v>0</v>
      </c>
      <c r="HGW28">
        <f t="array" ref="HGW28">_xlfn.XLOOKUP(HGW$11,Assumptions!$B$35:$H$35,_xlfn.XLOOKUP($C28,Assumptions!$B$36:$B$41,Assumptions!$B$36:$H$41))</f>
        <v>0</v>
      </c>
      <c r="HGX28">
        <f t="array" ref="HGX28">_xlfn.XLOOKUP(HGX$11,Assumptions!$B$35:$H$35,_xlfn.XLOOKUP($C28,Assumptions!$B$36:$B$41,Assumptions!$B$36:$H$41))</f>
        <v>0</v>
      </c>
      <c r="HGY28">
        <f t="array" ref="HGY28">_xlfn.XLOOKUP(HGY$11,Assumptions!$B$35:$H$35,_xlfn.XLOOKUP($C28,Assumptions!$B$36:$B$41,Assumptions!$B$36:$H$41))</f>
        <v>0</v>
      </c>
      <c r="HGZ28">
        <f t="array" ref="HGZ28">_xlfn.XLOOKUP(HGZ$11,Assumptions!$B$35:$H$35,_xlfn.XLOOKUP($C28,Assumptions!$B$36:$B$41,Assumptions!$B$36:$H$41))</f>
        <v>0</v>
      </c>
      <c r="HHA28">
        <f t="array" ref="HHA28">_xlfn.XLOOKUP(HHA$11,Assumptions!$B$35:$H$35,_xlfn.XLOOKUP($C28,Assumptions!$B$36:$B$41,Assumptions!$B$36:$H$41))</f>
        <v>0</v>
      </c>
      <c r="HHB28">
        <f t="array" ref="HHB28">_xlfn.XLOOKUP(HHB$11,Assumptions!$B$35:$H$35,_xlfn.XLOOKUP($C28,Assumptions!$B$36:$B$41,Assumptions!$B$36:$H$41))</f>
        <v>0</v>
      </c>
      <c r="HHC28">
        <f t="array" ref="HHC28">_xlfn.XLOOKUP(HHC$11,Assumptions!$B$35:$H$35,_xlfn.XLOOKUP($C28,Assumptions!$B$36:$B$41,Assumptions!$B$36:$H$41))</f>
        <v>0</v>
      </c>
      <c r="HHD28">
        <f t="array" ref="HHD28">_xlfn.XLOOKUP(HHD$11,Assumptions!$B$35:$H$35,_xlfn.XLOOKUP($C28,Assumptions!$B$36:$B$41,Assumptions!$B$36:$H$41))</f>
        <v>0</v>
      </c>
      <c r="HHE28">
        <f t="array" ref="HHE28">_xlfn.XLOOKUP(HHE$11,Assumptions!$B$35:$H$35,_xlfn.XLOOKUP($C28,Assumptions!$B$36:$B$41,Assumptions!$B$36:$H$41))</f>
        <v>0</v>
      </c>
      <c r="HHF28">
        <f t="array" ref="HHF28">_xlfn.XLOOKUP(HHF$11,Assumptions!$B$35:$H$35,_xlfn.XLOOKUP($C28,Assumptions!$B$36:$B$41,Assumptions!$B$36:$H$41))</f>
        <v>0</v>
      </c>
      <c r="HHG28">
        <f t="array" ref="HHG28">_xlfn.XLOOKUP(HHG$11,Assumptions!$B$35:$H$35,_xlfn.XLOOKUP($C28,Assumptions!$B$36:$B$41,Assumptions!$B$36:$H$41))</f>
        <v>0</v>
      </c>
      <c r="HHH28">
        <f t="array" ref="HHH28">_xlfn.XLOOKUP(HHH$11,Assumptions!$B$35:$H$35,_xlfn.XLOOKUP($C28,Assumptions!$B$36:$B$41,Assumptions!$B$36:$H$41))</f>
        <v>0</v>
      </c>
      <c r="HHI28">
        <f t="array" ref="HHI28">_xlfn.XLOOKUP(HHI$11,Assumptions!$B$35:$H$35,_xlfn.XLOOKUP($C28,Assumptions!$B$36:$B$41,Assumptions!$B$36:$H$41))</f>
        <v>0</v>
      </c>
      <c r="HHJ28">
        <f t="array" ref="HHJ28">_xlfn.XLOOKUP(HHJ$11,Assumptions!$B$35:$H$35,_xlfn.XLOOKUP($C28,Assumptions!$B$36:$B$41,Assumptions!$B$36:$H$41))</f>
        <v>0</v>
      </c>
      <c r="HHK28">
        <f t="array" ref="HHK28">_xlfn.XLOOKUP(HHK$11,Assumptions!$B$35:$H$35,_xlfn.XLOOKUP($C28,Assumptions!$B$36:$B$41,Assumptions!$B$36:$H$41))</f>
        <v>0</v>
      </c>
      <c r="HHL28">
        <f t="array" ref="HHL28">_xlfn.XLOOKUP(HHL$11,Assumptions!$B$35:$H$35,_xlfn.XLOOKUP($C28,Assumptions!$B$36:$B$41,Assumptions!$B$36:$H$41))</f>
        <v>0</v>
      </c>
      <c r="HHM28">
        <f t="array" ref="HHM28">_xlfn.XLOOKUP(HHM$11,Assumptions!$B$35:$H$35,_xlfn.XLOOKUP($C28,Assumptions!$B$36:$B$41,Assumptions!$B$36:$H$41))</f>
        <v>0</v>
      </c>
      <c r="HHN28">
        <f t="array" ref="HHN28">_xlfn.XLOOKUP(HHN$11,Assumptions!$B$35:$H$35,_xlfn.XLOOKUP($C28,Assumptions!$B$36:$B$41,Assumptions!$B$36:$H$41))</f>
        <v>0</v>
      </c>
      <c r="HHO28">
        <f t="array" ref="HHO28">_xlfn.XLOOKUP(HHO$11,Assumptions!$B$35:$H$35,_xlfn.XLOOKUP($C28,Assumptions!$B$36:$B$41,Assumptions!$B$36:$H$41))</f>
        <v>0</v>
      </c>
      <c r="HHP28">
        <f t="array" ref="HHP28">_xlfn.XLOOKUP(HHP$11,Assumptions!$B$35:$H$35,_xlfn.XLOOKUP($C28,Assumptions!$B$36:$B$41,Assumptions!$B$36:$H$41))</f>
        <v>0</v>
      </c>
      <c r="HHQ28">
        <f t="array" ref="HHQ28">_xlfn.XLOOKUP(HHQ$11,Assumptions!$B$35:$H$35,_xlfn.XLOOKUP($C28,Assumptions!$B$36:$B$41,Assumptions!$B$36:$H$41))</f>
        <v>0</v>
      </c>
      <c r="HHR28">
        <f t="array" ref="HHR28">_xlfn.XLOOKUP(HHR$11,Assumptions!$B$35:$H$35,_xlfn.XLOOKUP($C28,Assumptions!$B$36:$B$41,Assumptions!$B$36:$H$41))</f>
        <v>0</v>
      </c>
      <c r="HHS28">
        <f t="array" ref="HHS28">_xlfn.XLOOKUP(HHS$11,Assumptions!$B$35:$H$35,_xlfn.XLOOKUP($C28,Assumptions!$B$36:$B$41,Assumptions!$B$36:$H$41))</f>
        <v>0</v>
      </c>
      <c r="HHT28">
        <f t="array" ref="HHT28">_xlfn.XLOOKUP(HHT$11,Assumptions!$B$35:$H$35,_xlfn.XLOOKUP($C28,Assumptions!$B$36:$B$41,Assumptions!$B$36:$H$41))</f>
        <v>0</v>
      </c>
      <c r="HHU28">
        <f t="array" ref="HHU28">_xlfn.XLOOKUP(HHU$11,Assumptions!$B$35:$H$35,_xlfn.XLOOKUP($C28,Assumptions!$B$36:$B$41,Assumptions!$B$36:$H$41))</f>
        <v>0</v>
      </c>
      <c r="HHV28">
        <f t="array" ref="HHV28">_xlfn.XLOOKUP(HHV$11,Assumptions!$B$35:$H$35,_xlfn.XLOOKUP($C28,Assumptions!$B$36:$B$41,Assumptions!$B$36:$H$41))</f>
        <v>0</v>
      </c>
      <c r="HHW28">
        <f t="array" ref="HHW28">_xlfn.XLOOKUP(HHW$11,Assumptions!$B$35:$H$35,_xlfn.XLOOKUP($C28,Assumptions!$B$36:$B$41,Assumptions!$B$36:$H$41))</f>
        <v>0</v>
      </c>
      <c r="HHX28">
        <f t="array" ref="HHX28">_xlfn.XLOOKUP(HHX$11,Assumptions!$B$35:$H$35,_xlfn.XLOOKUP($C28,Assumptions!$B$36:$B$41,Assumptions!$B$36:$H$41))</f>
        <v>0</v>
      </c>
      <c r="HHY28">
        <f t="array" ref="HHY28">_xlfn.XLOOKUP(HHY$11,Assumptions!$B$35:$H$35,_xlfn.XLOOKUP($C28,Assumptions!$B$36:$B$41,Assumptions!$B$36:$H$41))</f>
        <v>0</v>
      </c>
      <c r="HHZ28">
        <f t="array" ref="HHZ28">_xlfn.XLOOKUP(HHZ$11,Assumptions!$B$35:$H$35,_xlfn.XLOOKUP($C28,Assumptions!$B$36:$B$41,Assumptions!$B$36:$H$41))</f>
        <v>0</v>
      </c>
      <c r="HIA28">
        <f t="array" ref="HIA28">_xlfn.XLOOKUP(HIA$11,Assumptions!$B$35:$H$35,_xlfn.XLOOKUP($C28,Assumptions!$B$36:$B$41,Assumptions!$B$36:$H$41))</f>
        <v>0</v>
      </c>
      <c r="HIB28">
        <f t="array" ref="HIB28">_xlfn.XLOOKUP(HIB$11,Assumptions!$B$35:$H$35,_xlfn.XLOOKUP($C28,Assumptions!$B$36:$B$41,Assumptions!$B$36:$H$41))</f>
        <v>0</v>
      </c>
      <c r="HIC28">
        <f t="array" ref="HIC28">_xlfn.XLOOKUP(HIC$11,Assumptions!$B$35:$H$35,_xlfn.XLOOKUP($C28,Assumptions!$B$36:$B$41,Assumptions!$B$36:$H$41))</f>
        <v>0</v>
      </c>
      <c r="HID28">
        <f t="array" ref="HID28">_xlfn.XLOOKUP(HID$11,Assumptions!$B$35:$H$35,_xlfn.XLOOKUP($C28,Assumptions!$B$36:$B$41,Assumptions!$B$36:$H$41))</f>
        <v>0</v>
      </c>
      <c r="HIE28">
        <f t="array" ref="HIE28">_xlfn.XLOOKUP(HIE$11,Assumptions!$B$35:$H$35,_xlfn.XLOOKUP($C28,Assumptions!$B$36:$B$41,Assumptions!$B$36:$H$41))</f>
        <v>0</v>
      </c>
      <c r="HIF28">
        <f t="array" ref="HIF28">_xlfn.XLOOKUP(HIF$11,Assumptions!$B$35:$H$35,_xlfn.XLOOKUP($C28,Assumptions!$B$36:$B$41,Assumptions!$B$36:$H$41))</f>
        <v>0</v>
      </c>
      <c r="HIG28">
        <f t="array" ref="HIG28">_xlfn.XLOOKUP(HIG$11,Assumptions!$B$35:$H$35,_xlfn.XLOOKUP($C28,Assumptions!$B$36:$B$41,Assumptions!$B$36:$H$41))</f>
        <v>0</v>
      </c>
      <c r="HIH28">
        <f t="array" ref="HIH28">_xlfn.XLOOKUP(HIH$11,Assumptions!$B$35:$H$35,_xlfn.XLOOKUP($C28,Assumptions!$B$36:$B$41,Assumptions!$B$36:$H$41))</f>
        <v>0</v>
      </c>
      <c r="HII28">
        <f t="array" ref="HII28">_xlfn.XLOOKUP(HII$11,Assumptions!$B$35:$H$35,_xlfn.XLOOKUP($C28,Assumptions!$B$36:$B$41,Assumptions!$B$36:$H$41))</f>
        <v>0</v>
      </c>
      <c r="HIJ28">
        <f t="array" ref="HIJ28">_xlfn.XLOOKUP(HIJ$11,Assumptions!$B$35:$H$35,_xlfn.XLOOKUP($C28,Assumptions!$B$36:$B$41,Assumptions!$B$36:$H$41))</f>
        <v>0</v>
      </c>
      <c r="HIK28">
        <f t="array" ref="HIK28">_xlfn.XLOOKUP(HIK$11,Assumptions!$B$35:$H$35,_xlfn.XLOOKUP($C28,Assumptions!$B$36:$B$41,Assumptions!$B$36:$H$41))</f>
        <v>0</v>
      </c>
      <c r="HIL28">
        <f t="array" ref="HIL28">_xlfn.XLOOKUP(HIL$11,Assumptions!$B$35:$H$35,_xlfn.XLOOKUP($C28,Assumptions!$B$36:$B$41,Assumptions!$B$36:$H$41))</f>
        <v>0</v>
      </c>
      <c r="HIM28">
        <f t="array" ref="HIM28">_xlfn.XLOOKUP(HIM$11,Assumptions!$B$35:$H$35,_xlfn.XLOOKUP($C28,Assumptions!$B$36:$B$41,Assumptions!$B$36:$H$41))</f>
        <v>0</v>
      </c>
      <c r="HIN28">
        <f t="array" ref="HIN28">_xlfn.XLOOKUP(HIN$11,Assumptions!$B$35:$H$35,_xlfn.XLOOKUP($C28,Assumptions!$B$36:$B$41,Assumptions!$B$36:$H$41))</f>
        <v>0</v>
      </c>
      <c r="HIO28">
        <f t="array" ref="HIO28">_xlfn.XLOOKUP(HIO$11,Assumptions!$B$35:$H$35,_xlfn.XLOOKUP($C28,Assumptions!$B$36:$B$41,Assumptions!$B$36:$H$41))</f>
        <v>0</v>
      </c>
      <c r="HIP28">
        <f t="array" ref="HIP28">_xlfn.XLOOKUP(HIP$11,Assumptions!$B$35:$H$35,_xlfn.XLOOKUP($C28,Assumptions!$B$36:$B$41,Assumptions!$B$36:$H$41))</f>
        <v>0</v>
      </c>
      <c r="HIQ28">
        <f t="array" ref="HIQ28">_xlfn.XLOOKUP(HIQ$11,Assumptions!$B$35:$H$35,_xlfn.XLOOKUP($C28,Assumptions!$B$36:$B$41,Assumptions!$B$36:$H$41))</f>
        <v>0</v>
      </c>
      <c r="HIR28">
        <f t="array" ref="HIR28">_xlfn.XLOOKUP(HIR$11,Assumptions!$B$35:$H$35,_xlfn.XLOOKUP($C28,Assumptions!$B$36:$B$41,Assumptions!$B$36:$H$41))</f>
        <v>0</v>
      </c>
      <c r="HIS28">
        <f t="array" ref="HIS28">_xlfn.XLOOKUP(HIS$11,Assumptions!$B$35:$H$35,_xlfn.XLOOKUP($C28,Assumptions!$B$36:$B$41,Assumptions!$B$36:$H$41))</f>
        <v>0</v>
      </c>
      <c r="HIT28">
        <f t="array" ref="HIT28">_xlfn.XLOOKUP(HIT$11,Assumptions!$B$35:$H$35,_xlfn.XLOOKUP($C28,Assumptions!$B$36:$B$41,Assumptions!$B$36:$H$41))</f>
        <v>0</v>
      </c>
      <c r="HIU28">
        <f t="array" ref="HIU28">_xlfn.XLOOKUP(HIU$11,Assumptions!$B$35:$H$35,_xlfn.XLOOKUP($C28,Assumptions!$B$36:$B$41,Assumptions!$B$36:$H$41))</f>
        <v>0</v>
      </c>
      <c r="HIV28">
        <f t="array" ref="HIV28">_xlfn.XLOOKUP(HIV$11,Assumptions!$B$35:$H$35,_xlfn.XLOOKUP($C28,Assumptions!$B$36:$B$41,Assumptions!$B$36:$H$41))</f>
        <v>0</v>
      </c>
      <c r="HIW28">
        <f t="array" ref="HIW28">_xlfn.XLOOKUP(HIW$11,Assumptions!$B$35:$H$35,_xlfn.XLOOKUP($C28,Assumptions!$B$36:$B$41,Assumptions!$B$36:$H$41))</f>
        <v>0</v>
      </c>
      <c r="HIX28">
        <f t="array" ref="HIX28">_xlfn.XLOOKUP(HIX$11,Assumptions!$B$35:$H$35,_xlfn.XLOOKUP($C28,Assumptions!$B$36:$B$41,Assumptions!$B$36:$H$41))</f>
        <v>0</v>
      </c>
      <c r="HIY28">
        <f t="array" ref="HIY28">_xlfn.XLOOKUP(HIY$11,Assumptions!$B$35:$H$35,_xlfn.XLOOKUP($C28,Assumptions!$B$36:$B$41,Assumptions!$B$36:$H$41))</f>
        <v>0</v>
      </c>
      <c r="HIZ28">
        <f t="array" ref="HIZ28">_xlfn.XLOOKUP(HIZ$11,Assumptions!$B$35:$H$35,_xlfn.XLOOKUP($C28,Assumptions!$B$36:$B$41,Assumptions!$B$36:$H$41))</f>
        <v>0</v>
      </c>
      <c r="HJA28">
        <f t="array" ref="HJA28">_xlfn.XLOOKUP(HJA$11,Assumptions!$B$35:$H$35,_xlfn.XLOOKUP($C28,Assumptions!$B$36:$B$41,Assumptions!$B$36:$H$41))</f>
        <v>0</v>
      </c>
      <c r="HJB28">
        <f t="array" ref="HJB28">_xlfn.XLOOKUP(HJB$11,Assumptions!$B$35:$H$35,_xlfn.XLOOKUP($C28,Assumptions!$B$36:$B$41,Assumptions!$B$36:$H$41))</f>
        <v>0</v>
      </c>
      <c r="HJC28">
        <f t="array" ref="HJC28">_xlfn.XLOOKUP(HJC$11,Assumptions!$B$35:$H$35,_xlfn.XLOOKUP($C28,Assumptions!$B$36:$B$41,Assumptions!$B$36:$H$41))</f>
        <v>0</v>
      </c>
      <c r="HJD28">
        <f t="array" ref="HJD28">_xlfn.XLOOKUP(HJD$11,Assumptions!$B$35:$H$35,_xlfn.XLOOKUP($C28,Assumptions!$B$36:$B$41,Assumptions!$B$36:$H$41))</f>
        <v>0</v>
      </c>
      <c r="HJE28">
        <f t="array" ref="HJE28">_xlfn.XLOOKUP(HJE$11,Assumptions!$B$35:$H$35,_xlfn.XLOOKUP($C28,Assumptions!$B$36:$B$41,Assumptions!$B$36:$H$41))</f>
        <v>0</v>
      </c>
      <c r="HJF28">
        <f t="array" ref="HJF28">_xlfn.XLOOKUP(HJF$11,Assumptions!$B$35:$H$35,_xlfn.XLOOKUP($C28,Assumptions!$B$36:$B$41,Assumptions!$B$36:$H$41))</f>
        <v>0</v>
      </c>
      <c r="HJG28">
        <f t="array" ref="HJG28">_xlfn.XLOOKUP(HJG$11,Assumptions!$B$35:$H$35,_xlfn.XLOOKUP($C28,Assumptions!$B$36:$B$41,Assumptions!$B$36:$H$41))</f>
        <v>0</v>
      </c>
      <c r="HJH28">
        <f t="array" ref="HJH28">_xlfn.XLOOKUP(HJH$11,Assumptions!$B$35:$H$35,_xlfn.XLOOKUP($C28,Assumptions!$B$36:$B$41,Assumptions!$B$36:$H$41))</f>
        <v>0</v>
      </c>
      <c r="HJI28">
        <f t="array" ref="HJI28">_xlfn.XLOOKUP(HJI$11,Assumptions!$B$35:$H$35,_xlfn.XLOOKUP($C28,Assumptions!$B$36:$B$41,Assumptions!$B$36:$H$41))</f>
        <v>0</v>
      </c>
      <c r="HJJ28">
        <f t="array" ref="HJJ28">_xlfn.XLOOKUP(HJJ$11,Assumptions!$B$35:$H$35,_xlfn.XLOOKUP($C28,Assumptions!$B$36:$B$41,Assumptions!$B$36:$H$41))</f>
        <v>0</v>
      </c>
      <c r="HJK28">
        <f t="array" ref="HJK28">_xlfn.XLOOKUP(HJK$11,Assumptions!$B$35:$H$35,_xlfn.XLOOKUP($C28,Assumptions!$B$36:$B$41,Assumptions!$B$36:$H$41))</f>
        <v>0</v>
      </c>
      <c r="HJL28">
        <f t="array" ref="HJL28">_xlfn.XLOOKUP(HJL$11,Assumptions!$B$35:$H$35,_xlfn.XLOOKUP($C28,Assumptions!$B$36:$B$41,Assumptions!$B$36:$H$41))</f>
        <v>0</v>
      </c>
      <c r="HJM28">
        <f t="array" ref="HJM28">_xlfn.XLOOKUP(HJM$11,Assumptions!$B$35:$H$35,_xlfn.XLOOKUP($C28,Assumptions!$B$36:$B$41,Assumptions!$B$36:$H$41))</f>
        <v>0</v>
      </c>
      <c r="HJN28">
        <f t="array" ref="HJN28">_xlfn.XLOOKUP(HJN$11,Assumptions!$B$35:$H$35,_xlfn.XLOOKUP($C28,Assumptions!$B$36:$B$41,Assumptions!$B$36:$H$41))</f>
        <v>0</v>
      </c>
      <c r="HJO28">
        <f t="array" ref="HJO28">_xlfn.XLOOKUP(HJO$11,Assumptions!$B$35:$H$35,_xlfn.XLOOKUP($C28,Assumptions!$B$36:$B$41,Assumptions!$B$36:$H$41))</f>
        <v>0</v>
      </c>
      <c r="HJP28">
        <f t="array" ref="HJP28">_xlfn.XLOOKUP(HJP$11,Assumptions!$B$35:$H$35,_xlfn.XLOOKUP($C28,Assumptions!$B$36:$B$41,Assumptions!$B$36:$H$41))</f>
        <v>0</v>
      </c>
      <c r="HJQ28">
        <f t="array" ref="HJQ28">_xlfn.XLOOKUP(HJQ$11,Assumptions!$B$35:$H$35,_xlfn.XLOOKUP($C28,Assumptions!$B$36:$B$41,Assumptions!$B$36:$H$41))</f>
        <v>0</v>
      </c>
      <c r="HJR28">
        <f t="array" ref="HJR28">_xlfn.XLOOKUP(HJR$11,Assumptions!$B$35:$H$35,_xlfn.XLOOKUP($C28,Assumptions!$B$36:$B$41,Assumptions!$B$36:$H$41))</f>
        <v>0</v>
      </c>
      <c r="HJS28">
        <f t="array" ref="HJS28">_xlfn.XLOOKUP(HJS$11,Assumptions!$B$35:$H$35,_xlfn.XLOOKUP($C28,Assumptions!$B$36:$B$41,Assumptions!$B$36:$H$41))</f>
        <v>0</v>
      </c>
      <c r="HJT28">
        <f t="array" ref="HJT28">_xlfn.XLOOKUP(HJT$11,Assumptions!$B$35:$H$35,_xlfn.XLOOKUP($C28,Assumptions!$B$36:$B$41,Assumptions!$B$36:$H$41))</f>
        <v>0</v>
      </c>
      <c r="HJU28">
        <f t="array" ref="HJU28">_xlfn.XLOOKUP(HJU$11,Assumptions!$B$35:$H$35,_xlfn.XLOOKUP($C28,Assumptions!$B$36:$B$41,Assumptions!$B$36:$H$41))</f>
        <v>0</v>
      </c>
      <c r="HJV28">
        <f t="array" ref="HJV28">_xlfn.XLOOKUP(HJV$11,Assumptions!$B$35:$H$35,_xlfn.XLOOKUP($C28,Assumptions!$B$36:$B$41,Assumptions!$B$36:$H$41))</f>
        <v>0</v>
      </c>
      <c r="HJW28">
        <f t="array" ref="HJW28">_xlfn.XLOOKUP(HJW$11,Assumptions!$B$35:$H$35,_xlfn.XLOOKUP($C28,Assumptions!$B$36:$B$41,Assumptions!$B$36:$H$41))</f>
        <v>0</v>
      </c>
      <c r="HJX28">
        <f t="array" ref="HJX28">_xlfn.XLOOKUP(HJX$11,Assumptions!$B$35:$H$35,_xlfn.XLOOKUP($C28,Assumptions!$B$36:$B$41,Assumptions!$B$36:$H$41))</f>
        <v>0</v>
      </c>
      <c r="HJY28">
        <f t="array" ref="HJY28">_xlfn.XLOOKUP(HJY$11,Assumptions!$B$35:$H$35,_xlfn.XLOOKUP($C28,Assumptions!$B$36:$B$41,Assumptions!$B$36:$H$41))</f>
        <v>0</v>
      </c>
      <c r="HJZ28">
        <f t="array" ref="HJZ28">_xlfn.XLOOKUP(HJZ$11,Assumptions!$B$35:$H$35,_xlfn.XLOOKUP($C28,Assumptions!$B$36:$B$41,Assumptions!$B$36:$H$41))</f>
        <v>0</v>
      </c>
      <c r="HKA28">
        <f t="array" ref="HKA28">_xlfn.XLOOKUP(HKA$11,Assumptions!$B$35:$H$35,_xlfn.XLOOKUP($C28,Assumptions!$B$36:$B$41,Assumptions!$B$36:$H$41))</f>
        <v>0</v>
      </c>
      <c r="HKB28">
        <f t="array" ref="HKB28">_xlfn.XLOOKUP(HKB$11,Assumptions!$B$35:$H$35,_xlfn.XLOOKUP($C28,Assumptions!$B$36:$B$41,Assumptions!$B$36:$H$41))</f>
        <v>0</v>
      </c>
      <c r="HKC28">
        <f t="array" ref="HKC28">_xlfn.XLOOKUP(HKC$11,Assumptions!$B$35:$H$35,_xlfn.XLOOKUP($C28,Assumptions!$B$36:$B$41,Assumptions!$B$36:$H$41))</f>
        <v>0</v>
      </c>
      <c r="HKD28">
        <f t="array" ref="HKD28">_xlfn.XLOOKUP(HKD$11,Assumptions!$B$35:$H$35,_xlfn.XLOOKUP($C28,Assumptions!$B$36:$B$41,Assumptions!$B$36:$H$41))</f>
        <v>0</v>
      </c>
      <c r="HKE28">
        <f t="array" ref="HKE28">_xlfn.XLOOKUP(HKE$11,Assumptions!$B$35:$H$35,_xlfn.XLOOKUP($C28,Assumptions!$B$36:$B$41,Assumptions!$B$36:$H$41))</f>
        <v>0</v>
      </c>
      <c r="HKF28">
        <f t="array" ref="HKF28">_xlfn.XLOOKUP(HKF$11,Assumptions!$B$35:$H$35,_xlfn.XLOOKUP($C28,Assumptions!$B$36:$B$41,Assumptions!$B$36:$H$41))</f>
        <v>0</v>
      </c>
      <c r="HKG28">
        <f t="array" ref="HKG28">_xlfn.XLOOKUP(HKG$11,Assumptions!$B$35:$H$35,_xlfn.XLOOKUP($C28,Assumptions!$B$36:$B$41,Assumptions!$B$36:$H$41))</f>
        <v>0</v>
      </c>
      <c r="HKH28">
        <f t="array" ref="HKH28">_xlfn.XLOOKUP(HKH$11,Assumptions!$B$35:$H$35,_xlfn.XLOOKUP($C28,Assumptions!$B$36:$B$41,Assumptions!$B$36:$H$41))</f>
        <v>0</v>
      </c>
      <c r="HKI28">
        <f t="array" ref="HKI28">_xlfn.XLOOKUP(HKI$11,Assumptions!$B$35:$H$35,_xlfn.XLOOKUP($C28,Assumptions!$B$36:$B$41,Assumptions!$B$36:$H$41))</f>
        <v>0</v>
      </c>
      <c r="HKJ28">
        <f t="array" ref="HKJ28">_xlfn.XLOOKUP(HKJ$11,Assumptions!$B$35:$H$35,_xlfn.XLOOKUP($C28,Assumptions!$B$36:$B$41,Assumptions!$B$36:$H$41))</f>
        <v>0</v>
      </c>
      <c r="HKK28">
        <f t="array" ref="HKK28">_xlfn.XLOOKUP(HKK$11,Assumptions!$B$35:$H$35,_xlfn.XLOOKUP($C28,Assumptions!$B$36:$B$41,Assumptions!$B$36:$H$41))</f>
        <v>0</v>
      </c>
      <c r="HKL28">
        <f t="array" ref="HKL28">_xlfn.XLOOKUP(HKL$11,Assumptions!$B$35:$H$35,_xlfn.XLOOKUP($C28,Assumptions!$B$36:$B$41,Assumptions!$B$36:$H$41))</f>
        <v>0</v>
      </c>
      <c r="HKM28">
        <f t="array" ref="HKM28">_xlfn.XLOOKUP(HKM$11,Assumptions!$B$35:$H$35,_xlfn.XLOOKUP($C28,Assumptions!$B$36:$B$41,Assumptions!$B$36:$H$41))</f>
        <v>0</v>
      </c>
      <c r="HKN28">
        <f t="array" ref="HKN28">_xlfn.XLOOKUP(HKN$11,Assumptions!$B$35:$H$35,_xlfn.XLOOKUP($C28,Assumptions!$B$36:$B$41,Assumptions!$B$36:$H$41))</f>
        <v>0</v>
      </c>
      <c r="HKO28">
        <f t="array" ref="HKO28">_xlfn.XLOOKUP(HKO$11,Assumptions!$B$35:$H$35,_xlfn.XLOOKUP($C28,Assumptions!$B$36:$B$41,Assumptions!$B$36:$H$41))</f>
        <v>0</v>
      </c>
      <c r="HKP28">
        <f t="array" ref="HKP28">_xlfn.XLOOKUP(HKP$11,Assumptions!$B$35:$H$35,_xlfn.XLOOKUP($C28,Assumptions!$B$36:$B$41,Assumptions!$B$36:$H$41))</f>
        <v>0</v>
      </c>
      <c r="HKQ28">
        <f t="array" ref="HKQ28">_xlfn.XLOOKUP(HKQ$11,Assumptions!$B$35:$H$35,_xlfn.XLOOKUP($C28,Assumptions!$B$36:$B$41,Assumptions!$B$36:$H$41))</f>
        <v>0</v>
      </c>
      <c r="HKR28">
        <f t="array" ref="HKR28">_xlfn.XLOOKUP(HKR$11,Assumptions!$B$35:$H$35,_xlfn.XLOOKUP($C28,Assumptions!$B$36:$B$41,Assumptions!$B$36:$H$41))</f>
        <v>0</v>
      </c>
      <c r="HKS28">
        <f t="array" ref="HKS28">_xlfn.XLOOKUP(HKS$11,Assumptions!$B$35:$H$35,_xlfn.XLOOKUP($C28,Assumptions!$B$36:$B$41,Assumptions!$B$36:$H$41))</f>
        <v>0</v>
      </c>
      <c r="HKT28">
        <f t="array" ref="HKT28">_xlfn.XLOOKUP(HKT$11,Assumptions!$B$35:$H$35,_xlfn.XLOOKUP($C28,Assumptions!$B$36:$B$41,Assumptions!$B$36:$H$41))</f>
        <v>0</v>
      </c>
      <c r="HKU28">
        <f t="array" ref="HKU28">_xlfn.XLOOKUP(HKU$11,Assumptions!$B$35:$H$35,_xlfn.XLOOKUP($C28,Assumptions!$B$36:$B$41,Assumptions!$B$36:$H$41))</f>
        <v>0</v>
      </c>
      <c r="HKV28">
        <f t="array" ref="HKV28">_xlfn.XLOOKUP(HKV$11,Assumptions!$B$35:$H$35,_xlfn.XLOOKUP($C28,Assumptions!$B$36:$B$41,Assumptions!$B$36:$H$41))</f>
        <v>0</v>
      </c>
      <c r="HKW28">
        <f t="array" ref="HKW28">_xlfn.XLOOKUP(HKW$11,Assumptions!$B$35:$H$35,_xlfn.XLOOKUP($C28,Assumptions!$B$36:$B$41,Assumptions!$B$36:$H$41))</f>
        <v>0</v>
      </c>
      <c r="HKX28">
        <f t="array" ref="HKX28">_xlfn.XLOOKUP(HKX$11,Assumptions!$B$35:$H$35,_xlfn.XLOOKUP($C28,Assumptions!$B$36:$B$41,Assumptions!$B$36:$H$41))</f>
        <v>0</v>
      </c>
      <c r="HKY28">
        <f t="array" ref="HKY28">_xlfn.XLOOKUP(HKY$11,Assumptions!$B$35:$H$35,_xlfn.XLOOKUP($C28,Assumptions!$B$36:$B$41,Assumptions!$B$36:$H$41))</f>
        <v>0</v>
      </c>
      <c r="HKZ28">
        <f t="array" ref="HKZ28">_xlfn.XLOOKUP(HKZ$11,Assumptions!$B$35:$H$35,_xlfn.XLOOKUP($C28,Assumptions!$B$36:$B$41,Assumptions!$B$36:$H$41))</f>
        <v>0</v>
      </c>
      <c r="HLA28">
        <f t="array" ref="HLA28">_xlfn.XLOOKUP(HLA$11,Assumptions!$B$35:$H$35,_xlfn.XLOOKUP($C28,Assumptions!$B$36:$B$41,Assumptions!$B$36:$H$41))</f>
        <v>0</v>
      </c>
      <c r="HLB28">
        <f t="array" ref="HLB28">_xlfn.XLOOKUP(HLB$11,Assumptions!$B$35:$H$35,_xlfn.XLOOKUP($C28,Assumptions!$B$36:$B$41,Assumptions!$B$36:$H$41))</f>
        <v>0</v>
      </c>
      <c r="HLC28">
        <f t="array" ref="HLC28">_xlfn.XLOOKUP(HLC$11,Assumptions!$B$35:$H$35,_xlfn.XLOOKUP($C28,Assumptions!$B$36:$B$41,Assumptions!$B$36:$H$41))</f>
        <v>0</v>
      </c>
      <c r="HLD28">
        <f t="array" ref="HLD28">_xlfn.XLOOKUP(HLD$11,Assumptions!$B$35:$H$35,_xlfn.XLOOKUP($C28,Assumptions!$B$36:$B$41,Assumptions!$B$36:$H$41))</f>
        <v>0</v>
      </c>
      <c r="HLE28">
        <f t="array" ref="HLE28">_xlfn.XLOOKUP(HLE$11,Assumptions!$B$35:$H$35,_xlfn.XLOOKUP($C28,Assumptions!$B$36:$B$41,Assumptions!$B$36:$H$41))</f>
        <v>0</v>
      </c>
      <c r="HLF28">
        <f t="array" ref="HLF28">_xlfn.XLOOKUP(HLF$11,Assumptions!$B$35:$H$35,_xlfn.XLOOKUP($C28,Assumptions!$B$36:$B$41,Assumptions!$B$36:$H$41))</f>
        <v>0</v>
      </c>
      <c r="HLG28">
        <f t="array" ref="HLG28">_xlfn.XLOOKUP(HLG$11,Assumptions!$B$35:$H$35,_xlfn.XLOOKUP($C28,Assumptions!$B$36:$B$41,Assumptions!$B$36:$H$41))</f>
        <v>0</v>
      </c>
      <c r="HLH28">
        <f t="array" ref="HLH28">_xlfn.XLOOKUP(HLH$11,Assumptions!$B$35:$H$35,_xlfn.XLOOKUP($C28,Assumptions!$B$36:$B$41,Assumptions!$B$36:$H$41))</f>
        <v>0</v>
      </c>
      <c r="HLI28">
        <f t="array" ref="HLI28">_xlfn.XLOOKUP(HLI$11,Assumptions!$B$35:$H$35,_xlfn.XLOOKUP($C28,Assumptions!$B$36:$B$41,Assumptions!$B$36:$H$41))</f>
        <v>0</v>
      </c>
      <c r="HLJ28">
        <f t="array" ref="HLJ28">_xlfn.XLOOKUP(HLJ$11,Assumptions!$B$35:$H$35,_xlfn.XLOOKUP($C28,Assumptions!$B$36:$B$41,Assumptions!$B$36:$H$41))</f>
        <v>0</v>
      </c>
      <c r="HLK28">
        <f t="array" ref="HLK28">_xlfn.XLOOKUP(HLK$11,Assumptions!$B$35:$H$35,_xlfn.XLOOKUP($C28,Assumptions!$B$36:$B$41,Assumptions!$B$36:$H$41))</f>
        <v>0</v>
      </c>
      <c r="HLL28">
        <f t="array" ref="HLL28">_xlfn.XLOOKUP(HLL$11,Assumptions!$B$35:$H$35,_xlfn.XLOOKUP($C28,Assumptions!$B$36:$B$41,Assumptions!$B$36:$H$41))</f>
        <v>0</v>
      </c>
      <c r="HLM28">
        <f t="array" ref="HLM28">_xlfn.XLOOKUP(HLM$11,Assumptions!$B$35:$H$35,_xlfn.XLOOKUP($C28,Assumptions!$B$36:$B$41,Assumptions!$B$36:$H$41))</f>
        <v>0</v>
      </c>
      <c r="HLN28">
        <f t="array" ref="HLN28">_xlfn.XLOOKUP(HLN$11,Assumptions!$B$35:$H$35,_xlfn.XLOOKUP($C28,Assumptions!$B$36:$B$41,Assumptions!$B$36:$H$41))</f>
        <v>0</v>
      </c>
      <c r="HLO28">
        <f t="array" ref="HLO28">_xlfn.XLOOKUP(HLO$11,Assumptions!$B$35:$H$35,_xlfn.XLOOKUP($C28,Assumptions!$B$36:$B$41,Assumptions!$B$36:$H$41))</f>
        <v>0</v>
      </c>
      <c r="HLP28">
        <f t="array" ref="HLP28">_xlfn.XLOOKUP(HLP$11,Assumptions!$B$35:$H$35,_xlfn.XLOOKUP($C28,Assumptions!$B$36:$B$41,Assumptions!$B$36:$H$41))</f>
        <v>0</v>
      </c>
      <c r="HLQ28">
        <f t="array" ref="HLQ28">_xlfn.XLOOKUP(HLQ$11,Assumptions!$B$35:$H$35,_xlfn.XLOOKUP($C28,Assumptions!$B$36:$B$41,Assumptions!$B$36:$H$41))</f>
        <v>0</v>
      </c>
      <c r="HLR28">
        <f t="array" ref="HLR28">_xlfn.XLOOKUP(HLR$11,Assumptions!$B$35:$H$35,_xlfn.XLOOKUP($C28,Assumptions!$B$36:$B$41,Assumptions!$B$36:$H$41))</f>
        <v>0</v>
      </c>
      <c r="HLS28">
        <f t="array" ref="HLS28">_xlfn.XLOOKUP(HLS$11,Assumptions!$B$35:$H$35,_xlfn.XLOOKUP($C28,Assumptions!$B$36:$B$41,Assumptions!$B$36:$H$41))</f>
        <v>0</v>
      </c>
      <c r="HLT28">
        <f t="array" ref="HLT28">_xlfn.XLOOKUP(HLT$11,Assumptions!$B$35:$H$35,_xlfn.XLOOKUP($C28,Assumptions!$B$36:$B$41,Assumptions!$B$36:$H$41))</f>
        <v>0</v>
      </c>
      <c r="HLU28">
        <f t="array" ref="HLU28">_xlfn.XLOOKUP(HLU$11,Assumptions!$B$35:$H$35,_xlfn.XLOOKUP($C28,Assumptions!$B$36:$B$41,Assumptions!$B$36:$H$41))</f>
        <v>0</v>
      </c>
      <c r="HLV28">
        <f t="array" ref="HLV28">_xlfn.XLOOKUP(HLV$11,Assumptions!$B$35:$H$35,_xlfn.XLOOKUP($C28,Assumptions!$B$36:$B$41,Assumptions!$B$36:$H$41))</f>
        <v>0</v>
      </c>
      <c r="HLW28">
        <f t="array" ref="HLW28">_xlfn.XLOOKUP(HLW$11,Assumptions!$B$35:$H$35,_xlfn.XLOOKUP($C28,Assumptions!$B$36:$B$41,Assumptions!$B$36:$H$41))</f>
        <v>0</v>
      </c>
      <c r="HLX28">
        <f t="array" ref="HLX28">_xlfn.XLOOKUP(HLX$11,Assumptions!$B$35:$H$35,_xlfn.XLOOKUP($C28,Assumptions!$B$36:$B$41,Assumptions!$B$36:$H$41))</f>
        <v>0</v>
      </c>
      <c r="HLY28">
        <f t="array" ref="HLY28">_xlfn.XLOOKUP(HLY$11,Assumptions!$B$35:$H$35,_xlfn.XLOOKUP($C28,Assumptions!$B$36:$B$41,Assumptions!$B$36:$H$41))</f>
        <v>0</v>
      </c>
      <c r="HLZ28">
        <f t="array" ref="HLZ28">_xlfn.XLOOKUP(HLZ$11,Assumptions!$B$35:$H$35,_xlfn.XLOOKUP($C28,Assumptions!$B$36:$B$41,Assumptions!$B$36:$H$41))</f>
        <v>0</v>
      </c>
      <c r="HMA28">
        <f t="array" ref="HMA28">_xlfn.XLOOKUP(HMA$11,Assumptions!$B$35:$H$35,_xlfn.XLOOKUP($C28,Assumptions!$B$36:$B$41,Assumptions!$B$36:$H$41))</f>
        <v>0</v>
      </c>
      <c r="HMB28">
        <f t="array" ref="HMB28">_xlfn.XLOOKUP(HMB$11,Assumptions!$B$35:$H$35,_xlfn.XLOOKUP($C28,Assumptions!$B$36:$B$41,Assumptions!$B$36:$H$41))</f>
        <v>0</v>
      </c>
      <c r="HMC28">
        <f t="array" ref="HMC28">_xlfn.XLOOKUP(HMC$11,Assumptions!$B$35:$H$35,_xlfn.XLOOKUP($C28,Assumptions!$B$36:$B$41,Assumptions!$B$36:$H$41))</f>
        <v>0</v>
      </c>
      <c r="HMD28">
        <f t="array" ref="HMD28">_xlfn.XLOOKUP(HMD$11,Assumptions!$B$35:$H$35,_xlfn.XLOOKUP($C28,Assumptions!$B$36:$B$41,Assumptions!$B$36:$H$41))</f>
        <v>0</v>
      </c>
      <c r="HME28">
        <f t="array" ref="HME28">_xlfn.XLOOKUP(HME$11,Assumptions!$B$35:$H$35,_xlfn.XLOOKUP($C28,Assumptions!$B$36:$B$41,Assumptions!$B$36:$H$41))</f>
        <v>0</v>
      </c>
      <c r="HMF28">
        <f t="array" ref="HMF28">_xlfn.XLOOKUP(HMF$11,Assumptions!$B$35:$H$35,_xlfn.XLOOKUP($C28,Assumptions!$B$36:$B$41,Assumptions!$B$36:$H$41))</f>
        <v>0</v>
      </c>
      <c r="HMG28">
        <f t="array" ref="HMG28">_xlfn.XLOOKUP(HMG$11,Assumptions!$B$35:$H$35,_xlfn.XLOOKUP($C28,Assumptions!$B$36:$B$41,Assumptions!$B$36:$H$41))</f>
        <v>0</v>
      </c>
      <c r="HMH28">
        <f t="array" ref="HMH28">_xlfn.XLOOKUP(HMH$11,Assumptions!$B$35:$H$35,_xlfn.XLOOKUP($C28,Assumptions!$B$36:$B$41,Assumptions!$B$36:$H$41))</f>
        <v>0</v>
      </c>
      <c r="HMI28">
        <f t="array" ref="HMI28">_xlfn.XLOOKUP(HMI$11,Assumptions!$B$35:$H$35,_xlfn.XLOOKUP($C28,Assumptions!$B$36:$B$41,Assumptions!$B$36:$H$41))</f>
        <v>0</v>
      </c>
      <c r="HMJ28">
        <f t="array" ref="HMJ28">_xlfn.XLOOKUP(HMJ$11,Assumptions!$B$35:$H$35,_xlfn.XLOOKUP($C28,Assumptions!$B$36:$B$41,Assumptions!$B$36:$H$41))</f>
        <v>0</v>
      </c>
      <c r="HMK28">
        <f t="array" ref="HMK28">_xlfn.XLOOKUP(HMK$11,Assumptions!$B$35:$H$35,_xlfn.XLOOKUP($C28,Assumptions!$B$36:$B$41,Assumptions!$B$36:$H$41))</f>
        <v>0</v>
      </c>
      <c r="HML28">
        <f t="array" ref="HML28">_xlfn.XLOOKUP(HML$11,Assumptions!$B$35:$H$35,_xlfn.XLOOKUP($C28,Assumptions!$B$36:$B$41,Assumptions!$B$36:$H$41))</f>
        <v>0</v>
      </c>
      <c r="HMM28">
        <f t="array" ref="HMM28">_xlfn.XLOOKUP(HMM$11,Assumptions!$B$35:$H$35,_xlfn.XLOOKUP($C28,Assumptions!$B$36:$B$41,Assumptions!$B$36:$H$41))</f>
        <v>0</v>
      </c>
      <c r="HMN28">
        <f t="array" ref="HMN28">_xlfn.XLOOKUP(HMN$11,Assumptions!$B$35:$H$35,_xlfn.XLOOKUP($C28,Assumptions!$B$36:$B$41,Assumptions!$B$36:$H$41))</f>
        <v>0</v>
      </c>
      <c r="HMO28">
        <f t="array" ref="HMO28">_xlfn.XLOOKUP(HMO$11,Assumptions!$B$35:$H$35,_xlfn.XLOOKUP($C28,Assumptions!$B$36:$B$41,Assumptions!$B$36:$H$41))</f>
        <v>0</v>
      </c>
      <c r="HMP28">
        <f t="array" ref="HMP28">_xlfn.XLOOKUP(HMP$11,Assumptions!$B$35:$H$35,_xlfn.XLOOKUP($C28,Assumptions!$B$36:$B$41,Assumptions!$B$36:$H$41))</f>
        <v>0</v>
      </c>
      <c r="HMQ28">
        <f t="array" ref="HMQ28">_xlfn.XLOOKUP(HMQ$11,Assumptions!$B$35:$H$35,_xlfn.XLOOKUP($C28,Assumptions!$B$36:$B$41,Assumptions!$B$36:$H$41))</f>
        <v>0</v>
      </c>
      <c r="HMR28">
        <f t="array" ref="HMR28">_xlfn.XLOOKUP(HMR$11,Assumptions!$B$35:$H$35,_xlfn.XLOOKUP($C28,Assumptions!$B$36:$B$41,Assumptions!$B$36:$H$41))</f>
        <v>0</v>
      </c>
      <c r="HMS28">
        <f t="array" ref="HMS28">_xlfn.XLOOKUP(HMS$11,Assumptions!$B$35:$H$35,_xlfn.XLOOKUP($C28,Assumptions!$B$36:$B$41,Assumptions!$B$36:$H$41))</f>
        <v>0</v>
      </c>
      <c r="HMT28">
        <f t="array" ref="HMT28">_xlfn.XLOOKUP(HMT$11,Assumptions!$B$35:$H$35,_xlfn.XLOOKUP($C28,Assumptions!$B$36:$B$41,Assumptions!$B$36:$H$41))</f>
        <v>0</v>
      </c>
      <c r="HMU28">
        <f t="array" ref="HMU28">_xlfn.XLOOKUP(HMU$11,Assumptions!$B$35:$H$35,_xlfn.XLOOKUP($C28,Assumptions!$B$36:$B$41,Assumptions!$B$36:$H$41))</f>
        <v>0</v>
      </c>
      <c r="HMV28">
        <f t="array" ref="HMV28">_xlfn.XLOOKUP(HMV$11,Assumptions!$B$35:$H$35,_xlfn.XLOOKUP($C28,Assumptions!$B$36:$B$41,Assumptions!$B$36:$H$41))</f>
        <v>0</v>
      </c>
      <c r="HMW28">
        <f t="array" ref="HMW28">_xlfn.XLOOKUP(HMW$11,Assumptions!$B$35:$H$35,_xlfn.XLOOKUP($C28,Assumptions!$B$36:$B$41,Assumptions!$B$36:$H$41))</f>
        <v>0</v>
      </c>
      <c r="HMX28">
        <f t="array" ref="HMX28">_xlfn.XLOOKUP(HMX$11,Assumptions!$B$35:$H$35,_xlfn.XLOOKUP($C28,Assumptions!$B$36:$B$41,Assumptions!$B$36:$H$41))</f>
        <v>0</v>
      </c>
      <c r="HMY28">
        <f t="array" ref="HMY28">_xlfn.XLOOKUP(HMY$11,Assumptions!$B$35:$H$35,_xlfn.XLOOKUP($C28,Assumptions!$B$36:$B$41,Assumptions!$B$36:$H$41))</f>
        <v>0</v>
      </c>
      <c r="HMZ28">
        <f t="array" ref="HMZ28">_xlfn.XLOOKUP(HMZ$11,Assumptions!$B$35:$H$35,_xlfn.XLOOKUP($C28,Assumptions!$B$36:$B$41,Assumptions!$B$36:$H$41))</f>
        <v>0</v>
      </c>
      <c r="HNA28">
        <f t="array" ref="HNA28">_xlfn.XLOOKUP(HNA$11,Assumptions!$B$35:$H$35,_xlfn.XLOOKUP($C28,Assumptions!$B$36:$B$41,Assumptions!$B$36:$H$41))</f>
        <v>0</v>
      </c>
      <c r="HNB28">
        <f t="array" ref="HNB28">_xlfn.XLOOKUP(HNB$11,Assumptions!$B$35:$H$35,_xlfn.XLOOKUP($C28,Assumptions!$B$36:$B$41,Assumptions!$B$36:$H$41))</f>
        <v>0</v>
      </c>
      <c r="HNC28">
        <f t="array" ref="HNC28">_xlfn.XLOOKUP(HNC$11,Assumptions!$B$35:$H$35,_xlfn.XLOOKUP($C28,Assumptions!$B$36:$B$41,Assumptions!$B$36:$H$41))</f>
        <v>0</v>
      </c>
      <c r="HND28">
        <f t="array" ref="HND28">_xlfn.XLOOKUP(HND$11,Assumptions!$B$35:$H$35,_xlfn.XLOOKUP($C28,Assumptions!$B$36:$B$41,Assumptions!$B$36:$H$41))</f>
        <v>0</v>
      </c>
      <c r="HNE28">
        <f t="array" ref="HNE28">_xlfn.XLOOKUP(HNE$11,Assumptions!$B$35:$H$35,_xlfn.XLOOKUP($C28,Assumptions!$B$36:$B$41,Assumptions!$B$36:$H$41))</f>
        <v>0</v>
      </c>
      <c r="HNF28">
        <f t="array" ref="HNF28">_xlfn.XLOOKUP(HNF$11,Assumptions!$B$35:$H$35,_xlfn.XLOOKUP($C28,Assumptions!$B$36:$B$41,Assumptions!$B$36:$H$41))</f>
        <v>0</v>
      </c>
      <c r="HNG28">
        <f t="array" ref="HNG28">_xlfn.XLOOKUP(HNG$11,Assumptions!$B$35:$H$35,_xlfn.XLOOKUP($C28,Assumptions!$B$36:$B$41,Assumptions!$B$36:$H$41))</f>
        <v>0</v>
      </c>
      <c r="HNH28">
        <f t="array" ref="HNH28">_xlfn.XLOOKUP(HNH$11,Assumptions!$B$35:$H$35,_xlfn.XLOOKUP($C28,Assumptions!$B$36:$B$41,Assumptions!$B$36:$H$41))</f>
        <v>0</v>
      </c>
      <c r="HNI28">
        <f t="array" ref="HNI28">_xlfn.XLOOKUP(HNI$11,Assumptions!$B$35:$H$35,_xlfn.XLOOKUP($C28,Assumptions!$B$36:$B$41,Assumptions!$B$36:$H$41))</f>
        <v>0</v>
      </c>
      <c r="HNJ28">
        <f t="array" ref="HNJ28">_xlfn.XLOOKUP(HNJ$11,Assumptions!$B$35:$H$35,_xlfn.XLOOKUP($C28,Assumptions!$B$36:$B$41,Assumptions!$B$36:$H$41))</f>
        <v>0</v>
      </c>
      <c r="HNK28">
        <f t="array" ref="HNK28">_xlfn.XLOOKUP(HNK$11,Assumptions!$B$35:$H$35,_xlfn.XLOOKUP($C28,Assumptions!$B$36:$B$41,Assumptions!$B$36:$H$41))</f>
        <v>0</v>
      </c>
      <c r="HNL28">
        <f t="array" ref="HNL28">_xlfn.XLOOKUP(HNL$11,Assumptions!$B$35:$H$35,_xlfn.XLOOKUP($C28,Assumptions!$B$36:$B$41,Assumptions!$B$36:$H$41))</f>
        <v>0</v>
      </c>
      <c r="HNM28">
        <f t="array" ref="HNM28">_xlfn.XLOOKUP(HNM$11,Assumptions!$B$35:$H$35,_xlfn.XLOOKUP($C28,Assumptions!$B$36:$B$41,Assumptions!$B$36:$H$41))</f>
        <v>0</v>
      </c>
      <c r="HNN28">
        <f t="array" ref="HNN28">_xlfn.XLOOKUP(HNN$11,Assumptions!$B$35:$H$35,_xlfn.XLOOKUP($C28,Assumptions!$B$36:$B$41,Assumptions!$B$36:$H$41))</f>
        <v>0</v>
      </c>
      <c r="HNO28">
        <f t="array" ref="HNO28">_xlfn.XLOOKUP(HNO$11,Assumptions!$B$35:$H$35,_xlfn.XLOOKUP($C28,Assumptions!$B$36:$B$41,Assumptions!$B$36:$H$41))</f>
        <v>0</v>
      </c>
      <c r="HNP28">
        <f t="array" ref="HNP28">_xlfn.XLOOKUP(HNP$11,Assumptions!$B$35:$H$35,_xlfn.XLOOKUP($C28,Assumptions!$B$36:$B$41,Assumptions!$B$36:$H$41))</f>
        <v>0</v>
      </c>
      <c r="HNQ28">
        <f t="array" ref="HNQ28">_xlfn.XLOOKUP(HNQ$11,Assumptions!$B$35:$H$35,_xlfn.XLOOKUP($C28,Assumptions!$B$36:$B$41,Assumptions!$B$36:$H$41))</f>
        <v>0</v>
      </c>
      <c r="HNR28">
        <f t="array" ref="HNR28">_xlfn.XLOOKUP(HNR$11,Assumptions!$B$35:$H$35,_xlfn.XLOOKUP($C28,Assumptions!$B$36:$B$41,Assumptions!$B$36:$H$41))</f>
        <v>0</v>
      </c>
      <c r="HNS28">
        <f t="array" ref="HNS28">_xlfn.XLOOKUP(HNS$11,Assumptions!$B$35:$H$35,_xlfn.XLOOKUP($C28,Assumptions!$B$36:$B$41,Assumptions!$B$36:$H$41))</f>
        <v>0</v>
      </c>
      <c r="HNT28">
        <f t="array" ref="HNT28">_xlfn.XLOOKUP(HNT$11,Assumptions!$B$35:$H$35,_xlfn.XLOOKUP($C28,Assumptions!$B$36:$B$41,Assumptions!$B$36:$H$41))</f>
        <v>0</v>
      </c>
      <c r="HNU28">
        <f t="array" ref="HNU28">_xlfn.XLOOKUP(HNU$11,Assumptions!$B$35:$H$35,_xlfn.XLOOKUP($C28,Assumptions!$B$36:$B$41,Assumptions!$B$36:$H$41))</f>
        <v>0</v>
      </c>
      <c r="HNV28">
        <f t="array" ref="HNV28">_xlfn.XLOOKUP(HNV$11,Assumptions!$B$35:$H$35,_xlfn.XLOOKUP($C28,Assumptions!$B$36:$B$41,Assumptions!$B$36:$H$41))</f>
        <v>0</v>
      </c>
      <c r="HNW28">
        <f t="array" ref="HNW28">_xlfn.XLOOKUP(HNW$11,Assumptions!$B$35:$H$35,_xlfn.XLOOKUP($C28,Assumptions!$B$36:$B$41,Assumptions!$B$36:$H$41))</f>
        <v>0</v>
      </c>
      <c r="HNX28">
        <f t="array" ref="HNX28">_xlfn.XLOOKUP(HNX$11,Assumptions!$B$35:$H$35,_xlfn.XLOOKUP($C28,Assumptions!$B$36:$B$41,Assumptions!$B$36:$H$41))</f>
        <v>0</v>
      </c>
      <c r="HNY28">
        <f t="array" ref="HNY28">_xlfn.XLOOKUP(HNY$11,Assumptions!$B$35:$H$35,_xlfn.XLOOKUP($C28,Assumptions!$B$36:$B$41,Assumptions!$B$36:$H$41))</f>
        <v>0</v>
      </c>
      <c r="HNZ28">
        <f t="array" ref="HNZ28">_xlfn.XLOOKUP(HNZ$11,Assumptions!$B$35:$H$35,_xlfn.XLOOKUP($C28,Assumptions!$B$36:$B$41,Assumptions!$B$36:$H$41))</f>
        <v>0</v>
      </c>
      <c r="HOA28">
        <f t="array" ref="HOA28">_xlfn.XLOOKUP(HOA$11,Assumptions!$B$35:$H$35,_xlfn.XLOOKUP($C28,Assumptions!$B$36:$B$41,Assumptions!$B$36:$H$41))</f>
        <v>0</v>
      </c>
      <c r="HOB28">
        <f t="array" ref="HOB28">_xlfn.XLOOKUP(HOB$11,Assumptions!$B$35:$H$35,_xlfn.XLOOKUP($C28,Assumptions!$B$36:$B$41,Assumptions!$B$36:$H$41))</f>
        <v>0</v>
      </c>
      <c r="HOC28">
        <f t="array" ref="HOC28">_xlfn.XLOOKUP(HOC$11,Assumptions!$B$35:$H$35,_xlfn.XLOOKUP($C28,Assumptions!$B$36:$B$41,Assumptions!$B$36:$H$41))</f>
        <v>0</v>
      </c>
      <c r="HOD28">
        <f t="array" ref="HOD28">_xlfn.XLOOKUP(HOD$11,Assumptions!$B$35:$H$35,_xlfn.XLOOKUP($C28,Assumptions!$B$36:$B$41,Assumptions!$B$36:$H$41))</f>
        <v>0</v>
      </c>
      <c r="HOE28">
        <f t="array" ref="HOE28">_xlfn.XLOOKUP(HOE$11,Assumptions!$B$35:$H$35,_xlfn.XLOOKUP($C28,Assumptions!$B$36:$B$41,Assumptions!$B$36:$H$41))</f>
        <v>0</v>
      </c>
      <c r="HOF28">
        <f t="array" ref="HOF28">_xlfn.XLOOKUP(HOF$11,Assumptions!$B$35:$H$35,_xlfn.XLOOKUP($C28,Assumptions!$B$36:$B$41,Assumptions!$B$36:$H$41))</f>
        <v>0</v>
      </c>
      <c r="HOG28">
        <f t="array" ref="HOG28">_xlfn.XLOOKUP(HOG$11,Assumptions!$B$35:$H$35,_xlfn.XLOOKUP($C28,Assumptions!$B$36:$B$41,Assumptions!$B$36:$H$41))</f>
        <v>0</v>
      </c>
      <c r="HOH28">
        <f t="array" ref="HOH28">_xlfn.XLOOKUP(HOH$11,Assumptions!$B$35:$H$35,_xlfn.XLOOKUP($C28,Assumptions!$B$36:$B$41,Assumptions!$B$36:$H$41))</f>
        <v>0</v>
      </c>
      <c r="HOI28">
        <f t="array" ref="HOI28">_xlfn.XLOOKUP(HOI$11,Assumptions!$B$35:$H$35,_xlfn.XLOOKUP($C28,Assumptions!$B$36:$B$41,Assumptions!$B$36:$H$41))</f>
        <v>0</v>
      </c>
      <c r="HOJ28">
        <f t="array" ref="HOJ28">_xlfn.XLOOKUP(HOJ$11,Assumptions!$B$35:$H$35,_xlfn.XLOOKUP($C28,Assumptions!$B$36:$B$41,Assumptions!$B$36:$H$41))</f>
        <v>0</v>
      </c>
      <c r="HOK28">
        <f t="array" ref="HOK28">_xlfn.XLOOKUP(HOK$11,Assumptions!$B$35:$H$35,_xlfn.XLOOKUP($C28,Assumptions!$B$36:$B$41,Assumptions!$B$36:$H$41))</f>
        <v>0</v>
      </c>
      <c r="HOL28">
        <f t="array" ref="HOL28">_xlfn.XLOOKUP(HOL$11,Assumptions!$B$35:$H$35,_xlfn.XLOOKUP($C28,Assumptions!$B$36:$B$41,Assumptions!$B$36:$H$41))</f>
        <v>0</v>
      </c>
      <c r="HOM28">
        <f t="array" ref="HOM28">_xlfn.XLOOKUP(HOM$11,Assumptions!$B$35:$H$35,_xlfn.XLOOKUP($C28,Assumptions!$B$36:$B$41,Assumptions!$B$36:$H$41))</f>
        <v>0</v>
      </c>
      <c r="HON28">
        <f t="array" ref="HON28">_xlfn.XLOOKUP(HON$11,Assumptions!$B$35:$H$35,_xlfn.XLOOKUP($C28,Assumptions!$B$36:$B$41,Assumptions!$B$36:$H$41))</f>
        <v>0</v>
      </c>
      <c r="HOO28">
        <f t="array" ref="HOO28">_xlfn.XLOOKUP(HOO$11,Assumptions!$B$35:$H$35,_xlfn.XLOOKUP($C28,Assumptions!$B$36:$B$41,Assumptions!$B$36:$H$41))</f>
        <v>0</v>
      </c>
      <c r="HOP28">
        <f t="array" ref="HOP28">_xlfn.XLOOKUP(HOP$11,Assumptions!$B$35:$H$35,_xlfn.XLOOKUP($C28,Assumptions!$B$36:$B$41,Assumptions!$B$36:$H$41))</f>
        <v>0</v>
      </c>
      <c r="HOQ28">
        <f t="array" ref="HOQ28">_xlfn.XLOOKUP(HOQ$11,Assumptions!$B$35:$H$35,_xlfn.XLOOKUP($C28,Assumptions!$B$36:$B$41,Assumptions!$B$36:$H$41))</f>
        <v>0</v>
      </c>
      <c r="HOR28">
        <f t="array" ref="HOR28">_xlfn.XLOOKUP(HOR$11,Assumptions!$B$35:$H$35,_xlfn.XLOOKUP($C28,Assumptions!$B$36:$B$41,Assumptions!$B$36:$H$41))</f>
        <v>0</v>
      </c>
      <c r="HOS28">
        <f t="array" ref="HOS28">_xlfn.XLOOKUP(HOS$11,Assumptions!$B$35:$H$35,_xlfn.XLOOKUP($C28,Assumptions!$B$36:$B$41,Assumptions!$B$36:$H$41))</f>
        <v>0</v>
      </c>
      <c r="HOT28">
        <f t="array" ref="HOT28">_xlfn.XLOOKUP(HOT$11,Assumptions!$B$35:$H$35,_xlfn.XLOOKUP($C28,Assumptions!$B$36:$B$41,Assumptions!$B$36:$H$41))</f>
        <v>0</v>
      </c>
      <c r="HOU28">
        <f t="array" ref="HOU28">_xlfn.XLOOKUP(HOU$11,Assumptions!$B$35:$H$35,_xlfn.XLOOKUP($C28,Assumptions!$B$36:$B$41,Assumptions!$B$36:$H$41))</f>
        <v>0</v>
      </c>
      <c r="HOV28">
        <f t="array" ref="HOV28">_xlfn.XLOOKUP(HOV$11,Assumptions!$B$35:$H$35,_xlfn.XLOOKUP($C28,Assumptions!$B$36:$B$41,Assumptions!$B$36:$H$41))</f>
        <v>0</v>
      </c>
      <c r="HOW28">
        <f t="array" ref="HOW28">_xlfn.XLOOKUP(HOW$11,Assumptions!$B$35:$H$35,_xlfn.XLOOKUP($C28,Assumptions!$B$36:$B$41,Assumptions!$B$36:$H$41))</f>
        <v>0</v>
      </c>
      <c r="HOX28">
        <f t="array" ref="HOX28">_xlfn.XLOOKUP(HOX$11,Assumptions!$B$35:$H$35,_xlfn.XLOOKUP($C28,Assumptions!$B$36:$B$41,Assumptions!$B$36:$H$41))</f>
        <v>0</v>
      </c>
      <c r="HOY28">
        <f t="array" ref="HOY28">_xlfn.XLOOKUP(HOY$11,Assumptions!$B$35:$H$35,_xlfn.XLOOKUP($C28,Assumptions!$B$36:$B$41,Assumptions!$B$36:$H$41))</f>
        <v>0</v>
      </c>
      <c r="HOZ28">
        <f t="array" ref="HOZ28">_xlfn.XLOOKUP(HOZ$11,Assumptions!$B$35:$H$35,_xlfn.XLOOKUP($C28,Assumptions!$B$36:$B$41,Assumptions!$B$36:$H$41))</f>
        <v>0</v>
      </c>
      <c r="HPA28">
        <f t="array" ref="HPA28">_xlfn.XLOOKUP(HPA$11,Assumptions!$B$35:$H$35,_xlfn.XLOOKUP($C28,Assumptions!$B$36:$B$41,Assumptions!$B$36:$H$41))</f>
        <v>0</v>
      </c>
      <c r="HPB28">
        <f t="array" ref="HPB28">_xlfn.XLOOKUP(HPB$11,Assumptions!$B$35:$H$35,_xlfn.XLOOKUP($C28,Assumptions!$B$36:$B$41,Assumptions!$B$36:$H$41))</f>
        <v>0</v>
      </c>
      <c r="HPC28">
        <f t="array" ref="HPC28">_xlfn.XLOOKUP(HPC$11,Assumptions!$B$35:$H$35,_xlfn.XLOOKUP($C28,Assumptions!$B$36:$B$41,Assumptions!$B$36:$H$41))</f>
        <v>0</v>
      </c>
      <c r="HPD28">
        <f t="array" ref="HPD28">_xlfn.XLOOKUP(HPD$11,Assumptions!$B$35:$H$35,_xlfn.XLOOKUP($C28,Assumptions!$B$36:$B$41,Assumptions!$B$36:$H$41))</f>
        <v>0</v>
      </c>
      <c r="HPE28">
        <f t="array" ref="HPE28">_xlfn.XLOOKUP(HPE$11,Assumptions!$B$35:$H$35,_xlfn.XLOOKUP($C28,Assumptions!$B$36:$B$41,Assumptions!$B$36:$H$41))</f>
        <v>0</v>
      </c>
      <c r="HPF28">
        <f t="array" ref="HPF28">_xlfn.XLOOKUP(HPF$11,Assumptions!$B$35:$H$35,_xlfn.XLOOKUP($C28,Assumptions!$B$36:$B$41,Assumptions!$B$36:$H$41))</f>
        <v>0</v>
      </c>
      <c r="HPG28">
        <f t="array" ref="HPG28">_xlfn.XLOOKUP(HPG$11,Assumptions!$B$35:$H$35,_xlfn.XLOOKUP($C28,Assumptions!$B$36:$B$41,Assumptions!$B$36:$H$41))</f>
        <v>0</v>
      </c>
      <c r="HPH28">
        <f t="array" ref="HPH28">_xlfn.XLOOKUP(HPH$11,Assumptions!$B$35:$H$35,_xlfn.XLOOKUP($C28,Assumptions!$B$36:$B$41,Assumptions!$B$36:$H$41))</f>
        <v>0</v>
      </c>
      <c r="HPI28">
        <f t="array" ref="HPI28">_xlfn.XLOOKUP(HPI$11,Assumptions!$B$35:$H$35,_xlfn.XLOOKUP($C28,Assumptions!$B$36:$B$41,Assumptions!$B$36:$H$41))</f>
        <v>0</v>
      </c>
      <c r="HPJ28">
        <f t="array" ref="HPJ28">_xlfn.XLOOKUP(HPJ$11,Assumptions!$B$35:$H$35,_xlfn.XLOOKUP($C28,Assumptions!$B$36:$B$41,Assumptions!$B$36:$H$41))</f>
        <v>0</v>
      </c>
      <c r="HPK28">
        <f t="array" ref="HPK28">_xlfn.XLOOKUP(HPK$11,Assumptions!$B$35:$H$35,_xlfn.XLOOKUP($C28,Assumptions!$B$36:$B$41,Assumptions!$B$36:$H$41))</f>
        <v>0</v>
      </c>
      <c r="HPL28">
        <f t="array" ref="HPL28">_xlfn.XLOOKUP(HPL$11,Assumptions!$B$35:$H$35,_xlfn.XLOOKUP($C28,Assumptions!$B$36:$B$41,Assumptions!$B$36:$H$41))</f>
        <v>0</v>
      </c>
      <c r="HPM28">
        <f t="array" ref="HPM28">_xlfn.XLOOKUP(HPM$11,Assumptions!$B$35:$H$35,_xlfn.XLOOKUP($C28,Assumptions!$B$36:$B$41,Assumptions!$B$36:$H$41))</f>
        <v>0</v>
      </c>
      <c r="HPN28">
        <f t="array" ref="HPN28">_xlfn.XLOOKUP(HPN$11,Assumptions!$B$35:$H$35,_xlfn.XLOOKUP($C28,Assumptions!$B$36:$B$41,Assumptions!$B$36:$H$41))</f>
        <v>0</v>
      </c>
      <c r="HPO28">
        <f t="array" ref="HPO28">_xlfn.XLOOKUP(HPO$11,Assumptions!$B$35:$H$35,_xlfn.XLOOKUP($C28,Assumptions!$B$36:$B$41,Assumptions!$B$36:$H$41))</f>
        <v>0</v>
      </c>
      <c r="HPP28">
        <f t="array" ref="HPP28">_xlfn.XLOOKUP(HPP$11,Assumptions!$B$35:$H$35,_xlfn.XLOOKUP($C28,Assumptions!$B$36:$B$41,Assumptions!$B$36:$H$41))</f>
        <v>0</v>
      </c>
      <c r="HPQ28">
        <f t="array" ref="HPQ28">_xlfn.XLOOKUP(HPQ$11,Assumptions!$B$35:$H$35,_xlfn.XLOOKUP($C28,Assumptions!$B$36:$B$41,Assumptions!$B$36:$H$41))</f>
        <v>0</v>
      </c>
      <c r="HPR28">
        <f t="array" ref="HPR28">_xlfn.XLOOKUP(HPR$11,Assumptions!$B$35:$H$35,_xlfn.XLOOKUP($C28,Assumptions!$B$36:$B$41,Assumptions!$B$36:$H$41))</f>
        <v>0</v>
      </c>
      <c r="HPS28">
        <f t="array" ref="HPS28">_xlfn.XLOOKUP(HPS$11,Assumptions!$B$35:$H$35,_xlfn.XLOOKUP($C28,Assumptions!$B$36:$B$41,Assumptions!$B$36:$H$41))</f>
        <v>0</v>
      </c>
      <c r="HPT28">
        <f t="array" ref="HPT28">_xlfn.XLOOKUP(HPT$11,Assumptions!$B$35:$H$35,_xlfn.XLOOKUP($C28,Assumptions!$B$36:$B$41,Assumptions!$B$36:$H$41))</f>
        <v>0</v>
      </c>
      <c r="HPU28">
        <f t="array" ref="HPU28">_xlfn.XLOOKUP(HPU$11,Assumptions!$B$35:$H$35,_xlfn.XLOOKUP($C28,Assumptions!$B$36:$B$41,Assumptions!$B$36:$H$41))</f>
        <v>0</v>
      </c>
      <c r="HPV28">
        <f t="array" ref="HPV28">_xlfn.XLOOKUP(HPV$11,Assumptions!$B$35:$H$35,_xlfn.XLOOKUP($C28,Assumptions!$B$36:$B$41,Assumptions!$B$36:$H$41))</f>
        <v>0</v>
      </c>
      <c r="HPW28">
        <f t="array" ref="HPW28">_xlfn.XLOOKUP(HPW$11,Assumptions!$B$35:$H$35,_xlfn.XLOOKUP($C28,Assumptions!$B$36:$B$41,Assumptions!$B$36:$H$41))</f>
        <v>0</v>
      </c>
      <c r="HPX28">
        <f t="array" ref="HPX28">_xlfn.XLOOKUP(HPX$11,Assumptions!$B$35:$H$35,_xlfn.XLOOKUP($C28,Assumptions!$B$36:$B$41,Assumptions!$B$36:$H$41))</f>
        <v>0</v>
      </c>
      <c r="HPY28">
        <f t="array" ref="HPY28">_xlfn.XLOOKUP(HPY$11,Assumptions!$B$35:$H$35,_xlfn.XLOOKUP($C28,Assumptions!$B$36:$B$41,Assumptions!$B$36:$H$41))</f>
        <v>0</v>
      </c>
      <c r="HPZ28">
        <f t="array" ref="HPZ28">_xlfn.XLOOKUP(HPZ$11,Assumptions!$B$35:$H$35,_xlfn.XLOOKUP($C28,Assumptions!$B$36:$B$41,Assumptions!$B$36:$H$41))</f>
        <v>0</v>
      </c>
      <c r="HQA28">
        <f t="array" ref="HQA28">_xlfn.XLOOKUP(HQA$11,Assumptions!$B$35:$H$35,_xlfn.XLOOKUP($C28,Assumptions!$B$36:$B$41,Assumptions!$B$36:$H$41))</f>
        <v>0</v>
      </c>
      <c r="HQB28">
        <f t="array" ref="HQB28">_xlfn.XLOOKUP(HQB$11,Assumptions!$B$35:$H$35,_xlfn.XLOOKUP($C28,Assumptions!$B$36:$B$41,Assumptions!$B$36:$H$41))</f>
        <v>0</v>
      </c>
      <c r="HQC28">
        <f t="array" ref="HQC28">_xlfn.XLOOKUP(HQC$11,Assumptions!$B$35:$H$35,_xlfn.XLOOKUP($C28,Assumptions!$B$36:$B$41,Assumptions!$B$36:$H$41))</f>
        <v>0</v>
      </c>
      <c r="HQD28">
        <f t="array" ref="HQD28">_xlfn.XLOOKUP(HQD$11,Assumptions!$B$35:$H$35,_xlfn.XLOOKUP($C28,Assumptions!$B$36:$B$41,Assumptions!$B$36:$H$41))</f>
        <v>0</v>
      </c>
      <c r="HQE28">
        <f t="array" ref="HQE28">_xlfn.XLOOKUP(HQE$11,Assumptions!$B$35:$H$35,_xlfn.XLOOKUP($C28,Assumptions!$B$36:$B$41,Assumptions!$B$36:$H$41))</f>
        <v>0</v>
      </c>
      <c r="HQF28">
        <f t="array" ref="HQF28">_xlfn.XLOOKUP(HQF$11,Assumptions!$B$35:$H$35,_xlfn.XLOOKUP($C28,Assumptions!$B$36:$B$41,Assumptions!$B$36:$H$41))</f>
        <v>0</v>
      </c>
      <c r="HQG28">
        <f t="array" ref="HQG28">_xlfn.XLOOKUP(HQG$11,Assumptions!$B$35:$H$35,_xlfn.XLOOKUP($C28,Assumptions!$B$36:$B$41,Assumptions!$B$36:$H$41))</f>
        <v>0</v>
      </c>
      <c r="HQH28">
        <f t="array" ref="HQH28">_xlfn.XLOOKUP(HQH$11,Assumptions!$B$35:$H$35,_xlfn.XLOOKUP($C28,Assumptions!$B$36:$B$41,Assumptions!$B$36:$H$41))</f>
        <v>0</v>
      </c>
      <c r="HQI28">
        <f t="array" ref="HQI28">_xlfn.XLOOKUP(HQI$11,Assumptions!$B$35:$H$35,_xlfn.XLOOKUP($C28,Assumptions!$B$36:$B$41,Assumptions!$B$36:$H$41))</f>
        <v>0</v>
      </c>
      <c r="HQJ28">
        <f t="array" ref="HQJ28">_xlfn.XLOOKUP(HQJ$11,Assumptions!$B$35:$H$35,_xlfn.XLOOKUP($C28,Assumptions!$B$36:$B$41,Assumptions!$B$36:$H$41))</f>
        <v>0</v>
      </c>
      <c r="HQK28">
        <f t="array" ref="HQK28">_xlfn.XLOOKUP(HQK$11,Assumptions!$B$35:$H$35,_xlfn.XLOOKUP($C28,Assumptions!$B$36:$B$41,Assumptions!$B$36:$H$41))</f>
        <v>0</v>
      </c>
      <c r="HQL28">
        <f t="array" ref="HQL28">_xlfn.XLOOKUP(HQL$11,Assumptions!$B$35:$H$35,_xlfn.XLOOKUP($C28,Assumptions!$B$36:$B$41,Assumptions!$B$36:$H$41))</f>
        <v>0</v>
      </c>
      <c r="HQM28">
        <f t="array" ref="HQM28">_xlfn.XLOOKUP(HQM$11,Assumptions!$B$35:$H$35,_xlfn.XLOOKUP($C28,Assumptions!$B$36:$B$41,Assumptions!$B$36:$H$41))</f>
        <v>0</v>
      </c>
      <c r="HQN28">
        <f t="array" ref="HQN28">_xlfn.XLOOKUP(HQN$11,Assumptions!$B$35:$H$35,_xlfn.XLOOKUP($C28,Assumptions!$B$36:$B$41,Assumptions!$B$36:$H$41))</f>
        <v>0</v>
      </c>
      <c r="HQO28">
        <f t="array" ref="HQO28">_xlfn.XLOOKUP(HQO$11,Assumptions!$B$35:$H$35,_xlfn.XLOOKUP($C28,Assumptions!$B$36:$B$41,Assumptions!$B$36:$H$41))</f>
        <v>0</v>
      </c>
      <c r="HQP28">
        <f t="array" ref="HQP28">_xlfn.XLOOKUP(HQP$11,Assumptions!$B$35:$H$35,_xlfn.XLOOKUP($C28,Assumptions!$B$36:$B$41,Assumptions!$B$36:$H$41))</f>
        <v>0</v>
      </c>
      <c r="HQQ28">
        <f t="array" ref="HQQ28">_xlfn.XLOOKUP(HQQ$11,Assumptions!$B$35:$H$35,_xlfn.XLOOKUP($C28,Assumptions!$B$36:$B$41,Assumptions!$B$36:$H$41))</f>
        <v>0</v>
      </c>
      <c r="HQR28">
        <f t="array" ref="HQR28">_xlfn.XLOOKUP(HQR$11,Assumptions!$B$35:$H$35,_xlfn.XLOOKUP($C28,Assumptions!$B$36:$B$41,Assumptions!$B$36:$H$41))</f>
        <v>0</v>
      </c>
      <c r="HQS28">
        <f t="array" ref="HQS28">_xlfn.XLOOKUP(HQS$11,Assumptions!$B$35:$H$35,_xlfn.XLOOKUP($C28,Assumptions!$B$36:$B$41,Assumptions!$B$36:$H$41))</f>
        <v>0</v>
      </c>
      <c r="HQT28">
        <f t="array" ref="HQT28">_xlfn.XLOOKUP(HQT$11,Assumptions!$B$35:$H$35,_xlfn.XLOOKUP($C28,Assumptions!$B$36:$B$41,Assumptions!$B$36:$H$41))</f>
        <v>0</v>
      </c>
      <c r="HQU28">
        <f t="array" ref="HQU28">_xlfn.XLOOKUP(HQU$11,Assumptions!$B$35:$H$35,_xlfn.XLOOKUP($C28,Assumptions!$B$36:$B$41,Assumptions!$B$36:$H$41))</f>
        <v>0</v>
      </c>
      <c r="HQV28">
        <f t="array" ref="HQV28">_xlfn.XLOOKUP(HQV$11,Assumptions!$B$35:$H$35,_xlfn.XLOOKUP($C28,Assumptions!$B$36:$B$41,Assumptions!$B$36:$H$41))</f>
        <v>0</v>
      </c>
      <c r="HQW28">
        <f t="array" ref="HQW28">_xlfn.XLOOKUP(HQW$11,Assumptions!$B$35:$H$35,_xlfn.XLOOKUP($C28,Assumptions!$B$36:$B$41,Assumptions!$B$36:$H$41))</f>
        <v>0</v>
      </c>
      <c r="HQX28">
        <f t="array" ref="HQX28">_xlfn.XLOOKUP(HQX$11,Assumptions!$B$35:$H$35,_xlfn.XLOOKUP($C28,Assumptions!$B$36:$B$41,Assumptions!$B$36:$H$41))</f>
        <v>0</v>
      </c>
      <c r="HQY28">
        <f t="array" ref="HQY28">_xlfn.XLOOKUP(HQY$11,Assumptions!$B$35:$H$35,_xlfn.XLOOKUP($C28,Assumptions!$B$36:$B$41,Assumptions!$B$36:$H$41))</f>
        <v>0</v>
      </c>
      <c r="HQZ28">
        <f t="array" ref="HQZ28">_xlfn.XLOOKUP(HQZ$11,Assumptions!$B$35:$H$35,_xlfn.XLOOKUP($C28,Assumptions!$B$36:$B$41,Assumptions!$B$36:$H$41))</f>
        <v>0</v>
      </c>
      <c r="HRA28">
        <f t="array" ref="HRA28">_xlfn.XLOOKUP(HRA$11,Assumptions!$B$35:$H$35,_xlfn.XLOOKUP($C28,Assumptions!$B$36:$B$41,Assumptions!$B$36:$H$41))</f>
        <v>0</v>
      </c>
      <c r="HRB28">
        <f t="array" ref="HRB28">_xlfn.XLOOKUP(HRB$11,Assumptions!$B$35:$H$35,_xlfn.XLOOKUP($C28,Assumptions!$B$36:$B$41,Assumptions!$B$36:$H$41))</f>
        <v>0</v>
      </c>
      <c r="HRC28">
        <f t="array" ref="HRC28">_xlfn.XLOOKUP(HRC$11,Assumptions!$B$35:$H$35,_xlfn.XLOOKUP($C28,Assumptions!$B$36:$B$41,Assumptions!$B$36:$H$41))</f>
        <v>0</v>
      </c>
      <c r="HRD28">
        <f t="array" ref="HRD28">_xlfn.XLOOKUP(HRD$11,Assumptions!$B$35:$H$35,_xlfn.XLOOKUP($C28,Assumptions!$B$36:$B$41,Assumptions!$B$36:$H$41))</f>
        <v>0</v>
      </c>
      <c r="HRE28">
        <f t="array" ref="HRE28">_xlfn.XLOOKUP(HRE$11,Assumptions!$B$35:$H$35,_xlfn.XLOOKUP($C28,Assumptions!$B$36:$B$41,Assumptions!$B$36:$H$41))</f>
        <v>0</v>
      </c>
      <c r="HRF28">
        <f t="array" ref="HRF28">_xlfn.XLOOKUP(HRF$11,Assumptions!$B$35:$H$35,_xlfn.XLOOKUP($C28,Assumptions!$B$36:$B$41,Assumptions!$B$36:$H$41))</f>
        <v>0</v>
      </c>
      <c r="HRG28">
        <f t="array" ref="HRG28">_xlfn.XLOOKUP(HRG$11,Assumptions!$B$35:$H$35,_xlfn.XLOOKUP($C28,Assumptions!$B$36:$B$41,Assumptions!$B$36:$H$41))</f>
        <v>0</v>
      </c>
      <c r="HRH28">
        <f t="array" ref="HRH28">_xlfn.XLOOKUP(HRH$11,Assumptions!$B$35:$H$35,_xlfn.XLOOKUP($C28,Assumptions!$B$36:$B$41,Assumptions!$B$36:$H$41))</f>
        <v>0</v>
      </c>
      <c r="HRI28">
        <f t="array" ref="HRI28">_xlfn.XLOOKUP(HRI$11,Assumptions!$B$35:$H$35,_xlfn.XLOOKUP($C28,Assumptions!$B$36:$B$41,Assumptions!$B$36:$H$41))</f>
        <v>0</v>
      </c>
      <c r="HRJ28">
        <f t="array" ref="HRJ28">_xlfn.XLOOKUP(HRJ$11,Assumptions!$B$35:$H$35,_xlfn.XLOOKUP($C28,Assumptions!$B$36:$B$41,Assumptions!$B$36:$H$41))</f>
        <v>0</v>
      </c>
      <c r="HRK28">
        <f t="array" ref="HRK28">_xlfn.XLOOKUP(HRK$11,Assumptions!$B$35:$H$35,_xlfn.XLOOKUP($C28,Assumptions!$B$36:$B$41,Assumptions!$B$36:$H$41))</f>
        <v>0</v>
      </c>
      <c r="HRL28">
        <f t="array" ref="HRL28">_xlfn.XLOOKUP(HRL$11,Assumptions!$B$35:$H$35,_xlfn.XLOOKUP($C28,Assumptions!$B$36:$B$41,Assumptions!$B$36:$H$41))</f>
        <v>0</v>
      </c>
      <c r="HRM28">
        <f t="array" ref="HRM28">_xlfn.XLOOKUP(HRM$11,Assumptions!$B$35:$H$35,_xlfn.XLOOKUP($C28,Assumptions!$B$36:$B$41,Assumptions!$B$36:$H$41))</f>
        <v>0</v>
      </c>
      <c r="HRN28">
        <f t="array" ref="HRN28">_xlfn.XLOOKUP(HRN$11,Assumptions!$B$35:$H$35,_xlfn.XLOOKUP($C28,Assumptions!$B$36:$B$41,Assumptions!$B$36:$H$41))</f>
        <v>0</v>
      </c>
      <c r="HRO28">
        <f t="array" ref="HRO28">_xlfn.XLOOKUP(HRO$11,Assumptions!$B$35:$H$35,_xlfn.XLOOKUP($C28,Assumptions!$B$36:$B$41,Assumptions!$B$36:$H$41))</f>
        <v>0</v>
      </c>
      <c r="HRP28">
        <f t="array" ref="HRP28">_xlfn.XLOOKUP(HRP$11,Assumptions!$B$35:$H$35,_xlfn.XLOOKUP($C28,Assumptions!$B$36:$B$41,Assumptions!$B$36:$H$41))</f>
        <v>0</v>
      </c>
      <c r="HRQ28">
        <f t="array" ref="HRQ28">_xlfn.XLOOKUP(HRQ$11,Assumptions!$B$35:$H$35,_xlfn.XLOOKUP($C28,Assumptions!$B$36:$B$41,Assumptions!$B$36:$H$41))</f>
        <v>0</v>
      </c>
      <c r="HRR28">
        <f t="array" ref="HRR28">_xlfn.XLOOKUP(HRR$11,Assumptions!$B$35:$H$35,_xlfn.XLOOKUP($C28,Assumptions!$B$36:$B$41,Assumptions!$B$36:$H$41))</f>
        <v>0</v>
      </c>
      <c r="HRS28">
        <f t="array" ref="HRS28">_xlfn.XLOOKUP(HRS$11,Assumptions!$B$35:$H$35,_xlfn.XLOOKUP($C28,Assumptions!$B$36:$B$41,Assumptions!$B$36:$H$41))</f>
        <v>0</v>
      </c>
      <c r="HRT28">
        <f t="array" ref="HRT28">_xlfn.XLOOKUP(HRT$11,Assumptions!$B$35:$H$35,_xlfn.XLOOKUP($C28,Assumptions!$B$36:$B$41,Assumptions!$B$36:$H$41))</f>
        <v>0</v>
      </c>
      <c r="HRU28">
        <f t="array" ref="HRU28">_xlfn.XLOOKUP(HRU$11,Assumptions!$B$35:$H$35,_xlfn.XLOOKUP($C28,Assumptions!$B$36:$B$41,Assumptions!$B$36:$H$41))</f>
        <v>0</v>
      </c>
      <c r="HRV28">
        <f t="array" ref="HRV28">_xlfn.XLOOKUP(HRV$11,Assumptions!$B$35:$H$35,_xlfn.XLOOKUP($C28,Assumptions!$B$36:$B$41,Assumptions!$B$36:$H$41))</f>
        <v>0</v>
      </c>
      <c r="HRW28">
        <f t="array" ref="HRW28">_xlfn.XLOOKUP(HRW$11,Assumptions!$B$35:$H$35,_xlfn.XLOOKUP($C28,Assumptions!$B$36:$B$41,Assumptions!$B$36:$H$41))</f>
        <v>0</v>
      </c>
      <c r="HRX28">
        <f t="array" ref="HRX28">_xlfn.XLOOKUP(HRX$11,Assumptions!$B$35:$H$35,_xlfn.XLOOKUP($C28,Assumptions!$B$36:$B$41,Assumptions!$B$36:$H$41))</f>
        <v>0</v>
      </c>
      <c r="HRY28">
        <f t="array" ref="HRY28">_xlfn.XLOOKUP(HRY$11,Assumptions!$B$35:$H$35,_xlfn.XLOOKUP($C28,Assumptions!$B$36:$B$41,Assumptions!$B$36:$H$41))</f>
        <v>0</v>
      </c>
      <c r="HRZ28">
        <f t="array" ref="HRZ28">_xlfn.XLOOKUP(HRZ$11,Assumptions!$B$35:$H$35,_xlfn.XLOOKUP($C28,Assumptions!$B$36:$B$41,Assumptions!$B$36:$H$41))</f>
        <v>0</v>
      </c>
      <c r="HSA28">
        <f t="array" ref="HSA28">_xlfn.XLOOKUP(HSA$11,Assumptions!$B$35:$H$35,_xlfn.XLOOKUP($C28,Assumptions!$B$36:$B$41,Assumptions!$B$36:$H$41))</f>
        <v>0</v>
      </c>
      <c r="HSB28">
        <f t="array" ref="HSB28">_xlfn.XLOOKUP(HSB$11,Assumptions!$B$35:$H$35,_xlfn.XLOOKUP($C28,Assumptions!$B$36:$B$41,Assumptions!$B$36:$H$41))</f>
        <v>0</v>
      </c>
      <c r="HSC28">
        <f t="array" ref="HSC28">_xlfn.XLOOKUP(HSC$11,Assumptions!$B$35:$H$35,_xlfn.XLOOKUP($C28,Assumptions!$B$36:$B$41,Assumptions!$B$36:$H$41))</f>
        <v>0</v>
      </c>
      <c r="HSD28">
        <f t="array" ref="HSD28">_xlfn.XLOOKUP(HSD$11,Assumptions!$B$35:$H$35,_xlfn.XLOOKUP($C28,Assumptions!$B$36:$B$41,Assumptions!$B$36:$H$41))</f>
        <v>0</v>
      </c>
      <c r="HSE28">
        <f t="array" ref="HSE28">_xlfn.XLOOKUP(HSE$11,Assumptions!$B$35:$H$35,_xlfn.XLOOKUP($C28,Assumptions!$B$36:$B$41,Assumptions!$B$36:$H$41))</f>
        <v>0</v>
      </c>
      <c r="HSF28">
        <f t="array" ref="HSF28">_xlfn.XLOOKUP(HSF$11,Assumptions!$B$35:$H$35,_xlfn.XLOOKUP($C28,Assumptions!$B$36:$B$41,Assumptions!$B$36:$H$41))</f>
        <v>0</v>
      </c>
      <c r="HSG28">
        <f t="array" ref="HSG28">_xlfn.XLOOKUP(HSG$11,Assumptions!$B$35:$H$35,_xlfn.XLOOKUP($C28,Assumptions!$B$36:$B$41,Assumptions!$B$36:$H$41))</f>
        <v>0</v>
      </c>
      <c r="HSH28">
        <f t="array" ref="HSH28">_xlfn.XLOOKUP(HSH$11,Assumptions!$B$35:$H$35,_xlfn.XLOOKUP($C28,Assumptions!$B$36:$B$41,Assumptions!$B$36:$H$41))</f>
        <v>0</v>
      </c>
      <c r="HSI28">
        <f t="array" ref="HSI28">_xlfn.XLOOKUP(HSI$11,Assumptions!$B$35:$H$35,_xlfn.XLOOKUP($C28,Assumptions!$B$36:$B$41,Assumptions!$B$36:$H$41))</f>
        <v>0</v>
      </c>
      <c r="HSJ28">
        <f t="array" ref="HSJ28">_xlfn.XLOOKUP(HSJ$11,Assumptions!$B$35:$H$35,_xlfn.XLOOKUP($C28,Assumptions!$B$36:$B$41,Assumptions!$B$36:$H$41))</f>
        <v>0</v>
      </c>
      <c r="HSK28">
        <f t="array" ref="HSK28">_xlfn.XLOOKUP(HSK$11,Assumptions!$B$35:$H$35,_xlfn.XLOOKUP($C28,Assumptions!$B$36:$B$41,Assumptions!$B$36:$H$41))</f>
        <v>0</v>
      </c>
      <c r="HSL28">
        <f t="array" ref="HSL28">_xlfn.XLOOKUP(HSL$11,Assumptions!$B$35:$H$35,_xlfn.XLOOKUP($C28,Assumptions!$B$36:$B$41,Assumptions!$B$36:$H$41))</f>
        <v>0</v>
      </c>
      <c r="HSM28">
        <f t="array" ref="HSM28">_xlfn.XLOOKUP(HSM$11,Assumptions!$B$35:$H$35,_xlfn.XLOOKUP($C28,Assumptions!$B$36:$B$41,Assumptions!$B$36:$H$41))</f>
        <v>0</v>
      </c>
      <c r="HSN28">
        <f t="array" ref="HSN28">_xlfn.XLOOKUP(HSN$11,Assumptions!$B$35:$H$35,_xlfn.XLOOKUP($C28,Assumptions!$B$36:$B$41,Assumptions!$B$36:$H$41))</f>
        <v>0</v>
      </c>
      <c r="HSO28">
        <f t="array" ref="HSO28">_xlfn.XLOOKUP(HSO$11,Assumptions!$B$35:$H$35,_xlfn.XLOOKUP($C28,Assumptions!$B$36:$B$41,Assumptions!$B$36:$H$41))</f>
        <v>0</v>
      </c>
      <c r="HSP28">
        <f t="array" ref="HSP28">_xlfn.XLOOKUP(HSP$11,Assumptions!$B$35:$H$35,_xlfn.XLOOKUP($C28,Assumptions!$B$36:$B$41,Assumptions!$B$36:$H$41))</f>
        <v>0</v>
      </c>
      <c r="HSQ28">
        <f t="array" ref="HSQ28">_xlfn.XLOOKUP(HSQ$11,Assumptions!$B$35:$H$35,_xlfn.XLOOKUP($C28,Assumptions!$B$36:$B$41,Assumptions!$B$36:$H$41))</f>
        <v>0</v>
      </c>
      <c r="HSR28">
        <f t="array" ref="HSR28">_xlfn.XLOOKUP(HSR$11,Assumptions!$B$35:$H$35,_xlfn.XLOOKUP($C28,Assumptions!$B$36:$B$41,Assumptions!$B$36:$H$41))</f>
        <v>0</v>
      </c>
      <c r="HSS28">
        <f t="array" ref="HSS28">_xlfn.XLOOKUP(HSS$11,Assumptions!$B$35:$H$35,_xlfn.XLOOKUP($C28,Assumptions!$B$36:$B$41,Assumptions!$B$36:$H$41))</f>
        <v>0</v>
      </c>
      <c r="HST28">
        <f t="array" ref="HST28">_xlfn.XLOOKUP(HST$11,Assumptions!$B$35:$H$35,_xlfn.XLOOKUP($C28,Assumptions!$B$36:$B$41,Assumptions!$B$36:$H$41))</f>
        <v>0</v>
      </c>
      <c r="HSU28">
        <f t="array" ref="HSU28">_xlfn.XLOOKUP(HSU$11,Assumptions!$B$35:$H$35,_xlfn.XLOOKUP($C28,Assumptions!$B$36:$B$41,Assumptions!$B$36:$H$41))</f>
        <v>0</v>
      </c>
      <c r="HSV28">
        <f t="array" ref="HSV28">_xlfn.XLOOKUP(HSV$11,Assumptions!$B$35:$H$35,_xlfn.XLOOKUP($C28,Assumptions!$B$36:$B$41,Assumptions!$B$36:$H$41))</f>
        <v>0</v>
      </c>
      <c r="HSW28">
        <f t="array" ref="HSW28">_xlfn.XLOOKUP(HSW$11,Assumptions!$B$35:$H$35,_xlfn.XLOOKUP($C28,Assumptions!$B$36:$B$41,Assumptions!$B$36:$H$41))</f>
        <v>0</v>
      </c>
      <c r="HSX28">
        <f t="array" ref="HSX28">_xlfn.XLOOKUP(HSX$11,Assumptions!$B$35:$H$35,_xlfn.XLOOKUP($C28,Assumptions!$B$36:$B$41,Assumptions!$B$36:$H$41))</f>
        <v>0</v>
      </c>
      <c r="HSY28">
        <f t="array" ref="HSY28">_xlfn.XLOOKUP(HSY$11,Assumptions!$B$35:$H$35,_xlfn.XLOOKUP($C28,Assumptions!$B$36:$B$41,Assumptions!$B$36:$H$41))</f>
        <v>0</v>
      </c>
      <c r="HSZ28">
        <f t="array" ref="HSZ28">_xlfn.XLOOKUP(HSZ$11,Assumptions!$B$35:$H$35,_xlfn.XLOOKUP($C28,Assumptions!$B$36:$B$41,Assumptions!$B$36:$H$41))</f>
        <v>0</v>
      </c>
      <c r="HTA28">
        <f t="array" ref="HTA28">_xlfn.XLOOKUP(HTA$11,Assumptions!$B$35:$H$35,_xlfn.XLOOKUP($C28,Assumptions!$B$36:$B$41,Assumptions!$B$36:$H$41))</f>
        <v>0</v>
      </c>
      <c r="HTB28">
        <f t="array" ref="HTB28">_xlfn.XLOOKUP(HTB$11,Assumptions!$B$35:$H$35,_xlfn.XLOOKUP($C28,Assumptions!$B$36:$B$41,Assumptions!$B$36:$H$41))</f>
        <v>0</v>
      </c>
      <c r="HTC28">
        <f t="array" ref="HTC28">_xlfn.XLOOKUP(HTC$11,Assumptions!$B$35:$H$35,_xlfn.XLOOKUP($C28,Assumptions!$B$36:$B$41,Assumptions!$B$36:$H$41))</f>
        <v>0</v>
      </c>
      <c r="HTD28">
        <f t="array" ref="HTD28">_xlfn.XLOOKUP(HTD$11,Assumptions!$B$35:$H$35,_xlfn.XLOOKUP($C28,Assumptions!$B$36:$B$41,Assumptions!$B$36:$H$41))</f>
        <v>0</v>
      </c>
      <c r="HTE28">
        <f t="array" ref="HTE28">_xlfn.XLOOKUP(HTE$11,Assumptions!$B$35:$H$35,_xlfn.XLOOKUP($C28,Assumptions!$B$36:$B$41,Assumptions!$B$36:$H$41))</f>
        <v>0</v>
      </c>
      <c r="HTF28">
        <f t="array" ref="HTF28">_xlfn.XLOOKUP(HTF$11,Assumptions!$B$35:$H$35,_xlfn.XLOOKUP($C28,Assumptions!$B$36:$B$41,Assumptions!$B$36:$H$41))</f>
        <v>0</v>
      </c>
      <c r="HTG28">
        <f t="array" ref="HTG28">_xlfn.XLOOKUP(HTG$11,Assumptions!$B$35:$H$35,_xlfn.XLOOKUP($C28,Assumptions!$B$36:$B$41,Assumptions!$B$36:$H$41))</f>
        <v>0</v>
      </c>
      <c r="HTH28">
        <f t="array" ref="HTH28">_xlfn.XLOOKUP(HTH$11,Assumptions!$B$35:$H$35,_xlfn.XLOOKUP($C28,Assumptions!$B$36:$B$41,Assumptions!$B$36:$H$41))</f>
        <v>0</v>
      </c>
      <c r="HTI28">
        <f t="array" ref="HTI28">_xlfn.XLOOKUP(HTI$11,Assumptions!$B$35:$H$35,_xlfn.XLOOKUP($C28,Assumptions!$B$36:$B$41,Assumptions!$B$36:$H$41))</f>
        <v>0</v>
      </c>
      <c r="HTJ28">
        <f t="array" ref="HTJ28">_xlfn.XLOOKUP(HTJ$11,Assumptions!$B$35:$H$35,_xlfn.XLOOKUP($C28,Assumptions!$B$36:$B$41,Assumptions!$B$36:$H$41))</f>
        <v>0</v>
      </c>
      <c r="HTK28">
        <f t="array" ref="HTK28">_xlfn.XLOOKUP(HTK$11,Assumptions!$B$35:$H$35,_xlfn.XLOOKUP($C28,Assumptions!$B$36:$B$41,Assumptions!$B$36:$H$41))</f>
        <v>0</v>
      </c>
      <c r="HTL28">
        <f t="array" ref="HTL28">_xlfn.XLOOKUP(HTL$11,Assumptions!$B$35:$H$35,_xlfn.XLOOKUP($C28,Assumptions!$B$36:$B$41,Assumptions!$B$36:$H$41))</f>
        <v>0</v>
      </c>
      <c r="HTM28">
        <f t="array" ref="HTM28">_xlfn.XLOOKUP(HTM$11,Assumptions!$B$35:$H$35,_xlfn.XLOOKUP($C28,Assumptions!$B$36:$B$41,Assumptions!$B$36:$H$41))</f>
        <v>0</v>
      </c>
      <c r="HTN28">
        <f t="array" ref="HTN28">_xlfn.XLOOKUP(HTN$11,Assumptions!$B$35:$H$35,_xlfn.XLOOKUP($C28,Assumptions!$B$36:$B$41,Assumptions!$B$36:$H$41))</f>
        <v>0</v>
      </c>
      <c r="HTO28">
        <f t="array" ref="HTO28">_xlfn.XLOOKUP(HTO$11,Assumptions!$B$35:$H$35,_xlfn.XLOOKUP($C28,Assumptions!$B$36:$B$41,Assumptions!$B$36:$H$41))</f>
        <v>0</v>
      </c>
      <c r="HTP28">
        <f t="array" ref="HTP28">_xlfn.XLOOKUP(HTP$11,Assumptions!$B$35:$H$35,_xlfn.XLOOKUP($C28,Assumptions!$B$36:$B$41,Assumptions!$B$36:$H$41))</f>
        <v>0</v>
      </c>
      <c r="HTQ28">
        <f t="array" ref="HTQ28">_xlfn.XLOOKUP(HTQ$11,Assumptions!$B$35:$H$35,_xlfn.XLOOKUP($C28,Assumptions!$B$36:$B$41,Assumptions!$B$36:$H$41))</f>
        <v>0</v>
      </c>
      <c r="HTR28">
        <f t="array" ref="HTR28">_xlfn.XLOOKUP(HTR$11,Assumptions!$B$35:$H$35,_xlfn.XLOOKUP($C28,Assumptions!$B$36:$B$41,Assumptions!$B$36:$H$41))</f>
        <v>0</v>
      </c>
      <c r="HTS28">
        <f t="array" ref="HTS28">_xlfn.XLOOKUP(HTS$11,Assumptions!$B$35:$H$35,_xlfn.XLOOKUP($C28,Assumptions!$B$36:$B$41,Assumptions!$B$36:$H$41))</f>
        <v>0</v>
      </c>
      <c r="HTT28">
        <f t="array" ref="HTT28">_xlfn.XLOOKUP(HTT$11,Assumptions!$B$35:$H$35,_xlfn.XLOOKUP($C28,Assumptions!$B$36:$B$41,Assumptions!$B$36:$H$41))</f>
        <v>0</v>
      </c>
      <c r="HTU28">
        <f t="array" ref="HTU28">_xlfn.XLOOKUP(HTU$11,Assumptions!$B$35:$H$35,_xlfn.XLOOKUP($C28,Assumptions!$B$36:$B$41,Assumptions!$B$36:$H$41))</f>
        <v>0</v>
      </c>
      <c r="HTV28">
        <f t="array" ref="HTV28">_xlfn.XLOOKUP(HTV$11,Assumptions!$B$35:$H$35,_xlfn.XLOOKUP($C28,Assumptions!$B$36:$B$41,Assumptions!$B$36:$H$41))</f>
        <v>0</v>
      </c>
      <c r="HTW28">
        <f t="array" ref="HTW28">_xlfn.XLOOKUP(HTW$11,Assumptions!$B$35:$H$35,_xlfn.XLOOKUP($C28,Assumptions!$B$36:$B$41,Assumptions!$B$36:$H$41))</f>
        <v>0</v>
      </c>
      <c r="HTX28">
        <f t="array" ref="HTX28">_xlfn.XLOOKUP(HTX$11,Assumptions!$B$35:$H$35,_xlfn.XLOOKUP($C28,Assumptions!$B$36:$B$41,Assumptions!$B$36:$H$41))</f>
        <v>0</v>
      </c>
      <c r="HTY28">
        <f t="array" ref="HTY28">_xlfn.XLOOKUP(HTY$11,Assumptions!$B$35:$H$35,_xlfn.XLOOKUP($C28,Assumptions!$B$36:$B$41,Assumptions!$B$36:$H$41))</f>
        <v>0</v>
      </c>
      <c r="HTZ28">
        <f t="array" ref="HTZ28">_xlfn.XLOOKUP(HTZ$11,Assumptions!$B$35:$H$35,_xlfn.XLOOKUP($C28,Assumptions!$B$36:$B$41,Assumptions!$B$36:$H$41))</f>
        <v>0</v>
      </c>
      <c r="HUA28">
        <f t="array" ref="HUA28">_xlfn.XLOOKUP(HUA$11,Assumptions!$B$35:$H$35,_xlfn.XLOOKUP($C28,Assumptions!$B$36:$B$41,Assumptions!$B$36:$H$41))</f>
        <v>0</v>
      </c>
      <c r="HUB28">
        <f t="array" ref="HUB28">_xlfn.XLOOKUP(HUB$11,Assumptions!$B$35:$H$35,_xlfn.XLOOKUP($C28,Assumptions!$B$36:$B$41,Assumptions!$B$36:$H$41))</f>
        <v>0</v>
      </c>
      <c r="HUC28">
        <f t="array" ref="HUC28">_xlfn.XLOOKUP(HUC$11,Assumptions!$B$35:$H$35,_xlfn.XLOOKUP($C28,Assumptions!$B$36:$B$41,Assumptions!$B$36:$H$41))</f>
        <v>0</v>
      </c>
      <c r="HUD28">
        <f t="array" ref="HUD28">_xlfn.XLOOKUP(HUD$11,Assumptions!$B$35:$H$35,_xlfn.XLOOKUP($C28,Assumptions!$B$36:$B$41,Assumptions!$B$36:$H$41))</f>
        <v>0</v>
      </c>
      <c r="HUE28">
        <f t="array" ref="HUE28">_xlfn.XLOOKUP(HUE$11,Assumptions!$B$35:$H$35,_xlfn.XLOOKUP($C28,Assumptions!$B$36:$B$41,Assumptions!$B$36:$H$41))</f>
        <v>0</v>
      </c>
      <c r="HUF28">
        <f t="array" ref="HUF28">_xlfn.XLOOKUP(HUF$11,Assumptions!$B$35:$H$35,_xlfn.XLOOKUP($C28,Assumptions!$B$36:$B$41,Assumptions!$B$36:$H$41))</f>
        <v>0</v>
      </c>
      <c r="HUG28">
        <f t="array" ref="HUG28">_xlfn.XLOOKUP(HUG$11,Assumptions!$B$35:$H$35,_xlfn.XLOOKUP($C28,Assumptions!$B$36:$B$41,Assumptions!$B$36:$H$41))</f>
        <v>0</v>
      </c>
      <c r="HUH28">
        <f t="array" ref="HUH28">_xlfn.XLOOKUP(HUH$11,Assumptions!$B$35:$H$35,_xlfn.XLOOKUP($C28,Assumptions!$B$36:$B$41,Assumptions!$B$36:$H$41))</f>
        <v>0</v>
      </c>
      <c r="HUI28">
        <f t="array" ref="HUI28">_xlfn.XLOOKUP(HUI$11,Assumptions!$B$35:$H$35,_xlfn.XLOOKUP($C28,Assumptions!$B$36:$B$41,Assumptions!$B$36:$H$41))</f>
        <v>0</v>
      </c>
      <c r="HUJ28">
        <f t="array" ref="HUJ28">_xlfn.XLOOKUP(HUJ$11,Assumptions!$B$35:$H$35,_xlfn.XLOOKUP($C28,Assumptions!$B$36:$B$41,Assumptions!$B$36:$H$41))</f>
        <v>0</v>
      </c>
      <c r="HUK28">
        <f t="array" ref="HUK28">_xlfn.XLOOKUP(HUK$11,Assumptions!$B$35:$H$35,_xlfn.XLOOKUP($C28,Assumptions!$B$36:$B$41,Assumptions!$B$36:$H$41))</f>
        <v>0</v>
      </c>
      <c r="HUL28">
        <f t="array" ref="HUL28">_xlfn.XLOOKUP(HUL$11,Assumptions!$B$35:$H$35,_xlfn.XLOOKUP($C28,Assumptions!$B$36:$B$41,Assumptions!$B$36:$H$41))</f>
        <v>0</v>
      </c>
      <c r="HUM28">
        <f t="array" ref="HUM28">_xlfn.XLOOKUP(HUM$11,Assumptions!$B$35:$H$35,_xlfn.XLOOKUP($C28,Assumptions!$B$36:$B$41,Assumptions!$B$36:$H$41))</f>
        <v>0</v>
      </c>
      <c r="HUN28">
        <f t="array" ref="HUN28">_xlfn.XLOOKUP(HUN$11,Assumptions!$B$35:$H$35,_xlfn.XLOOKUP($C28,Assumptions!$B$36:$B$41,Assumptions!$B$36:$H$41))</f>
        <v>0</v>
      </c>
      <c r="HUO28">
        <f t="array" ref="HUO28">_xlfn.XLOOKUP(HUO$11,Assumptions!$B$35:$H$35,_xlfn.XLOOKUP($C28,Assumptions!$B$36:$B$41,Assumptions!$B$36:$H$41))</f>
        <v>0</v>
      </c>
      <c r="HUP28">
        <f t="array" ref="HUP28">_xlfn.XLOOKUP(HUP$11,Assumptions!$B$35:$H$35,_xlfn.XLOOKUP($C28,Assumptions!$B$36:$B$41,Assumptions!$B$36:$H$41))</f>
        <v>0</v>
      </c>
      <c r="HUQ28">
        <f t="array" ref="HUQ28">_xlfn.XLOOKUP(HUQ$11,Assumptions!$B$35:$H$35,_xlfn.XLOOKUP($C28,Assumptions!$B$36:$B$41,Assumptions!$B$36:$H$41))</f>
        <v>0</v>
      </c>
      <c r="HUR28">
        <f t="array" ref="HUR28">_xlfn.XLOOKUP(HUR$11,Assumptions!$B$35:$H$35,_xlfn.XLOOKUP($C28,Assumptions!$B$36:$B$41,Assumptions!$B$36:$H$41))</f>
        <v>0</v>
      </c>
      <c r="HUS28">
        <f t="array" ref="HUS28">_xlfn.XLOOKUP(HUS$11,Assumptions!$B$35:$H$35,_xlfn.XLOOKUP($C28,Assumptions!$B$36:$B$41,Assumptions!$B$36:$H$41))</f>
        <v>0</v>
      </c>
      <c r="HUT28">
        <f t="array" ref="HUT28">_xlfn.XLOOKUP(HUT$11,Assumptions!$B$35:$H$35,_xlfn.XLOOKUP($C28,Assumptions!$B$36:$B$41,Assumptions!$B$36:$H$41))</f>
        <v>0</v>
      </c>
      <c r="HUU28">
        <f t="array" ref="HUU28">_xlfn.XLOOKUP(HUU$11,Assumptions!$B$35:$H$35,_xlfn.XLOOKUP($C28,Assumptions!$B$36:$B$41,Assumptions!$B$36:$H$41))</f>
        <v>0</v>
      </c>
      <c r="HUV28">
        <f t="array" ref="HUV28">_xlfn.XLOOKUP(HUV$11,Assumptions!$B$35:$H$35,_xlfn.XLOOKUP($C28,Assumptions!$B$36:$B$41,Assumptions!$B$36:$H$41))</f>
        <v>0</v>
      </c>
      <c r="HUW28">
        <f t="array" ref="HUW28">_xlfn.XLOOKUP(HUW$11,Assumptions!$B$35:$H$35,_xlfn.XLOOKUP($C28,Assumptions!$B$36:$B$41,Assumptions!$B$36:$H$41))</f>
        <v>0</v>
      </c>
      <c r="HUX28">
        <f t="array" ref="HUX28">_xlfn.XLOOKUP(HUX$11,Assumptions!$B$35:$H$35,_xlfn.XLOOKUP($C28,Assumptions!$B$36:$B$41,Assumptions!$B$36:$H$41))</f>
        <v>0</v>
      </c>
      <c r="HUY28">
        <f t="array" ref="HUY28">_xlfn.XLOOKUP(HUY$11,Assumptions!$B$35:$H$35,_xlfn.XLOOKUP($C28,Assumptions!$B$36:$B$41,Assumptions!$B$36:$H$41))</f>
        <v>0</v>
      </c>
      <c r="HUZ28">
        <f t="array" ref="HUZ28">_xlfn.XLOOKUP(HUZ$11,Assumptions!$B$35:$H$35,_xlfn.XLOOKUP($C28,Assumptions!$B$36:$B$41,Assumptions!$B$36:$H$41))</f>
        <v>0</v>
      </c>
      <c r="HVA28">
        <f t="array" ref="HVA28">_xlfn.XLOOKUP(HVA$11,Assumptions!$B$35:$H$35,_xlfn.XLOOKUP($C28,Assumptions!$B$36:$B$41,Assumptions!$B$36:$H$41))</f>
        <v>0</v>
      </c>
      <c r="HVB28">
        <f t="array" ref="HVB28">_xlfn.XLOOKUP(HVB$11,Assumptions!$B$35:$H$35,_xlfn.XLOOKUP($C28,Assumptions!$B$36:$B$41,Assumptions!$B$36:$H$41))</f>
        <v>0</v>
      </c>
      <c r="HVC28">
        <f t="array" ref="HVC28">_xlfn.XLOOKUP(HVC$11,Assumptions!$B$35:$H$35,_xlfn.XLOOKUP($C28,Assumptions!$B$36:$B$41,Assumptions!$B$36:$H$41))</f>
        <v>0</v>
      </c>
      <c r="HVD28">
        <f t="array" ref="HVD28">_xlfn.XLOOKUP(HVD$11,Assumptions!$B$35:$H$35,_xlfn.XLOOKUP($C28,Assumptions!$B$36:$B$41,Assumptions!$B$36:$H$41))</f>
        <v>0</v>
      </c>
      <c r="HVE28">
        <f t="array" ref="HVE28">_xlfn.XLOOKUP(HVE$11,Assumptions!$B$35:$H$35,_xlfn.XLOOKUP($C28,Assumptions!$B$36:$B$41,Assumptions!$B$36:$H$41))</f>
        <v>0</v>
      </c>
      <c r="HVF28">
        <f t="array" ref="HVF28">_xlfn.XLOOKUP(HVF$11,Assumptions!$B$35:$H$35,_xlfn.XLOOKUP($C28,Assumptions!$B$36:$B$41,Assumptions!$B$36:$H$41))</f>
        <v>0</v>
      </c>
      <c r="HVG28">
        <f t="array" ref="HVG28">_xlfn.XLOOKUP(HVG$11,Assumptions!$B$35:$H$35,_xlfn.XLOOKUP($C28,Assumptions!$B$36:$B$41,Assumptions!$B$36:$H$41))</f>
        <v>0</v>
      </c>
      <c r="HVH28">
        <f t="array" ref="HVH28">_xlfn.XLOOKUP(HVH$11,Assumptions!$B$35:$H$35,_xlfn.XLOOKUP($C28,Assumptions!$B$36:$B$41,Assumptions!$B$36:$H$41))</f>
        <v>0</v>
      </c>
      <c r="HVI28">
        <f t="array" ref="HVI28">_xlfn.XLOOKUP(HVI$11,Assumptions!$B$35:$H$35,_xlfn.XLOOKUP($C28,Assumptions!$B$36:$B$41,Assumptions!$B$36:$H$41))</f>
        <v>0</v>
      </c>
      <c r="HVJ28">
        <f t="array" ref="HVJ28">_xlfn.XLOOKUP(HVJ$11,Assumptions!$B$35:$H$35,_xlfn.XLOOKUP($C28,Assumptions!$B$36:$B$41,Assumptions!$B$36:$H$41))</f>
        <v>0</v>
      </c>
      <c r="HVK28">
        <f t="array" ref="HVK28">_xlfn.XLOOKUP(HVK$11,Assumptions!$B$35:$H$35,_xlfn.XLOOKUP($C28,Assumptions!$B$36:$B$41,Assumptions!$B$36:$H$41))</f>
        <v>0</v>
      </c>
      <c r="HVL28">
        <f t="array" ref="HVL28">_xlfn.XLOOKUP(HVL$11,Assumptions!$B$35:$H$35,_xlfn.XLOOKUP($C28,Assumptions!$B$36:$B$41,Assumptions!$B$36:$H$41))</f>
        <v>0</v>
      </c>
      <c r="HVM28">
        <f t="array" ref="HVM28">_xlfn.XLOOKUP(HVM$11,Assumptions!$B$35:$H$35,_xlfn.XLOOKUP($C28,Assumptions!$B$36:$B$41,Assumptions!$B$36:$H$41))</f>
        <v>0</v>
      </c>
      <c r="HVN28">
        <f t="array" ref="HVN28">_xlfn.XLOOKUP(HVN$11,Assumptions!$B$35:$H$35,_xlfn.XLOOKUP($C28,Assumptions!$B$36:$B$41,Assumptions!$B$36:$H$41))</f>
        <v>0</v>
      </c>
      <c r="HVO28">
        <f t="array" ref="HVO28">_xlfn.XLOOKUP(HVO$11,Assumptions!$B$35:$H$35,_xlfn.XLOOKUP($C28,Assumptions!$B$36:$B$41,Assumptions!$B$36:$H$41))</f>
        <v>0</v>
      </c>
      <c r="HVP28">
        <f t="array" ref="HVP28">_xlfn.XLOOKUP(HVP$11,Assumptions!$B$35:$H$35,_xlfn.XLOOKUP($C28,Assumptions!$B$36:$B$41,Assumptions!$B$36:$H$41))</f>
        <v>0</v>
      </c>
      <c r="HVQ28">
        <f t="array" ref="HVQ28">_xlfn.XLOOKUP(HVQ$11,Assumptions!$B$35:$H$35,_xlfn.XLOOKUP($C28,Assumptions!$B$36:$B$41,Assumptions!$B$36:$H$41))</f>
        <v>0</v>
      </c>
      <c r="HVR28">
        <f t="array" ref="HVR28">_xlfn.XLOOKUP(HVR$11,Assumptions!$B$35:$H$35,_xlfn.XLOOKUP($C28,Assumptions!$B$36:$B$41,Assumptions!$B$36:$H$41))</f>
        <v>0</v>
      </c>
      <c r="HVS28">
        <f t="array" ref="HVS28">_xlfn.XLOOKUP(HVS$11,Assumptions!$B$35:$H$35,_xlfn.XLOOKUP($C28,Assumptions!$B$36:$B$41,Assumptions!$B$36:$H$41))</f>
        <v>0</v>
      </c>
      <c r="HVT28">
        <f t="array" ref="HVT28">_xlfn.XLOOKUP(HVT$11,Assumptions!$B$35:$H$35,_xlfn.XLOOKUP($C28,Assumptions!$B$36:$B$41,Assumptions!$B$36:$H$41))</f>
        <v>0</v>
      </c>
      <c r="HVU28">
        <f t="array" ref="HVU28">_xlfn.XLOOKUP(HVU$11,Assumptions!$B$35:$H$35,_xlfn.XLOOKUP($C28,Assumptions!$B$36:$B$41,Assumptions!$B$36:$H$41))</f>
        <v>0</v>
      </c>
      <c r="HVV28">
        <f t="array" ref="HVV28">_xlfn.XLOOKUP(HVV$11,Assumptions!$B$35:$H$35,_xlfn.XLOOKUP($C28,Assumptions!$B$36:$B$41,Assumptions!$B$36:$H$41))</f>
        <v>0</v>
      </c>
      <c r="HVW28">
        <f t="array" ref="HVW28">_xlfn.XLOOKUP(HVW$11,Assumptions!$B$35:$H$35,_xlfn.XLOOKUP($C28,Assumptions!$B$36:$B$41,Assumptions!$B$36:$H$41))</f>
        <v>0</v>
      </c>
      <c r="HVX28">
        <f t="array" ref="HVX28">_xlfn.XLOOKUP(HVX$11,Assumptions!$B$35:$H$35,_xlfn.XLOOKUP($C28,Assumptions!$B$36:$B$41,Assumptions!$B$36:$H$41))</f>
        <v>0</v>
      </c>
      <c r="HVY28">
        <f t="array" ref="HVY28">_xlfn.XLOOKUP(HVY$11,Assumptions!$B$35:$H$35,_xlfn.XLOOKUP($C28,Assumptions!$B$36:$B$41,Assumptions!$B$36:$H$41))</f>
        <v>0</v>
      </c>
      <c r="HVZ28">
        <f t="array" ref="HVZ28">_xlfn.XLOOKUP(HVZ$11,Assumptions!$B$35:$H$35,_xlfn.XLOOKUP($C28,Assumptions!$B$36:$B$41,Assumptions!$B$36:$H$41))</f>
        <v>0</v>
      </c>
      <c r="HWA28">
        <f t="array" ref="HWA28">_xlfn.XLOOKUP(HWA$11,Assumptions!$B$35:$H$35,_xlfn.XLOOKUP($C28,Assumptions!$B$36:$B$41,Assumptions!$B$36:$H$41))</f>
        <v>0</v>
      </c>
      <c r="HWB28">
        <f t="array" ref="HWB28">_xlfn.XLOOKUP(HWB$11,Assumptions!$B$35:$H$35,_xlfn.XLOOKUP($C28,Assumptions!$B$36:$B$41,Assumptions!$B$36:$H$41))</f>
        <v>0</v>
      </c>
      <c r="HWC28">
        <f t="array" ref="HWC28">_xlfn.XLOOKUP(HWC$11,Assumptions!$B$35:$H$35,_xlfn.XLOOKUP($C28,Assumptions!$B$36:$B$41,Assumptions!$B$36:$H$41))</f>
        <v>0</v>
      </c>
      <c r="HWD28">
        <f t="array" ref="HWD28">_xlfn.XLOOKUP(HWD$11,Assumptions!$B$35:$H$35,_xlfn.XLOOKUP($C28,Assumptions!$B$36:$B$41,Assumptions!$B$36:$H$41))</f>
        <v>0</v>
      </c>
      <c r="HWE28">
        <f t="array" ref="HWE28">_xlfn.XLOOKUP(HWE$11,Assumptions!$B$35:$H$35,_xlfn.XLOOKUP($C28,Assumptions!$B$36:$B$41,Assumptions!$B$36:$H$41))</f>
        <v>0</v>
      </c>
      <c r="HWF28">
        <f t="array" ref="HWF28">_xlfn.XLOOKUP(HWF$11,Assumptions!$B$35:$H$35,_xlfn.XLOOKUP($C28,Assumptions!$B$36:$B$41,Assumptions!$B$36:$H$41))</f>
        <v>0</v>
      </c>
      <c r="HWG28">
        <f t="array" ref="HWG28">_xlfn.XLOOKUP(HWG$11,Assumptions!$B$35:$H$35,_xlfn.XLOOKUP($C28,Assumptions!$B$36:$B$41,Assumptions!$B$36:$H$41))</f>
        <v>0</v>
      </c>
      <c r="HWH28">
        <f t="array" ref="HWH28">_xlfn.XLOOKUP(HWH$11,Assumptions!$B$35:$H$35,_xlfn.XLOOKUP($C28,Assumptions!$B$36:$B$41,Assumptions!$B$36:$H$41))</f>
        <v>0</v>
      </c>
      <c r="HWI28">
        <f t="array" ref="HWI28">_xlfn.XLOOKUP(HWI$11,Assumptions!$B$35:$H$35,_xlfn.XLOOKUP($C28,Assumptions!$B$36:$B$41,Assumptions!$B$36:$H$41))</f>
        <v>0</v>
      </c>
      <c r="HWJ28">
        <f t="array" ref="HWJ28">_xlfn.XLOOKUP(HWJ$11,Assumptions!$B$35:$H$35,_xlfn.XLOOKUP($C28,Assumptions!$B$36:$B$41,Assumptions!$B$36:$H$41))</f>
        <v>0</v>
      </c>
      <c r="HWK28">
        <f t="array" ref="HWK28">_xlfn.XLOOKUP(HWK$11,Assumptions!$B$35:$H$35,_xlfn.XLOOKUP($C28,Assumptions!$B$36:$B$41,Assumptions!$B$36:$H$41))</f>
        <v>0</v>
      </c>
      <c r="HWL28">
        <f t="array" ref="HWL28">_xlfn.XLOOKUP(HWL$11,Assumptions!$B$35:$H$35,_xlfn.XLOOKUP($C28,Assumptions!$B$36:$B$41,Assumptions!$B$36:$H$41))</f>
        <v>0</v>
      </c>
      <c r="HWM28">
        <f t="array" ref="HWM28">_xlfn.XLOOKUP(HWM$11,Assumptions!$B$35:$H$35,_xlfn.XLOOKUP($C28,Assumptions!$B$36:$B$41,Assumptions!$B$36:$H$41))</f>
        <v>0</v>
      </c>
      <c r="HWN28">
        <f t="array" ref="HWN28">_xlfn.XLOOKUP(HWN$11,Assumptions!$B$35:$H$35,_xlfn.XLOOKUP($C28,Assumptions!$B$36:$B$41,Assumptions!$B$36:$H$41))</f>
        <v>0</v>
      </c>
      <c r="HWO28">
        <f t="array" ref="HWO28">_xlfn.XLOOKUP(HWO$11,Assumptions!$B$35:$H$35,_xlfn.XLOOKUP($C28,Assumptions!$B$36:$B$41,Assumptions!$B$36:$H$41))</f>
        <v>0</v>
      </c>
      <c r="HWP28">
        <f t="array" ref="HWP28">_xlfn.XLOOKUP(HWP$11,Assumptions!$B$35:$H$35,_xlfn.XLOOKUP($C28,Assumptions!$B$36:$B$41,Assumptions!$B$36:$H$41))</f>
        <v>0</v>
      </c>
      <c r="HWQ28">
        <f t="array" ref="HWQ28">_xlfn.XLOOKUP(HWQ$11,Assumptions!$B$35:$H$35,_xlfn.XLOOKUP($C28,Assumptions!$B$36:$B$41,Assumptions!$B$36:$H$41))</f>
        <v>0</v>
      </c>
      <c r="HWR28">
        <f t="array" ref="HWR28">_xlfn.XLOOKUP(HWR$11,Assumptions!$B$35:$H$35,_xlfn.XLOOKUP($C28,Assumptions!$B$36:$B$41,Assumptions!$B$36:$H$41))</f>
        <v>0</v>
      </c>
      <c r="HWS28">
        <f t="array" ref="HWS28">_xlfn.XLOOKUP(HWS$11,Assumptions!$B$35:$H$35,_xlfn.XLOOKUP($C28,Assumptions!$B$36:$B$41,Assumptions!$B$36:$H$41))</f>
        <v>0</v>
      </c>
      <c r="HWT28">
        <f t="array" ref="HWT28">_xlfn.XLOOKUP(HWT$11,Assumptions!$B$35:$H$35,_xlfn.XLOOKUP($C28,Assumptions!$B$36:$B$41,Assumptions!$B$36:$H$41))</f>
        <v>0</v>
      </c>
      <c r="HWU28">
        <f t="array" ref="HWU28">_xlfn.XLOOKUP(HWU$11,Assumptions!$B$35:$H$35,_xlfn.XLOOKUP($C28,Assumptions!$B$36:$B$41,Assumptions!$B$36:$H$41))</f>
        <v>0</v>
      </c>
      <c r="HWV28">
        <f t="array" ref="HWV28">_xlfn.XLOOKUP(HWV$11,Assumptions!$B$35:$H$35,_xlfn.XLOOKUP($C28,Assumptions!$B$36:$B$41,Assumptions!$B$36:$H$41))</f>
        <v>0</v>
      </c>
      <c r="HWW28">
        <f t="array" ref="HWW28">_xlfn.XLOOKUP(HWW$11,Assumptions!$B$35:$H$35,_xlfn.XLOOKUP($C28,Assumptions!$B$36:$B$41,Assumptions!$B$36:$H$41))</f>
        <v>0</v>
      </c>
      <c r="HWX28">
        <f t="array" ref="HWX28">_xlfn.XLOOKUP(HWX$11,Assumptions!$B$35:$H$35,_xlfn.XLOOKUP($C28,Assumptions!$B$36:$B$41,Assumptions!$B$36:$H$41))</f>
        <v>0</v>
      </c>
      <c r="HWY28">
        <f t="array" ref="HWY28">_xlfn.XLOOKUP(HWY$11,Assumptions!$B$35:$H$35,_xlfn.XLOOKUP($C28,Assumptions!$B$36:$B$41,Assumptions!$B$36:$H$41))</f>
        <v>0</v>
      </c>
      <c r="HWZ28">
        <f t="array" ref="HWZ28">_xlfn.XLOOKUP(HWZ$11,Assumptions!$B$35:$H$35,_xlfn.XLOOKUP($C28,Assumptions!$B$36:$B$41,Assumptions!$B$36:$H$41))</f>
        <v>0</v>
      </c>
      <c r="HXA28">
        <f t="array" ref="HXA28">_xlfn.XLOOKUP(HXA$11,Assumptions!$B$35:$H$35,_xlfn.XLOOKUP($C28,Assumptions!$B$36:$B$41,Assumptions!$B$36:$H$41))</f>
        <v>0</v>
      </c>
      <c r="HXB28">
        <f t="array" ref="HXB28">_xlfn.XLOOKUP(HXB$11,Assumptions!$B$35:$H$35,_xlfn.XLOOKUP($C28,Assumptions!$B$36:$B$41,Assumptions!$B$36:$H$41))</f>
        <v>0</v>
      </c>
      <c r="HXC28">
        <f t="array" ref="HXC28">_xlfn.XLOOKUP(HXC$11,Assumptions!$B$35:$H$35,_xlfn.XLOOKUP($C28,Assumptions!$B$36:$B$41,Assumptions!$B$36:$H$41))</f>
        <v>0</v>
      </c>
      <c r="HXD28">
        <f t="array" ref="HXD28">_xlfn.XLOOKUP(HXD$11,Assumptions!$B$35:$H$35,_xlfn.XLOOKUP($C28,Assumptions!$B$36:$B$41,Assumptions!$B$36:$H$41))</f>
        <v>0</v>
      </c>
      <c r="HXE28">
        <f t="array" ref="HXE28">_xlfn.XLOOKUP(HXE$11,Assumptions!$B$35:$H$35,_xlfn.XLOOKUP($C28,Assumptions!$B$36:$B$41,Assumptions!$B$36:$H$41))</f>
        <v>0</v>
      </c>
      <c r="HXF28">
        <f t="array" ref="HXF28">_xlfn.XLOOKUP(HXF$11,Assumptions!$B$35:$H$35,_xlfn.XLOOKUP($C28,Assumptions!$B$36:$B$41,Assumptions!$B$36:$H$41))</f>
        <v>0</v>
      </c>
      <c r="HXG28">
        <f t="array" ref="HXG28">_xlfn.XLOOKUP(HXG$11,Assumptions!$B$35:$H$35,_xlfn.XLOOKUP($C28,Assumptions!$B$36:$B$41,Assumptions!$B$36:$H$41))</f>
        <v>0</v>
      </c>
      <c r="HXH28">
        <f t="array" ref="HXH28">_xlfn.XLOOKUP(HXH$11,Assumptions!$B$35:$H$35,_xlfn.XLOOKUP($C28,Assumptions!$B$36:$B$41,Assumptions!$B$36:$H$41))</f>
        <v>0</v>
      </c>
      <c r="HXI28">
        <f t="array" ref="HXI28">_xlfn.XLOOKUP(HXI$11,Assumptions!$B$35:$H$35,_xlfn.XLOOKUP($C28,Assumptions!$B$36:$B$41,Assumptions!$B$36:$H$41))</f>
        <v>0</v>
      </c>
      <c r="HXJ28">
        <f t="array" ref="HXJ28">_xlfn.XLOOKUP(HXJ$11,Assumptions!$B$35:$H$35,_xlfn.XLOOKUP($C28,Assumptions!$B$36:$B$41,Assumptions!$B$36:$H$41))</f>
        <v>0</v>
      </c>
      <c r="HXK28">
        <f t="array" ref="HXK28">_xlfn.XLOOKUP(HXK$11,Assumptions!$B$35:$H$35,_xlfn.XLOOKUP($C28,Assumptions!$B$36:$B$41,Assumptions!$B$36:$H$41))</f>
        <v>0</v>
      </c>
      <c r="HXL28">
        <f t="array" ref="HXL28">_xlfn.XLOOKUP(HXL$11,Assumptions!$B$35:$H$35,_xlfn.XLOOKUP($C28,Assumptions!$B$36:$B$41,Assumptions!$B$36:$H$41))</f>
        <v>0</v>
      </c>
      <c r="HXM28">
        <f t="array" ref="HXM28">_xlfn.XLOOKUP(HXM$11,Assumptions!$B$35:$H$35,_xlfn.XLOOKUP($C28,Assumptions!$B$36:$B$41,Assumptions!$B$36:$H$41))</f>
        <v>0</v>
      </c>
      <c r="HXN28">
        <f t="array" ref="HXN28">_xlfn.XLOOKUP(HXN$11,Assumptions!$B$35:$H$35,_xlfn.XLOOKUP($C28,Assumptions!$B$36:$B$41,Assumptions!$B$36:$H$41))</f>
        <v>0</v>
      </c>
      <c r="HXO28">
        <f t="array" ref="HXO28">_xlfn.XLOOKUP(HXO$11,Assumptions!$B$35:$H$35,_xlfn.XLOOKUP($C28,Assumptions!$B$36:$B$41,Assumptions!$B$36:$H$41))</f>
        <v>0</v>
      </c>
      <c r="HXP28">
        <f t="array" ref="HXP28">_xlfn.XLOOKUP(HXP$11,Assumptions!$B$35:$H$35,_xlfn.XLOOKUP($C28,Assumptions!$B$36:$B$41,Assumptions!$B$36:$H$41))</f>
        <v>0</v>
      </c>
      <c r="HXQ28">
        <f t="array" ref="HXQ28">_xlfn.XLOOKUP(HXQ$11,Assumptions!$B$35:$H$35,_xlfn.XLOOKUP($C28,Assumptions!$B$36:$B$41,Assumptions!$B$36:$H$41))</f>
        <v>0</v>
      </c>
      <c r="HXR28">
        <f t="array" ref="HXR28">_xlfn.XLOOKUP(HXR$11,Assumptions!$B$35:$H$35,_xlfn.XLOOKUP($C28,Assumptions!$B$36:$B$41,Assumptions!$B$36:$H$41))</f>
        <v>0</v>
      </c>
      <c r="HXS28">
        <f t="array" ref="HXS28">_xlfn.XLOOKUP(HXS$11,Assumptions!$B$35:$H$35,_xlfn.XLOOKUP($C28,Assumptions!$B$36:$B$41,Assumptions!$B$36:$H$41))</f>
        <v>0</v>
      </c>
      <c r="HXT28">
        <f t="array" ref="HXT28">_xlfn.XLOOKUP(HXT$11,Assumptions!$B$35:$H$35,_xlfn.XLOOKUP($C28,Assumptions!$B$36:$B$41,Assumptions!$B$36:$H$41))</f>
        <v>0</v>
      </c>
      <c r="HXU28">
        <f t="array" ref="HXU28">_xlfn.XLOOKUP(HXU$11,Assumptions!$B$35:$H$35,_xlfn.XLOOKUP($C28,Assumptions!$B$36:$B$41,Assumptions!$B$36:$H$41))</f>
        <v>0</v>
      </c>
      <c r="HXV28">
        <f t="array" ref="HXV28">_xlfn.XLOOKUP(HXV$11,Assumptions!$B$35:$H$35,_xlfn.XLOOKUP($C28,Assumptions!$B$36:$B$41,Assumptions!$B$36:$H$41))</f>
        <v>0</v>
      </c>
      <c r="HXW28">
        <f t="array" ref="HXW28">_xlfn.XLOOKUP(HXW$11,Assumptions!$B$35:$H$35,_xlfn.XLOOKUP($C28,Assumptions!$B$36:$B$41,Assumptions!$B$36:$H$41))</f>
        <v>0</v>
      </c>
      <c r="HXX28">
        <f t="array" ref="HXX28">_xlfn.XLOOKUP(HXX$11,Assumptions!$B$35:$H$35,_xlfn.XLOOKUP($C28,Assumptions!$B$36:$B$41,Assumptions!$B$36:$H$41))</f>
        <v>0</v>
      </c>
      <c r="HXY28">
        <f t="array" ref="HXY28">_xlfn.XLOOKUP(HXY$11,Assumptions!$B$35:$H$35,_xlfn.XLOOKUP($C28,Assumptions!$B$36:$B$41,Assumptions!$B$36:$H$41))</f>
        <v>0</v>
      </c>
      <c r="HXZ28">
        <f t="array" ref="HXZ28">_xlfn.XLOOKUP(HXZ$11,Assumptions!$B$35:$H$35,_xlfn.XLOOKUP($C28,Assumptions!$B$36:$B$41,Assumptions!$B$36:$H$41))</f>
        <v>0</v>
      </c>
      <c r="HYA28">
        <f t="array" ref="HYA28">_xlfn.XLOOKUP(HYA$11,Assumptions!$B$35:$H$35,_xlfn.XLOOKUP($C28,Assumptions!$B$36:$B$41,Assumptions!$B$36:$H$41))</f>
        <v>0</v>
      </c>
      <c r="HYB28">
        <f t="array" ref="HYB28">_xlfn.XLOOKUP(HYB$11,Assumptions!$B$35:$H$35,_xlfn.XLOOKUP($C28,Assumptions!$B$36:$B$41,Assumptions!$B$36:$H$41))</f>
        <v>0</v>
      </c>
      <c r="HYC28">
        <f t="array" ref="HYC28">_xlfn.XLOOKUP(HYC$11,Assumptions!$B$35:$H$35,_xlfn.XLOOKUP($C28,Assumptions!$B$36:$B$41,Assumptions!$B$36:$H$41))</f>
        <v>0</v>
      </c>
      <c r="HYD28">
        <f t="array" ref="HYD28">_xlfn.XLOOKUP(HYD$11,Assumptions!$B$35:$H$35,_xlfn.XLOOKUP($C28,Assumptions!$B$36:$B$41,Assumptions!$B$36:$H$41))</f>
        <v>0</v>
      </c>
      <c r="HYE28">
        <f t="array" ref="HYE28">_xlfn.XLOOKUP(HYE$11,Assumptions!$B$35:$H$35,_xlfn.XLOOKUP($C28,Assumptions!$B$36:$B$41,Assumptions!$B$36:$H$41))</f>
        <v>0</v>
      </c>
      <c r="HYF28">
        <f t="array" ref="HYF28">_xlfn.XLOOKUP(HYF$11,Assumptions!$B$35:$H$35,_xlfn.XLOOKUP($C28,Assumptions!$B$36:$B$41,Assumptions!$B$36:$H$41))</f>
        <v>0</v>
      </c>
      <c r="HYG28">
        <f t="array" ref="HYG28">_xlfn.XLOOKUP(HYG$11,Assumptions!$B$35:$H$35,_xlfn.XLOOKUP($C28,Assumptions!$B$36:$B$41,Assumptions!$B$36:$H$41))</f>
        <v>0</v>
      </c>
      <c r="HYH28">
        <f t="array" ref="HYH28">_xlfn.XLOOKUP(HYH$11,Assumptions!$B$35:$H$35,_xlfn.XLOOKUP($C28,Assumptions!$B$36:$B$41,Assumptions!$B$36:$H$41))</f>
        <v>0</v>
      </c>
      <c r="HYI28">
        <f t="array" ref="HYI28">_xlfn.XLOOKUP(HYI$11,Assumptions!$B$35:$H$35,_xlfn.XLOOKUP($C28,Assumptions!$B$36:$B$41,Assumptions!$B$36:$H$41))</f>
        <v>0</v>
      </c>
      <c r="HYJ28">
        <f t="array" ref="HYJ28">_xlfn.XLOOKUP(HYJ$11,Assumptions!$B$35:$H$35,_xlfn.XLOOKUP($C28,Assumptions!$B$36:$B$41,Assumptions!$B$36:$H$41))</f>
        <v>0</v>
      </c>
      <c r="HYK28">
        <f t="array" ref="HYK28">_xlfn.XLOOKUP(HYK$11,Assumptions!$B$35:$H$35,_xlfn.XLOOKUP($C28,Assumptions!$B$36:$B$41,Assumptions!$B$36:$H$41))</f>
        <v>0</v>
      </c>
      <c r="HYL28">
        <f t="array" ref="HYL28">_xlfn.XLOOKUP(HYL$11,Assumptions!$B$35:$H$35,_xlfn.XLOOKUP($C28,Assumptions!$B$36:$B$41,Assumptions!$B$36:$H$41))</f>
        <v>0</v>
      </c>
      <c r="HYM28">
        <f t="array" ref="HYM28">_xlfn.XLOOKUP(HYM$11,Assumptions!$B$35:$H$35,_xlfn.XLOOKUP($C28,Assumptions!$B$36:$B$41,Assumptions!$B$36:$H$41))</f>
        <v>0</v>
      </c>
      <c r="HYN28">
        <f t="array" ref="HYN28">_xlfn.XLOOKUP(HYN$11,Assumptions!$B$35:$H$35,_xlfn.XLOOKUP($C28,Assumptions!$B$36:$B$41,Assumptions!$B$36:$H$41))</f>
        <v>0</v>
      </c>
      <c r="HYO28">
        <f t="array" ref="HYO28">_xlfn.XLOOKUP(HYO$11,Assumptions!$B$35:$H$35,_xlfn.XLOOKUP($C28,Assumptions!$B$36:$B$41,Assumptions!$B$36:$H$41))</f>
        <v>0</v>
      </c>
      <c r="HYP28">
        <f t="array" ref="HYP28">_xlfn.XLOOKUP(HYP$11,Assumptions!$B$35:$H$35,_xlfn.XLOOKUP($C28,Assumptions!$B$36:$B$41,Assumptions!$B$36:$H$41))</f>
        <v>0</v>
      </c>
      <c r="HYQ28">
        <f t="array" ref="HYQ28">_xlfn.XLOOKUP(HYQ$11,Assumptions!$B$35:$H$35,_xlfn.XLOOKUP($C28,Assumptions!$B$36:$B$41,Assumptions!$B$36:$H$41))</f>
        <v>0</v>
      </c>
      <c r="HYR28">
        <f t="array" ref="HYR28">_xlfn.XLOOKUP(HYR$11,Assumptions!$B$35:$H$35,_xlfn.XLOOKUP($C28,Assumptions!$B$36:$B$41,Assumptions!$B$36:$H$41))</f>
        <v>0</v>
      </c>
      <c r="HYS28">
        <f t="array" ref="HYS28">_xlfn.XLOOKUP(HYS$11,Assumptions!$B$35:$H$35,_xlfn.XLOOKUP($C28,Assumptions!$B$36:$B$41,Assumptions!$B$36:$H$41))</f>
        <v>0</v>
      </c>
      <c r="HYT28">
        <f t="array" ref="HYT28">_xlfn.XLOOKUP(HYT$11,Assumptions!$B$35:$H$35,_xlfn.XLOOKUP($C28,Assumptions!$B$36:$B$41,Assumptions!$B$36:$H$41))</f>
        <v>0</v>
      </c>
      <c r="HYU28">
        <f t="array" ref="HYU28">_xlfn.XLOOKUP(HYU$11,Assumptions!$B$35:$H$35,_xlfn.XLOOKUP($C28,Assumptions!$B$36:$B$41,Assumptions!$B$36:$H$41))</f>
        <v>0</v>
      </c>
      <c r="HYV28">
        <f t="array" ref="HYV28">_xlfn.XLOOKUP(HYV$11,Assumptions!$B$35:$H$35,_xlfn.XLOOKUP($C28,Assumptions!$B$36:$B$41,Assumptions!$B$36:$H$41))</f>
        <v>0</v>
      </c>
      <c r="HYW28">
        <f t="array" ref="HYW28">_xlfn.XLOOKUP(HYW$11,Assumptions!$B$35:$H$35,_xlfn.XLOOKUP($C28,Assumptions!$B$36:$B$41,Assumptions!$B$36:$H$41))</f>
        <v>0</v>
      </c>
      <c r="HYX28">
        <f t="array" ref="HYX28">_xlfn.XLOOKUP(HYX$11,Assumptions!$B$35:$H$35,_xlfn.XLOOKUP($C28,Assumptions!$B$36:$B$41,Assumptions!$B$36:$H$41))</f>
        <v>0</v>
      </c>
      <c r="HYY28">
        <f t="array" ref="HYY28">_xlfn.XLOOKUP(HYY$11,Assumptions!$B$35:$H$35,_xlfn.XLOOKUP($C28,Assumptions!$B$36:$B$41,Assumptions!$B$36:$H$41))</f>
        <v>0</v>
      </c>
      <c r="HYZ28">
        <f t="array" ref="HYZ28">_xlfn.XLOOKUP(HYZ$11,Assumptions!$B$35:$H$35,_xlfn.XLOOKUP($C28,Assumptions!$B$36:$B$41,Assumptions!$B$36:$H$41))</f>
        <v>0</v>
      </c>
      <c r="HZA28">
        <f t="array" ref="HZA28">_xlfn.XLOOKUP(HZA$11,Assumptions!$B$35:$H$35,_xlfn.XLOOKUP($C28,Assumptions!$B$36:$B$41,Assumptions!$B$36:$H$41))</f>
        <v>0</v>
      </c>
      <c r="HZB28">
        <f t="array" ref="HZB28">_xlfn.XLOOKUP(HZB$11,Assumptions!$B$35:$H$35,_xlfn.XLOOKUP($C28,Assumptions!$B$36:$B$41,Assumptions!$B$36:$H$41))</f>
        <v>0</v>
      </c>
      <c r="HZC28">
        <f t="array" ref="HZC28">_xlfn.XLOOKUP(HZC$11,Assumptions!$B$35:$H$35,_xlfn.XLOOKUP($C28,Assumptions!$B$36:$B$41,Assumptions!$B$36:$H$41))</f>
        <v>0</v>
      </c>
      <c r="HZD28">
        <f t="array" ref="HZD28">_xlfn.XLOOKUP(HZD$11,Assumptions!$B$35:$H$35,_xlfn.XLOOKUP($C28,Assumptions!$B$36:$B$41,Assumptions!$B$36:$H$41))</f>
        <v>0</v>
      </c>
      <c r="HZE28">
        <f t="array" ref="HZE28">_xlfn.XLOOKUP(HZE$11,Assumptions!$B$35:$H$35,_xlfn.XLOOKUP($C28,Assumptions!$B$36:$B$41,Assumptions!$B$36:$H$41))</f>
        <v>0</v>
      </c>
      <c r="HZF28">
        <f t="array" ref="HZF28">_xlfn.XLOOKUP(HZF$11,Assumptions!$B$35:$H$35,_xlfn.XLOOKUP($C28,Assumptions!$B$36:$B$41,Assumptions!$B$36:$H$41))</f>
        <v>0</v>
      </c>
      <c r="HZG28">
        <f t="array" ref="HZG28">_xlfn.XLOOKUP(HZG$11,Assumptions!$B$35:$H$35,_xlfn.XLOOKUP($C28,Assumptions!$B$36:$B$41,Assumptions!$B$36:$H$41))</f>
        <v>0</v>
      </c>
      <c r="HZH28">
        <f t="array" ref="HZH28">_xlfn.XLOOKUP(HZH$11,Assumptions!$B$35:$H$35,_xlfn.XLOOKUP($C28,Assumptions!$B$36:$B$41,Assumptions!$B$36:$H$41))</f>
        <v>0</v>
      </c>
      <c r="HZI28">
        <f t="array" ref="HZI28">_xlfn.XLOOKUP(HZI$11,Assumptions!$B$35:$H$35,_xlfn.XLOOKUP($C28,Assumptions!$B$36:$B$41,Assumptions!$B$36:$H$41))</f>
        <v>0</v>
      </c>
      <c r="HZJ28">
        <f t="array" ref="HZJ28">_xlfn.XLOOKUP(HZJ$11,Assumptions!$B$35:$H$35,_xlfn.XLOOKUP($C28,Assumptions!$B$36:$B$41,Assumptions!$B$36:$H$41))</f>
        <v>0</v>
      </c>
      <c r="HZK28">
        <f t="array" ref="HZK28">_xlfn.XLOOKUP(HZK$11,Assumptions!$B$35:$H$35,_xlfn.XLOOKUP($C28,Assumptions!$B$36:$B$41,Assumptions!$B$36:$H$41))</f>
        <v>0</v>
      </c>
      <c r="HZL28">
        <f t="array" ref="HZL28">_xlfn.XLOOKUP(HZL$11,Assumptions!$B$35:$H$35,_xlfn.XLOOKUP($C28,Assumptions!$B$36:$B$41,Assumptions!$B$36:$H$41))</f>
        <v>0</v>
      </c>
      <c r="HZM28">
        <f t="array" ref="HZM28">_xlfn.XLOOKUP(HZM$11,Assumptions!$B$35:$H$35,_xlfn.XLOOKUP($C28,Assumptions!$B$36:$B$41,Assumptions!$B$36:$H$41))</f>
        <v>0</v>
      </c>
      <c r="HZN28">
        <f t="array" ref="HZN28">_xlfn.XLOOKUP(HZN$11,Assumptions!$B$35:$H$35,_xlfn.XLOOKUP($C28,Assumptions!$B$36:$B$41,Assumptions!$B$36:$H$41))</f>
        <v>0</v>
      </c>
      <c r="HZO28">
        <f t="array" ref="HZO28">_xlfn.XLOOKUP(HZO$11,Assumptions!$B$35:$H$35,_xlfn.XLOOKUP($C28,Assumptions!$B$36:$B$41,Assumptions!$B$36:$H$41))</f>
        <v>0</v>
      </c>
      <c r="HZP28">
        <f t="array" ref="HZP28">_xlfn.XLOOKUP(HZP$11,Assumptions!$B$35:$H$35,_xlfn.XLOOKUP($C28,Assumptions!$B$36:$B$41,Assumptions!$B$36:$H$41))</f>
        <v>0</v>
      </c>
      <c r="HZQ28">
        <f t="array" ref="HZQ28">_xlfn.XLOOKUP(HZQ$11,Assumptions!$B$35:$H$35,_xlfn.XLOOKUP($C28,Assumptions!$B$36:$B$41,Assumptions!$B$36:$H$41))</f>
        <v>0</v>
      </c>
      <c r="HZR28">
        <f t="array" ref="HZR28">_xlfn.XLOOKUP(HZR$11,Assumptions!$B$35:$H$35,_xlfn.XLOOKUP($C28,Assumptions!$B$36:$B$41,Assumptions!$B$36:$H$41))</f>
        <v>0</v>
      </c>
      <c r="HZS28">
        <f t="array" ref="HZS28">_xlfn.XLOOKUP(HZS$11,Assumptions!$B$35:$H$35,_xlfn.XLOOKUP($C28,Assumptions!$B$36:$B$41,Assumptions!$B$36:$H$41))</f>
        <v>0</v>
      </c>
      <c r="HZT28">
        <f t="array" ref="HZT28">_xlfn.XLOOKUP(HZT$11,Assumptions!$B$35:$H$35,_xlfn.XLOOKUP($C28,Assumptions!$B$36:$B$41,Assumptions!$B$36:$H$41))</f>
        <v>0</v>
      </c>
      <c r="HZU28">
        <f t="array" ref="HZU28">_xlfn.XLOOKUP(HZU$11,Assumptions!$B$35:$H$35,_xlfn.XLOOKUP($C28,Assumptions!$B$36:$B$41,Assumptions!$B$36:$H$41))</f>
        <v>0</v>
      </c>
      <c r="HZV28">
        <f t="array" ref="HZV28">_xlfn.XLOOKUP(HZV$11,Assumptions!$B$35:$H$35,_xlfn.XLOOKUP($C28,Assumptions!$B$36:$B$41,Assumptions!$B$36:$H$41))</f>
        <v>0</v>
      </c>
      <c r="HZW28">
        <f t="array" ref="HZW28">_xlfn.XLOOKUP(HZW$11,Assumptions!$B$35:$H$35,_xlfn.XLOOKUP($C28,Assumptions!$B$36:$B$41,Assumptions!$B$36:$H$41))</f>
        <v>0</v>
      </c>
      <c r="HZX28">
        <f t="array" ref="HZX28">_xlfn.XLOOKUP(HZX$11,Assumptions!$B$35:$H$35,_xlfn.XLOOKUP($C28,Assumptions!$B$36:$B$41,Assumptions!$B$36:$H$41))</f>
        <v>0</v>
      </c>
      <c r="HZY28">
        <f t="array" ref="HZY28">_xlfn.XLOOKUP(HZY$11,Assumptions!$B$35:$H$35,_xlfn.XLOOKUP($C28,Assumptions!$B$36:$B$41,Assumptions!$B$36:$H$41))</f>
        <v>0</v>
      </c>
      <c r="HZZ28">
        <f t="array" ref="HZZ28">_xlfn.XLOOKUP(HZZ$11,Assumptions!$B$35:$H$35,_xlfn.XLOOKUP($C28,Assumptions!$B$36:$B$41,Assumptions!$B$36:$H$41))</f>
        <v>0</v>
      </c>
      <c r="IAA28">
        <f t="array" ref="IAA28">_xlfn.XLOOKUP(IAA$11,Assumptions!$B$35:$H$35,_xlfn.XLOOKUP($C28,Assumptions!$B$36:$B$41,Assumptions!$B$36:$H$41))</f>
        <v>0</v>
      </c>
      <c r="IAB28">
        <f t="array" ref="IAB28">_xlfn.XLOOKUP(IAB$11,Assumptions!$B$35:$H$35,_xlfn.XLOOKUP($C28,Assumptions!$B$36:$B$41,Assumptions!$B$36:$H$41))</f>
        <v>0</v>
      </c>
      <c r="IAC28">
        <f t="array" ref="IAC28">_xlfn.XLOOKUP(IAC$11,Assumptions!$B$35:$H$35,_xlfn.XLOOKUP($C28,Assumptions!$B$36:$B$41,Assumptions!$B$36:$H$41))</f>
        <v>0</v>
      </c>
      <c r="IAD28">
        <f t="array" ref="IAD28">_xlfn.XLOOKUP(IAD$11,Assumptions!$B$35:$H$35,_xlfn.XLOOKUP($C28,Assumptions!$B$36:$B$41,Assumptions!$B$36:$H$41))</f>
        <v>0</v>
      </c>
      <c r="IAE28">
        <f t="array" ref="IAE28">_xlfn.XLOOKUP(IAE$11,Assumptions!$B$35:$H$35,_xlfn.XLOOKUP($C28,Assumptions!$B$36:$B$41,Assumptions!$B$36:$H$41))</f>
        <v>0</v>
      </c>
      <c r="IAF28">
        <f t="array" ref="IAF28">_xlfn.XLOOKUP(IAF$11,Assumptions!$B$35:$H$35,_xlfn.XLOOKUP($C28,Assumptions!$B$36:$B$41,Assumptions!$B$36:$H$41))</f>
        <v>0</v>
      </c>
      <c r="IAG28">
        <f t="array" ref="IAG28">_xlfn.XLOOKUP(IAG$11,Assumptions!$B$35:$H$35,_xlfn.XLOOKUP($C28,Assumptions!$B$36:$B$41,Assumptions!$B$36:$H$41))</f>
        <v>0</v>
      </c>
      <c r="IAH28">
        <f t="array" ref="IAH28">_xlfn.XLOOKUP(IAH$11,Assumptions!$B$35:$H$35,_xlfn.XLOOKUP($C28,Assumptions!$B$36:$B$41,Assumptions!$B$36:$H$41))</f>
        <v>0</v>
      </c>
      <c r="IAI28">
        <f t="array" ref="IAI28">_xlfn.XLOOKUP(IAI$11,Assumptions!$B$35:$H$35,_xlfn.XLOOKUP($C28,Assumptions!$B$36:$B$41,Assumptions!$B$36:$H$41))</f>
        <v>0</v>
      </c>
      <c r="IAJ28">
        <f t="array" ref="IAJ28">_xlfn.XLOOKUP(IAJ$11,Assumptions!$B$35:$H$35,_xlfn.XLOOKUP($C28,Assumptions!$B$36:$B$41,Assumptions!$B$36:$H$41))</f>
        <v>0</v>
      </c>
      <c r="IAK28">
        <f t="array" ref="IAK28">_xlfn.XLOOKUP(IAK$11,Assumptions!$B$35:$H$35,_xlfn.XLOOKUP($C28,Assumptions!$B$36:$B$41,Assumptions!$B$36:$H$41))</f>
        <v>0</v>
      </c>
      <c r="IAL28">
        <f t="array" ref="IAL28">_xlfn.XLOOKUP(IAL$11,Assumptions!$B$35:$H$35,_xlfn.XLOOKUP($C28,Assumptions!$B$36:$B$41,Assumptions!$B$36:$H$41))</f>
        <v>0</v>
      </c>
      <c r="IAM28">
        <f t="array" ref="IAM28">_xlfn.XLOOKUP(IAM$11,Assumptions!$B$35:$H$35,_xlfn.XLOOKUP($C28,Assumptions!$B$36:$B$41,Assumptions!$B$36:$H$41))</f>
        <v>0</v>
      </c>
      <c r="IAN28">
        <f t="array" ref="IAN28">_xlfn.XLOOKUP(IAN$11,Assumptions!$B$35:$H$35,_xlfn.XLOOKUP($C28,Assumptions!$B$36:$B$41,Assumptions!$B$36:$H$41))</f>
        <v>0</v>
      </c>
      <c r="IAO28">
        <f t="array" ref="IAO28">_xlfn.XLOOKUP(IAO$11,Assumptions!$B$35:$H$35,_xlfn.XLOOKUP($C28,Assumptions!$B$36:$B$41,Assumptions!$B$36:$H$41))</f>
        <v>0</v>
      </c>
      <c r="IAP28">
        <f t="array" ref="IAP28">_xlfn.XLOOKUP(IAP$11,Assumptions!$B$35:$H$35,_xlfn.XLOOKUP($C28,Assumptions!$B$36:$B$41,Assumptions!$B$36:$H$41))</f>
        <v>0</v>
      </c>
      <c r="IAQ28">
        <f t="array" ref="IAQ28">_xlfn.XLOOKUP(IAQ$11,Assumptions!$B$35:$H$35,_xlfn.XLOOKUP($C28,Assumptions!$B$36:$B$41,Assumptions!$B$36:$H$41))</f>
        <v>0</v>
      </c>
      <c r="IAR28">
        <f t="array" ref="IAR28">_xlfn.XLOOKUP(IAR$11,Assumptions!$B$35:$H$35,_xlfn.XLOOKUP($C28,Assumptions!$B$36:$B$41,Assumptions!$B$36:$H$41))</f>
        <v>0</v>
      </c>
      <c r="IAS28">
        <f t="array" ref="IAS28">_xlfn.XLOOKUP(IAS$11,Assumptions!$B$35:$H$35,_xlfn.XLOOKUP($C28,Assumptions!$B$36:$B$41,Assumptions!$B$36:$H$41))</f>
        <v>0</v>
      </c>
      <c r="IAT28">
        <f t="array" ref="IAT28">_xlfn.XLOOKUP(IAT$11,Assumptions!$B$35:$H$35,_xlfn.XLOOKUP($C28,Assumptions!$B$36:$B$41,Assumptions!$B$36:$H$41))</f>
        <v>0</v>
      </c>
      <c r="IAU28">
        <f t="array" ref="IAU28">_xlfn.XLOOKUP(IAU$11,Assumptions!$B$35:$H$35,_xlfn.XLOOKUP($C28,Assumptions!$B$36:$B$41,Assumptions!$B$36:$H$41))</f>
        <v>0</v>
      </c>
      <c r="IAV28">
        <f t="array" ref="IAV28">_xlfn.XLOOKUP(IAV$11,Assumptions!$B$35:$H$35,_xlfn.XLOOKUP($C28,Assumptions!$B$36:$B$41,Assumptions!$B$36:$H$41))</f>
        <v>0</v>
      </c>
      <c r="IAW28">
        <f t="array" ref="IAW28">_xlfn.XLOOKUP(IAW$11,Assumptions!$B$35:$H$35,_xlfn.XLOOKUP($C28,Assumptions!$B$36:$B$41,Assumptions!$B$36:$H$41))</f>
        <v>0</v>
      </c>
      <c r="IAX28">
        <f t="array" ref="IAX28">_xlfn.XLOOKUP(IAX$11,Assumptions!$B$35:$H$35,_xlfn.XLOOKUP($C28,Assumptions!$B$36:$B$41,Assumptions!$B$36:$H$41))</f>
        <v>0</v>
      </c>
      <c r="IAY28">
        <f t="array" ref="IAY28">_xlfn.XLOOKUP(IAY$11,Assumptions!$B$35:$H$35,_xlfn.XLOOKUP($C28,Assumptions!$B$36:$B$41,Assumptions!$B$36:$H$41))</f>
        <v>0</v>
      </c>
      <c r="IAZ28">
        <f t="array" ref="IAZ28">_xlfn.XLOOKUP(IAZ$11,Assumptions!$B$35:$H$35,_xlfn.XLOOKUP($C28,Assumptions!$B$36:$B$41,Assumptions!$B$36:$H$41))</f>
        <v>0</v>
      </c>
      <c r="IBA28">
        <f t="array" ref="IBA28">_xlfn.XLOOKUP(IBA$11,Assumptions!$B$35:$H$35,_xlfn.XLOOKUP($C28,Assumptions!$B$36:$B$41,Assumptions!$B$36:$H$41))</f>
        <v>0</v>
      </c>
      <c r="IBB28">
        <f t="array" ref="IBB28">_xlfn.XLOOKUP(IBB$11,Assumptions!$B$35:$H$35,_xlfn.XLOOKUP($C28,Assumptions!$B$36:$B$41,Assumptions!$B$36:$H$41))</f>
        <v>0</v>
      </c>
      <c r="IBC28">
        <f t="array" ref="IBC28">_xlfn.XLOOKUP(IBC$11,Assumptions!$B$35:$H$35,_xlfn.XLOOKUP($C28,Assumptions!$B$36:$B$41,Assumptions!$B$36:$H$41))</f>
        <v>0</v>
      </c>
      <c r="IBD28">
        <f t="array" ref="IBD28">_xlfn.XLOOKUP(IBD$11,Assumptions!$B$35:$H$35,_xlfn.XLOOKUP($C28,Assumptions!$B$36:$B$41,Assumptions!$B$36:$H$41))</f>
        <v>0</v>
      </c>
      <c r="IBE28">
        <f t="array" ref="IBE28">_xlfn.XLOOKUP(IBE$11,Assumptions!$B$35:$H$35,_xlfn.XLOOKUP($C28,Assumptions!$B$36:$B$41,Assumptions!$B$36:$H$41))</f>
        <v>0</v>
      </c>
      <c r="IBF28">
        <f t="array" ref="IBF28">_xlfn.XLOOKUP(IBF$11,Assumptions!$B$35:$H$35,_xlfn.XLOOKUP($C28,Assumptions!$B$36:$B$41,Assumptions!$B$36:$H$41))</f>
        <v>0</v>
      </c>
      <c r="IBG28">
        <f t="array" ref="IBG28">_xlfn.XLOOKUP(IBG$11,Assumptions!$B$35:$H$35,_xlfn.XLOOKUP($C28,Assumptions!$B$36:$B$41,Assumptions!$B$36:$H$41))</f>
        <v>0</v>
      </c>
      <c r="IBH28">
        <f t="array" ref="IBH28">_xlfn.XLOOKUP(IBH$11,Assumptions!$B$35:$H$35,_xlfn.XLOOKUP($C28,Assumptions!$B$36:$B$41,Assumptions!$B$36:$H$41))</f>
        <v>0</v>
      </c>
      <c r="IBI28">
        <f t="array" ref="IBI28">_xlfn.XLOOKUP(IBI$11,Assumptions!$B$35:$H$35,_xlfn.XLOOKUP($C28,Assumptions!$B$36:$B$41,Assumptions!$B$36:$H$41))</f>
        <v>0</v>
      </c>
      <c r="IBJ28">
        <f t="array" ref="IBJ28">_xlfn.XLOOKUP(IBJ$11,Assumptions!$B$35:$H$35,_xlfn.XLOOKUP($C28,Assumptions!$B$36:$B$41,Assumptions!$B$36:$H$41))</f>
        <v>0</v>
      </c>
      <c r="IBK28">
        <f t="array" ref="IBK28">_xlfn.XLOOKUP(IBK$11,Assumptions!$B$35:$H$35,_xlfn.XLOOKUP($C28,Assumptions!$B$36:$B$41,Assumptions!$B$36:$H$41))</f>
        <v>0</v>
      </c>
      <c r="IBL28">
        <f t="array" ref="IBL28">_xlfn.XLOOKUP(IBL$11,Assumptions!$B$35:$H$35,_xlfn.XLOOKUP($C28,Assumptions!$B$36:$B$41,Assumptions!$B$36:$H$41))</f>
        <v>0</v>
      </c>
      <c r="IBM28">
        <f t="array" ref="IBM28">_xlfn.XLOOKUP(IBM$11,Assumptions!$B$35:$H$35,_xlfn.XLOOKUP($C28,Assumptions!$B$36:$B$41,Assumptions!$B$36:$H$41))</f>
        <v>0</v>
      </c>
      <c r="IBN28">
        <f t="array" ref="IBN28">_xlfn.XLOOKUP(IBN$11,Assumptions!$B$35:$H$35,_xlfn.XLOOKUP($C28,Assumptions!$B$36:$B$41,Assumptions!$B$36:$H$41))</f>
        <v>0</v>
      </c>
      <c r="IBO28">
        <f t="array" ref="IBO28">_xlfn.XLOOKUP(IBO$11,Assumptions!$B$35:$H$35,_xlfn.XLOOKUP($C28,Assumptions!$B$36:$B$41,Assumptions!$B$36:$H$41))</f>
        <v>0</v>
      </c>
      <c r="IBP28">
        <f t="array" ref="IBP28">_xlfn.XLOOKUP(IBP$11,Assumptions!$B$35:$H$35,_xlfn.XLOOKUP($C28,Assumptions!$B$36:$B$41,Assumptions!$B$36:$H$41))</f>
        <v>0</v>
      </c>
      <c r="IBQ28">
        <f t="array" ref="IBQ28">_xlfn.XLOOKUP(IBQ$11,Assumptions!$B$35:$H$35,_xlfn.XLOOKUP($C28,Assumptions!$B$36:$B$41,Assumptions!$B$36:$H$41))</f>
        <v>0</v>
      </c>
      <c r="IBR28">
        <f t="array" ref="IBR28">_xlfn.XLOOKUP(IBR$11,Assumptions!$B$35:$H$35,_xlfn.XLOOKUP($C28,Assumptions!$B$36:$B$41,Assumptions!$B$36:$H$41))</f>
        <v>0</v>
      </c>
      <c r="IBS28">
        <f t="array" ref="IBS28">_xlfn.XLOOKUP(IBS$11,Assumptions!$B$35:$H$35,_xlfn.XLOOKUP($C28,Assumptions!$B$36:$B$41,Assumptions!$B$36:$H$41))</f>
        <v>0</v>
      </c>
      <c r="IBT28">
        <f t="array" ref="IBT28">_xlfn.XLOOKUP(IBT$11,Assumptions!$B$35:$H$35,_xlfn.XLOOKUP($C28,Assumptions!$B$36:$B$41,Assumptions!$B$36:$H$41))</f>
        <v>0</v>
      </c>
      <c r="IBU28">
        <f t="array" ref="IBU28">_xlfn.XLOOKUP(IBU$11,Assumptions!$B$35:$H$35,_xlfn.XLOOKUP($C28,Assumptions!$B$36:$B$41,Assumptions!$B$36:$H$41))</f>
        <v>0</v>
      </c>
      <c r="IBV28">
        <f t="array" ref="IBV28">_xlfn.XLOOKUP(IBV$11,Assumptions!$B$35:$H$35,_xlfn.XLOOKUP($C28,Assumptions!$B$36:$B$41,Assumptions!$B$36:$H$41))</f>
        <v>0</v>
      </c>
      <c r="IBW28">
        <f t="array" ref="IBW28">_xlfn.XLOOKUP(IBW$11,Assumptions!$B$35:$H$35,_xlfn.XLOOKUP($C28,Assumptions!$B$36:$B$41,Assumptions!$B$36:$H$41))</f>
        <v>0</v>
      </c>
      <c r="IBX28">
        <f t="array" ref="IBX28">_xlfn.XLOOKUP(IBX$11,Assumptions!$B$35:$H$35,_xlfn.XLOOKUP($C28,Assumptions!$B$36:$B$41,Assumptions!$B$36:$H$41))</f>
        <v>0</v>
      </c>
      <c r="IBY28">
        <f t="array" ref="IBY28">_xlfn.XLOOKUP(IBY$11,Assumptions!$B$35:$H$35,_xlfn.XLOOKUP($C28,Assumptions!$B$36:$B$41,Assumptions!$B$36:$H$41))</f>
        <v>0</v>
      </c>
      <c r="IBZ28">
        <f t="array" ref="IBZ28">_xlfn.XLOOKUP(IBZ$11,Assumptions!$B$35:$H$35,_xlfn.XLOOKUP($C28,Assumptions!$B$36:$B$41,Assumptions!$B$36:$H$41))</f>
        <v>0</v>
      </c>
      <c r="ICA28">
        <f t="array" ref="ICA28">_xlfn.XLOOKUP(ICA$11,Assumptions!$B$35:$H$35,_xlfn.XLOOKUP($C28,Assumptions!$B$36:$B$41,Assumptions!$B$36:$H$41))</f>
        <v>0</v>
      </c>
      <c r="ICB28">
        <f t="array" ref="ICB28">_xlfn.XLOOKUP(ICB$11,Assumptions!$B$35:$H$35,_xlfn.XLOOKUP($C28,Assumptions!$B$36:$B$41,Assumptions!$B$36:$H$41))</f>
        <v>0</v>
      </c>
      <c r="ICC28">
        <f t="array" ref="ICC28">_xlfn.XLOOKUP(ICC$11,Assumptions!$B$35:$H$35,_xlfn.XLOOKUP($C28,Assumptions!$B$36:$B$41,Assumptions!$B$36:$H$41))</f>
        <v>0</v>
      </c>
      <c r="ICD28">
        <f t="array" ref="ICD28">_xlfn.XLOOKUP(ICD$11,Assumptions!$B$35:$H$35,_xlfn.XLOOKUP($C28,Assumptions!$B$36:$B$41,Assumptions!$B$36:$H$41))</f>
        <v>0</v>
      </c>
      <c r="ICE28">
        <f t="array" ref="ICE28">_xlfn.XLOOKUP(ICE$11,Assumptions!$B$35:$H$35,_xlfn.XLOOKUP($C28,Assumptions!$B$36:$B$41,Assumptions!$B$36:$H$41))</f>
        <v>0</v>
      </c>
      <c r="ICF28">
        <f t="array" ref="ICF28">_xlfn.XLOOKUP(ICF$11,Assumptions!$B$35:$H$35,_xlfn.XLOOKUP($C28,Assumptions!$B$36:$B$41,Assumptions!$B$36:$H$41))</f>
        <v>0</v>
      </c>
      <c r="ICG28">
        <f t="array" ref="ICG28">_xlfn.XLOOKUP(ICG$11,Assumptions!$B$35:$H$35,_xlfn.XLOOKUP($C28,Assumptions!$B$36:$B$41,Assumptions!$B$36:$H$41))</f>
        <v>0</v>
      </c>
      <c r="ICH28">
        <f t="array" ref="ICH28">_xlfn.XLOOKUP(ICH$11,Assumptions!$B$35:$H$35,_xlfn.XLOOKUP($C28,Assumptions!$B$36:$B$41,Assumptions!$B$36:$H$41))</f>
        <v>0</v>
      </c>
      <c r="ICI28">
        <f t="array" ref="ICI28">_xlfn.XLOOKUP(ICI$11,Assumptions!$B$35:$H$35,_xlfn.XLOOKUP($C28,Assumptions!$B$36:$B$41,Assumptions!$B$36:$H$41))</f>
        <v>0</v>
      </c>
      <c r="ICJ28">
        <f t="array" ref="ICJ28">_xlfn.XLOOKUP(ICJ$11,Assumptions!$B$35:$H$35,_xlfn.XLOOKUP($C28,Assumptions!$B$36:$B$41,Assumptions!$B$36:$H$41))</f>
        <v>0</v>
      </c>
      <c r="ICK28">
        <f t="array" ref="ICK28">_xlfn.XLOOKUP(ICK$11,Assumptions!$B$35:$H$35,_xlfn.XLOOKUP($C28,Assumptions!$B$36:$B$41,Assumptions!$B$36:$H$41))</f>
        <v>0</v>
      </c>
      <c r="ICL28">
        <f t="array" ref="ICL28">_xlfn.XLOOKUP(ICL$11,Assumptions!$B$35:$H$35,_xlfn.XLOOKUP($C28,Assumptions!$B$36:$B$41,Assumptions!$B$36:$H$41))</f>
        <v>0</v>
      </c>
      <c r="ICM28">
        <f t="array" ref="ICM28">_xlfn.XLOOKUP(ICM$11,Assumptions!$B$35:$H$35,_xlfn.XLOOKUP($C28,Assumptions!$B$36:$B$41,Assumptions!$B$36:$H$41))</f>
        <v>0</v>
      </c>
      <c r="ICN28">
        <f t="array" ref="ICN28">_xlfn.XLOOKUP(ICN$11,Assumptions!$B$35:$H$35,_xlfn.XLOOKUP($C28,Assumptions!$B$36:$B$41,Assumptions!$B$36:$H$41))</f>
        <v>0</v>
      </c>
      <c r="ICO28">
        <f t="array" ref="ICO28">_xlfn.XLOOKUP(ICO$11,Assumptions!$B$35:$H$35,_xlfn.XLOOKUP($C28,Assumptions!$B$36:$B$41,Assumptions!$B$36:$H$41))</f>
        <v>0</v>
      </c>
      <c r="ICP28">
        <f t="array" ref="ICP28">_xlfn.XLOOKUP(ICP$11,Assumptions!$B$35:$H$35,_xlfn.XLOOKUP($C28,Assumptions!$B$36:$B$41,Assumptions!$B$36:$H$41))</f>
        <v>0</v>
      </c>
      <c r="ICQ28">
        <f t="array" ref="ICQ28">_xlfn.XLOOKUP(ICQ$11,Assumptions!$B$35:$H$35,_xlfn.XLOOKUP($C28,Assumptions!$B$36:$B$41,Assumptions!$B$36:$H$41))</f>
        <v>0</v>
      </c>
      <c r="ICR28">
        <f t="array" ref="ICR28">_xlfn.XLOOKUP(ICR$11,Assumptions!$B$35:$H$35,_xlfn.XLOOKUP($C28,Assumptions!$B$36:$B$41,Assumptions!$B$36:$H$41))</f>
        <v>0</v>
      </c>
      <c r="ICS28">
        <f t="array" ref="ICS28">_xlfn.XLOOKUP(ICS$11,Assumptions!$B$35:$H$35,_xlfn.XLOOKUP($C28,Assumptions!$B$36:$B$41,Assumptions!$B$36:$H$41))</f>
        <v>0</v>
      </c>
      <c r="ICT28">
        <f t="array" ref="ICT28">_xlfn.XLOOKUP(ICT$11,Assumptions!$B$35:$H$35,_xlfn.XLOOKUP($C28,Assumptions!$B$36:$B$41,Assumptions!$B$36:$H$41))</f>
        <v>0</v>
      </c>
      <c r="ICU28">
        <f t="array" ref="ICU28">_xlfn.XLOOKUP(ICU$11,Assumptions!$B$35:$H$35,_xlfn.XLOOKUP($C28,Assumptions!$B$36:$B$41,Assumptions!$B$36:$H$41))</f>
        <v>0</v>
      </c>
      <c r="ICV28">
        <f t="array" ref="ICV28">_xlfn.XLOOKUP(ICV$11,Assumptions!$B$35:$H$35,_xlfn.XLOOKUP($C28,Assumptions!$B$36:$B$41,Assumptions!$B$36:$H$41))</f>
        <v>0</v>
      </c>
      <c r="ICW28">
        <f t="array" ref="ICW28">_xlfn.XLOOKUP(ICW$11,Assumptions!$B$35:$H$35,_xlfn.XLOOKUP($C28,Assumptions!$B$36:$B$41,Assumptions!$B$36:$H$41))</f>
        <v>0</v>
      </c>
      <c r="ICX28">
        <f t="array" ref="ICX28">_xlfn.XLOOKUP(ICX$11,Assumptions!$B$35:$H$35,_xlfn.XLOOKUP($C28,Assumptions!$B$36:$B$41,Assumptions!$B$36:$H$41))</f>
        <v>0</v>
      </c>
      <c r="ICY28">
        <f t="array" ref="ICY28">_xlfn.XLOOKUP(ICY$11,Assumptions!$B$35:$H$35,_xlfn.XLOOKUP($C28,Assumptions!$B$36:$B$41,Assumptions!$B$36:$H$41))</f>
        <v>0</v>
      </c>
      <c r="ICZ28">
        <f t="array" ref="ICZ28">_xlfn.XLOOKUP(ICZ$11,Assumptions!$B$35:$H$35,_xlfn.XLOOKUP($C28,Assumptions!$B$36:$B$41,Assumptions!$B$36:$H$41))</f>
        <v>0</v>
      </c>
      <c r="IDA28">
        <f t="array" ref="IDA28">_xlfn.XLOOKUP(IDA$11,Assumptions!$B$35:$H$35,_xlfn.XLOOKUP($C28,Assumptions!$B$36:$B$41,Assumptions!$B$36:$H$41))</f>
        <v>0</v>
      </c>
      <c r="IDB28">
        <f t="array" ref="IDB28">_xlfn.XLOOKUP(IDB$11,Assumptions!$B$35:$H$35,_xlfn.XLOOKUP($C28,Assumptions!$B$36:$B$41,Assumptions!$B$36:$H$41))</f>
        <v>0</v>
      </c>
      <c r="IDC28">
        <f t="array" ref="IDC28">_xlfn.XLOOKUP(IDC$11,Assumptions!$B$35:$H$35,_xlfn.XLOOKUP($C28,Assumptions!$B$36:$B$41,Assumptions!$B$36:$H$41))</f>
        <v>0</v>
      </c>
      <c r="IDD28">
        <f t="array" ref="IDD28">_xlfn.XLOOKUP(IDD$11,Assumptions!$B$35:$H$35,_xlfn.XLOOKUP($C28,Assumptions!$B$36:$B$41,Assumptions!$B$36:$H$41))</f>
        <v>0</v>
      </c>
      <c r="IDE28">
        <f t="array" ref="IDE28">_xlfn.XLOOKUP(IDE$11,Assumptions!$B$35:$H$35,_xlfn.XLOOKUP($C28,Assumptions!$B$36:$B$41,Assumptions!$B$36:$H$41))</f>
        <v>0</v>
      </c>
      <c r="IDF28">
        <f t="array" ref="IDF28">_xlfn.XLOOKUP(IDF$11,Assumptions!$B$35:$H$35,_xlfn.XLOOKUP($C28,Assumptions!$B$36:$B$41,Assumptions!$B$36:$H$41))</f>
        <v>0</v>
      </c>
      <c r="IDG28">
        <f t="array" ref="IDG28">_xlfn.XLOOKUP(IDG$11,Assumptions!$B$35:$H$35,_xlfn.XLOOKUP($C28,Assumptions!$B$36:$B$41,Assumptions!$B$36:$H$41))</f>
        <v>0</v>
      </c>
      <c r="IDH28">
        <f t="array" ref="IDH28">_xlfn.XLOOKUP(IDH$11,Assumptions!$B$35:$H$35,_xlfn.XLOOKUP($C28,Assumptions!$B$36:$B$41,Assumptions!$B$36:$H$41))</f>
        <v>0</v>
      </c>
      <c r="IDI28">
        <f t="array" ref="IDI28">_xlfn.XLOOKUP(IDI$11,Assumptions!$B$35:$H$35,_xlfn.XLOOKUP($C28,Assumptions!$B$36:$B$41,Assumptions!$B$36:$H$41))</f>
        <v>0</v>
      </c>
      <c r="IDJ28">
        <f t="array" ref="IDJ28">_xlfn.XLOOKUP(IDJ$11,Assumptions!$B$35:$H$35,_xlfn.XLOOKUP($C28,Assumptions!$B$36:$B$41,Assumptions!$B$36:$H$41))</f>
        <v>0</v>
      </c>
      <c r="IDK28">
        <f t="array" ref="IDK28">_xlfn.XLOOKUP(IDK$11,Assumptions!$B$35:$H$35,_xlfn.XLOOKUP($C28,Assumptions!$B$36:$B$41,Assumptions!$B$36:$H$41))</f>
        <v>0</v>
      </c>
      <c r="IDL28">
        <f t="array" ref="IDL28">_xlfn.XLOOKUP(IDL$11,Assumptions!$B$35:$H$35,_xlfn.XLOOKUP($C28,Assumptions!$B$36:$B$41,Assumptions!$B$36:$H$41))</f>
        <v>0</v>
      </c>
      <c r="IDM28">
        <f t="array" ref="IDM28">_xlfn.XLOOKUP(IDM$11,Assumptions!$B$35:$H$35,_xlfn.XLOOKUP($C28,Assumptions!$B$36:$B$41,Assumptions!$B$36:$H$41))</f>
        <v>0</v>
      </c>
      <c r="IDN28">
        <f t="array" ref="IDN28">_xlfn.XLOOKUP(IDN$11,Assumptions!$B$35:$H$35,_xlfn.XLOOKUP($C28,Assumptions!$B$36:$B$41,Assumptions!$B$36:$H$41))</f>
        <v>0</v>
      </c>
      <c r="IDO28">
        <f t="array" ref="IDO28">_xlfn.XLOOKUP(IDO$11,Assumptions!$B$35:$H$35,_xlfn.XLOOKUP($C28,Assumptions!$B$36:$B$41,Assumptions!$B$36:$H$41))</f>
        <v>0</v>
      </c>
      <c r="IDP28">
        <f t="array" ref="IDP28">_xlfn.XLOOKUP(IDP$11,Assumptions!$B$35:$H$35,_xlfn.XLOOKUP($C28,Assumptions!$B$36:$B$41,Assumptions!$B$36:$H$41))</f>
        <v>0</v>
      </c>
      <c r="IDQ28">
        <f t="array" ref="IDQ28">_xlfn.XLOOKUP(IDQ$11,Assumptions!$B$35:$H$35,_xlfn.XLOOKUP($C28,Assumptions!$B$36:$B$41,Assumptions!$B$36:$H$41))</f>
        <v>0</v>
      </c>
      <c r="IDR28">
        <f t="array" ref="IDR28">_xlfn.XLOOKUP(IDR$11,Assumptions!$B$35:$H$35,_xlfn.XLOOKUP($C28,Assumptions!$B$36:$B$41,Assumptions!$B$36:$H$41))</f>
        <v>0</v>
      </c>
      <c r="IDS28">
        <f t="array" ref="IDS28">_xlfn.XLOOKUP(IDS$11,Assumptions!$B$35:$H$35,_xlfn.XLOOKUP($C28,Assumptions!$B$36:$B$41,Assumptions!$B$36:$H$41))</f>
        <v>0</v>
      </c>
      <c r="IDT28">
        <f t="array" ref="IDT28">_xlfn.XLOOKUP(IDT$11,Assumptions!$B$35:$H$35,_xlfn.XLOOKUP($C28,Assumptions!$B$36:$B$41,Assumptions!$B$36:$H$41))</f>
        <v>0</v>
      </c>
      <c r="IDU28">
        <f t="array" ref="IDU28">_xlfn.XLOOKUP(IDU$11,Assumptions!$B$35:$H$35,_xlfn.XLOOKUP($C28,Assumptions!$B$36:$B$41,Assumptions!$B$36:$H$41))</f>
        <v>0</v>
      </c>
      <c r="IDV28">
        <f t="array" ref="IDV28">_xlfn.XLOOKUP(IDV$11,Assumptions!$B$35:$H$35,_xlfn.XLOOKUP($C28,Assumptions!$B$36:$B$41,Assumptions!$B$36:$H$41))</f>
        <v>0</v>
      </c>
      <c r="IDW28">
        <f t="array" ref="IDW28">_xlfn.XLOOKUP(IDW$11,Assumptions!$B$35:$H$35,_xlfn.XLOOKUP($C28,Assumptions!$B$36:$B$41,Assumptions!$B$36:$H$41))</f>
        <v>0</v>
      </c>
      <c r="IDX28">
        <f t="array" ref="IDX28">_xlfn.XLOOKUP(IDX$11,Assumptions!$B$35:$H$35,_xlfn.XLOOKUP($C28,Assumptions!$B$36:$B$41,Assumptions!$B$36:$H$41))</f>
        <v>0</v>
      </c>
      <c r="IDY28">
        <f t="array" ref="IDY28">_xlfn.XLOOKUP(IDY$11,Assumptions!$B$35:$H$35,_xlfn.XLOOKUP($C28,Assumptions!$B$36:$B$41,Assumptions!$B$36:$H$41))</f>
        <v>0</v>
      </c>
      <c r="IDZ28">
        <f t="array" ref="IDZ28">_xlfn.XLOOKUP(IDZ$11,Assumptions!$B$35:$H$35,_xlfn.XLOOKUP($C28,Assumptions!$B$36:$B$41,Assumptions!$B$36:$H$41))</f>
        <v>0</v>
      </c>
      <c r="IEA28">
        <f t="array" ref="IEA28">_xlfn.XLOOKUP(IEA$11,Assumptions!$B$35:$H$35,_xlfn.XLOOKUP($C28,Assumptions!$B$36:$B$41,Assumptions!$B$36:$H$41))</f>
        <v>0</v>
      </c>
      <c r="IEB28">
        <f t="array" ref="IEB28">_xlfn.XLOOKUP(IEB$11,Assumptions!$B$35:$H$35,_xlfn.XLOOKUP($C28,Assumptions!$B$36:$B$41,Assumptions!$B$36:$H$41))</f>
        <v>0</v>
      </c>
      <c r="IEC28">
        <f t="array" ref="IEC28">_xlfn.XLOOKUP(IEC$11,Assumptions!$B$35:$H$35,_xlfn.XLOOKUP($C28,Assumptions!$B$36:$B$41,Assumptions!$B$36:$H$41))</f>
        <v>0</v>
      </c>
      <c r="IED28">
        <f t="array" ref="IED28">_xlfn.XLOOKUP(IED$11,Assumptions!$B$35:$H$35,_xlfn.XLOOKUP($C28,Assumptions!$B$36:$B$41,Assumptions!$B$36:$H$41))</f>
        <v>0</v>
      </c>
      <c r="IEE28">
        <f t="array" ref="IEE28">_xlfn.XLOOKUP(IEE$11,Assumptions!$B$35:$H$35,_xlfn.XLOOKUP($C28,Assumptions!$B$36:$B$41,Assumptions!$B$36:$H$41))</f>
        <v>0</v>
      </c>
      <c r="IEF28">
        <f t="array" ref="IEF28">_xlfn.XLOOKUP(IEF$11,Assumptions!$B$35:$H$35,_xlfn.XLOOKUP($C28,Assumptions!$B$36:$B$41,Assumptions!$B$36:$H$41))</f>
        <v>0</v>
      </c>
      <c r="IEG28">
        <f t="array" ref="IEG28">_xlfn.XLOOKUP(IEG$11,Assumptions!$B$35:$H$35,_xlfn.XLOOKUP($C28,Assumptions!$B$36:$B$41,Assumptions!$B$36:$H$41))</f>
        <v>0</v>
      </c>
      <c r="IEH28">
        <f t="array" ref="IEH28">_xlfn.XLOOKUP(IEH$11,Assumptions!$B$35:$H$35,_xlfn.XLOOKUP($C28,Assumptions!$B$36:$B$41,Assumptions!$B$36:$H$41))</f>
        <v>0</v>
      </c>
      <c r="IEI28">
        <f t="array" ref="IEI28">_xlfn.XLOOKUP(IEI$11,Assumptions!$B$35:$H$35,_xlfn.XLOOKUP($C28,Assumptions!$B$36:$B$41,Assumptions!$B$36:$H$41))</f>
        <v>0</v>
      </c>
      <c r="IEJ28">
        <f t="array" ref="IEJ28">_xlfn.XLOOKUP(IEJ$11,Assumptions!$B$35:$H$35,_xlfn.XLOOKUP($C28,Assumptions!$B$36:$B$41,Assumptions!$B$36:$H$41))</f>
        <v>0</v>
      </c>
      <c r="IEK28">
        <f t="array" ref="IEK28">_xlfn.XLOOKUP(IEK$11,Assumptions!$B$35:$H$35,_xlfn.XLOOKUP($C28,Assumptions!$B$36:$B$41,Assumptions!$B$36:$H$41))</f>
        <v>0</v>
      </c>
      <c r="IEL28">
        <f t="array" ref="IEL28">_xlfn.XLOOKUP(IEL$11,Assumptions!$B$35:$H$35,_xlfn.XLOOKUP($C28,Assumptions!$B$36:$B$41,Assumptions!$B$36:$H$41))</f>
        <v>0</v>
      </c>
      <c r="IEM28">
        <f t="array" ref="IEM28">_xlfn.XLOOKUP(IEM$11,Assumptions!$B$35:$H$35,_xlfn.XLOOKUP($C28,Assumptions!$B$36:$B$41,Assumptions!$B$36:$H$41))</f>
        <v>0</v>
      </c>
      <c r="IEN28">
        <f t="array" ref="IEN28">_xlfn.XLOOKUP(IEN$11,Assumptions!$B$35:$H$35,_xlfn.XLOOKUP($C28,Assumptions!$B$36:$B$41,Assumptions!$B$36:$H$41))</f>
        <v>0</v>
      </c>
      <c r="IEO28">
        <f t="array" ref="IEO28">_xlfn.XLOOKUP(IEO$11,Assumptions!$B$35:$H$35,_xlfn.XLOOKUP($C28,Assumptions!$B$36:$B$41,Assumptions!$B$36:$H$41))</f>
        <v>0</v>
      </c>
      <c r="IEP28">
        <f t="array" ref="IEP28">_xlfn.XLOOKUP(IEP$11,Assumptions!$B$35:$H$35,_xlfn.XLOOKUP($C28,Assumptions!$B$36:$B$41,Assumptions!$B$36:$H$41))</f>
        <v>0</v>
      </c>
      <c r="IEQ28">
        <f t="array" ref="IEQ28">_xlfn.XLOOKUP(IEQ$11,Assumptions!$B$35:$H$35,_xlfn.XLOOKUP($C28,Assumptions!$B$36:$B$41,Assumptions!$B$36:$H$41))</f>
        <v>0</v>
      </c>
      <c r="IER28">
        <f t="array" ref="IER28">_xlfn.XLOOKUP(IER$11,Assumptions!$B$35:$H$35,_xlfn.XLOOKUP($C28,Assumptions!$B$36:$B$41,Assumptions!$B$36:$H$41))</f>
        <v>0</v>
      </c>
      <c r="IES28">
        <f t="array" ref="IES28">_xlfn.XLOOKUP(IES$11,Assumptions!$B$35:$H$35,_xlfn.XLOOKUP($C28,Assumptions!$B$36:$B$41,Assumptions!$B$36:$H$41))</f>
        <v>0</v>
      </c>
      <c r="IET28">
        <f t="array" ref="IET28">_xlfn.XLOOKUP(IET$11,Assumptions!$B$35:$H$35,_xlfn.XLOOKUP($C28,Assumptions!$B$36:$B$41,Assumptions!$B$36:$H$41))</f>
        <v>0</v>
      </c>
      <c r="IEU28">
        <f t="array" ref="IEU28">_xlfn.XLOOKUP(IEU$11,Assumptions!$B$35:$H$35,_xlfn.XLOOKUP($C28,Assumptions!$B$36:$B$41,Assumptions!$B$36:$H$41))</f>
        <v>0</v>
      </c>
      <c r="IEV28">
        <f t="array" ref="IEV28">_xlfn.XLOOKUP(IEV$11,Assumptions!$B$35:$H$35,_xlfn.XLOOKUP($C28,Assumptions!$B$36:$B$41,Assumptions!$B$36:$H$41))</f>
        <v>0</v>
      </c>
      <c r="IEW28">
        <f t="array" ref="IEW28">_xlfn.XLOOKUP(IEW$11,Assumptions!$B$35:$H$35,_xlfn.XLOOKUP($C28,Assumptions!$B$36:$B$41,Assumptions!$B$36:$H$41))</f>
        <v>0</v>
      </c>
      <c r="IEX28">
        <f t="array" ref="IEX28">_xlfn.XLOOKUP(IEX$11,Assumptions!$B$35:$H$35,_xlfn.XLOOKUP($C28,Assumptions!$B$36:$B$41,Assumptions!$B$36:$H$41))</f>
        <v>0</v>
      </c>
      <c r="IEY28">
        <f t="array" ref="IEY28">_xlfn.XLOOKUP(IEY$11,Assumptions!$B$35:$H$35,_xlfn.XLOOKUP($C28,Assumptions!$B$36:$B$41,Assumptions!$B$36:$H$41))</f>
        <v>0</v>
      </c>
      <c r="IEZ28">
        <f t="array" ref="IEZ28">_xlfn.XLOOKUP(IEZ$11,Assumptions!$B$35:$H$35,_xlfn.XLOOKUP($C28,Assumptions!$B$36:$B$41,Assumptions!$B$36:$H$41))</f>
        <v>0</v>
      </c>
      <c r="IFA28">
        <f t="array" ref="IFA28">_xlfn.XLOOKUP(IFA$11,Assumptions!$B$35:$H$35,_xlfn.XLOOKUP($C28,Assumptions!$B$36:$B$41,Assumptions!$B$36:$H$41))</f>
        <v>0</v>
      </c>
      <c r="IFB28">
        <f t="array" ref="IFB28">_xlfn.XLOOKUP(IFB$11,Assumptions!$B$35:$H$35,_xlfn.XLOOKUP($C28,Assumptions!$B$36:$B$41,Assumptions!$B$36:$H$41))</f>
        <v>0</v>
      </c>
      <c r="IFC28">
        <f t="array" ref="IFC28">_xlfn.XLOOKUP(IFC$11,Assumptions!$B$35:$H$35,_xlfn.XLOOKUP($C28,Assumptions!$B$36:$B$41,Assumptions!$B$36:$H$41))</f>
        <v>0</v>
      </c>
      <c r="IFD28">
        <f t="array" ref="IFD28">_xlfn.XLOOKUP(IFD$11,Assumptions!$B$35:$H$35,_xlfn.XLOOKUP($C28,Assumptions!$B$36:$B$41,Assumptions!$B$36:$H$41))</f>
        <v>0</v>
      </c>
      <c r="IFE28">
        <f t="array" ref="IFE28">_xlfn.XLOOKUP(IFE$11,Assumptions!$B$35:$H$35,_xlfn.XLOOKUP($C28,Assumptions!$B$36:$B$41,Assumptions!$B$36:$H$41))</f>
        <v>0</v>
      </c>
      <c r="IFF28">
        <f t="array" ref="IFF28">_xlfn.XLOOKUP(IFF$11,Assumptions!$B$35:$H$35,_xlfn.XLOOKUP($C28,Assumptions!$B$36:$B$41,Assumptions!$B$36:$H$41))</f>
        <v>0</v>
      </c>
      <c r="IFG28">
        <f t="array" ref="IFG28">_xlfn.XLOOKUP(IFG$11,Assumptions!$B$35:$H$35,_xlfn.XLOOKUP($C28,Assumptions!$B$36:$B$41,Assumptions!$B$36:$H$41))</f>
        <v>0</v>
      </c>
      <c r="IFH28">
        <f t="array" ref="IFH28">_xlfn.XLOOKUP(IFH$11,Assumptions!$B$35:$H$35,_xlfn.XLOOKUP($C28,Assumptions!$B$36:$B$41,Assumptions!$B$36:$H$41))</f>
        <v>0</v>
      </c>
      <c r="IFI28">
        <f t="array" ref="IFI28">_xlfn.XLOOKUP(IFI$11,Assumptions!$B$35:$H$35,_xlfn.XLOOKUP($C28,Assumptions!$B$36:$B$41,Assumptions!$B$36:$H$41))</f>
        <v>0</v>
      </c>
      <c r="IFJ28">
        <f t="array" ref="IFJ28">_xlfn.XLOOKUP(IFJ$11,Assumptions!$B$35:$H$35,_xlfn.XLOOKUP($C28,Assumptions!$B$36:$B$41,Assumptions!$B$36:$H$41))</f>
        <v>0</v>
      </c>
      <c r="IFK28">
        <f t="array" ref="IFK28">_xlfn.XLOOKUP(IFK$11,Assumptions!$B$35:$H$35,_xlfn.XLOOKUP($C28,Assumptions!$B$36:$B$41,Assumptions!$B$36:$H$41))</f>
        <v>0</v>
      </c>
      <c r="IFL28">
        <f t="array" ref="IFL28">_xlfn.XLOOKUP(IFL$11,Assumptions!$B$35:$H$35,_xlfn.XLOOKUP($C28,Assumptions!$B$36:$B$41,Assumptions!$B$36:$H$41))</f>
        <v>0</v>
      </c>
      <c r="IFM28">
        <f t="array" ref="IFM28">_xlfn.XLOOKUP(IFM$11,Assumptions!$B$35:$H$35,_xlfn.XLOOKUP($C28,Assumptions!$B$36:$B$41,Assumptions!$B$36:$H$41))</f>
        <v>0</v>
      </c>
      <c r="IFN28">
        <f t="array" ref="IFN28">_xlfn.XLOOKUP(IFN$11,Assumptions!$B$35:$H$35,_xlfn.XLOOKUP($C28,Assumptions!$B$36:$B$41,Assumptions!$B$36:$H$41))</f>
        <v>0</v>
      </c>
      <c r="IFO28">
        <f t="array" ref="IFO28">_xlfn.XLOOKUP(IFO$11,Assumptions!$B$35:$H$35,_xlfn.XLOOKUP($C28,Assumptions!$B$36:$B$41,Assumptions!$B$36:$H$41))</f>
        <v>0</v>
      </c>
      <c r="IFP28">
        <f t="array" ref="IFP28">_xlfn.XLOOKUP(IFP$11,Assumptions!$B$35:$H$35,_xlfn.XLOOKUP($C28,Assumptions!$B$36:$B$41,Assumptions!$B$36:$H$41))</f>
        <v>0</v>
      </c>
      <c r="IFQ28">
        <f t="array" ref="IFQ28">_xlfn.XLOOKUP(IFQ$11,Assumptions!$B$35:$H$35,_xlfn.XLOOKUP($C28,Assumptions!$B$36:$B$41,Assumptions!$B$36:$H$41))</f>
        <v>0</v>
      </c>
      <c r="IFR28">
        <f t="array" ref="IFR28">_xlfn.XLOOKUP(IFR$11,Assumptions!$B$35:$H$35,_xlfn.XLOOKUP($C28,Assumptions!$B$36:$B$41,Assumptions!$B$36:$H$41))</f>
        <v>0</v>
      </c>
      <c r="IFS28">
        <f t="array" ref="IFS28">_xlfn.XLOOKUP(IFS$11,Assumptions!$B$35:$H$35,_xlfn.XLOOKUP($C28,Assumptions!$B$36:$B$41,Assumptions!$B$36:$H$41))</f>
        <v>0</v>
      </c>
      <c r="IFT28">
        <f t="array" ref="IFT28">_xlfn.XLOOKUP(IFT$11,Assumptions!$B$35:$H$35,_xlfn.XLOOKUP($C28,Assumptions!$B$36:$B$41,Assumptions!$B$36:$H$41))</f>
        <v>0</v>
      </c>
      <c r="IFU28">
        <f t="array" ref="IFU28">_xlfn.XLOOKUP(IFU$11,Assumptions!$B$35:$H$35,_xlfn.XLOOKUP($C28,Assumptions!$B$36:$B$41,Assumptions!$B$36:$H$41))</f>
        <v>0</v>
      </c>
      <c r="IFV28">
        <f t="array" ref="IFV28">_xlfn.XLOOKUP(IFV$11,Assumptions!$B$35:$H$35,_xlfn.XLOOKUP($C28,Assumptions!$B$36:$B$41,Assumptions!$B$36:$H$41))</f>
        <v>0</v>
      </c>
      <c r="IFW28">
        <f t="array" ref="IFW28">_xlfn.XLOOKUP(IFW$11,Assumptions!$B$35:$H$35,_xlfn.XLOOKUP($C28,Assumptions!$B$36:$B$41,Assumptions!$B$36:$H$41))</f>
        <v>0</v>
      </c>
      <c r="IFX28">
        <f t="array" ref="IFX28">_xlfn.XLOOKUP(IFX$11,Assumptions!$B$35:$H$35,_xlfn.XLOOKUP($C28,Assumptions!$B$36:$B$41,Assumptions!$B$36:$H$41))</f>
        <v>0</v>
      </c>
      <c r="IFY28">
        <f t="array" ref="IFY28">_xlfn.XLOOKUP(IFY$11,Assumptions!$B$35:$H$35,_xlfn.XLOOKUP($C28,Assumptions!$B$36:$B$41,Assumptions!$B$36:$H$41))</f>
        <v>0</v>
      </c>
      <c r="IFZ28">
        <f t="array" ref="IFZ28">_xlfn.XLOOKUP(IFZ$11,Assumptions!$B$35:$H$35,_xlfn.XLOOKUP($C28,Assumptions!$B$36:$B$41,Assumptions!$B$36:$H$41))</f>
        <v>0</v>
      </c>
      <c r="IGA28">
        <f t="array" ref="IGA28">_xlfn.XLOOKUP(IGA$11,Assumptions!$B$35:$H$35,_xlfn.XLOOKUP($C28,Assumptions!$B$36:$B$41,Assumptions!$B$36:$H$41))</f>
        <v>0</v>
      </c>
      <c r="IGB28">
        <f t="array" ref="IGB28">_xlfn.XLOOKUP(IGB$11,Assumptions!$B$35:$H$35,_xlfn.XLOOKUP($C28,Assumptions!$B$36:$B$41,Assumptions!$B$36:$H$41))</f>
        <v>0</v>
      </c>
      <c r="IGC28">
        <f t="array" ref="IGC28">_xlfn.XLOOKUP(IGC$11,Assumptions!$B$35:$H$35,_xlfn.XLOOKUP($C28,Assumptions!$B$36:$B$41,Assumptions!$B$36:$H$41))</f>
        <v>0</v>
      </c>
      <c r="IGD28">
        <f t="array" ref="IGD28">_xlfn.XLOOKUP(IGD$11,Assumptions!$B$35:$H$35,_xlfn.XLOOKUP($C28,Assumptions!$B$36:$B$41,Assumptions!$B$36:$H$41))</f>
        <v>0</v>
      </c>
      <c r="IGE28">
        <f t="array" ref="IGE28">_xlfn.XLOOKUP(IGE$11,Assumptions!$B$35:$H$35,_xlfn.XLOOKUP($C28,Assumptions!$B$36:$B$41,Assumptions!$B$36:$H$41))</f>
        <v>0</v>
      </c>
      <c r="IGF28">
        <f t="array" ref="IGF28">_xlfn.XLOOKUP(IGF$11,Assumptions!$B$35:$H$35,_xlfn.XLOOKUP($C28,Assumptions!$B$36:$B$41,Assumptions!$B$36:$H$41))</f>
        <v>0</v>
      </c>
      <c r="IGG28">
        <f t="array" ref="IGG28">_xlfn.XLOOKUP(IGG$11,Assumptions!$B$35:$H$35,_xlfn.XLOOKUP($C28,Assumptions!$B$36:$B$41,Assumptions!$B$36:$H$41))</f>
        <v>0</v>
      </c>
      <c r="IGH28">
        <f t="array" ref="IGH28">_xlfn.XLOOKUP(IGH$11,Assumptions!$B$35:$H$35,_xlfn.XLOOKUP($C28,Assumptions!$B$36:$B$41,Assumptions!$B$36:$H$41))</f>
        <v>0</v>
      </c>
      <c r="IGI28">
        <f t="array" ref="IGI28">_xlfn.XLOOKUP(IGI$11,Assumptions!$B$35:$H$35,_xlfn.XLOOKUP($C28,Assumptions!$B$36:$B$41,Assumptions!$B$36:$H$41))</f>
        <v>0</v>
      </c>
      <c r="IGJ28">
        <f t="array" ref="IGJ28">_xlfn.XLOOKUP(IGJ$11,Assumptions!$B$35:$H$35,_xlfn.XLOOKUP($C28,Assumptions!$B$36:$B$41,Assumptions!$B$36:$H$41))</f>
        <v>0</v>
      </c>
      <c r="IGK28">
        <f t="array" ref="IGK28">_xlfn.XLOOKUP(IGK$11,Assumptions!$B$35:$H$35,_xlfn.XLOOKUP($C28,Assumptions!$B$36:$B$41,Assumptions!$B$36:$H$41))</f>
        <v>0</v>
      </c>
      <c r="IGL28">
        <f t="array" ref="IGL28">_xlfn.XLOOKUP(IGL$11,Assumptions!$B$35:$H$35,_xlfn.XLOOKUP($C28,Assumptions!$B$36:$B$41,Assumptions!$B$36:$H$41))</f>
        <v>0</v>
      </c>
      <c r="IGM28">
        <f t="array" ref="IGM28">_xlfn.XLOOKUP(IGM$11,Assumptions!$B$35:$H$35,_xlfn.XLOOKUP($C28,Assumptions!$B$36:$B$41,Assumptions!$B$36:$H$41))</f>
        <v>0</v>
      </c>
      <c r="IGN28">
        <f t="array" ref="IGN28">_xlfn.XLOOKUP(IGN$11,Assumptions!$B$35:$H$35,_xlfn.XLOOKUP($C28,Assumptions!$B$36:$B$41,Assumptions!$B$36:$H$41))</f>
        <v>0</v>
      </c>
      <c r="IGO28">
        <f t="array" ref="IGO28">_xlfn.XLOOKUP(IGO$11,Assumptions!$B$35:$H$35,_xlfn.XLOOKUP($C28,Assumptions!$B$36:$B$41,Assumptions!$B$36:$H$41))</f>
        <v>0</v>
      </c>
      <c r="IGP28">
        <f t="array" ref="IGP28">_xlfn.XLOOKUP(IGP$11,Assumptions!$B$35:$H$35,_xlfn.XLOOKUP($C28,Assumptions!$B$36:$B$41,Assumptions!$B$36:$H$41))</f>
        <v>0</v>
      </c>
      <c r="IGQ28">
        <f t="array" ref="IGQ28">_xlfn.XLOOKUP(IGQ$11,Assumptions!$B$35:$H$35,_xlfn.XLOOKUP($C28,Assumptions!$B$36:$B$41,Assumptions!$B$36:$H$41))</f>
        <v>0</v>
      </c>
      <c r="IGR28">
        <f t="array" ref="IGR28">_xlfn.XLOOKUP(IGR$11,Assumptions!$B$35:$H$35,_xlfn.XLOOKUP($C28,Assumptions!$B$36:$B$41,Assumptions!$B$36:$H$41))</f>
        <v>0</v>
      </c>
      <c r="IGS28">
        <f t="array" ref="IGS28">_xlfn.XLOOKUP(IGS$11,Assumptions!$B$35:$H$35,_xlfn.XLOOKUP($C28,Assumptions!$B$36:$B$41,Assumptions!$B$36:$H$41))</f>
        <v>0</v>
      </c>
      <c r="IGT28">
        <f t="array" ref="IGT28">_xlfn.XLOOKUP(IGT$11,Assumptions!$B$35:$H$35,_xlfn.XLOOKUP($C28,Assumptions!$B$36:$B$41,Assumptions!$B$36:$H$41))</f>
        <v>0</v>
      </c>
      <c r="IGU28">
        <f t="array" ref="IGU28">_xlfn.XLOOKUP(IGU$11,Assumptions!$B$35:$H$35,_xlfn.XLOOKUP($C28,Assumptions!$B$36:$B$41,Assumptions!$B$36:$H$41))</f>
        <v>0</v>
      </c>
      <c r="IGV28">
        <f t="array" ref="IGV28">_xlfn.XLOOKUP(IGV$11,Assumptions!$B$35:$H$35,_xlfn.XLOOKUP($C28,Assumptions!$B$36:$B$41,Assumptions!$B$36:$H$41))</f>
        <v>0</v>
      </c>
      <c r="IGW28">
        <f t="array" ref="IGW28">_xlfn.XLOOKUP(IGW$11,Assumptions!$B$35:$H$35,_xlfn.XLOOKUP($C28,Assumptions!$B$36:$B$41,Assumptions!$B$36:$H$41))</f>
        <v>0</v>
      </c>
      <c r="IGX28">
        <f t="array" ref="IGX28">_xlfn.XLOOKUP(IGX$11,Assumptions!$B$35:$H$35,_xlfn.XLOOKUP($C28,Assumptions!$B$36:$B$41,Assumptions!$B$36:$H$41))</f>
        <v>0</v>
      </c>
      <c r="IGY28">
        <f t="array" ref="IGY28">_xlfn.XLOOKUP(IGY$11,Assumptions!$B$35:$H$35,_xlfn.XLOOKUP($C28,Assumptions!$B$36:$B$41,Assumptions!$B$36:$H$41))</f>
        <v>0</v>
      </c>
      <c r="IGZ28">
        <f t="array" ref="IGZ28">_xlfn.XLOOKUP(IGZ$11,Assumptions!$B$35:$H$35,_xlfn.XLOOKUP($C28,Assumptions!$B$36:$B$41,Assumptions!$B$36:$H$41))</f>
        <v>0</v>
      </c>
      <c r="IHA28">
        <f t="array" ref="IHA28">_xlfn.XLOOKUP(IHA$11,Assumptions!$B$35:$H$35,_xlfn.XLOOKUP($C28,Assumptions!$B$36:$B$41,Assumptions!$B$36:$H$41))</f>
        <v>0</v>
      </c>
      <c r="IHB28">
        <f t="array" ref="IHB28">_xlfn.XLOOKUP(IHB$11,Assumptions!$B$35:$H$35,_xlfn.XLOOKUP($C28,Assumptions!$B$36:$B$41,Assumptions!$B$36:$H$41))</f>
        <v>0</v>
      </c>
      <c r="IHC28">
        <f t="array" ref="IHC28">_xlfn.XLOOKUP(IHC$11,Assumptions!$B$35:$H$35,_xlfn.XLOOKUP($C28,Assumptions!$B$36:$B$41,Assumptions!$B$36:$H$41))</f>
        <v>0</v>
      </c>
      <c r="IHD28">
        <f t="array" ref="IHD28">_xlfn.XLOOKUP(IHD$11,Assumptions!$B$35:$H$35,_xlfn.XLOOKUP($C28,Assumptions!$B$36:$B$41,Assumptions!$B$36:$H$41))</f>
        <v>0</v>
      </c>
      <c r="IHE28">
        <f t="array" ref="IHE28">_xlfn.XLOOKUP(IHE$11,Assumptions!$B$35:$H$35,_xlfn.XLOOKUP($C28,Assumptions!$B$36:$B$41,Assumptions!$B$36:$H$41))</f>
        <v>0</v>
      </c>
      <c r="IHF28">
        <f t="array" ref="IHF28">_xlfn.XLOOKUP(IHF$11,Assumptions!$B$35:$H$35,_xlfn.XLOOKUP($C28,Assumptions!$B$36:$B$41,Assumptions!$B$36:$H$41))</f>
        <v>0</v>
      </c>
      <c r="IHG28">
        <f t="array" ref="IHG28">_xlfn.XLOOKUP(IHG$11,Assumptions!$B$35:$H$35,_xlfn.XLOOKUP($C28,Assumptions!$B$36:$B$41,Assumptions!$B$36:$H$41))</f>
        <v>0</v>
      </c>
      <c r="IHH28">
        <f t="array" ref="IHH28">_xlfn.XLOOKUP(IHH$11,Assumptions!$B$35:$H$35,_xlfn.XLOOKUP($C28,Assumptions!$B$36:$B$41,Assumptions!$B$36:$H$41))</f>
        <v>0</v>
      </c>
      <c r="IHI28">
        <f t="array" ref="IHI28">_xlfn.XLOOKUP(IHI$11,Assumptions!$B$35:$H$35,_xlfn.XLOOKUP($C28,Assumptions!$B$36:$B$41,Assumptions!$B$36:$H$41))</f>
        <v>0</v>
      </c>
      <c r="IHJ28">
        <f t="array" ref="IHJ28">_xlfn.XLOOKUP(IHJ$11,Assumptions!$B$35:$H$35,_xlfn.XLOOKUP($C28,Assumptions!$B$36:$B$41,Assumptions!$B$36:$H$41))</f>
        <v>0</v>
      </c>
      <c r="IHK28">
        <f t="array" ref="IHK28">_xlfn.XLOOKUP(IHK$11,Assumptions!$B$35:$H$35,_xlfn.XLOOKUP($C28,Assumptions!$B$36:$B$41,Assumptions!$B$36:$H$41))</f>
        <v>0</v>
      </c>
      <c r="IHL28">
        <f t="array" ref="IHL28">_xlfn.XLOOKUP(IHL$11,Assumptions!$B$35:$H$35,_xlfn.XLOOKUP($C28,Assumptions!$B$36:$B$41,Assumptions!$B$36:$H$41))</f>
        <v>0</v>
      </c>
      <c r="IHM28">
        <f t="array" ref="IHM28">_xlfn.XLOOKUP(IHM$11,Assumptions!$B$35:$H$35,_xlfn.XLOOKUP($C28,Assumptions!$B$36:$B$41,Assumptions!$B$36:$H$41))</f>
        <v>0</v>
      </c>
      <c r="IHN28">
        <f t="array" ref="IHN28">_xlfn.XLOOKUP(IHN$11,Assumptions!$B$35:$H$35,_xlfn.XLOOKUP($C28,Assumptions!$B$36:$B$41,Assumptions!$B$36:$H$41))</f>
        <v>0</v>
      </c>
      <c r="IHO28">
        <f t="array" ref="IHO28">_xlfn.XLOOKUP(IHO$11,Assumptions!$B$35:$H$35,_xlfn.XLOOKUP($C28,Assumptions!$B$36:$B$41,Assumptions!$B$36:$H$41))</f>
        <v>0</v>
      </c>
      <c r="IHP28">
        <f t="array" ref="IHP28">_xlfn.XLOOKUP(IHP$11,Assumptions!$B$35:$H$35,_xlfn.XLOOKUP($C28,Assumptions!$B$36:$B$41,Assumptions!$B$36:$H$41))</f>
        <v>0</v>
      </c>
      <c r="IHQ28">
        <f t="array" ref="IHQ28">_xlfn.XLOOKUP(IHQ$11,Assumptions!$B$35:$H$35,_xlfn.XLOOKUP($C28,Assumptions!$B$36:$B$41,Assumptions!$B$36:$H$41))</f>
        <v>0</v>
      </c>
      <c r="IHR28">
        <f t="array" ref="IHR28">_xlfn.XLOOKUP(IHR$11,Assumptions!$B$35:$H$35,_xlfn.XLOOKUP($C28,Assumptions!$B$36:$B$41,Assumptions!$B$36:$H$41))</f>
        <v>0</v>
      </c>
      <c r="IHS28">
        <f t="array" ref="IHS28">_xlfn.XLOOKUP(IHS$11,Assumptions!$B$35:$H$35,_xlfn.XLOOKUP($C28,Assumptions!$B$36:$B$41,Assumptions!$B$36:$H$41))</f>
        <v>0</v>
      </c>
      <c r="IHT28">
        <f t="array" ref="IHT28">_xlfn.XLOOKUP(IHT$11,Assumptions!$B$35:$H$35,_xlfn.XLOOKUP($C28,Assumptions!$B$36:$B$41,Assumptions!$B$36:$H$41))</f>
        <v>0</v>
      </c>
      <c r="IHU28">
        <f t="array" ref="IHU28">_xlfn.XLOOKUP(IHU$11,Assumptions!$B$35:$H$35,_xlfn.XLOOKUP($C28,Assumptions!$B$36:$B$41,Assumptions!$B$36:$H$41))</f>
        <v>0</v>
      </c>
      <c r="IHV28">
        <f t="array" ref="IHV28">_xlfn.XLOOKUP(IHV$11,Assumptions!$B$35:$H$35,_xlfn.XLOOKUP($C28,Assumptions!$B$36:$B$41,Assumptions!$B$36:$H$41))</f>
        <v>0</v>
      </c>
      <c r="IHW28">
        <f t="array" ref="IHW28">_xlfn.XLOOKUP(IHW$11,Assumptions!$B$35:$H$35,_xlfn.XLOOKUP($C28,Assumptions!$B$36:$B$41,Assumptions!$B$36:$H$41))</f>
        <v>0</v>
      </c>
      <c r="IHX28">
        <f t="array" ref="IHX28">_xlfn.XLOOKUP(IHX$11,Assumptions!$B$35:$H$35,_xlfn.XLOOKUP($C28,Assumptions!$B$36:$B$41,Assumptions!$B$36:$H$41))</f>
        <v>0</v>
      </c>
      <c r="IHY28">
        <f t="array" ref="IHY28">_xlfn.XLOOKUP(IHY$11,Assumptions!$B$35:$H$35,_xlfn.XLOOKUP($C28,Assumptions!$B$36:$B$41,Assumptions!$B$36:$H$41))</f>
        <v>0</v>
      </c>
      <c r="IHZ28">
        <f t="array" ref="IHZ28">_xlfn.XLOOKUP(IHZ$11,Assumptions!$B$35:$H$35,_xlfn.XLOOKUP($C28,Assumptions!$B$36:$B$41,Assumptions!$B$36:$H$41))</f>
        <v>0</v>
      </c>
      <c r="IIA28">
        <f t="array" ref="IIA28">_xlfn.XLOOKUP(IIA$11,Assumptions!$B$35:$H$35,_xlfn.XLOOKUP($C28,Assumptions!$B$36:$B$41,Assumptions!$B$36:$H$41))</f>
        <v>0</v>
      </c>
      <c r="IIB28">
        <f t="array" ref="IIB28">_xlfn.XLOOKUP(IIB$11,Assumptions!$B$35:$H$35,_xlfn.XLOOKUP($C28,Assumptions!$B$36:$B$41,Assumptions!$B$36:$H$41))</f>
        <v>0</v>
      </c>
      <c r="IIC28">
        <f t="array" ref="IIC28">_xlfn.XLOOKUP(IIC$11,Assumptions!$B$35:$H$35,_xlfn.XLOOKUP($C28,Assumptions!$B$36:$B$41,Assumptions!$B$36:$H$41))</f>
        <v>0</v>
      </c>
      <c r="IID28">
        <f t="array" ref="IID28">_xlfn.XLOOKUP(IID$11,Assumptions!$B$35:$H$35,_xlfn.XLOOKUP($C28,Assumptions!$B$36:$B$41,Assumptions!$B$36:$H$41))</f>
        <v>0</v>
      </c>
      <c r="IIE28">
        <f t="array" ref="IIE28">_xlfn.XLOOKUP(IIE$11,Assumptions!$B$35:$H$35,_xlfn.XLOOKUP($C28,Assumptions!$B$36:$B$41,Assumptions!$B$36:$H$41))</f>
        <v>0</v>
      </c>
      <c r="IIF28">
        <f t="array" ref="IIF28">_xlfn.XLOOKUP(IIF$11,Assumptions!$B$35:$H$35,_xlfn.XLOOKUP($C28,Assumptions!$B$36:$B$41,Assumptions!$B$36:$H$41))</f>
        <v>0</v>
      </c>
      <c r="IIG28">
        <f t="array" ref="IIG28">_xlfn.XLOOKUP(IIG$11,Assumptions!$B$35:$H$35,_xlfn.XLOOKUP($C28,Assumptions!$B$36:$B$41,Assumptions!$B$36:$H$41))</f>
        <v>0</v>
      </c>
      <c r="IIH28">
        <f t="array" ref="IIH28">_xlfn.XLOOKUP(IIH$11,Assumptions!$B$35:$H$35,_xlfn.XLOOKUP($C28,Assumptions!$B$36:$B$41,Assumptions!$B$36:$H$41))</f>
        <v>0</v>
      </c>
      <c r="III28">
        <f t="array" ref="III28">_xlfn.XLOOKUP(III$11,Assumptions!$B$35:$H$35,_xlfn.XLOOKUP($C28,Assumptions!$B$36:$B$41,Assumptions!$B$36:$H$41))</f>
        <v>0</v>
      </c>
      <c r="IIJ28">
        <f t="array" ref="IIJ28">_xlfn.XLOOKUP(IIJ$11,Assumptions!$B$35:$H$35,_xlfn.XLOOKUP($C28,Assumptions!$B$36:$B$41,Assumptions!$B$36:$H$41))</f>
        <v>0</v>
      </c>
      <c r="IIK28">
        <f t="array" ref="IIK28">_xlfn.XLOOKUP(IIK$11,Assumptions!$B$35:$H$35,_xlfn.XLOOKUP($C28,Assumptions!$B$36:$B$41,Assumptions!$B$36:$H$41))</f>
        <v>0</v>
      </c>
      <c r="IIL28">
        <f t="array" ref="IIL28">_xlfn.XLOOKUP(IIL$11,Assumptions!$B$35:$H$35,_xlfn.XLOOKUP($C28,Assumptions!$B$36:$B$41,Assumptions!$B$36:$H$41))</f>
        <v>0</v>
      </c>
      <c r="IIM28">
        <f t="array" ref="IIM28">_xlfn.XLOOKUP(IIM$11,Assumptions!$B$35:$H$35,_xlfn.XLOOKUP($C28,Assumptions!$B$36:$B$41,Assumptions!$B$36:$H$41))</f>
        <v>0</v>
      </c>
      <c r="IIN28">
        <f t="array" ref="IIN28">_xlfn.XLOOKUP(IIN$11,Assumptions!$B$35:$H$35,_xlfn.XLOOKUP($C28,Assumptions!$B$36:$B$41,Assumptions!$B$36:$H$41))</f>
        <v>0</v>
      </c>
      <c r="IIO28">
        <f t="array" ref="IIO28">_xlfn.XLOOKUP(IIO$11,Assumptions!$B$35:$H$35,_xlfn.XLOOKUP($C28,Assumptions!$B$36:$B$41,Assumptions!$B$36:$H$41))</f>
        <v>0</v>
      </c>
      <c r="IIP28">
        <f t="array" ref="IIP28">_xlfn.XLOOKUP(IIP$11,Assumptions!$B$35:$H$35,_xlfn.XLOOKUP($C28,Assumptions!$B$36:$B$41,Assumptions!$B$36:$H$41))</f>
        <v>0</v>
      </c>
      <c r="IIQ28">
        <f t="array" ref="IIQ28">_xlfn.XLOOKUP(IIQ$11,Assumptions!$B$35:$H$35,_xlfn.XLOOKUP($C28,Assumptions!$B$36:$B$41,Assumptions!$B$36:$H$41))</f>
        <v>0</v>
      </c>
      <c r="IIR28">
        <f t="array" ref="IIR28">_xlfn.XLOOKUP(IIR$11,Assumptions!$B$35:$H$35,_xlfn.XLOOKUP($C28,Assumptions!$B$36:$B$41,Assumptions!$B$36:$H$41))</f>
        <v>0</v>
      </c>
      <c r="IIS28">
        <f t="array" ref="IIS28">_xlfn.XLOOKUP(IIS$11,Assumptions!$B$35:$H$35,_xlfn.XLOOKUP($C28,Assumptions!$B$36:$B$41,Assumptions!$B$36:$H$41))</f>
        <v>0</v>
      </c>
      <c r="IIT28">
        <f t="array" ref="IIT28">_xlfn.XLOOKUP(IIT$11,Assumptions!$B$35:$H$35,_xlfn.XLOOKUP($C28,Assumptions!$B$36:$B$41,Assumptions!$B$36:$H$41))</f>
        <v>0</v>
      </c>
      <c r="IIU28">
        <f t="array" ref="IIU28">_xlfn.XLOOKUP(IIU$11,Assumptions!$B$35:$H$35,_xlfn.XLOOKUP($C28,Assumptions!$B$36:$B$41,Assumptions!$B$36:$H$41))</f>
        <v>0</v>
      </c>
      <c r="IIV28">
        <f t="array" ref="IIV28">_xlfn.XLOOKUP(IIV$11,Assumptions!$B$35:$H$35,_xlfn.XLOOKUP($C28,Assumptions!$B$36:$B$41,Assumptions!$B$36:$H$41))</f>
        <v>0</v>
      </c>
      <c r="IIW28">
        <f t="array" ref="IIW28">_xlfn.XLOOKUP(IIW$11,Assumptions!$B$35:$H$35,_xlfn.XLOOKUP($C28,Assumptions!$B$36:$B$41,Assumptions!$B$36:$H$41))</f>
        <v>0</v>
      </c>
      <c r="IIX28">
        <f t="array" ref="IIX28">_xlfn.XLOOKUP(IIX$11,Assumptions!$B$35:$H$35,_xlfn.XLOOKUP($C28,Assumptions!$B$36:$B$41,Assumptions!$B$36:$H$41))</f>
        <v>0</v>
      </c>
      <c r="IIY28">
        <f t="array" ref="IIY28">_xlfn.XLOOKUP(IIY$11,Assumptions!$B$35:$H$35,_xlfn.XLOOKUP($C28,Assumptions!$B$36:$B$41,Assumptions!$B$36:$H$41))</f>
        <v>0</v>
      </c>
      <c r="IIZ28">
        <f t="array" ref="IIZ28">_xlfn.XLOOKUP(IIZ$11,Assumptions!$B$35:$H$35,_xlfn.XLOOKUP($C28,Assumptions!$B$36:$B$41,Assumptions!$B$36:$H$41))</f>
        <v>0</v>
      </c>
      <c r="IJA28">
        <f t="array" ref="IJA28">_xlfn.XLOOKUP(IJA$11,Assumptions!$B$35:$H$35,_xlfn.XLOOKUP($C28,Assumptions!$B$36:$B$41,Assumptions!$B$36:$H$41))</f>
        <v>0</v>
      </c>
      <c r="IJB28">
        <f t="array" ref="IJB28">_xlfn.XLOOKUP(IJB$11,Assumptions!$B$35:$H$35,_xlfn.XLOOKUP($C28,Assumptions!$B$36:$B$41,Assumptions!$B$36:$H$41))</f>
        <v>0</v>
      </c>
      <c r="IJC28">
        <f t="array" ref="IJC28">_xlfn.XLOOKUP(IJC$11,Assumptions!$B$35:$H$35,_xlfn.XLOOKUP($C28,Assumptions!$B$36:$B$41,Assumptions!$B$36:$H$41))</f>
        <v>0</v>
      </c>
      <c r="IJD28">
        <f t="array" ref="IJD28">_xlfn.XLOOKUP(IJD$11,Assumptions!$B$35:$H$35,_xlfn.XLOOKUP($C28,Assumptions!$B$36:$B$41,Assumptions!$B$36:$H$41))</f>
        <v>0</v>
      </c>
      <c r="IJE28">
        <f t="array" ref="IJE28">_xlfn.XLOOKUP(IJE$11,Assumptions!$B$35:$H$35,_xlfn.XLOOKUP($C28,Assumptions!$B$36:$B$41,Assumptions!$B$36:$H$41))</f>
        <v>0</v>
      </c>
      <c r="IJF28">
        <f t="array" ref="IJF28">_xlfn.XLOOKUP(IJF$11,Assumptions!$B$35:$H$35,_xlfn.XLOOKUP($C28,Assumptions!$B$36:$B$41,Assumptions!$B$36:$H$41))</f>
        <v>0</v>
      </c>
      <c r="IJG28">
        <f t="array" ref="IJG28">_xlfn.XLOOKUP(IJG$11,Assumptions!$B$35:$H$35,_xlfn.XLOOKUP($C28,Assumptions!$B$36:$B$41,Assumptions!$B$36:$H$41))</f>
        <v>0</v>
      </c>
      <c r="IJH28">
        <f t="array" ref="IJH28">_xlfn.XLOOKUP(IJH$11,Assumptions!$B$35:$H$35,_xlfn.XLOOKUP($C28,Assumptions!$B$36:$B$41,Assumptions!$B$36:$H$41))</f>
        <v>0</v>
      </c>
      <c r="IJI28">
        <f t="array" ref="IJI28">_xlfn.XLOOKUP(IJI$11,Assumptions!$B$35:$H$35,_xlfn.XLOOKUP($C28,Assumptions!$B$36:$B$41,Assumptions!$B$36:$H$41))</f>
        <v>0</v>
      </c>
      <c r="IJJ28">
        <f t="array" ref="IJJ28">_xlfn.XLOOKUP(IJJ$11,Assumptions!$B$35:$H$35,_xlfn.XLOOKUP($C28,Assumptions!$B$36:$B$41,Assumptions!$B$36:$H$41))</f>
        <v>0</v>
      </c>
      <c r="IJK28">
        <f t="array" ref="IJK28">_xlfn.XLOOKUP(IJK$11,Assumptions!$B$35:$H$35,_xlfn.XLOOKUP($C28,Assumptions!$B$36:$B$41,Assumptions!$B$36:$H$41))</f>
        <v>0</v>
      </c>
      <c r="IJL28">
        <f t="array" ref="IJL28">_xlfn.XLOOKUP(IJL$11,Assumptions!$B$35:$H$35,_xlfn.XLOOKUP($C28,Assumptions!$B$36:$B$41,Assumptions!$B$36:$H$41))</f>
        <v>0</v>
      </c>
      <c r="IJM28">
        <f t="array" ref="IJM28">_xlfn.XLOOKUP(IJM$11,Assumptions!$B$35:$H$35,_xlfn.XLOOKUP($C28,Assumptions!$B$36:$B$41,Assumptions!$B$36:$H$41))</f>
        <v>0</v>
      </c>
      <c r="IJN28">
        <f t="array" ref="IJN28">_xlfn.XLOOKUP(IJN$11,Assumptions!$B$35:$H$35,_xlfn.XLOOKUP($C28,Assumptions!$B$36:$B$41,Assumptions!$B$36:$H$41))</f>
        <v>0</v>
      </c>
      <c r="IJO28">
        <f t="array" ref="IJO28">_xlfn.XLOOKUP(IJO$11,Assumptions!$B$35:$H$35,_xlfn.XLOOKUP($C28,Assumptions!$B$36:$B$41,Assumptions!$B$36:$H$41))</f>
        <v>0</v>
      </c>
      <c r="IJP28">
        <f t="array" ref="IJP28">_xlfn.XLOOKUP(IJP$11,Assumptions!$B$35:$H$35,_xlfn.XLOOKUP($C28,Assumptions!$B$36:$B$41,Assumptions!$B$36:$H$41))</f>
        <v>0</v>
      </c>
      <c r="IJQ28">
        <f t="array" ref="IJQ28">_xlfn.XLOOKUP(IJQ$11,Assumptions!$B$35:$H$35,_xlfn.XLOOKUP($C28,Assumptions!$B$36:$B$41,Assumptions!$B$36:$H$41))</f>
        <v>0</v>
      </c>
      <c r="IJR28">
        <f t="array" ref="IJR28">_xlfn.XLOOKUP(IJR$11,Assumptions!$B$35:$H$35,_xlfn.XLOOKUP($C28,Assumptions!$B$36:$B$41,Assumptions!$B$36:$H$41))</f>
        <v>0</v>
      </c>
      <c r="IJS28">
        <f t="array" ref="IJS28">_xlfn.XLOOKUP(IJS$11,Assumptions!$B$35:$H$35,_xlfn.XLOOKUP($C28,Assumptions!$B$36:$B$41,Assumptions!$B$36:$H$41))</f>
        <v>0</v>
      </c>
      <c r="IJT28">
        <f t="array" ref="IJT28">_xlfn.XLOOKUP(IJT$11,Assumptions!$B$35:$H$35,_xlfn.XLOOKUP($C28,Assumptions!$B$36:$B$41,Assumptions!$B$36:$H$41))</f>
        <v>0</v>
      </c>
      <c r="IJU28">
        <f t="array" ref="IJU28">_xlfn.XLOOKUP(IJU$11,Assumptions!$B$35:$H$35,_xlfn.XLOOKUP($C28,Assumptions!$B$36:$B$41,Assumptions!$B$36:$H$41))</f>
        <v>0</v>
      </c>
      <c r="IJV28">
        <f t="array" ref="IJV28">_xlfn.XLOOKUP(IJV$11,Assumptions!$B$35:$H$35,_xlfn.XLOOKUP($C28,Assumptions!$B$36:$B$41,Assumptions!$B$36:$H$41))</f>
        <v>0</v>
      </c>
      <c r="IJW28">
        <f t="array" ref="IJW28">_xlfn.XLOOKUP(IJW$11,Assumptions!$B$35:$H$35,_xlfn.XLOOKUP($C28,Assumptions!$B$36:$B$41,Assumptions!$B$36:$H$41))</f>
        <v>0</v>
      </c>
      <c r="IJX28">
        <f t="array" ref="IJX28">_xlfn.XLOOKUP(IJX$11,Assumptions!$B$35:$H$35,_xlfn.XLOOKUP($C28,Assumptions!$B$36:$B$41,Assumptions!$B$36:$H$41))</f>
        <v>0</v>
      </c>
      <c r="IJY28">
        <f t="array" ref="IJY28">_xlfn.XLOOKUP(IJY$11,Assumptions!$B$35:$H$35,_xlfn.XLOOKUP($C28,Assumptions!$B$36:$B$41,Assumptions!$B$36:$H$41))</f>
        <v>0</v>
      </c>
      <c r="IJZ28">
        <f t="array" ref="IJZ28">_xlfn.XLOOKUP(IJZ$11,Assumptions!$B$35:$H$35,_xlfn.XLOOKUP($C28,Assumptions!$B$36:$B$41,Assumptions!$B$36:$H$41))</f>
        <v>0</v>
      </c>
      <c r="IKA28">
        <f t="array" ref="IKA28">_xlfn.XLOOKUP(IKA$11,Assumptions!$B$35:$H$35,_xlfn.XLOOKUP($C28,Assumptions!$B$36:$B$41,Assumptions!$B$36:$H$41))</f>
        <v>0</v>
      </c>
      <c r="IKB28">
        <f t="array" ref="IKB28">_xlfn.XLOOKUP(IKB$11,Assumptions!$B$35:$H$35,_xlfn.XLOOKUP($C28,Assumptions!$B$36:$B$41,Assumptions!$B$36:$H$41))</f>
        <v>0</v>
      </c>
      <c r="IKC28">
        <f t="array" ref="IKC28">_xlfn.XLOOKUP(IKC$11,Assumptions!$B$35:$H$35,_xlfn.XLOOKUP($C28,Assumptions!$B$36:$B$41,Assumptions!$B$36:$H$41))</f>
        <v>0</v>
      </c>
      <c r="IKD28">
        <f t="array" ref="IKD28">_xlfn.XLOOKUP(IKD$11,Assumptions!$B$35:$H$35,_xlfn.XLOOKUP($C28,Assumptions!$B$36:$B$41,Assumptions!$B$36:$H$41))</f>
        <v>0</v>
      </c>
      <c r="IKE28">
        <f t="array" ref="IKE28">_xlfn.XLOOKUP(IKE$11,Assumptions!$B$35:$H$35,_xlfn.XLOOKUP($C28,Assumptions!$B$36:$B$41,Assumptions!$B$36:$H$41))</f>
        <v>0</v>
      </c>
      <c r="IKF28">
        <f t="array" ref="IKF28">_xlfn.XLOOKUP(IKF$11,Assumptions!$B$35:$H$35,_xlfn.XLOOKUP($C28,Assumptions!$B$36:$B$41,Assumptions!$B$36:$H$41))</f>
        <v>0</v>
      </c>
      <c r="IKG28">
        <f t="array" ref="IKG28">_xlfn.XLOOKUP(IKG$11,Assumptions!$B$35:$H$35,_xlfn.XLOOKUP($C28,Assumptions!$B$36:$B$41,Assumptions!$B$36:$H$41))</f>
        <v>0</v>
      </c>
      <c r="IKH28">
        <f t="array" ref="IKH28">_xlfn.XLOOKUP(IKH$11,Assumptions!$B$35:$H$35,_xlfn.XLOOKUP($C28,Assumptions!$B$36:$B$41,Assumptions!$B$36:$H$41))</f>
        <v>0</v>
      </c>
      <c r="IKI28">
        <f t="array" ref="IKI28">_xlfn.XLOOKUP(IKI$11,Assumptions!$B$35:$H$35,_xlfn.XLOOKUP($C28,Assumptions!$B$36:$B$41,Assumptions!$B$36:$H$41))</f>
        <v>0</v>
      </c>
      <c r="IKJ28">
        <f t="array" ref="IKJ28">_xlfn.XLOOKUP(IKJ$11,Assumptions!$B$35:$H$35,_xlfn.XLOOKUP($C28,Assumptions!$B$36:$B$41,Assumptions!$B$36:$H$41))</f>
        <v>0</v>
      </c>
      <c r="IKK28">
        <f t="array" ref="IKK28">_xlfn.XLOOKUP(IKK$11,Assumptions!$B$35:$H$35,_xlfn.XLOOKUP($C28,Assumptions!$B$36:$B$41,Assumptions!$B$36:$H$41))</f>
        <v>0</v>
      </c>
      <c r="IKL28">
        <f t="array" ref="IKL28">_xlfn.XLOOKUP(IKL$11,Assumptions!$B$35:$H$35,_xlfn.XLOOKUP($C28,Assumptions!$B$36:$B$41,Assumptions!$B$36:$H$41))</f>
        <v>0</v>
      </c>
      <c r="IKM28">
        <f t="array" ref="IKM28">_xlfn.XLOOKUP(IKM$11,Assumptions!$B$35:$H$35,_xlfn.XLOOKUP($C28,Assumptions!$B$36:$B$41,Assumptions!$B$36:$H$41))</f>
        <v>0</v>
      </c>
      <c r="IKN28">
        <f t="array" ref="IKN28">_xlfn.XLOOKUP(IKN$11,Assumptions!$B$35:$H$35,_xlfn.XLOOKUP($C28,Assumptions!$B$36:$B$41,Assumptions!$B$36:$H$41))</f>
        <v>0</v>
      </c>
      <c r="IKO28">
        <f t="array" ref="IKO28">_xlfn.XLOOKUP(IKO$11,Assumptions!$B$35:$H$35,_xlfn.XLOOKUP($C28,Assumptions!$B$36:$B$41,Assumptions!$B$36:$H$41))</f>
        <v>0</v>
      </c>
      <c r="IKP28">
        <f t="array" ref="IKP28">_xlfn.XLOOKUP(IKP$11,Assumptions!$B$35:$H$35,_xlfn.XLOOKUP($C28,Assumptions!$B$36:$B$41,Assumptions!$B$36:$H$41))</f>
        <v>0</v>
      </c>
      <c r="IKQ28">
        <f t="array" ref="IKQ28">_xlfn.XLOOKUP(IKQ$11,Assumptions!$B$35:$H$35,_xlfn.XLOOKUP($C28,Assumptions!$B$36:$B$41,Assumptions!$B$36:$H$41))</f>
        <v>0</v>
      </c>
      <c r="IKR28">
        <f t="array" ref="IKR28">_xlfn.XLOOKUP(IKR$11,Assumptions!$B$35:$H$35,_xlfn.XLOOKUP($C28,Assumptions!$B$36:$B$41,Assumptions!$B$36:$H$41))</f>
        <v>0</v>
      </c>
      <c r="IKS28">
        <f t="array" ref="IKS28">_xlfn.XLOOKUP(IKS$11,Assumptions!$B$35:$H$35,_xlfn.XLOOKUP($C28,Assumptions!$B$36:$B$41,Assumptions!$B$36:$H$41))</f>
        <v>0</v>
      </c>
      <c r="IKT28">
        <f t="array" ref="IKT28">_xlfn.XLOOKUP(IKT$11,Assumptions!$B$35:$H$35,_xlfn.XLOOKUP($C28,Assumptions!$B$36:$B$41,Assumptions!$B$36:$H$41))</f>
        <v>0</v>
      </c>
      <c r="IKU28">
        <f t="array" ref="IKU28">_xlfn.XLOOKUP(IKU$11,Assumptions!$B$35:$H$35,_xlfn.XLOOKUP($C28,Assumptions!$B$36:$B$41,Assumptions!$B$36:$H$41))</f>
        <v>0</v>
      </c>
      <c r="IKV28">
        <f t="array" ref="IKV28">_xlfn.XLOOKUP(IKV$11,Assumptions!$B$35:$H$35,_xlfn.XLOOKUP($C28,Assumptions!$B$36:$B$41,Assumptions!$B$36:$H$41))</f>
        <v>0</v>
      </c>
      <c r="IKW28">
        <f t="array" ref="IKW28">_xlfn.XLOOKUP(IKW$11,Assumptions!$B$35:$H$35,_xlfn.XLOOKUP($C28,Assumptions!$B$36:$B$41,Assumptions!$B$36:$H$41))</f>
        <v>0</v>
      </c>
      <c r="IKX28">
        <f t="array" ref="IKX28">_xlfn.XLOOKUP(IKX$11,Assumptions!$B$35:$H$35,_xlfn.XLOOKUP($C28,Assumptions!$B$36:$B$41,Assumptions!$B$36:$H$41))</f>
        <v>0</v>
      </c>
      <c r="IKY28">
        <f t="array" ref="IKY28">_xlfn.XLOOKUP(IKY$11,Assumptions!$B$35:$H$35,_xlfn.XLOOKUP($C28,Assumptions!$B$36:$B$41,Assumptions!$B$36:$H$41))</f>
        <v>0</v>
      </c>
      <c r="IKZ28">
        <f t="array" ref="IKZ28">_xlfn.XLOOKUP(IKZ$11,Assumptions!$B$35:$H$35,_xlfn.XLOOKUP($C28,Assumptions!$B$36:$B$41,Assumptions!$B$36:$H$41))</f>
        <v>0</v>
      </c>
      <c r="ILA28">
        <f t="array" ref="ILA28">_xlfn.XLOOKUP(ILA$11,Assumptions!$B$35:$H$35,_xlfn.XLOOKUP($C28,Assumptions!$B$36:$B$41,Assumptions!$B$36:$H$41))</f>
        <v>0</v>
      </c>
      <c r="ILB28">
        <f t="array" ref="ILB28">_xlfn.XLOOKUP(ILB$11,Assumptions!$B$35:$H$35,_xlfn.XLOOKUP($C28,Assumptions!$B$36:$B$41,Assumptions!$B$36:$H$41))</f>
        <v>0</v>
      </c>
      <c r="ILC28">
        <f t="array" ref="ILC28">_xlfn.XLOOKUP(ILC$11,Assumptions!$B$35:$H$35,_xlfn.XLOOKUP($C28,Assumptions!$B$36:$B$41,Assumptions!$B$36:$H$41))</f>
        <v>0</v>
      </c>
      <c r="ILD28">
        <f t="array" ref="ILD28">_xlfn.XLOOKUP(ILD$11,Assumptions!$B$35:$H$35,_xlfn.XLOOKUP($C28,Assumptions!$B$36:$B$41,Assumptions!$B$36:$H$41))</f>
        <v>0</v>
      </c>
      <c r="ILE28">
        <f t="array" ref="ILE28">_xlfn.XLOOKUP(ILE$11,Assumptions!$B$35:$H$35,_xlfn.XLOOKUP($C28,Assumptions!$B$36:$B$41,Assumptions!$B$36:$H$41))</f>
        <v>0</v>
      </c>
      <c r="ILF28">
        <f t="array" ref="ILF28">_xlfn.XLOOKUP(ILF$11,Assumptions!$B$35:$H$35,_xlfn.XLOOKUP($C28,Assumptions!$B$36:$B$41,Assumptions!$B$36:$H$41))</f>
        <v>0</v>
      </c>
      <c r="ILG28">
        <f t="array" ref="ILG28">_xlfn.XLOOKUP(ILG$11,Assumptions!$B$35:$H$35,_xlfn.XLOOKUP($C28,Assumptions!$B$36:$B$41,Assumptions!$B$36:$H$41))</f>
        <v>0</v>
      </c>
      <c r="ILH28">
        <f t="array" ref="ILH28">_xlfn.XLOOKUP(ILH$11,Assumptions!$B$35:$H$35,_xlfn.XLOOKUP($C28,Assumptions!$B$36:$B$41,Assumptions!$B$36:$H$41))</f>
        <v>0</v>
      </c>
      <c r="ILI28">
        <f t="array" ref="ILI28">_xlfn.XLOOKUP(ILI$11,Assumptions!$B$35:$H$35,_xlfn.XLOOKUP($C28,Assumptions!$B$36:$B$41,Assumptions!$B$36:$H$41))</f>
        <v>0</v>
      </c>
      <c r="ILJ28">
        <f t="array" ref="ILJ28">_xlfn.XLOOKUP(ILJ$11,Assumptions!$B$35:$H$35,_xlfn.XLOOKUP($C28,Assumptions!$B$36:$B$41,Assumptions!$B$36:$H$41))</f>
        <v>0</v>
      </c>
      <c r="ILK28">
        <f t="array" ref="ILK28">_xlfn.XLOOKUP(ILK$11,Assumptions!$B$35:$H$35,_xlfn.XLOOKUP($C28,Assumptions!$B$36:$B$41,Assumptions!$B$36:$H$41))</f>
        <v>0</v>
      </c>
      <c r="ILL28">
        <f t="array" ref="ILL28">_xlfn.XLOOKUP(ILL$11,Assumptions!$B$35:$H$35,_xlfn.XLOOKUP($C28,Assumptions!$B$36:$B$41,Assumptions!$B$36:$H$41))</f>
        <v>0</v>
      </c>
      <c r="ILM28">
        <f t="array" ref="ILM28">_xlfn.XLOOKUP(ILM$11,Assumptions!$B$35:$H$35,_xlfn.XLOOKUP($C28,Assumptions!$B$36:$B$41,Assumptions!$B$36:$H$41))</f>
        <v>0</v>
      </c>
      <c r="ILN28">
        <f t="array" ref="ILN28">_xlfn.XLOOKUP(ILN$11,Assumptions!$B$35:$H$35,_xlfn.XLOOKUP($C28,Assumptions!$B$36:$B$41,Assumptions!$B$36:$H$41))</f>
        <v>0</v>
      </c>
      <c r="ILO28">
        <f t="array" ref="ILO28">_xlfn.XLOOKUP(ILO$11,Assumptions!$B$35:$H$35,_xlfn.XLOOKUP($C28,Assumptions!$B$36:$B$41,Assumptions!$B$36:$H$41))</f>
        <v>0</v>
      </c>
      <c r="ILP28">
        <f t="array" ref="ILP28">_xlfn.XLOOKUP(ILP$11,Assumptions!$B$35:$H$35,_xlfn.XLOOKUP($C28,Assumptions!$B$36:$B$41,Assumptions!$B$36:$H$41))</f>
        <v>0</v>
      </c>
      <c r="ILQ28">
        <f t="array" ref="ILQ28">_xlfn.XLOOKUP(ILQ$11,Assumptions!$B$35:$H$35,_xlfn.XLOOKUP($C28,Assumptions!$B$36:$B$41,Assumptions!$B$36:$H$41))</f>
        <v>0</v>
      </c>
      <c r="ILR28">
        <f t="array" ref="ILR28">_xlfn.XLOOKUP(ILR$11,Assumptions!$B$35:$H$35,_xlfn.XLOOKUP($C28,Assumptions!$B$36:$B$41,Assumptions!$B$36:$H$41))</f>
        <v>0</v>
      </c>
      <c r="ILS28">
        <f t="array" ref="ILS28">_xlfn.XLOOKUP(ILS$11,Assumptions!$B$35:$H$35,_xlfn.XLOOKUP($C28,Assumptions!$B$36:$B$41,Assumptions!$B$36:$H$41))</f>
        <v>0</v>
      </c>
      <c r="ILT28">
        <f t="array" ref="ILT28">_xlfn.XLOOKUP(ILT$11,Assumptions!$B$35:$H$35,_xlfn.XLOOKUP($C28,Assumptions!$B$36:$B$41,Assumptions!$B$36:$H$41))</f>
        <v>0</v>
      </c>
      <c r="ILU28">
        <f t="array" ref="ILU28">_xlfn.XLOOKUP(ILU$11,Assumptions!$B$35:$H$35,_xlfn.XLOOKUP($C28,Assumptions!$B$36:$B$41,Assumptions!$B$36:$H$41))</f>
        <v>0</v>
      </c>
      <c r="ILV28">
        <f t="array" ref="ILV28">_xlfn.XLOOKUP(ILV$11,Assumptions!$B$35:$H$35,_xlfn.XLOOKUP($C28,Assumptions!$B$36:$B$41,Assumptions!$B$36:$H$41))</f>
        <v>0</v>
      </c>
      <c r="ILW28">
        <f t="array" ref="ILW28">_xlfn.XLOOKUP(ILW$11,Assumptions!$B$35:$H$35,_xlfn.XLOOKUP($C28,Assumptions!$B$36:$B$41,Assumptions!$B$36:$H$41))</f>
        <v>0</v>
      </c>
      <c r="ILX28">
        <f t="array" ref="ILX28">_xlfn.XLOOKUP(ILX$11,Assumptions!$B$35:$H$35,_xlfn.XLOOKUP($C28,Assumptions!$B$36:$B$41,Assumptions!$B$36:$H$41))</f>
        <v>0</v>
      </c>
      <c r="ILY28">
        <f t="array" ref="ILY28">_xlfn.XLOOKUP(ILY$11,Assumptions!$B$35:$H$35,_xlfn.XLOOKUP($C28,Assumptions!$B$36:$B$41,Assumptions!$B$36:$H$41))</f>
        <v>0</v>
      </c>
      <c r="ILZ28">
        <f t="array" ref="ILZ28">_xlfn.XLOOKUP(ILZ$11,Assumptions!$B$35:$H$35,_xlfn.XLOOKUP($C28,Assumptions!$B$36:$B$41,Assumptions!$B$36:$H$41))</f>
        <v>0</v>
      </c>
      <c r="IMA28">
        <f t="array" ref="IMA28">_xlfn.XLOOKUP(IMA$11,Assumptions!$B$35:$H$35,_xlfn.XLOOKUP($C28,Assumptions!$B$36:$B$41,Assumptions!$B$36:$H$41))</f>
        <v>0</v>
      </c>
      <c r="IMB28">
        <f t="array" ref="IMB28">_xlfn.XLOOKUP(IMB$11,Assumptions!$B$35:$H$35,_xlfn.XLOOKUP($C28,Assumptions!$B$36:$B$41,Assumptions!$B$36:$H$41))</f>
        <v>0</v>
      </c>
      <c r="IMC28">
        <f t="array" ref="IMC28">_xlfn.XLOOKUP(IMC$11,Assumptions!$B$35:$H$35,_xlfn.XLOOKUP($C28,Assumptions!$B$36:$B$41,Assumptions!$B$36:$H$41))</f>
        <v>0</v>
      </c>
      <c r="IMD28">
        <f t="array" ref="IMD28">_xlfn.XLOOKUP(IMD$11,Assumptions!$B$35:$H$35,_xlfn.XLOOKUP($C28,Assumptions!$B$36:$B$41,Assumptions!$B$36:$H$41))</f>
        <v>0</v>
      </c>
      <c r="IME28">
        <f t="array" ref="IME28">_xlfn.XLOOKUP(IME$11,Assumptions!$B$35:$H$35,_xlfn.XLOOKUP($C28,Assumptions!$B$36:$B$41,Assumptions!$B$36:$H$41))</f>
        <v>0</v>
      </c>
      <c r="IMF28">
        <f t="array" ref="IMF28">_xlfn.XLOOKUP(IMF$11,Assumptions!$B$35:$H$35,_xlfn.XLOOKUP($C28,Assumptions!$B$36:$B$41,Assumptions!$B$36:$H$41))</f>
        <v>0</v>
      </c>
      <c r="IMG28">
        <f t="array" ref="IMG28">_xlfn.XLOOKUP(IMG$11,Assumptions!$B$35:$H$35,_xlfn.XLOOKUP($C28,Assumptions!$B$36:$B$41,Assumptions!$B$36:$H$41))</f>
        <v>0</v>
      </c>
      <c r="IMH28">
        <f t="array" ref="IMH28">_xlfn.XLOOKUP(IMH$11,Assumptions!$B$35:$H$35,_xlfn.XLOOKUP($C28,Assumptions!$B$36:$B$41,Assumptions!$B$36:$H$41))</f>
        <v>0</v>
      </c>
      <c r="IMI28">
        <f t="array" ref="IMI28">_xlfn.XLOOKUP(IMI$11,Assumptions!$B$35:$H$35,_xlfn.XLOOKUP($C28,Assumptions!$B$36:$B$41,Assumptions!$B$36:$H$41))</f>
        <v>0</v>
      </c>
      <c r="IMJ28">
        <f t="array" ref="IMJ28">_xlfn.XLOOKUP(IMJ$11,Assumptions!$B$35:$H$35,_xlfn.XLOOKUP($C28,Assumptions!$B$36:$B$41,Assumptions!$B$36:$H$41))</f>
        <v>0</v>
      </c>
      <c r="IMK28">
        <f t="array" ref="IMK28">_xlfn.XLOOKUP(IMK$11,Assumptions!$B$35:$H$35,_xlfn.XLOOKUP($C28,Assumptions!$B$36:$B$41,Assumptions!$B$36:$H$41))</f>
        <v>0</v>
      </c>
      <c r="IML28">
        <f t="array" ref="IML28">_xlfn.XLOOKUP(IML$11,Assumptions!$B$35:$H$35,_xlfn.XLOOKUP($C28,Assumptions!$B$36:$B$41,Assumptions!$B$36:$H$41))</f>
        <v>0</v>
      </c>
      <c r="IMM28">
        <f t="array" ref="IMM28">_xlfn.XLOOKUP(IMM$11,Assumptions!$B$35:$H$35,_xlfn.XLOOKUP($C28,Assumptions!$B$36:$B$41,Assumptions!$B$36:$H$41))</f>
        <v>0</v>
      </c>
      <c r="IMN28">
        <f t="array" ref="IMN28">_xlfn.XLOOKUP(IMN$11,Assumptions!$B$35:$H$35,_xlfn.XLOOKUP($C28,Assumptions!$B$36:$B$41,Assumptions!$B$36:$H$41))</f>
        <v>0</v>
      </c>
      <c r="IMO28">
        <f t="array" ref="IMO28">_xlfn.XLOOKUP(IMO$11,Assumptions!$B$35:$H$35,_xlfn.XLOOKUP($C28,Assumptions!$B$36:$B$41,Assumptions!$B$36:$H$41))</f>
        <v>0</v>
      </c>
      <c r="IMP28">
        <f t="array" ref="IMP28">_xlfn.XLOOKUP(IMP$11,Assumptions!$B$35:$H$35,_xlfn.XLOOKUP($C28,Assumptions!$B$36:$B$41,Assumptions!$B$36:$H$41))</f>
        <v>0</v>
      </c>
      <c r="IMQ28">
        <f t="array" ref="IMQ28">_xlfn.XLOOKUP(IMQ$11,Assumptions!$B$35:$H$35,_xlfn.XLOOKUP($C28,Assumptions!$B$36:$B$41,Assumptions!$B$36:$H$41))</f>
        <v>0</v>
      </c>
      <c r="IMR28">
        <f t="array" ref="IMR28">_xlfn.XLOOKUP(IMR$11,Assumptions!$B$35:$H$35,_xlfn.XLOOKUP($C28,Assumptions!$B$36:$B$41,Assumptions!$B$36:$H$41))</f>
        <v>0</v>
      </c>
      <c r="IMS28">
        <f t="array" ref="IMS28">_xlfn.XLOOKUP(IMS$11,Assumptions!$B$35:$H$35,_xlfn.XLOOKUP($C28,Assumptions!$B$36:$B$41,Assumptions!$B$36:$H$41))</f>
        <v>0</v>
      </c>
      <c r="IMT28">
        <f t="array" ref="IMT28">_xlfn.XLOOKUP(IMT$11,Assumptions!$B$35:$H$35,_xlfn.XLOOKUP($C28,Assumptions!$B$36:$B$41,Assumptions!$B$36:$H$41))</f>
        <v>0</v>
      </c>
      <c r="IMU28">
        <f t="array" ref="IMU28">_xlfn.XLOOKUP(IMU$11,Assumptions!$B$35:$H$35,_xlfn.XLOOKUP($C28,Assumptions!$B$36:$B$41,Assumptions!$B$36:$H$41))</f>
        <v>0</v>
      </c>
      <c r="IMV28">
        <f t="array" ref="IMV28">_xlfn.XLOOKUP(IMV$11,Assumptions!$B$35:$H$35,_xlfn.XLOOKUP($C28,Assumptions!$B$36:$B$41,Assumptions!$B$36:$H$41))</f>
        <v>0</v>
      </c>
      <c r="IMW28">
        <f t="array" ref="IMW28">_xlfn.XLOOKUP(IMW$11,Assumptions!$B$35:$H$35,_xlfn.XLOOKUP($C28,Assumptions!$B$36:$B$41,Assumptions!$B$36:$H$41))</f>
        <v>0</v>
      </c>
      <c r="IMX28">
        <f t="array" ref="IMX28">_xlfn.XLOOKUP(IMX$11,Assumptions!$B$35:$H$35,_xlfn.XLOOKUP($C28,Assumptions!$B$36:$B$41,Assumptions!$B$36:$H$41))</f>
        <v>0</v>
      </c>
      <c r="IMY28">
        <f t="array" ref="IMY28">_xlfn.XLOOKUP(IMY$11,Assumptions!$B$35:$H$35,_xlfn.XLOOKUP($C28,Assumptions!$B$36:$B$41,Assumptions!$B$36:$H$41))</f>
        <v>0</v>
      </c>
      <c r="IMZ28">
        <f t="array" ref="IMZ28">_xlfn.XLOOKUP(IMZ$11,Assumptions!$B$35:$H$35,_xlfn.XLOOKUP($C28,Assumptions!$B$36:$B$41,Assumptions!$B$36:$H$41))</f>
        <v>0</v>
      </c>
      <c r="INA28">
        <f t="array" ref="INA28">_xlfn.XLOOKUP(INA$11,Assumptions!$B$35:$H$35,_xlfn.XLOOKUP($C28,Assumptions!$B$36:$B$41,Assumptions!$B$36:$H$41))</f>
        <v>0</v>
      </c>
      <c r="INB28">
        <f t="array" ref="INB28">_xlfn.XLOOKUP(INB$11,Assumptions!$B$35:$H$35,_xlfn.XLOOKUP($C28,Assumptions!$B$36:$B$41,Assumptions!$B$36:$H$41))</f>
        <v>0</v>
      </c>
      <c r="INC28">
        <f t="array" ref="INC28">_xlfn.XLOOKUP(INC$11,Assumptions!$B$35:$H$35,_xlfn.XLOOKUP($C28,Assumptions!$B$36:$B$41,Assumptions!$B$36:$H$41))</f>
        <v>0</v>
      </c>
      <c r="IND28">
        <f t="array" ref="IND28">_xlfn.XLOOKUP(IND$11,Assumptions!$B$35:$H$35,_xlfn.XLOOKUP($C28,Assumptions!$B$36:$B$41,Assumptions!$B$36:$H$41))</f>
        <v>0</v>
      </c>
      <c r="INE28">
        <f t="array" ref="INE28">_xlfn.XLOOKUP(INE$11,Assumptions!$B$35:$H$35,_xlfn.XLOOKUP($C28,Assumptions!$B$36:$B$41,Assumptions!$B$36:$H$41))</f>
        <v>0</v>
      </c>
      <c r="INF28">
        <f t="array" ref="INF28">_xlfn.XLOOKUP(INF$11,Assumptions!$B$35:$H$35,_xlfn.XLOOKUP($C28,Assumptions!$B$36:$B$41,Assumptions!$B$36:$H$41))</f>
        <v>0</v>
      </c>
      <c r="ING28">
        <f t="array" ref="ING28">_xlfn.XLOOKUP(ING$11,Assumptions!$B$35:$H$35,_xlfn.XLOOKUP($C28,Assumptions!$B$36:$B$41,Assumptions!$B$36:$H$41))</f>
        <v>0</v>
      </c>
      <c r="INH28">
        <f t="array" ref="INH28">_xlfn.XLOOKUP(INH$11,Assumptions!$B$35:$H$35,_xlfn.XLOOKUP($C28,Assumptions!$B$36:$B$41,Assumptions!$B$36:$H$41))</f>
        <v>0</v>
      </c>
      <c r="INI28">
        <f t="array" ref="INI28">_xlfn.XLOOKUP(INI$11,Assumptions!$B$35:$H$35,_xlfn.XLOOKUP($C28,Assumptions!$B$36:$B$41,Assumptions!$B$36:$H$41))</f>
        <v>0</v>
      </c>
      <c r="INJ28">
        <f t="array" ref="INJ28">_xlfn.XLOOKUP(INJ$11,Assumptions!$B$35:$H$35,_xlfn.XLOOKUP($C28,Assumptions!$B$36:$B$41,Assumptions!$B$36:$H$41))</f>
        <v>0</v>
      </c>
      <c r="INK28">
        <f t="array" ref="INK28">_xlfn.XLOOKUP(INK$11,Assumptions!$B$35:$H$35,_xlfn.XLOOKUP($C28,Assumptions!$B$36:$B$41,Assumptions!$B$36:$H$41))</f>
        <v>0</v>
      </c>
      <c r="INL28">
        <f t="array" ref="INL28">_xlfn.XLOOKUP(INL$11,Assumptions!$B$35:$H$35,_xlfn.XLOOKUP($C28,Assumptions!$B$36:$B$41,Assumptions!$B$36:$H$41))</f>
        <v>0</v>
      </c>
      <c r="INM28">
        <f t="array" ref="INM28">_xlfn.XLOOKUP(INM$11,Assumptions!$B$35:$H$35,_xlfn.XLOOKUP($C28,Assumptions!$B$36:$B$41,Assumptions!$B$36:$H$41))</f>
        <v>0</v>
      </c>
      <c r="INN28">
        <f t="array" ref="INN28">_xlfn.XLOOKUP(INN$11,Assumptions!$B$35:$H$35,_xlfn.XLOOKUP($C28,Assumptions!$B$36:$B$41,Assumptions!$B$36:$H$41))</f>
        <v>0</v>
      </c>
      <c r="INO28">
        <f t="array" ref="INO28">_xlfn.XLOOKUP(INO$11,Assumptions!$B$35:$H$35,_xlfn.XLOOKUP($C28,Assumptions!$B$36:$B$41,Assumptions!$B$36:$H$41))</f>
        <v>0</v>
      </c>
      <c r="INP28">
        <f t="array" ref="INP28">_xlfn.XLOOKUP(INP$11,Assumptions!$B$35:$H$35,_xlfn.XLOOKUP($C28,Assumptions!$B$36:$B$41,Assumptions!$B$36:$H$41))</f>
        <v>0</v>
      </c>
      <c r="INQ28">
        <f t="array" ref="INQ28">_xlfn.XLOOKUP(INQ$11,Assumptions!$B$35:$H$35,_xlfn.XLOOKUP($C28,Assumptions!$B$36:$B$41,Assumptions!$B$36:$H$41))</f>
        <v>0</v>
      </c>
      <c r="INR28">
        <f t="array" ref="INR28">_xlfn.XLOOKUP(INR$11,Assumptions!$B$35:$H$35,_xlfn.XLOOKUP($C28,Assumptions!$B$36:$B$41,Assumptions!$B$36:$H$41))</f>
        <v>0</v>
      </c>
      <c r="INS28">
        <f t="array" ref="INS28">_xlfn.XLOOKUP(INS$11,Assumptions!$B$35:$H$35,_xlfn.XLOOKUP($C28,Assumptions!$B$36:$B$41,Assumptions!$B$36:$H$41))</f>
        <v>0</v>
      </c>
      <c r="INT28">
        <f t="array" ref="INT28">_xlfn.XLOOKUP(INT$11,Assumptions!$B$35:$H$35,_xlfn.XLOOKUP($C28,Assumptions!$B$36:$B$41,Assumptions!$B$36:$H$41))</f>
        <v>0</v>
      </c>
      <c r="INU28">
        <f t="array" ref="INU28">_xlfn.XLOOKUP(INU$11,Assumptions!$B$35:$H$35,_xlfn.XLOOKUP($C28,Assumptions!$B$36:$B$41,Assumptions!$B$36:$H$41))</f>
        <v>0</v>
      </c>
      <c r="INV28">
        <f t="array" ref="INV28">_xlfn.XLOOKUP(INV$11,Assumptions!$B$35:$H$35,_xlfn.XLOOKUP($C28,Assumptions!$B$36:$B$41,Assumptions!$B$36:$H$41))</f>
        <v>0</v>
      </c>
      <c r="INW28">
        <f t="array" ref="INW28">_xlfn.XLOOKUP(INW$11,Assumptions!$B$35:$H$35,_xlfn.XLOOKUP($C28,Assumptions!$B$36:$B$41,Assumptions!$B$36:$H$41))</f>
        <v>0</v>
      </c>
      <c r="INX28">
        <f t="array" ref="INX28">_xlfn.XLOOKUP(INX$11,Assumptions!$B$35:$H$35,_xlfn.XLOOKUP($C28,Assumptions!$B$36:$B$41,Assumptions!$B$36:$H$41))</f>
        <v>0</v>
      </c>
      <c r="INY28">
        <f t="array" ref="INY28">_xlfn.XLOOKUP(INY$11,Assumptions!$B$35:$H$35,_xlfn.XLOOKUP($C28,Assumptions!$B$36:$B$41,Assumptions!$B$36:$H$41))</f>
        <v>0</v>
      </c>
      <c r="INZ28">
        <f t="array" ref="INZ28">_xlfn.XLOOKUP(INZ$11,Assumptions!$B$35:$H$35,_xlfn.XLOOKUP($C28,Assumptions!$B$36:$B$41,Assumptions!$B$36:$H$41))</f>
        <v>0</v>
      </c>
      <c r="IOA28">
        <f t="array" ref="IOA28">_xlfn.XLOOKUP(IOA$11,Assumptions!$B$35:$H$35,_xlfn.XLOOKUP($C28,Assumptions!$B$36:$B$41,Assumptions!$B$36:$H$41))</f>
        <v>0</v>
      </c>
      <c r="IOB28">
        <f t="array" ref="IOB28">_xlfn.XLOOKUP(IOB$11,Assumptions!$B$35:$H$35,_xlfn.XLOOKUP($C28,Assumptions!$B$36:$B$41,Assumptions!$B$36:$H$41))</f>
        <v>0</v>
      </c>
      <c r="IOC28">
        <f t="array" ref="IOC28">_xlfn.XLOOKUP(IOC$11,Assumptions!$B$35:$H$35,_xlfn.XLOOKUP($C28,Assumptions!$B$36:$B$41,Assumptions!$B$36:$H$41))</f>
        <v>0</v>
      </c>
      <c r="IOD28">
        <f t="array" ref="IOD28">_xlfn.XLOOKUP(IOD$11,Assumptions!$B$35:$H$35,_xlfn.XLOOKUP($C28,Assumptions!$B$36:$B$41,Assumptions!$B$36:$H$41))</f>
        <v>0</v>
      </c>
      <c r="IOE28">
        <f t="array" ref="IOE28">_xlfn.XLOOKUP(IOE$11,Assumptions!$B$35:$H$35,_xlfn.XLOOKUP($C28,Assumptions!$B$36:$B$41,Assumptions!$B$36:$H$41))</f>
        <v>0</v>
      </c>
      <c r="IOF28">
        <f t="array" ref="IOF28">_xlfn.XLOOKUP(IOF$11,Assumptions!$B$35:$H$35,_xlfn.XLOOKUP($C28,Assumptions!$B$36:$B$41,Assumptions!$B$36:$H$41))</f>
        <v>0</v>
      </c>
      <c r="IOG28">
        <f t="array" ref="IOG28">_xlfn.XLOOKUP(IOG$11,Assumptions!$B$35:$H$35,_xlfn.XLOOKUP($C28,Assumptions!$B$36:$B$41,Assumptions!$B$36:$H$41))</f>
        <v>0</v>
      </c>
      <c r="IOH28">
        <f t="array" ref="IOH28">_xlfn.XLOOKUP(IOH$11,Assumptions!$B$35:$H$35,_xlfn.XLOOKUP($C28,Assumptions!$B$36:$B$41,Assumptions!$B$36:$H$41))</f>
        <v>0</v>
      </c>
      <c r="IOI28">
        <f t="array" ref="IOI28">_xlfn.XLOOKUP(IOI$11,Assumptions!$B$35:$H$35,_xlfn.XLOOKUP($C28,Assumptions!$B$36:$B$41,Assumptions!$B$36:$H$41))</f>
        <v>0</v>
      </c>
      <c r="IOJ28">
        <f t="array" ref="IOJ28">_xlfn.XLOOKUP(IOJ$11,Assumptions!$B$35:$H$35,_xlfn.XLOOKUP($C28,Assumptions!$B$36:$B$41,Assumptions!$B$36:$H$41))</f>
        <v>0</v>
      </c>
      <c r="IOK28">
        <f t="array" ref="IOK28">_xlfn.XLOOKUP(IOK$11,Assumptions!$B$35:$H$35,_xlfn.XLOOKUP($C28,Assumptions!$B$36:$B$41,Assumptions!$B$36:$H$41))</f>
        <v>0</v>
      </c>
      <c r="IOL28">
        <f t="array" ref="IOL28">_xlfn.XLOOKUP(IOL$11,Assumptions!$B$35:$H$35,_xlfn.XLOOKUP($C28,Assumptions!$B$36:$B$41,Assumptions!$B$36:$H$41))</f>
        <v>0</v>
      </c>
      <c r="IOM28">
        <f t="array" ref="IOM28">_xlfn.XLOOKUP(IOM$11,Assumptions!$B$35:$H$35,_xlfn.XLOOKUP($C28,Assumptions!$B$36:$B$41,Assumptions!$B$36:$H$41))</f>
        <v>0</v>
      </c>
      <c r="ION28">
        <f t="array" ref="ION28">_xlfn.XLOOKUP(ION$11,Assumptions!$B$35:$H$35,_xlfn.XLOOKUP($C28,Assumptions!$B$36:$B$41,Assumptions!$B$36:$H$41))</f>
        <v>0</v>
      </c>
      <c r="IOO28">
        <f t="array" ref="IOO28">_xlfn.XLOOKUP(IOO$11,Assumptions!$B$35:$H$35,_xlfn.XLOOKUP($C28,Assumptions!$B$36:$B$41,Assumptions!$B$36:$H$41))</f>
        <v>0</v>
      </c>
      <c r="IOP28">
        <f t="array" ref="IOP28">_xlfn.XLOOKUP(IOP$11,Assumptions!$B$35:$H$35,_xlfn.XLOOKUP($C28,Assumptions!$B$36:$B$41,Assumptions!$B$36:$H$41))</f>
        <v>0</v>
      </c>
      <c r="IOQ28">
        <f t="array" ref="IOQ28">_xlfn.XLOOKUP(IOQ$11,Assumptions!$B$35:$H$35,_xlfn.XLOOKUP($C28,Assumptions!$B$36:$B$41,Assumptions!$B$36:$H$41))</f>
        <v>0</v>
      </c>
      <c r="IOR28">
        <f t="array" ref="IOR28">_xlfn.XLOOKUP(IOR$11,Assumptions!$B$35:$H$35,_xlfn.XLOOKUP($C28,Assumptions!$B$36:$B$41,Assumptions!$B$36:$H$41))</f>
        <v>0</v>
      </c>
      <c r="IOS28">
        <f t="array" ref="IOS28">_xlfn.XLOOKUP(IOS$11,Assumptions!$B$35:$H$35,_xlfn.XLOOKUP($C28,Assumptions!$B$36:$B$41,Assumptions!$B$36:$H$41))</f>
        <v>0</v>
      </c>
      <c r="IOT28">
        <f t="array" ref="IOT28">_xlfn.XLOOKUP(IOT$11,Assumptions!$B$35:$H$35,_xlfn.XLOOKUP($C28,Assumptions!$B$36:$B$41,Assumptions!$B$36:$H$41))</f>
        <v>0</v>
      </c>
      <c r="IOU28">
        <f t="array" ref="IOU28">_xlfn.XLOOKUP(IOU$11,Assumptions!$B$35:$H$35,_xlfn.XLOOKUP($C28,Assumptions!$B$36:$B$41,Assumptions!$B$36:$H$41))</f>
        <v>0</v>
      </c>
      <c r="IOV28">
        <f t="array" ref="IOV28">_xlfn.XLOOKUP(IOV$11,Assumptions!$B$35:$H$35,_xlfn.XLOOKUP($C28,Assumptions!$B$36:$B$41,Assumptions!$B$36:$H$41))</f>
        <v>0</v>
      </c>
      <c r="IOW28">
        <f t="array" ref="IOW28">_xlfn.XLOOKUP(IOW$11,Assumptions!$B$35:$H$35,_xlfn.XLOOKUP($C28,Assumptions!$B$36:$B$41,Assumptions!$B$36:$H$41))</f>
        <v>0</v>
      </c>
      <c r="IOX28">
        <f t="array" ref="IOX28">_xlfn.XLOOKUP(IOX$11,Assumptions!$B$35:$H$35,_xlfn.XLOOKUP($C28,Assumptions!$B$36:$B$41,Assumptions!$B$36:$H$41))</f>
        <v>0</v>
      </c>
      <c r="IOY28">
        <f t="array" ref="IOY28">_xlfn.XLOOKUP(IOY$11,Assumptions!$B$35:$H$35,_xlfn.XLOOKUP($C28,Assumptions!$B$36:$B$41,Assumptions!$B$36:$H$41))</f>
        <v>0</v>
      </c>
      <c r="IOZ28">
        <f t="array" ref="IOZ28">_xlfn.XLOOKUP(IOZ$11,Assumptions!$B$35:$H$35,_xlfn.XLOOKUP($C28,Assumptions!$B$36:$B$41,Assumptions!$B$36:$H$41))</f>
        <v>0</v>
      </c>
      <c r="IPA28">
        <f t="array" ref="IPA28">_xlfn.XLOOKUP(IPA$11,Assumptions!$B$35:$H$35,_xlfn.XLOOKUP($C28,Assumptions!$B$36:$B$41,Assumptions!$B$36:$H$41))</f>
        <v>0</v>
      </c>
      <c r="IPB28">
        <f t="array" ref="IPB28">_xlfn.XLOOKUP(IPB$11,Assumptions!$B$35:$H$35,_xlfn.XLOOKUP($C28,Assumptions!$B$36:$B$41,Assumptions!$B$36:$H$41))</f>
        <v>0</v>
      </c>
      <c r="IPC28">
        <f t="array" ref="IPC28">_xlfn.XLOOKUP(IPC$11,Assumptions!$B$35:$H$35,_xlfn.XLOOKUP($C28,Assumptions!$B$36:$B$41,Assumptions!$B$36:$H$41))</f>
        <v>0</v>
      </c>
      <c r="IPD28">
        <f t="array" ref="IPD28">_xlfn.XLOOKUP(IPD$11,Assumptions!$B$35:$H$35,_xlfn.XLOOKUP($C28,Assumptions!$B$36:$B$41,Assumptions!$B$36:$H$41))</f>
        <v>0</v>
      </c>
      <c r="IPE28">
        <f t="array" ref="IPE28">_xlfn.XLOOKUP(IPE$11,Assumptions!$B$35:$H$35,_xlfn.XLOOKUP($C28,Assumptions!$B$36:$B$41,Assumptions!$B$36:$H$41))</f>
        <v>0</v>
      </c>
      <c r="IPF28">
        <f t="array" ref="IPF28">_xlfn.XLOOKUP(IPF$11,Assumptions!$B$35:$H$35,_xlfn.XLOOKUP($C28,Assumptions!$B$36:$B$41,Assumptions!$B$36:$H$41))</f>
        <v>0</v>
      </c>
      <c r="IPG28">
        <f t="array" ref="IPG28">_xlfn.XLOOKUP(IPG$11,Assumptions!$B$35:$H$35,_xlfn.XLOOKUP($C28,Assumptions!$B$36:$B$41,Assumptions!$B$36:$H$41))</f>
        <v>0</v>
      </c>
      <c r="IPH28">
        <f t="array" ref="IPH28">_xlfn.XLOOKUP(IPH$11,Assumptions!$B$35:$H$35,_xlfn.XLOOKUP($C28,Assumptions!$B$36:$B$41,Assumptions!$B$36:$H$41))</f>
        <v>0</v>
      </c>
      <c r="IPI28">
        <f t="array" ref="IPI28">_xlfn.XLOOKUP(IPI$11,Assumptions!$B$35:$H$35,_xlfn.XLOOKUP($C28,Assumptions!$B$36:$B$41,Assumptions!$B$36:$H$41))</f>
        <v>0</v>
      </c>
      <c r="IPJ28">
        <f t="array" ref="IPJ28">_xlfn.XLOOKUP(IPJ$11,Assumptions!$B$35:$H$35,_xlfn.XLOOKUP($C28,Assumptions!$B$36:$B$41,Assumptions!$B$36:$H$41))</f>
        <v>0</v>
      </c>
      <c r="IPK28">
        <f t="array" ref="IPK28">_xlfn.XLOOKUP(IPK$11,Assumptions!$B$35:$H$35,_xlfn.XLOOKUP($C28,Assumptions!$B$36:$B$41,Assumptions!$B$36:$H$41))</f>
        <v>0</v>
      </c>
      <c r="IPL28">
        <f t="array" ref="IPL28">_xlfn.XLOOKUP(IPL$11,Assumptions!$B$35:$H$35,_xlfn.XLOOKUP($C28,Assumptions!$B$36:$B$41,Assumptions!$B$36:$H$41))</f>
        <v>0</v>
      </c>
      <c r="IPM28">
        <f t="array" ref="IPM28">_xlfn.XLOOKUP(IPM$11,Assumptions!$B$35:$H$35,_xlfn.XLOOKUP($C28,Assumptions!$B$36:$B$41,Assumptions!$B$36:$H$41))</f>
        <v>0</v>
      </c>
      <c r="IPN28">
        <f t="array" ref="IPN28">_xlfn.XLOOKUP(IPN$11,Assumptions!$B$35:$H$35,_xlfn.XLOOKUP($C28,Assumptions!$B$36:$B$41,Assumptions!$B$36:$H$41))</f>
        <v>0</v>
      </c>
      <c r="IPO28">
        <f t="array" ref="IPO28">_xlfn.XLOOKUP(IPO$11,Assumptions!$B$35:$H$35,_xlfn.XLOOKUP($C28,Assumptions!$B$36:$B$41,Assumptions!$B$36:$H$41))</f>
        <v>0</v>
      </c>
      <c r="IPP28">
        <f t="array" ref="IPP28">_xlfn.XLOOKUP(IPP$11,Assumptions!$B$35:$H$35,_xlfn.XLOOKUP($C28,Assumptions!$B$36:$B$41,Assumptions!$B$36:$H$41))</f>
        <v>0</v>
      </c>
      <c r="IPQ28">
        <f t="array" ref="IPQ28">_xlfn.XLOOKUP(IPQ$11,Assumptions!$B$35:$H$35,_xlfn.XLOOKUP($C28,Assumptions!$B$36:$B$41,Assumptions!$B$36:$H$41))</f>
        <v>0</v>
      </c>
      <c r="IPR28">
        <f t="array" ref="IPR28">_xlfn.XLOOKUP(IPR$11,Assumptions!$B$35:$H$35,_xlfn.XLOOKUP($C28,Assumptions!$B$36:$B$41,Assumptions!$B$36:$H$41))</f>
        <v>0</v>
      </c>
      <c r="IPS28">
        <f t="array" ref="IPS28">_xlfn.XLOOKUP(IPS$11,Assumptions!$B$35:$H$35,_xlfn.XLOOKUP($C28,Assumptions!$B$36:$B$41,Assumptions!$B$36:$H$41))</f>
        <v>0</v>
      </c>
      <c r="IPT28">
        <f t="array" ref="IPT28">_xlfn.XLOOKUP(IPT$11,Assumptions!$B$35:$H$35,_xlfn.XLOOKUP($C28,Assumptions!$B$36:$B$41,Assumptions!$B$36:$H$41))</f>
        <v>0</v>
      </c>
      <c r="IPU28">
        <f t="array" ref="IPU28">_xlfn.XLOOKUP(IPU$11,Assumptions!$B$35:$H$35,_xlfn.XLOOKUP($C28,Assumptions!$B$36:$B$41,Assumptions!$B$36:$H$41))</f>
        <v>0</v>
      </c>
      <c r="IPV28">
        <f t="array" ref="IPV28">_xlfn.XLOOKUP(IPV$11,Assumptions!$B$35:$H$35,_xlfn.XLOOKUP($C28,Assumptions!$B$36:$B$41,Assumptions!$B$36:$H$41))</f>
        <v>0</v>
      </c>
      <c r="IPW28">
        <f t="array" ref="IPW28">_xlfn.XLOOKUP(IPW$11,Assumptions!$B$35:$H$35,_xlfn.XLOOKUP($C28,Assumptions!$B$36:$B$41,Assumptions!$B$36:$H$41))</f>
        <v>0</v>
      </c>
      <c r="IPX28">
        <f t="array" ref="IPX28">_xlfn.XLOOKUP(IPX$11,Assumptions!$B$35:$H$35,_xlfn.XLOOKUP($C28,Assumptions!$B$36:$B$41,Assumptions!$B$36:$H$41))</f>
        <v>0</v>
      </c>
      <c r="IPY28">
        <f t="array" ref="IPY28">_xlfn.XLOOKUP(IPY$11,Assumptions!$B$35:$H$35,_xlfn.XLOOKUP($C28,Assumptions!$B$36:$B$41,Assumptions!$B$36:$H$41))</f>
        <v>0</v>
      </c>
      <c r="IPZ28">
        <f t="array" ref="IPZ28">_xlfn.XLOOKUP(IPZ$11,Assumptions!$B$35:$H$35,_xlfn.XLOOKUP($C28,Assumptions!$B$36:$B$41,Assumptions!$B$36:$H$41))</f>
        <v>0</v>
      </c>
      <c r="IQA28">
        <f t="array" ref="IQA28">_xlfn.XLOOKUP(IQA$11,Assumptions!$B$35:$H$35,_xlfn.XLOOKUP($C28,Assumptions!$B$36:$B$41,Assumptions!$B$36:$H$41))</f>
        <v>0</v>
      </c>
      <c r="IQB28">
        <f t="array" ref="IQB28">_xlfn.XLOOKUP(IQB$11,Assumptions!$B$35:$H$35,_xlfn.XLOOKUP($C28,Assumptions!$B$36:$B$41,Assumptions!$B$36:$H$41))</f>
        <v>0</v>
      </c>
      <c r="IQC28">
        <f t="array" ref="IQC28">_xlfn.XLOOKUP(IQC$11,Assumptions!$B$35:$H$35,_xlfn.XLOOKUP($C28,Assumptions!$B$36:$B$41,Assumptions!$B$36:$H$41))</f>
        <v>0</v>
      </c>
      <c r="IQD28">
        <f t="array" ref="IQD28">_xlfn.XLOOKUP(IQD$11,Assumptions!$B$35:$H$35,_xlfn.XLOOKUP($C28,Assumptions!$B$36:$B$41,Assumptions!$B$36:$H$41))</f>
        <v>0</v>
      </c>
      <c r="IQE28">
        <f t="array" ref="IQE28">_xlfn.XLOOKUP(IQE$11,Assumptions!$B$35:$H$35,_xlfn.XLOOKUP($C28,Assumptions!$B$36:$B$41,Assumptions!$B$36:$H$41))</f>
        <v>0</v>
      </c>
      <c r="IQF28">
        <f t="array" ref="IQF28">_xlfn.XLOOKUP(IQF$11,Assumptions!$B$35:$H$35,_xlfn.XLOOKUP($C28,Assumptions!$B$36:$B$41,Assumptions!$B$36:$H$41))</f>
        <v>0</v>
      </c>
      <c r="IQG28">
        <f t="array" ref="IQG28">_xlfn.XLOOKUP(IQG$11,Assumptions!$B$35:$H$35,_xlfn.XLOOKUP($C28,Assumptions!$B$36:$B$41,Assumptions!$B$36:$H$41))</f>
        <v>0</v>
      </c>
      <c r="IQH28">
        <f t="array" ref="IQH28">_xlfn.XLOOKUP(IQH$11,Assumptions!$B$35:$H$35,_xlfn.XLOOKUP($C28,Assumptions!$B$36:$B$41,Assumptions!$B$36:$H$41))</f>
        <v>0</v>
      </c>
      <c r="IQI28">
        <f t="array" ref="IQI28">_xlfn.XLOOKUP(IQI$11,Assumptions!$B$35:$H$35,_xlfn.XLOOKUP($C28,Assumptions!$B$36:$B$41,Assumptions!$B$36:$H$41))</f>
        <v>0</v>
      </c>
      <c r="IQJ28">
        <f t="array" ref="IQJ28">_xlfn.XLOOKUP(IQJ$11,Assumptions!$B$35:$H$35,_xlfn.XLOOKUP($C28,Assumptions!$B$36:$B$41,Assumptions!$B$36:$H$41))</f>
        <v>0</v>
      </c>
      <c r="IQK28">
        <f t="array" ref="IQK28">_xlfn.XLOOKUP(IQK$11,Assumptions!$B$35:$H$35,_xlfn.XLOOKUP($C28,Assumptions!$B$36:$B$41,Assumptions!$B$36:$H$41))</f>
        <v>0</v>
      </c>
      <c r="IQL28">
        <f t="array" ref="IQL28">_xlfn.XLOOKUP(IQL$11,Assumptions!$B$35:$H$35,_xlfn.XLOOKUP($C28,Assumptions!$B$36:$B$41,Assumptions!$B$36:$H$41))</f>
        <v>0</v>
      </c>
      <c r="IQM28">
        <f t="array" ref="IQM28">_xlfn.XLOOKUP(IQM$11,Assumptions!$B$35:$H$35,_xlfn.XLOOKUP($C28,Assumptions!$B$36:$B$41,Assumptions!$B$36:$H$41))</f>
        <v>0</v>
      </c>
      <c r="IQN28">
        <f t="array" ref="IQN28">_xlfn.XLOOKUP(IQN$11,Assumptions!$B$35:$H$35,_xlfn.XLOOKUP($C28,Assumptions!$B$36:$B$41,Assumptions!$B$36:$H$41))</f>
        <v>0</v>
      </c>
      <c r="IQO28">
        <f t="array" ref="IQO28">_xlfn.XLOOKUP(IQO$11,Assumptions!$B$35:$H$35,_xlfn.XLOOKUP($C28,Assumptions!$B$36:$B$41,Assumptions!$B$36:$H$41))</f>
        <v>0</v>
      </c>
      <c r="IQP28">
        <f t="array" ref="IQP28">_xlfn.XLOOKUP(IQP$11,Assumptions!$B$35:$H$35,_xlfn.XLOOKUP($C28,Assumptions!$B$36:$B$41,Assumptions!$B$36:$H$41))</f>
        <v>0</v>
      </c>
      <c r="IQQ28">
        <f t="array" ref="IQQ28">_xlfn.XLOOKUP(IQQ$11,Assumptions!$B$35:$H$35,_xlfn.XLOOKUP($C28,Assumptions!$B$36:$B$41,Assumptions!$B$36:$H$41))</f>
        <v>0</v>
      </c>
      <c r="IQR28">
        <f t="array" ref="IQR28">_xlfn.XLOOKUP(IQR$11,Assumptions!$B$35:$H$35,_xlfn.XLOOKUP($C28,Assumptions!$B$36:$B$41,Assumptions!$B$36:$H$41))</f>
        <v>0</v>
      </c>
      <c r="IQS28">
        <f t="array" ref="IQS28">_xlfn.XLOOKUP(IQS$11,Assumptions!$B$35:$H$35,_xlfn.XLOOKUP($C28,Assumptions!$B$36:$B$41,Assumptions!$B$36:$H$41))</f>
        <v>0</v>
      </c>
      <c r="IQT28">
        <f t="array" ref="IQT28">_xlfn.XLOOKUP(IQT$11,Assumptions!$B$35:$H$35,_xlfn.XLOOKUP($C28,Assumptions!$B$36:$B$41,Assumptions!$B$36:$H$41))</f>
        <v>0</v>
      </c>
      <c r="IQU28">
        <f t="array" ref="IQU28">_xlfn.XLOOKUP(IQU$11,Assumptions!$B$35:$H$35,_xlfn.XLOOKUP($C28,Assumptions!$B$36:$B$41,Assumptions!$B$36:$H$41))</f>
        <v>0</v>
      </c>
      <c r="IQV28">
        <f t="array" ref="IQV28">_xlfn.XLOOKUP(IQV$11,Assumptions!$B$35:$H$35,_xlfn.XLOOKUP($C28,Assumptions!$B$36:$B$41,Assumptions!$B$36:$H$41))</f>
        <v>0</v>
      </c>
      <c r="IQW28">
        <f t="array" ref="IQW28">_xlfn.XLOOKUP(IQW$11,Assumptions!$B$35:$H$35,_xlfn.XLOOKUP($C28,Assumptions!$B$36:$B$41,Assumptions!$B$36:$H$41))</f>
        <v>0</v>
      </c>
      <c r="IQX28">
        <f t="array" ref="IQX28">_xlfn.XLOOKUP(IQX$11,Assumptions!$B$35:$H$35,_xlfn.XLOOKUP($C28,Assumptions!$B$36:$B$41,Assumptions!$B$36:$H$41))</f>
        <v>0</v>
      </c>
      <c r="IQY28">
        <f t="array" ref="IQY28">_xlfn.XLOOKUP(IQY$11,Assumptions!$B$35:$H$35,_xlfn.XLOOKUP($C28,Assumptions!$B$36:$B$41,Assumptions!$B$36:$H$41))</f>
        <v>0</v>
      </c>
      <c r="IQZ28">
        <f t="array" ref="IQZ28">_xlfn.XLOOKUP(IQZ$11,Assumptions!$B$35:$H$35,_xlfn.XLOOKUP($C28,Assumptions!$B$36:$B$41,Assumptions!$B$36:$H$41))</f>
        <v>0</v>
      </c>
      <c r="IRA28">
        <f t="array" ref="IRA28">_xlfn.XLOOKUP(IRA$11,Assumptions!$B$35:$H$35,_xlfn.XLOOKUP($C28,Assumptions!$B$36:$B$41,Assumptions!$B$36:$H$41))</f>
        <v>0</v>
      </c>
      <c r="IRB28">
        <f t="array" ref="IRB28">_xlfn.XLOOKUP(IRB$11,Assumptions!$B$35:$H$35,_xlfn.XLOOKUP($C28,Assumptions!$B$36:$B$41,Assumptions!$B$36:$H$41))</f>
        <v>0</v>
      </c>
      <c r="IRC28">
        <f t="array" ref="IRC28">_xlfn.XLOOKUP(IRC$11,Assumptions!$B$35:$H$35,_xlfn.XLOOKUP($C28,Assumptions!$B$36:$B$41,Assumptions!$B$36:$H$41))</f>
        <v>0</v>
      </c>
      <c r="IRD28">
        <f t="array" ref="IRD28">_xlfn.XLOOKUP(IRD$11,Assumptions!$B$35:$H$35,_xlfn.XLOOKUP($C28,Assumptions!$B$36:$B$41,Assumptions!$B$36:$H$41))</f>
        <v>0</v>
      </c>
      <c r="IRE28">
        <f t="array" ref="IRE28">_xlfn.XLOOKUP(IRE$11,Assumptions!$B$35:$H$35,_xlfn.XLOOKUP($C28,Assumptions!$B$36:$B$41,Assumptions!$B$36:$H$41))</f>
        <v>0</v>
      </c>
      <c r="IRF28">
        <f t="array" ref="IRF28">_xlfn.XLOOKUP(IRF$11,Assumptions!$B$35:$H$35,_xlfn.XLOOKUP($C28,Assumptions!$B$36:$B$41,Assumptions!$B$36:$H$41))</f>
        <v>0</v>
      </c>
      <c r="IRG28">
        <f t="array" ref="IRG28">_xlfn.XLOOKUP(IRG$11,Assumptions!$B$35:$H$35,_xlfn.XLOOKUP($C28,Assumptions!$B$36:$B$41,Assumptions!$B$36:$H$41))</f>
        <v>0</v>
      </c>
      <c r="IRH28">
        <f t="array" ref="IRH28">_xlfn.XLOOKUP(IRH$11,Assumptions!$B$35:$H$35,_xlfn.XLOOKUP($C28,Assumptions!$B$36:$B$41,Assumptions!$B$36:$H$41))</f>
        <v>0</v>
      </c>
      <c r="IRI28">
        <f t="array" ref="IRI28">_xlfn.XLOOKUP(IRI$11,Assumptions!$B$35:$H$35,_xlfn.XLOOKUP($C28,Assumptions!$B$36:$B$41,Assumptions!$B$36:$H$41))</f>
        <v>0</v>
      </c>
      <c r="IRJ28">
        <f t="array" ref="IRJ28">_xlfn.XLOOKUP(IRJ$11,Assumptions!$B$35:$H$35,_xlfn.XLOOKUP($C28,Assumptions!$B$36:$B$41,Assumptions!$B$36:$H$41))</f>
        <v>0</v>
      </c>
      <c r="IRK28">
        <f t="array" ref="IRK28">_xlfn.XLOOKUP(IRK$11,Assumptions!$B$35:$H$35,_xlfn.XLOOKUP($C28,Assumptions!$B$36:$B$41,Assumptions!$B$36:$H$41))</f>
        <v>0</v>
      </c>
      <c r="IRL28">
        <f t="array" ref="IRL28">_xlfn.XLOOKUP(IRL$11,Assumptions!$B$35:$H$35,_xlfn.XLOOKUP($C28,Assumptions!$B$36:$B$41,Assumptions!$B$36:$H$41))</f>
        <v>0</v>
      </c>
      <c r="IRM28">
        <f t="array" ref="IRM28">_xlfn.XLOOKUP(IRM$11,Assumptions!$B$35:$H$35,_xlfn.XLOOKUP($C28,Assumptions!$B$36:$B$41,Assumptions!$B$36:$H$41))</f>
        <v>0</v>
      </c>
      <c r="IRN28">
        <f t="array" ref="IRN28">_xlfn.XLOOKUP(IRN$11,Assumptions!$B$35:$H$35,_xlfn.XLOOKUP($C28,Assumptions!$B$36:$B$41,Assumptions!$B$36:$H$41))</f>
        <v>0</v>
      </c>
      <c r="IRO28">
        <f t="array" ref="IRO28">_xlfn.XLOOKUP(IRO$11,Assumptions!$B$35:$H$35,_xlfn.XLOOKUP($C28,Assumptions!$B$36:$B$41,Assumptions!$B$36:$H$41))</f>
        <v>0</v>
      </c>
      <c r="IRP28">
        <f t="array" ref="IRP28">_xlfn.XLOOKUP(IRP$11,Assumptions!$B$35:$H$35,_xlfn.XLOOKUP($C28,Assumptions!$B$36:$B$41,Assumptions!$B$36:$H$41))</f>
        <v>0</v>
      </c>
      <c r="IRQ28">
        <f t="array" ref="IRQ28">_xlfn.XLOOKUP(IRQ$11,Assumptions!$B$35:$H$35,_xlfn.XLOOKUP($C28,Assumptions!$B$36:$B$41,Assumptions!$B$36:$H$41))</f>
        <v>0</v>
      </c>
      <c r="IRR28">
        <f t="array" ref="IRR28">_xlfn.XLOOKUP(IRR$11,Assumptions!$B$35:$H$35,_xlfn.XLOOKUP($C28,Assumptions!$B$36:$B$41,Assumptions!$B$36:$H$41))</f>
        <v>0</v>
      </c>
      <c r="IRS28">
        <f t="array" ref="IRS28">_xlfn.XLOOKUP(IRS$11,Assumptions!$B$35:$H$35,_xlfn.XLOOKUP($C28,Assumptions!$B$36:$B$41,Assumptions!$B$36:$H$41))</f>
        <v>0</v>
      </c>
      <c r="IRT28">
        <f t="array" ref="IRT28">_xlfn.XLOOKUP(IRT$11,Assumptions!$B$35:$H$35,_xlfn.XLOOKUP($C28,Assumptions!$B$36:$B$41,Assumptions!$B$36:$H$41))</f>
        <v>0</v>
      </c>
      <c r="IRU28">
        <f t="array" ref="IRU28">_xlfn.XLOOKUP(IRU$11,Assumptions!$B$35:$H$35,_xlfn.XLOOKUP($C28,Assumptions!$B$36:$B$41,Assumptions!$B$36:$H$41))</f>
        <v>0</v>
      </c>
      <c r="IRV28">
        <f t="array" ref="IRV28">_xlfn.XLOOKUP(IRV$11,Assumptions!$B$35:$H$35,_xlfn.XLOOKUP($C28,Assumptions!$B$36:$B$41,Assumptions!$B$36:$H$41))</f>
        <v>0</v>
      </c>
      <c r="IRW28">
        <f t="array" ref="IRW28">_xlfn.XLOOKUP(IRW$11,Assumptions!$B$35:$H$35,_xlfn.XLOOKUP($C28,Assumptions!$B$36:$B$41,Assumptions!$B$36:$H$41))</f>
        <v>0</v>
      </c>
      <c r="IRX28">
        <f t="array" ref="IRX28">_xlfn.XLOOKUP(IRX$11,Assumptions!$B$35:$H$35,_xlfn.XLOOKUP($C28,Assumptions!$B$36:$B$41,Assumptions!$B$36:$H$41))</f>
        <v>0</v>
      </c>
      <c r="IRY28">
        <f t="array" ref="IRY28">_xlfn.XLOOKUP(IRY$11,Assumptions!$B$35:$H$35,_xlfn.XLOOKUP($C28,Assumptions!$B$36:$B$41,Assumptions!$B$36:$H$41))</f>
        <v>0</v>
      </c>
      <c r="IRZ28">
        <f t="array" ref="IRZ28">_xlfn.XLOOKUP(IRZ$11,Assumptions!$B$35:$H$35,_xlfn.XLOOKUP($C28,Assumptions!$B$36:$B$41,Assumptions!$B$36:$H$41))</f>
        <v>0</v>
      </c>
      <c r="ISA28">
        <f t="array" ref="ISA28">_xlfn.XLOOKUP(ISA$11,Assumptions!$B$35:$H$35,_xlfn.XLOOKUP($C28,Assumptions!$B$36:$B$41,Assumptions!$B$36:$H$41))</f>
        <v>0</v>
      </c>
      <c r="ISB28">
        <f t="array" ref="ISB28">_xlfn.XLOOKUP(ISB$11,Assumptions!$B$35:$H$35,_xlfn.XLOOKUP($C28,Assumptions!$B$36:$B$41,Assumptions!$B$36:$H$41))</f>
        <v>0</v>
      </c>
      <c r="ISC28">
        <f t="array" ref="ISC28">_xlfn.XLOOKUP(ISC$11,Assumptions!$B$35:$H$35,_xlfn.XLOOKUP($C28,Assumptions!$B$36:$B$41,Assumptions!$B$36:$H$41))</f>
        <v>0</v>
      </c>
      <c r="ISD28">
        <f t="array" ref="ISD28">_xlfn.XLOOKUP(ISD$11,Assumptions!$B$35:$H$35,_xlfn.XLOOKUP($C28,Assumptions!$B$36:$B$41,Assumptions!$B$36:$H$41))</f>
        <v>0</v>
      </c>
      <c r="ISE28">
        <f t="array" ref="ISE28">_xlfn.XLOOKUP(ISE$11,Assumptions!$B$35:$H$35,_xlfn.XLOOKUP($C28,Assumptions!$B$36:$B$41,Assumptions!$B$36:$H$41))</f>
        <v>0</v>
      </c>
      <c r="ISF28">
        <f t="array" ref="ISF28">_xlfn.XLOOKUP(ISF$11,Assumptions!$B$35:$H$35,_xlfn.XLOOKUP($C28,Assumptions!$B$36:$B$41,Assumptions!$B$36:$H$41))</f>
        <v>0</v>
      </c>
      <c r="ISG28">
        <f t="array" ref="ISG28">_xlfn.XLOOKUP(ISG$11,Assumptions!$B$35:$H$35,_xlfn.XLOOKUP($C28,Assumptions!$B$36:$B$41,Assumptions!$B$36:$H$41))</f>
        <v>0</v>
      </c>
      <c r="ISH28">
        <f t="array" ref="ISH28">_xlfn.XLOOKUP(ISH$11,Assumptions!$B$35:$H$35,_xlfn.XLOOKUP($C28,Assumptions!$B$36:$B$41,Assumptions!$B$36:$H$41))</f>
        <v>0</v>
      </c>
      <c r="ISI28">
        <f t="array" ref="ISI28">_xlfn.XLOOKUP(ISI$11,Assumptions!$B$35:$H$35,_xlfn.XLOOKUP($C28,Assumptions!$B$36:$B$41,Assumptions!$B$36:$H$41))</f>
        <v>0</v>
      </c>
      <c r="ISJ28">
        <f t="array" ref="ISJ28">_xlfn.XLOOKUP(ISJ$11,Assumptions!$B$35:$H$35,_xlfn.XLOOKUP($C28,Assumptions!$B$36:$B$41,Assumptions!$B$36:$H$41))</f>
        <v>0</v>
      </c>
      <c r="ISK28">
        <f t="array" ref="ISK28">_xlfn.XLOOKUP(ISK$11,Assumptions!$B$35:$H$35,_xlfn.XLOOKUP($C28,Assumptions!$B$36:$B$41,Assumptions!$B$36:$H$41))</f>
        <v>0</v>
      </c>
      <c r="ISL28">
        <f t="array" ref="ISL28">_xlfn.XLOOKUP(ISL$11,Assumptions!$B$35:$H$35,_xlfn.XLOOKUP($C28,Assumptions!$B$36:$B$41,Assumptions!$B$36:$H$41))</f>
        <v>0</v>
      </c>
      <c r="ISM28">
        <f t="array" ref="ISM28">_xlfn.XLOOKUP(ISM$11,Assumptions!$B$35:$H$35,_xlfn.XLOOKUP($C28,Assumptions!$B$36:$B$41,Assumptions!$B$36:$H$41))</f>
        <v>0</v>
      </c>
      <c r="ISN28">
        <f t="array" ref="ISN28">_xlfn.XLOOKUP(ISN$11,Assumptions!$B$35:$H$35,_xlfn.XLOOKUP($C28,Assumptions!$B$36:$B$41,Assumptions!$B$36:$H$41))</f>
        <v>0</v>
      </c>
      <c r="ISO28">
        <f t="array" ref="ISO28">_xlfn.XLOOKUP(ISO$11,Assumptions!$B$35:$H$35,_xlfn.XLOOKUP($C28,Assumptions!$B$36:$B$41,Assumptions!$B$36:$H$41))</f>
        <v>0</v>
      </c>
      <c r="ISP28">
        <f t="array" ref="ISP28">_xlfn.XLOOKUP(ISP$11,Assumptions!$B$35:$H$35,_xlfn.XLOOKUP($C28,Assumptions!$B$36:$B$41,Assumptions!$B$36:$H$41))</f>
        <v>0</v>
      </c>
      <c r="ISQ28">
        <f t="array" ref="ISQ28">_xlfn.XLOOKUP(ISQ$11,Assumptions!$B$35:$H$35,_xlfn.XLOOKUP($C28,Assumptions!$B$36:$B$41,Assumptions!$B$36:$H$41))</f>
        <v>0</v>
      </c>
      <c r="ISR28">
        <f t="array" ref="ISR28">_xlfn.XLOOKUP(ISR$11,Assumptions!$B$35:$H$35,_xlfn.XLOOKUP($C28,Assumptions!$B$36:$B$41,Assumptions!$B$36:$H$41))</f>
        <v>0</v>
      </c>
      <c r="ISS28">
        <f t="array" ref="ISS28">_xlfn.XLOOKUP(ISS$11,Assumptions!$B$35:$H$35,_xlfn.XLOOKUP($C28,Assumptions!$B$36:$B$41,Assumptions!$B$36:$H$41))</f>
        <v>0</v>
      </c>
      <c r="IST28">
        <f t="array" ref="IST28">_xlfn.XLOOKUP(IST$11,Assumptions!$B$35:$H$35,_xlfn.XLOOKUP($C28,Assumptions!$B$36:$B$41,Assumptions!$B$36:$H$41))</f>
        <v>0</v>
      </c>
      <c r="ISU28">
        <f t="array" ref="ISU28">_xlfn.XLOOKUP(ISU$11,Assumptions!$B$35:$H$35,_xlfn.XLOOKUP($C28,Assumptions!$B$36:$B$41,Assumptions!$B$36:$H$41))</f>
        <v>0</v>
      </c>
      <c r="ISV28">
        <f t="array" ref="ISV28">_xlfn.XLOOKUP(ISV$11,Assumptions!$B$35:$H$35,_xlfn.XLOOKUP($C28,Assumptions!$B$36:$B$41,Assumptions!$B$36:$H$41))</f>
        <v>0</v>
      </c>
      <c r="ISW28">
        <f t="array" ref="ISW28">_xlfn.XLOOKUP(ISW$11,Assumptions!$B$35:$H$35,_xlfn.XLOOKUP($C28,Assumptions!$B$36:$B$41,Assumptions!$B$36:$H$41))</f>
        <v>0</v>
      </c>
      <c r="ISX28">
        <f t="array" ref="ISX28">_xlfn.XLOOKUP(ISX$11,Assumptions!$B$35:$H$35,_xlfn.XLOOKUP($C28,Assumptions!$B$36:$B$41,Assumptions!$B$36:$H$41))</f>
        <v>0</v>
      </c>
      <c r="ISY28">
        <f t="array" ref="ISY28">_xlfn.XLOOKUP(ISY$11,Assumptions!$B$35:$H$35,_xlfn.XLOOKUP($C28,Assumptions!$B$36:$B$41,Assumptions!$B$36:$H$41))</f>
        <v>0</v>
      </c>
      <c r="ISZ28">
        <f t="array" ref="ISZ28">_xlfn.XLOOKUP(ISZ$11,Assumptions!$B$35:$H$35,_xlfn.XLOOKUP($C28,Assumptions!$B$36:$B$41,Assumptions!$B$36:$H$41))</f>
        <v>0</v>
      </c>
      <c r="ITA28">
        <f t="array" ref="ITA28">_xlfn.XLOOKUP(ITA$11,Assumptions!$B$35:$H$35,_xlfn.XLOOKUP($C28,Assumptions!$B$36:$B$41,Assumptions!$B$36:$H$41))</f>
        <v>0</v>
      </c>
      <c r="ITB28">
        <f t="array" ref="ITB28">_xlfn.XLOOKUP(ITB$11,Assumptions!$B$35:$H$35,_xlfn.XLOOKUP($C28,Assumptions!$B$36:$B$41,Assumptions!$B$36:$H$41))</f>
        <v>0</v>
      </c>
      <c r="ITC28">
        <f t="array" ref="ITC28">_xlfn.XLOOKUP(ITC$11,Assumptions!$B$35:$H$35,_xlfn.XLOOKUP($C28,Assumptions!$B$36:$B$41,Assumptions!$B$36:$H$41))</f>
        <v>0</v>
      </c>
      <c r="ITD28">
        <f t="array" ref="ITD28">_xlfn.XLOOKUP(ITD$11,Assumptions!$B$35:$H$35,_xlfn.XLOOKUP($C28,Assumptions!$B$36:$B$41,Assumptions!$B$36:$H$41))</f>
        <v>0</v>
      </c>
      <c r="ITE28">
        <f t="array" ref="ITE28">_xlfn.XLOOKUP(ITE$11,Assumptions!$B$35:$H$35,_xlfn.XLOOKUP($C28,Assumptions!$B$36:$B$41,Assumptions!$B$36:$H$41))</f>
        <v>0</v>
      </c>
      <c r="ITF28">
        <f t="array" ref="ITF28">_xlfn.XLOOKUP(ITF$11,Assumptions!$B$35:$H$35,_xlfn.XLOOKUP($C28,Assumptions!$B$36:$B$41,Assumptions!$B$36:$H$41))</f>
        <v>0</v>
      </c>
      <c r="ITG28">
        <f t="array" ref="ITG28">_xlfn.XLOOKUP(ITG$11,Assumptions!$B$35:$H$35,_xlfn.XLOOKUP($C28,Assumptions!$B$36:$B$41,Assumptions!$B$36:$H$41))</f>
        <v>0</v>
      </c>
      <c r="ITH28">
        <f t="array" ref="ITH28">_xlfn.XLOOKUP(ITH$11,Assumptions!$B$35:$H$35,_xlfn.XLOOKUP($C28,Assumptions!$B$36:$B$41,Assumptions!$B$36:$H$41))</f>
        <v>0</v>
      </c>
      <c r="ITI28">
        <f t="array" ref="ITI28">_xlfn.XLOOKUP(ITI$11,Assumptions!$B$35:$H$35,_xlfn.XLOOKUP($C28,Assumptions!$B$36:$B$41,Assumptions!$B$36:$H$41))</f>
        <v>0</v>
      </c>
      <c r="ITJ28">
        <f t="array" ref="ITJ28">_xlfn.XLOOKUP(ITJ$11,Assumptions!$B$35:$H$35,_xlfn.XLOOKUP($C28,Assumptions!$B$36:$B$41,Assumptions!$B$36:$H$41))</f>
        <v>0</v>
      </c>
      <c r="ITK28">
        <f t="array" ref="ITK28">_xlfn.XLOOKUP(ITK$11,Assumptions!$B$35:$H$35,_xlfn.XLOOKUP($C28,Assumptions!$B$36:$B$41,Assumptions!$B$36:$H$41))</f>
        <v>0</v>
      </c>
      <c r="ITL28">
        <f t="array" ref="ITL28">_xlfn.XLOOKUP(ITL$11,Assumptions!$B$35:$H$35,_xlfn.XLOOKUP($C28,Assumptions!$B$36:$B$41,Assumptions!$B$36:$H$41))</f>
        <v>0</v>
      </c>
      <c r="ITM28">
        <f t="array" ref="ITM28">_xlfn.XLOOKUP(ITM$11,Assumptions!$B$35:$H$35,_xlfn.XLOOKUP($C28,Assumptions!$B$36:$B$41,Assumptions!$B$36:$H$41))</f>
        <v>0</v>
      </c>
      <c r="ITN28">
        <f t="array" ref="ITN28">_xlfn.XLOOKUP(ITN$11,Assumptions!$B$35:$H$35,_xlfn.XLOOKUP($C28,Assumptions!$B$36:$B$41,Assumptions!$B$36:$H$41))</f>
        <v>0</v>
      </c>
      <c r="ITO28">
        <f t="array" ref="ITO28">_xlfn.XLOOKUP(ITO$11,Assumptions!$B$35:$H$35,_xlfn.XLOOKUP($C28,Assumptions!$B$36:$B$41,Assumptions!$B$36:$H$41))</f>
        <v>0</v>
      </c>
      <c r="ITP28">
        <f t="array" ref="ITP28">_xlfn.XLOOKUP(ITP$11,Assumptions!$B$35:$H$35,_xlfn.XLOOKUP($C28,Assumptions!$B$36:$B$41,Assumptions!$B$36:$H$41))</f>
        <v>0</v>
      </c>
      <c r="ITQ28">
        <f t="array" ref="ITQ28">_xlfn.XLOOKUP(ITQ$11,Assumptions!$B$35:$H$35,_xlfn.XLOOKUP($C28,Assumptions!$B$36:$B$41,Assumptions!$B$36:$H$41))</f>
        <v>0</v>
      </c>
      <c r="ITR28">
        <f t="array" ref="ITR28">_xlfn.XLOOKUP(ITR$11,Assumptions!$B$35:$H$35,_xlfn.XLOOKUP($C28,Assumptions!$B$36:$B$41,Assumptions!$B$36:$H$41))</f>
        <v>0</v>
      </c>
      <c r="ITS28">
        <f t="array" ref="ITS28">_xlfn.XLOOKUP(ITS$11,Assumptions!$B$35:$H$35,_xlfn.XLOOKUP($C28,Assumptions!$B$36:$B$41,Assumptions!$B$36:$H$41))</f>
        <v>0</v>
      </c>
      <c r="ITT28">
        <f t="array" ref="ITT28">_xlfn.XLOOKUP(ITT$11,Assumptions!$B$35:$H$35,_xlfn.XLOOKUP($C28,Assumptions!$B$36:$B$41,Assumptions!$B$36:$H$41))</f>
        <v>0</v>
      </c>
      <c r="ITU28">
        <f t="array" ref="ITU28">_xlfn.XLOOKUP(ITU$11,Assumptions!$B$35:$H$35,_xlfn.XLOOKUP($C28,Assumptions!$B$36:$B$41,Assumptions!$B$36:$H$41))</f>
        <v>0</v>
      </c>
      <c r="ITV28">
        <f t="array" ref="ITV28">_xlfn.XLOOKUP(ITV$11,Assumptions!$B$35:$H$35,_xlfn.XLOOKUP($C28,Assumptions!$B$36:$B$41,Assumptions!$B$36:$H$41))</f>
        <v>0</v>
      </c>
      <c r="ITW28">
        <f t="array" ref="ITW28">_xlfn.XLOOKUP(ITW$11,Assumptions!$B$35:$H$35,_xlfn.XLOOKUP($C28,Assumptions!$B$36:$B$41,Assumptions!$B$36:$H$41))</f>
        <v>0</v>
      </c>
      <c r="ITX28">
        <f t="array" ref="ITX28">_xlfn.XLOOKUP(ITX$11,Assumptions!$B$35:$H$35,_xlfn.XLOOKUP($C28,Assumptions!$B$36:$B$41,Assumptions!$B$36:$H$41))</f>
        <v>0</v>
      </c>
      <c r="ITY28">
        <f t="array" ref="ITY28">_xlfn.XLOOKUP(ITY$11,Assumptions!$B$35:$H$35,_xlfn.XLOOKUP($C28,Assumptions!$B$36:$B$41,Assumptions!$B$36:$H$41))</f>
        <v>0</v>
      </c>
      <c r="ITZ28">
        <f t="array" ref="ITZ28">_xlfn.XLOOKUP(ITZ$11,Assumptions!$B$35:$H$35,_xlfn.XLOOKUP($C28,Assumptions!$B$36:$B$41,Assumptions!$B$36:$H$41))</f>
        <v>0</v>
      </c>
      <c r="IUA28">
        <f t="array" ref="IUA28">_xlfn.XLOOKUP(IUA$11,Assumptions!$B$35:$H$35,_xlfn.XLOOKUP($C28,Assumptions!$B$36:$B$41,Assumptions!$B$36:$H$41))</f>
        <v>0</v>
      </c>
      <c r="IUB28">
        <f t="array" ref="IUB28">_xlfn.XLOOKUP(IUB$11,Assumptions!$B$35:$H$35,_xlfn.XLOOKUP($C28,Assumptions!$B$36:$B$41,Assumptions!$B$36:$H$41))</f>
        <v>0</v>
      </c>
      <c r="IUC28">
        <f t="array" ref="IUC28">_xlfn.XLOOKUP(IUC$11,Assumptions!$B$35:$H$35,_xlfn.XLOOKUP($C28,Assumptions!$B$36:$B$41,Assumptions!$B$36:$H$41))</f>
        <v>0</v>
      </c>
      <c r="IUD28">
        <f t="array" ref="IUD28">_xlfn.XLOOKUP(IUD$11,Assumptions!$B$35:$H$35,_xlfn.XLOOKUP($C28,Assumptions!$B$36:$B$41,Assumptions!$B$36:$H$41))</f>
        <v>0</v>
      </c>
      <c r="IUE28">
        <f t="array" ref="IUE28">_xlfn.XLOOKUP(IUE$11,Assumptions!$B$35:$H$35,_xlfn.XLOOKUP($C28,Assumptions!$B$36:$B$41,Assumptions!$B$36:$H$41))</f>
        <v>0</v>
      </c>
      <c r="IUF28">
        <f t="array" ref="IUF28">_xlfn.XLOOKUP(IUF$11,Assumptions!$B$35:$H$35,_xlfn.XLOOKUP($C28,Assumptions!$B$36:$B$41,Assumptions!$B$36:$H$41))</f>
        <v>0</v>
      </c>
      <c r="IUG28">
        <f t="array" ref="IUG28">_xlfn.XLOOKUP(IUG$11,Assumptions!$B$35:$H$35,_xlfn.XLOOKUP($C28,Assumptions!$B$36:$B$41,Assumptions!$B$36:$H$41))</f>
        <v>0</v>
      </c>
      <c r="IUH28">
        <f t="array" ref="IUH28">_xlfn.XLOOKUP(IUH$11,Assumptions!$B$35:$H$35,_xlfn.XLOOKUP($C28,Assumptions!$B$36:$B$41,Assumptions!$B$36:$H$41))</f>
        <v>0</v>
      </c>
      <c r="IUI28">
        <f t="array" ref="IUI28">_xlfn.XLOOKUP(IUI$11,Assumptions!$B$35:$H$35,_xlfn.XLOOKUP($C28,Assumptions!$B$36:$B$41,Assumptions!$B$36:$H$41))</f>
        <v>0</v>
      </c>
      <c r="IUJ28">
        <f t="array" ref="IUJ28">_xlfn.XLOOKUP(IUJ$11,Assumptions!$B$35:$H$35,_xlfn.XLOOKUP($C28,Assumptions!$B$36:$B$41,Assumptions!$B$36:$H$41))</f>
        <v>0</v>
      </c>
      <c r="IUK28">
        <f t="array" ref="IUK28">_xlfn.XLOOKUP(IUK$11,Assumptions!$B$35:$H$35,_xlfn.XLOOKUP($C28,Assumptions!$B$36:$B$41,Assumptions!$B$36:$H$41))</f>
        <v>0</v>
      </c>
      <c r="IUL28">
        <f t="array" ref="IUL28">_xlfn.XLOOKUP(IUL$11,Assumptions!$B$35:$H$35,_xlfn.XLOOKUP($C28,Assumptions!$B$36:$B$41,Assumptions!$B$36:$H$41))</f>
        <v>0</v>
      </c>
      <c r="IUM28">
        <f t="array" ref="IUM28">_xlfn.XLOOKUP(IUM$11,Assumptions!$B$35:$H$35,_xlfn.XLOOKUP($C28,Assumptions!$B$36:$B$41,Assumptions!$B$36:$H$41))</f>
        <v>0</v>
      </c>
      <c r="IUN28">
        <f t="array" ref="IUN28">_xlfn.XLOOKUP(IUN$11,Assumptions!$B$35:$H$35,_xlfn.XLOOKUP($C28,Assumptions!$B$36:$B$41,Assumptions!$B$36:$H$41))</f>
        <v>0</v>
      </c>
      <c r="IUO28">
        <f t="array" ref="IUO28">_xlfn.XLOOKUP(IUO$11,Assumptions!$B$35:$H$35,_xlfn.XLOOKUP($C28,Assumptions!$B$36:$B$41,Assumptions!$B$36:$H$41))</f>
        <v>0</v>
      </c>
      <c r="IUP28">
        <f t="array" ref="IUP28">_xlfn.XLOOKUP(IUP$11,Assumptions!$B$35:$H$35,_xlfn.XLOOKUP($C28,Assumptions!$B$36:$B$41,Assumptions!$B$36:$H$41))</f>
        <v>0</v>
      </c>
      <c r="IUQ28">
        <f t="array" ref="IUQ28">_xlfn.XLOOKUP(IUQ$11,Assumptions!$B$35:$H$35,_xlfn.XLOOKUP($C28,Assumptions!$B$36:$B$41,Assumptions!$B$36:$H$41))</f>
        <v>0</v>
      </c>
      <c r="IUR28">
        <f t="array" ref="IUR28">_xlfn.XLOOKUP(IUR$11,Assumptions!$B$35:$H$35,_xlfn.XLOOKUP($C28,Assumptions!$B$36:$B$41,Assumptions!$B$36:$H$41))</f>
        <v>0</v>
      </c>
      <c r="IUS28">
        <f t="array" ref="IUS28">_xlfn.XLOOKUP(IUS$11,Assumptions!$B$35:$H$35,_xlfn.XLOOKUP($C28,Assumptions!$B$36:$B$41,Assumptions!$B$36:$H$41))</f>
        <v>0</v>
      </c>
      <c r="IUT28">
        <f t="array" ref="IUT28">_xlfn.XLOOKUP(IUT$11,Assumptions!$B$35:$H$35,_xlfn.XLOOKUP($C28,Assumptions!$B$36:$B$41,Assumptions!$B$36:$H$41))</f>
        <v>0</v>
      </c>
      <c r="IUU28">
        <f t="array" ref="IUU28">_xlfn.XLOOKUP(IUU$11,Assumptions!$B$35:$H$35,_xlfn.XLOOKUP($C28,Assumptions!$B$36:$B$41,Assumptions!$B$36:$H$41))</f>
        <v>0</v>
      </c>
      <c r="IUV28">
        <f t="array" ref="IUV28">_xlfn.XLOOKUP(IUV$11,Assumptions!$B$35:$H$35,_xlfn.XLOOKUP($C28,Assumptions!$B$36:$B$41,Assumptions!$B$36:$H$41))</f>
        <v>0</v>
      </c>
      <c r="IUW28">
        <f t="array" ref="IUW28">_xlfn.XLOOKUP(IUW$11,Assumptions!$B$35:$H$35,_xlfn.XLOOKUP($C28,Assumptions!$B$36:$B$41,Assumptions!$B$36:$H$41))</f>
        <v>0</v>
      </c>
      <c r="IUX28">
        <f t="array" ref="IUX28">_xlfn.XLOOKUP(IUX$11,Assumptions!$B$35:$H$35,_xlfn.XLOOKUP($C28,Assumptions!$B$36:$B$41,Assumptions!$B$36:$H$41))</f>
        <v>0</v>
      </c>
      <c r="IUY28">
        <f t="array" ref="IUY28">_xlfn.XLOOKUP(IUY$11,Assumptions!$B$35:$H$35,_xlfn.XLOOKUP($C28,Assumptions!$B$36:$B$41,Assumptions!$B$36:$H$41))</f>
        <v>0</v>
      </c>
      <c r="IUZ28">
        <f t="array" ref="IUZ28">_xlfn.XLOOKUP(IUZ$11,Assumptions!$B$35:$H$35,_xlfn.XLOOKUP($C28,Assumptions!$B$36:$B$41,Assumptions!$B$36:$H$41))</f>
        <v>0</v>
      </c>
      <c r="IVA28">
        <f t="array" ref="IVA28">_xlfn.XLOOKUP(IVA$11,Assumptions!$B$35:$H$35,_xlfn.XLOOKUP($C28,Assumptions!$B$36:$B$41,Assumptions!$B$36:$H$41))</f>
        <v>0</v>
      </c>
      <c r="IVB28">
        <f t="array" ref="IVB28">_xlfn.XLOOKUP(IVB$11,Assumptions!$B$35:$H$35,_xlfn.XLOOKUP($C28,Assumptions!$B$36:$B$41,Assumptions!$B$36:$H$41))</f>
        <v>0</v>
      </c>
      <c r="IVC28">
        <f t="array" ref="IVC28">_xlfn.XLOOKUP(IVC$11,Assumptions!$B$35:$H$35,_xlfn.XLOOKUP($C28,Assumptions!$B$36:$B$41,Assumptions!$B$36:$H$41))</f>
        <v>0</v>
      </c>
      <c r="IVD28">
        <f t="array" ref="IVD28">_xlfn.XLOOKUP(IVD$11,Assumptions!$B$35:$H$35,_xlfn.XLOOKUP($C28,Assumptions!$B$36:$B$41,Assumptions!$B$36:$H$41))</f>
        <v>0</v>
      </c>
      <c r="IVE28">
        <f t="array" ref="IVE28">_xlfn.XLOOKUP(IVE$11,Assumptions!$B$35:$H$35,_xlfn.XLOOKUP($C28,Assumptions!$B$36:$B$41,Assumptions!$B$36:$H$41))</f>
        <v>0</v>
      </c>
      <c r="IVF28">
        <f t="array" ref="IVF28">_xlfn.XLOOKUP(IVF$11,Assumptions!$B$35:$H$35,_xlfn.XLOOKUP($C28,Assumptions!$B$36:$B$41,Assumptions!$B$36:$H$41))</f>
        <v>0</v>
      </c>
      <c r="IVG28">
        <f t="array" ref="IVG28">_xlfn.XLOOKUP(IVG$11,Assumptions!$B$35:$H$35,_xlfn.XLOOKUP($C28,Assumptions!$B$36:$B$41,Assumptions!$B$36:$H$41))</f>
        <v>0</v>
      </c>
      <c r="IVH28">
        <f t="array" ref="IVH28">_xlfn.XLOOKUP(IVH$11,Assumptions!$B$35:$H$35,_xlfn.XLOOKUP($C28,Assumptions!$B$36:$B$41,Assumptions!$B$36:$H$41))</f>
        <v>0</v>
      </c>
      <c r="IVI28">
        <f t="array" ref="IVI28">_xlfn.XLOOKUP(IVI$11,Assumptions!$B$35:$H$35,_xlfn.XLOOKUP($C28,Assumptions!$B$36:$B$41,Assumptions!$B$36:$H$41))</f>
        <v>0</v>
      </c>
      <c r="IVJ28">
        <f t="array" ref="IVJ28">_xlfn.XLOOKUP(IVJ$11,Assumptions!$B$35:$H$35,_xlfn.XLOOKUP($C28,Assumptions!$B$36:$B$41,Assumptions!$B$36:$H$41))</f>
        <v>0</v>
      </c>
      <c r="IVK28">
        <f t="array" ref="IVK28">_xlfn.XLOOKUP(IVK$11,Assumptions!$B$35:$H$35,_xlfn.XLOOKUP($C28,Assumptions!$B$36:$B$41,Assumptions!$B$36:$H$41))</f>
        <v>0</v>
      </c>
      <c r="IVL28">
        <f t="array" ref="IVL28">_xlfn.XLOOKUP(IVL$11,Assumptions!$B$35:$H$35,_xlfn.XLOOKUP($C28,Assumptions!$B$36:$B$41,Assumptions!$B$36:$H$41))</f>
        <v>0</v>
      </c>
      <c r="IVM28">
        <f t="array" ref="IVM28">_xlfn.XLOOKUP(IVM$11,Assumptions!$B$35:$H$35,_xlfn.XLOOKUP($C28,Assumptions!$B$36:$B$41,Assumptions!$B$36:$H$41))</f>
        <v>0</v>
      </c>
      <c r="IVN28">
        <f t="array" ref="IVN28">_xlfn.XLOOKUP(IVN$11,Assumptions!$B$35:$H$35,_xlfn.XLOOKUP($C28,Assumptions!$B$36:$B$41,Assumptions!$B$36:$H$41))</f>
        <v>0</v>
      </c>
      <c r="IVO28">
        <f t="array" ref="IVO28">_xlfn.XLOOKUP(IVO$11,Assumptions!$B$35:$H$35,_xlfn.XLOOKUP($C28,Assumptions!$B$36:$B$41,Assumptions!$B$36:$H$41))</f>
        <v>0</v>
      </c>
      <c r="IVP28">
        <f t="array" ref="IVP28">_xlfn.XLOOKUP(IVP$11,Assumptions!$B$35:$H$35,_xlfn.XLOOKUP($C28,Assumptions!$B$36:$B$41,Assumptions!$B$36:$H$41))</f>
        <v>0</v>
      </c>
      <c r="IVQ28">
        <f t="array" ref="IVQ28">_xlfn.XLOOKUP(IVQ$11,Assumptions!$B$35:$H$35,_xlfn.XLOOKUP($C28,Assumptions!$B$36:$B$41,Assumptions!$B$36:$H$41))</f>
        <v>0</v>
      </c>
      <c r="IVR28">
        <f t="array" ref="IVR28">_xlfn.XLOOKUP(IVR$11,Assumptions!$B$35:$H$35,_xlfn.XLOOKUP($C28,Assumptions!$B$36:$B$41,Assumptions!$B$36:$H$41))</f>
        <v>0</v>
      </c>
      <c r="IVS28">
        <f t="array" ref="IVS28">_xlfn.XLOOKUP(IVS$11,Assumptions!$B$35:$H$35,_xlfn.XLOOKUP($C28,Assumptions!$B$36:$B$41,Assumptions!$B$36:$H$41))</f>
        <v>0</v>
      </c>
      <c r="IVT28">
        <f t="array" ref="IVT28">_xlfn.XLOOKUP(IVT$11,Assumptions!$B$35:$H$35,_xlfn.XLOOKUP($C28,Assumptions!$B$36:$B$41,Assumptions!$B$36:$H$41))</f>
        <v>0</v>
      </c>
      <c r="IVU28">
        <f t="array" ref="IVU28">_xlfn.XLOOKUP(IVU$11,Assumptions!$B$35:$H$35,_xlfn.XLOOKUP($C28,Assumptions!$B$36:$B$41,Assumptions!$B$36:$H$41))</f>
        <v>0</v>
      </c>
      <c r="IVV28">
        <f t="array" ref="IVV28">_xlfn.XLOOKUP(IVV$11,Assumptions!$B$35:$H$35,_xlfn.XLOOKUP($C28,Assumptions!$B$36:$B$41,Assumptions!$B$36:$H$41))</f>
        <v>0</v>
      </c>
      <c r="IVW28">
        <f t="array" ref="IVW28">_xlfn.XLOOKUP(IVW$11,Assumptions!$B$35:$H$35,_xlfn.XLOOKUP($C28,Assumptions!$B$36:$B$41,Assumptions!$B$36:$H$41))</f>
        <v>0</v>
      </c>
      <c r="IVX28">
        <f t="array" ref="IVX28">_xlfn.XLOOKUP(IVX$11,Assumptions!$B$35:$H$35,_xlfn.XLOOKUP($C28,Assumptions!$B$36:$B$41,Assumptions!$B$36:$H$41))</f>
        <v>0</v>
      </c>
      <c r="IVY28">
        <f t="array" ref="IVY28">_xlfn.XLOOKUP(IVY$11,Assumptions!$B$35:$H$35,_xlfn.XLOOKUP($C28,Assumptions!$B$36:$B$41,Assumptions!$B$36:$H$41))</f>
        <v>0</v>
      </c>
      <c r="IVZ28">
        <f t="array" ref="IVZ28">_xlfn.XLOOKUP(IVZ$11,Assumptions!$B$35:$H$35,_xlfn.XLOOKUP($C28,Assumptions!$B$36:$B$41,Assumptions!$B$36:$H$41))</f>
        <v>0</v>
      </c>
      <c r="IWA28">
        <f t="array" ref="IWA28">_xlfn.XLOOKUP(IWA$11,Assumptions!$B$35:$H$35,_xlfn.XLOOKUP($C28,Assumptions!$B$36:$B$41,Assumptions!$B$36:$H$41))</f>
        <v>0</v>
      </c>
      <c r="IWB28">
        <f t="array" ref="IWB28">_xlfn.XLOOKUP(IWB$11,Assumptions!$B$35:$H$35,_xlfn.XLOOKUP($C28,Assumptions!$B$36:$B$41,Assumptions!$B$36:$H$41))</f>
        <v>0</v>
      </c>
      <c r="IWC28">
        <f t="array" ref="IWC28">_xlfn.XLOOKUP(IWC$11,Assumptions!$B$35:$H$35,_xlfn.XLOOKUP($C28,Assumptions!$B$36:$B$41,Assumptions!$B$36:$H$41))</f>
        <v>0</v>
      </c>
      <c r="IWD28">
        <f t="array" ref="IWD28">_xlfn.XLOOKUP(IWD$11,Assumptions!$B$35:$H$35,_xlfn.XLOOKUP($C28,Assumptions!$B$36:$B$41,Assumptions!$B$36:$H$41))</f>
        <v>0</v>
      </c>
      <c r="IWE28">
        <f t="array" ref="IWE28">_xlfn.XLOOKUP(IWE$11,Assumptions!$B$35:$H$35,_xlfn.XLOOKUP($C28,Assumptions!$B$36:$B$41,Assumptions!$B$36:$H$41))</f>
        <v>0</v>
      </c>
      <c r="IWF28">
        <f t="array" ref="IWF28">_xlfn.XLOOKUP(IWF$11,Assumptions!$B$35:$H$35,_xlfn.XLOOKUP($C28,Assumptions!$B$36:$B$41,Assumptions!$B$36:$H$41))</f>
        <v>0</v>
      </c>
      <c r="IWG28">
        <f t="array" ref="IWG28">_xlfn.XLOOKUP(IWG$11,Assumptions!$B$35:$H$35,_xlfn.XLOOKUP($C28,Assumptions!$B$36:$B$41,Assumptions!$B$36:$H$41))</f>
        <v>0</v>
      </c>
      <c r="IWH28">
        <f t="array" ref="IWH28">_xlfn.XLOOKUP(IWH$11,Assumptions!$B$35:$H$35,_xlfn.XLOOKUP($C28,Assumptions!$B$36:$B$41,Assumptions!$B$36:$H$41))</f>
        <v>0</v>
      </c>
      <c r="IWI28">
        <f t="array" ref="IWI28">_xlfn.XLOOKUP(IWI$11,Assumptions!$B$35:$H$35,_xlfn.XLOOKUP($C28,Assumptions!$B$36:$B$41,Assumptions!$B$36:$H$41))</f>
        <v>0</v>
      </c>
      <c r="IWJ28">
        <f t="array" ref="IWJ28">_xlfn.XLOOKUP(IWJ$11,Assumptions!$B$35:$H$35,_xlfn.XLOOKUP($C28,Assumptions!$B$36:$B$41,Assumptions!$B$36:$H$41))</f>
        <v>0</v>
      </c>
      <c r="IWK28">
        <f t="array" ref="IWK28">_xlfn.XLOOKUP(IWK$11,Assumptions!$B$35:$H$35,_xlfn.XLOOKUP($C28,Assumptions!$B$36:$B$41,Assumptions!$B$36:$H$41))</f>
        <v>0</v>
      </c>
      <c r="IWL28">
        <f t="array" ref="IWL28">_xlfn.XLOOKUP(IWL$11,Assumptions!$B$35:$H$35,_xlfn.XLOOKUP($C28,Assumptions!$B$36:$B$41,Assumptions!$B$36:$H$41))</f>
        <v>0</v>
      </c>
      <c r="IWM28">
        <f t="array" ref="IWM28">_xlfn.XLOOKUP(IWM$11,Assumptions!$B$35:$H$35,_xlfn.XLOOKUP($C28,Assumptions!$B$36:$B$41,Assumptions!$B$36:$H$41))</f>
        <v>0</v>
      </c>
      <c r="IWN28">
        <f t="array" ref="IWN28">_xlfn.XLOOKUP(IWN$11,Assumptions!$B$35:$H$35,_xlfn.XLOOKUP($C28,Assumptions!$B$36:$B$41,Assumptions!$B$36:$H$41))</f>
        <v>0</v>
      </c>
      <c r="IWO28">
        <f t="array" ref="IWO28">_xlfn.XLOOKUP(IWO$11,Assumptions!$B$35:$H$35,_xlfn.XLOOKUP($C28,Assumptions!$B$36:$B$41,Assumptions!$B$36:$H$41))</f>
        <v>0</v>
      </c>
      <c r="IWP28">
        <f t="array" ref="IWP28">_xlfn.XLOOKUP(IWP$11,Assumptions!$B$35:$H$35,_xlfn.XLOOKUP($C28,Assumptions!$B$36:$B$41,Assumptions!$B$36:$H$41))</f>
        <v>0</v>
      </c>
      <c r="IWQ28">
        <f t="array" ref="IWQ28">_xlfn.XLOOKUP(IWQ$11,Assumptions!$B$35:$H$35,_xlfn.XLOOKUP($C28,Assumptions!$B$36:$B$41,Assumptions!$B$36:$H$41))</f>
        <v>0</v>
      </c>
      <c r="IWR28">
        <f t="array" ref="IWR28">_xlfn.XLOOKUP(IWR$11,Assumptions!$B$35:$H$35,_xlfn.XLOOKUP($C28,Assumptions!$B$36:$B$41,Assumptions!$B$36:$H$41))</f>
        <v>0</v>
      </c>
      <c r="IWS28">
        <f t="array" ref="IWS28">_xlfn.XLOOKUP(IWS$11,Assumptions!$B$35:$H$35,_xlfn.XLOOKUP($C28,Assumptions!$B$36:$B$41,Assumptions!$B$36:$H$41))</f>
        <v>0</v>
      </c>
      <c r="IWT28">
        <f t="array" ref="IWT28">_xlfn.XLOOKUP(IWT$11,Assumptions!$B$35:$H$35,_xlfn.XLOOKUP($C28,Assumptions!$B$36:$B$41,Assumptions!$B$36:$H$41))</f>
        <v>0</v>
      </c>
      <c r="IWU28">
        <f t="array" ref="IWU28">_xlfn.XLOOKUP(IWU$11,Assumptions!$B$35:$H$35,_xlfn.XLOOKUP($C28,Assumptions!$B$36:$B$41,Assumptions!$B$36:$H$41))</f>
        <v>0</v>
      </c>
      <c r="IWV28">
        <f t="array" ref="IWV28">_xlfn.XLOOKUP(IWV$11,Assumptions!$B$35:$H$35,_xlfn.XLOOKUP($C28,Assumptions!$B$36:$B$41,Assumptions!$B$36:$H$41))</f>
        <v>0</v>
      </c>
      <c r="IWW28">
        <f t="array" ref="IWW28">_xlfn.XLOOKUP(IWW$11,Assumptions!$B$35:$H$35,_xlfn.XLOOKUP($C28,Assumptions!$B$36:$B$41,Assumptions!$B$36:$H$41))</f>
        <v>0</v>
      </c>
      <c r="IWX28">
        <f t="array" ref="IWX28">_xlfn.XLOOKUP(IWX$11,Assumptions!$B$35:$H$35,_xlfn.XLOOKUP($C28,Assumptions!$B$36:$B$41,Assumptions!$B$36:$H$41))</f>
        <v>0</v>
      </c>
      <c r="IWY28">
        <f t="array" ref="IWY28">_xlfn.XLOOKUP(IWY$11,Assumptions!$B$35:$H$35,_xlfn.XLOOKUP($C28,Assumptions!$B$36:$B$41,Assumptions!$B$36:$H$41))</f>
        <v>0</v>
      </c>
      <c r="IWZ28">
        <f t="array" ref="IWZ28">_xlfn.XLOOKUP(IWZ$11,Assumptions!$B$35:$H$35,_xlfn.XLOOKUP($C28,Assumptions!$B$36:$B$41,Assumptions!$B$36:$H$41))</f>
        <v>0</v>
      </c>
      <c r="IXA28">
        <f t="array" ref="IXA28">_xlfn.XLOOKUP(IXA$11,Assumptions!$B$35:$H$35,_xlfn.XLOOKUP($C28,Assumptions!$B$36:$B$41,Assumptions!$B$36:$H$41))</f>
        <v>0</v>
      </c>
      <c r="IXB28">
        <f t="array" ref="IXB28">_xlfn.XLOOKUP(IXB$11,Assumptions!$B$35:$H$35,_xlfn.XLOOKUP($C28,Assumptions!$B$36:$B$41,Assumptions!$B$36:$H$41))</f>
        <v>0</v>
      </c>
      <c r="IXC28">
        <f t="array" ref="IXC28">_xlfn.XLOOKUP(IXC$11,Assumptions!$B$35:$H$35,_xlfn.XLOOKUP($C28,Assumptions!$B$36:$B$41,Assumptions!$B$36:$H$41))</f>
        <v>0</v>
      </c>
      <c r="IXD28">
        <f t="array" ref="IXD28">_xlfn.XLOOKUP(IXD$11,Assumptions!$B$35:$H$35,_xlfn.XLOOKUP($C28,Assumptions!$B$36:$B$41,Assumptions!$B$36:$H$41))</f>
        <v>0</v>
      </c>
      <c r="IXE28">
        <f t="array" ref="IXE28">_xlfn.XLOOKUP(IXE$11,Assumptions!$B$35:$H$35,_xlfn.XLOOKUP($C28,Assumptions!$B$36:$B$41,Assumptions!$B$36:$H$41))</f>
        <v>0</v>
      </c>
      <c r="IXF28">
        <f t="array" ref="IXF28">_xlfn.XLOOKUP(IXF$11,Assumptions!$B$35:$H$35,_xlfn.XLOOKUP($C28,Assumptions!$B$36:$B$41,Assumptions!$B$36:$H$41))</f>
        <v>0</v>
      </c>
      <c r="IXG28">
        <f t="array" ref="IXG28">_xlfn.XLOOKUP(IXG$11,Assumptions!$B$35:$H$35,_xlfn.XLOOKUP($C28,Assumptions!$B$36:$B$41,Assumptions!$B$36:$H$41))</f>
        <v>0</v>
      </c>
      <c r="IXH28">
        <f t="array" ref="IXH28">_xlfn.XLOOKUP(IXH$11,Assumptions!$B$35:$H$35,_xlfn.XLOOKUP($C28,Assumptions!$B$36:$B$41,Assumptions!$B$36:$H$41))</f>
        <v>0</v>
      </c>
      <c r="IXI28">
        <f t="array" ref="IXI28">_xlfn.XLOOKUP(IXI$11,Assumptions!$B$35:$H$35,_xlfn.XLOOKUP($C28,Assumptions!$B$36:$B$41,Assumptions!$B$36:$H$41))</f>
        <v>0</v>
      </c>
      <c r="IXJ28">
        <f t="array" ref="IXJ28">_xlfn.XLOOKUP(IXJ$11,Assumptions!$B$35:$H$35,_xlfn.XLOOKUP($C28,Assumptions!$B$36:$B$41,Assumptions!$B$36:$H$41))</f>
        <v>0</v>
      </c>
      <c r="IXK28">
        <f t="array" ref="IXK28">_xlfn.XLOOKUP(IXK$11,Assumptions!$B$35:$H$35,_xlfn.XLOOKUP($C28,Assumptions!$B$36:$B$41,Assumptions!$B$36:$H$41))</f>
        <v>0</v>
      </c>
      <c r="IXL28">
        <f t="array" ref="IXL28">_xlfn.XLOOKUP(IXL$11,Assumptions!$B$35:$H$35,_xlfn.XLOOKUP($C28,Assumptions!$B$36:$B$41,Assumptions!$B$36:$H$41))</f>
        <v>0</v>
      </c>
      <c r="IXM28">
        <f t="array" ref="IXM28">_xlfn.XLOOKUP(IXM$11,Assumptions!$B$35:$H$35,_xlfn.XLOOKUP($C28,Assumptions!$B$36:$B$41,Assumptions!$B$36:$H$41))</f>
        <v>0</v>
      </c>
      <c r="IXN28">
        <f t="array" ref="IXN28">_xlfn.XLOOKUP(IXN$11,Assumptions!$B$35:$H$35,_xlfn.XLOOKUP($C28,Assumptions!$B$36:$B$41,Assumptions!$B$36:$H$41))</f>
        <v>0</v>
      </c>
      <c r="IXO28">
        <f t="array" ref="IXO28">_xlfn.XLOOKUP(IXO$11,Assumptions!$B$35:$H$35,_xlfn.XLOOKUP($C28,Assumptions!$B$36:$B$41,Assumptions!$B$36:$H$41))</f>
        <v>0</v>
      </c>
      <c r="IXP28">
        <f t="array" ref="IXP28">_xlfn.XLOOKUP(IXP$11,Assumptions!$B$35:$H$35,_xlfn.XLOOKUP($C28,Assumptions!$B$36:$B$41,Assumptions!$B$36:$H$41))</f>
        <v>0</v>
      </c>
      <c r="IXQ28">
        <f t="array" ref="IXQ28">_xlfn.XLOOKUP(IXQ$11,Assumptions!$B$35:$H$35,_xlfn.XLOOKUP($C28,Assumptions!$B$36:$B$41,Assumptions!$B$36:$H$41))</f>
        <v>0</v>
      </c>
      <c r="IXR28">
        <f t="array" ref="IXR28">_xlfn.XLOOKUP(IXR$11,Assumptions!$B$35:$H$35,_xlfn.XLOOKUP($C28,Assumptions!$B$36:$B$41,Assumptions!$B$36:$H$41))</f>
        <v>0</v>
      </c>
      <c r="IXS28">
        <f t="array" ref="IXS28">_xlfn.XLOOKUP(IXS$11,Assumptions!$B$35:$H$35,_xlfn.XLOOKUP($C28,Assumptions!$B$36:$B$41,Assumptions!$B$36:$H$41))</f>
        <v>0</v>
      </c>
      <c r="IXT28">
        <f t="array" ref="IXT28">_xlfn.XLOOKUP(IXT$11,Assumptions!$B$35:$H$35,_xlfn.XLOOKUP($C28,Assumptions!$B$36:$B$41,Assumptions!$B$36:$H$41))</f>
        <v>0</v>
      </c>
      <c r="IXU28">
        <f t="array" ref="IXU28">_xlfn.XLOOKUP(IXU$11,Assumptions!$B$35:$H$35,_xlfn.XLOOKUP($C28,Assumptions!$B$36:$B$41,Assumptions!$B$36:$H$41))</f>
        <v>0</v>
      </c>
      <c r="IXV28">
        <f t="array" ref="IXV28">_xlfn.XLOOKUP(IXV$11,Assumptions!$B$35:$H$35,_xlfn.XLOOKUP($C28,Assumptions!$B$36:$B$41,Assumptions!$B$36:$H$41))</f>
        <v>0</v>
      </c>
      <c r="IXW28">
        <f t="array" ref="IXW28">_xlfn.XLOOKUP(IXW$11,Assumptions!$B$35:$H$35,_xlfn.XLOOKUP($C28,Assumptions!$B$36:$B$41,Assumptions!$B$36:$H$41))</f>
        <v>0</v>
      </c>
      <c r="IXX28">
        <f t="array" ref="IXX28">_xlfn.XLOOKUP(IXX$11,Assumptions!$B$35:$H$35,_xlfn.XLOOKUP($C28,Assumptions!$B$36:$B$41,Assumptions!$B$36:$H$41))</f>
        <v>0</v>
      </c>
      <c r="IXY28">
        <f t="array" ref="IXY28">_xlfn.XLOOKUP(IXY$11,Assumptions!$B$35:$H$35,_xlfn.XLOOKUP($C28,Assumptions!$B$36:$B$41,Assumptions!$B$36:$H$41))</f>
        <v>0</v>
      </c>
      <c r="IXZ28">
        <f t="array" ref="IXZ28">_xlfn.XLOOKUP(IXZ$11,Assumptions!$B$35:$H$35,_xlfn.XLOOKUP($C28,Assumptions!$B$36:$B$41,Assumptions!$B$36:$H$41))</f>
        <v>0</v>
      </c>
      <c r="IYA28">
        <f t="array" ref="IYA28">_xlfn.XLOOKUP(IYA$11,Assumptions!$B$35:$H$35,_xlfn.XLOOKUP($C28,Assumptions!$B$36:$B$41,Assumptions!$B$36:$H$41))</f>
        <v>0</v>
      </c>
      <c r="IYB28">
        <f t="array" ref="IYB28">_xlfn.XLOOKUP(IYB$11,Assumptions!$B$35:$H$35,_xlfn.XLOOKUP($C28,Assumptions!$B$36:$B$41,Assumptions!$B$36:$H$41))</f>
        <v>0</v>
      </c>
      <c r="IYC28">
        <f t="array" ref="IYC28">_xlfn.XLOOKUP(IYC$11,Assumptions!$B$35:$H$35,_xlfn.XLOOKUP($C28,Assumptions!$B$36:$B$41,Assumptions!$B$36:$H$41))</f>
        <v>0</v>
      </c>
      <c r="IYD28">
        <f t="array" ref="IYD28">_xlfn.XLOOKUP(IYD$11,Assumptions!$B$35:$H$35,_xlfn.XLOOKUP($C28,Assumptions!$B$36:$B$41,Assumptions!$B$36:$H$41))</f>
        <v>0</v>
      </c>
      <c r="IYE28">
        <f t="array" ref="IYE28">_xlfn.XLOOKUP(IYE$11,Assumptions!$B$35:$H$35,_xlfn.XLOOKUP($C28,Assumptions!$B$36:$B$41,Assumptions!$B$36:$H$41))</f>
        <v>0</v>
      </c>
      <c r="IYF28">
        <f t="array" ref="IYF28">_xlfn.XLOOKUP(IYF$11,Assumptions!$B$35:$H$35,_xlfn.XLOOKUP($C28,Assumptions!$B$36:$B$41,Assumptions!$B$36:$H$41))</f>
        <v>0</v>
      </c>
      <c r="IYG28">
        <f t="array" ref="IYG28">_xlfn.XLOOKUP(IYG$11,Assumptions!$B$35:$H$35,_xlfn.XLOOKUP($C28,Assumptions!$B$36:$B$41,Assumptions!$B$36:$H$41))</f>
        <v>0</v>
      </c>
      <c r="IYH28">
        <f t="array" ref="IYH28">_xlfn.XLOOKUP(IYH$11,Assumptions!$B$35:$H$35,_xlfn.XLOOKUP($C28,Assumptions!$B$36:$B$41,Assumptions!$B$36:$H$41))</f>
        <v>0</v>
      </c>
      <c r="IYI28">
        <f t="array" ref="IYI28">_xlfn.XLOOKUP(IYI$11,Assumptions!$B$35:$H$35,_xlfn.XLOOKUP($C28,Assumptions!$B$36:$B$41,Assumptions!$B$36:$H$41))</f>
        <v>0</v>
      </c>
      <c r="IYJ28">
        <f t="array" ref="IYJ28">_xlfn.XLOOKUP(IYJ$11,Assumptions!$B$35:$H$35,_xlfn.XLOOKUP($C28,Assumptions!$B$36:$B$41,Assumptions!$B$36:$H$41))</f>
        <v>0</v>
      </c>
      <c r="IYK28">
        <f t="array" ref="IYK28">_xlfn.XLOOKUP(IYK$11,Assumptions!$B$35:$H$35,_xlfn.XLOOKUP($C28,Assumptions!$B$36:$B$41,Assumptions!$B$36:$H$41))</f>
        <v>0</v>
      </c>
      <c r="IYL28">
        <f t="array" ref="IYL28">_xlfn.XLOOKUP(IYL$11,Assumptions!$B$35:$H$35,_xlfn.XLOOKUP($C28,Assumptions!$B$36:$B$41,Assumptions!$B$36:$H$41))</f>
        <v>0</v>
      </c>
      <c r="IYM28">
        <f t="array" ref="IYM28">_xlfn.XLOOKUP(IYM$11,Assumptions!$B$35:$H$35,_xlfn.XLOOKUP($C28,Assumptions!$B$36:$B$41,Assumptions!$B$36:$H$41))</f>
        <v>0</v>
      </c>
      <c r="IYN28">
        <f t="array" ref="IYN28">_xlfn.XLOOKUP(IYN$11,Assumptions!$B$35:$H$35,_xlfn.XLOOKUP($C28,Assumptions!$B$36:$B$41,Assumptions!$B$36:$H$41))</f>
        <v>0</v>
      </c>
      <c r="IYO28">
        <f t="array" ref="IYO28">_xlfn.XLOOKUP(IYO$11,Assumptions!$B$35:$H$35,_xlfn.XLOOKUP($C28,Assumptions!$B$36:$B$41,Assumptions!$B$36:$H$41))</f>
        <v>0</v>
      </c>
      <c r="IYP28">
        <f t="array" ref="IYP28">_xlfn.XLOOKUP(IYP$11,Assumptions!$B$35:$H$35,_xlfn.XLOOKUP($C28,Assumptions!$B$36:$B$41,Assumptions!$B$36:$H$41))</f>
        <v>0</v>
      </c>
      <c r="IYQ28">
        <f t="array" ref="IYQ28">_xlfn.XLOOKUP(IYQ$11,Assumptions!$B$35:$H$35,_xlfn.XLOOKUP($C28,Assumptions!$B$36:$B$41,Assumptions!$B$36:$H$41))</f>
        <v>0</v>
      </c>
      <c r="IYR28">
        <f t="array" ref="IYR28">_xlfn.XLOOKUP(IYR$11,Assumptions!$B$35:$H$35,_xlfn.XLOOKUP($C28,Assumptions!$B$36:$B$41,Assumptions!$B$36:$H$41))</f>
        <v>0</v>
      </c>
      <c r="IYS28">
        <f t="array" ref="IYS28">_xlfn.XLOOKUP(IYS$11,Assumptions!$B$35:$H$35,_xlfn.XLOOKUP($C28,Assumptions!$B$36:$B$41,Assumptions!$B$36:$H$41))</f>
        <v>0</v>
      </c>
      <c r="IYT28">
        <f t="array" ref="IYT28">_xlfn.XLOOKUP(IYT$11,Assumptions!$B$35:$H$35,_xlfn.XLOOKUP($C28,Assumptions!$B$36:$B$41,Assumptions!$B$36:$H$41))</f>
        <v>0</v>
      </c>
      <c r="IYU28">
        <f t="array" ref="IYU28">_xlfn.XLOOKUP(IYU$11,Assumptions!$B$35:$H$35,_xlfn.XLOOKUP($C28,Assumptions!$B$36:$B$41,Assumptions!$B$36:$H$41))</f>
        <v>0</v>
      </c>
      <c r="IYV28">
        <f t="array" ref="IYV28">_xlfn.XLOOKUP(IYV$11,Assumptions!$B$35:$H$35,_xlfn.XLOOKUP($C28,Assumptions!$B$36:$B$41,Assumptions!$B$36:$H$41))</f>
        <v>0</v>
      </c>
      <c r="IYW28">
        <f t="array" ref="IYW28">_xlfn.XLOOKUP(IYW$11,Assumptions!$B$35:$H$35,_xlfn.XLOOKUP($C28,Assumptions!$B$36:$B$41,Assumptions!$B$36:$H$41))</f>
        <v>0</v>
      </c>
      <c r="IYX28">
        <f t="array" ref="IYX28">_xlfn.XLOOKUP(IYX$11,Assumptions!$B$35:$H$35,_xlfn.XLOOKUP($C28,Assumptions!$B$36:$B$41,Assumptions!$B$36:$H$41))</f>
        <v>0</v>
      </c>
      <c r="IYY28">
        <f t="array" ref="IYY28">_xlfn.XLOOKUP(IYY$11,Assumptions!$B$35:$H$35,_xlfn.XLOOKUP($C28,Assumptions!$B$36:$B$41,Assumptions!$B$36:$H$41))</f>
        <v>0</v>
      </c>
      <c r="IYZ28">
        <f t="array" ref="IYZ28">_xlfn.XLOOKUP(IYZ$11,Assumptions!$B$35:$H$35,_xlfn.XLOOKUP($C28,Assumptions!$B$36:$B$41,Assumptions!$B$36:$H$41))</f>
        <v>0</v>
      </c>
      <c r="IZA28">
        <f t="array" ref="IZA28">_xlfn.XLOOKUP(IZA$11,Assumptions!$B$35:$H$35,_xlfn.XLOOKUP($C28,Assumptions!$B$36:$B$41,Assumptions!$B$36:$H$41))</f>
        <v>0</v>
      </c>
      <c r="IZB28">
        <f t="array" ref="IZB28">_xlfn.XLOOKUP(IZB$11,Assumptions!$B$35:$H$35,_xlfn.XLOOKUP($C28,Assumptions!$B$36:$B$41,Assumptions!$B$36:$H$41))</f>
        <v>0</v>
      </c>
      <c r="IZC28">
        <f t="array" ref="IZC28">_xlfn.XLOOKUP(IZC$11,Assumptions!$B$35:$H$35,_xlfn.XLOOKUP($C28,Assumptions!$B$36:$B$41,Assumptions!$B$36:$H$41))</f>
        <v>0</v>
      </c>
      <c r="IZD28">
        <f t="array" ref="IZD28">_xlfn.XLOOKUP(IZD$11,Assumptions!$B$35:$H$35,_xlfn.XLOOKUP($C28,Assumptions!$B$36:$B$41,Assumptions!$B$36:$H$41))</f>
        <v>0</v>
      </c>
      <c r="IZE28">
        <f t="array" ref="IZE28">_xlfn.XLOOKUP(IZE$11,Assumptions!$B$35:$H$35,_xlfn.XLOOKUP($C28,Assumptions!$B$36:$B$41,Assumptions!$B$36:$H$41))</f>
        <v>0</v>
      </c>
      <c r="IZF28">
        <f t="array" ref="IZF28">_xlfn.XLOOKUP(IZF$11,Assumptions!$B$35:$H$35,_xlfn.XLOOKUP($C28,Assumptions!$B$36:$B$41,Assumptions!$B$36:$H$41))</f>
        <v>0</v>
      </c>
      <c r="IZG28">
        <f t="array" ref="IZG28">_xlfn.XLOOKUP(IZG$11,Assumptions!$B$35:$H$35,_xlfn.XLOOKUP($C28,Assumptions!$B$36:$B$41,Assumptions!$B$36:$H$41))</f>
        <v>0</v>
      </c>
      <c r="IZH28">
        <f t="array" ref="IZH28">_xlfn.XLOOKUP(IZH$11,Assumptions!$B$35:$H$35,_xlfn.XLOOKUP($C28,Assumptions!$B$36:$B$41,Assumptions!$B$36:$H$41))</f>
        <v>0</v>
      </c>
      <c r="IZI28">
        <f t="array" ref="IZI28">_xlfn.XLOOKUP(IZI$11,Assumptions!$B$35:$H$35,_xlfn.XLOOKUP($C28,Assumptions!$B$36:$B$41,Assumptions!$B$36:$H$41))</f>
        <v>0</v>
      </c>
      <c r="IZJ28">
        <f t="array" ref="IZJ28">_xlfn.XLOOKUP(IZJ$11,Assumptions!$B$35:$H$35,_xlfn.XLOOKUP($C28,Assumptions!$B$36:$B$41,Assumptions!$B$36:$H$41))</f>
        <v>0</v>
      </c>
      <c r="IZK28">
        <f t="array" ref="IZK28">_xlfn.XLOOKUP(IZK$11,Assumptions!$B$35:$H$35,_xlfn.XLOOKUP($C28,Assumptions!$B$36:$B$41,Assumptions!$B$36:$H$41))</f>
        <v>0</v>
      </c>
      <c r="IZL28">
        <f t="array" ref="IZL28">_xlfn.XLOOKUP(IZL$11,Assumptions!$B$35:$H$35,_xlfn.XLOOKUP($C28,Assumptions!$B$36:$B$41,Assumptions!$B$36:$H$41))</f>
        <v>0</v>
      </c>
      <c r="IZM28">
        <f t="array" ref="IZM28">_xlfn.XLOOKUP(IZM$11,Assumptions!$B$35:$H$35,_xlfn.XLOOKUP($C28,Assumptions!$B$36:$B$41,Assumptions!$B$36:$H$41))</f>
        <v>0</v>
      </c>
      <c r="IZN28">
        <f t="array" ref="IZN28">_xlfn.XLOOKUP(IZN$11,Assumptions!$B$35:$H$35,_xlfn.XLOOKUP($C28,Assumptions!$B$36:$B$41,Assumptions!$B$36:$H$41))</f>
        <v>0</v>
      </c>
      <c r="IZO28">
        <f t="array" ref="IZO28">_xlfn.XLOOKUP(IZO$11,Assumptions!$B$35:$H$35,_xlfn.XLOOKUP($C28,Assumptions!$B$36:$B$41,Assumptions!$B$36:$H$41))</f>
        <v>0</v>
      </c>
      <c r="IZP28">
        <f t="array" ref="IZP28">_xlfn.XLOOKUP(IZP$11,Assumptions!$B$35:$H$35,_xlfn.XLOOKUP($C28,Assumptions!$B$36:$B$41,Assumptions!$B$36:$H$41))</f>
        <v>0</v>
      </c>
      <c r="IZQ28">
        <f t="array" ref="IZQ28">_xlfn.XLOOKUP(IZQ$11,Assumptions!$B$35:$H$35,_xlfn.XLOOKUP($C28,Assumptions!$B$36:$B$41,Assumptions!$B$36:$H$41))</f>
        <v>0</v>
      </c>
      <c r="IZR28">
        <f t="array" ref="IZR28">_xlfn.XLOOKUP(IZR$11,Assumptions!$B$35:$H$35,_xlfn.XLOOKUP($C28,Assumptions!$B$36:$B$41,Assumptions!$B$36:$H$41))</f>
        <v>0</v>
      </c>
      <c r="IZS28">
        <f t="array" ref="IZS28">_xlfn.XLOOKUP(IZS$11,Assumptions!$B$35:$H$35,_xlfn.XLOOKUP($C28,Assumptions!$B$36:$B$41,Assumptions!$B$36:$H$41))</f>
        <v>0</v>
      </c>
      <c r="IZT28">
        <f t="array" ref="IZT28">_xlfn.XLOOKUP(IZT$11,Assumptions!$B$35:$H$35,_xlfn.XLOOKUP($C28,Assumptions!$B$36:$B$41,Assumptions!$B$36:$H$41))</f>
        <v>0</v>
      </c>
      <c r="IZU28">
        <f t="array" ref="IZU28">_xlfn.XLOOKUP(IZU$11,Assumptions!$B$35:$H$35,_xlfn.XLOOKUP($C28,Assumptions!$B$36:$B$41,Assumptions!$B$36:$H$41))</f>
        <v>0</v>
      </c>
      <c r="IZV28">
        <f t="array" ref="IZV28">_xlfn.XLOOKUP(IZV$11,Assumptions!$B$35:$H$35,_xlfn.XLOOKUP($C28,Assumptions!$B$36:$B$41,Assumptions!$B$36:$H$41))</f>
        <v>0</v>
      </c>
      <c r="IZW28">
        <f t="array" ref="IZW28">_xlfn.XLOOKUP(IZW$11,Assumptions!$B$35:$H$35,_xlfn.XLOOKUP($C28,Assumptions!$B$36:$B$41,Assumptions!$B$36:$H$41))</f>
        <v>0</v>
      </c>
      <c r="IZX28">
        <f t="array" ref="IZX28">_xlfn.XLOOKUP(IZX$11,Assumptions!$B$35:$H$35,_xlfn.XLOOKUP($C28,Assumptions!$B$36:$B$41,Assumptions!$B$36:$H$41))</f>
        <v>0</v>
      </c>
      <c r="IZY28">
        <f t="array" ref="IZY28">_xlfn.XLOOKUP(IZY$11,Assumptions!$B$35:$H$35,_xlfn.XLOOKUP($C28,Assumptions!$B$36:$B$41,Assumptions!$B$36:$H$41))</f>
        <v>0</v>
      </c>
      <c r="IZZ28">
        <f t="array" ref="IZZ28">_xlfn.XLOOKUP(IZZ$11,Assumptions!$B$35:$H$35,_xlfn.XLOOKUP($C28,Assumptions!$B$36:$B$41,Assumptions!$B$36:$H$41))</f>
        <v>0</v>
      </c>
      <c r="JAA28">
        <f t="array" ref="JAA28">_xlfn.XLOOKUP(JAA$11,Assumptions!$B$35:$H$35,_xlfn.XLOOKUP($C28,Assumptions!$B$36:$B$41,Assumptions!$B$36:$H$41))</f>
        <v>0</v>
      </c>
      <c r="JAB28">
        <f t="array" ref="JAB28">_xlfn.XLOOKUP(JAB$11,Assumptions!$B$35:$H$35,_xlfn.XLOOKUP($C28,Assumptions!$B$36:$B$41,Assumptions!$B$36:$H$41))</f>
        <v>0</v>
      </c>
      <c r="JAC28">
        <f t="array" ref="JAC28">_xlfn.XLOOKUP(JAC$11,Assumptions!$B$35:$H$35,_xlfn.XLOOKUP($C28,Assumptions!$B$36:$B$41,Assumptions!$B$36:$H$41))</f>
        <v>0</v>
      </c>
      <c r="JAD28">
        <f t="array" ref="JAD28">_xlfn.XLOOKUP(JAD$11,Assumptions!$B$35:$H$35,_xlfn.XLOOKUP($C28,Assumptions!$B$36:$B$41,Assumptions!$B$36:$H$41))</f>
        <v>0</v>
      </c>
      <c r="JAE28">
        <f t="array" ref="JAE28">_xlfn.XLOOKUP(JAE$11,Assumptions!$B$35:$H$35,_xlfn.XLOOKUP($C28,Assumptions!$B$36:$B$41,Assumptions!$B$36:$H$41))</f>
        <v>0</v>
      </c>
      <c r="JAF28">
        <f t="array" ref="JAF28">_xlfn.XLOOKUP(JAF$11,Assumptions!$B$35:$H$35,_xlfn.XLOOKUP($C28,Assumptions!$B$36:$B$41,Assumptions!$B$36:$H$41))</f>
        <v>0</v>
      </c>
      <c r="JAG28">
        <f t="array" ref="JAG28">_xlfn.XLOOKUP(JAG$11,Assumptions!$B$35:$H$35,_xlfn.XLOOKUP($C28,Assumptions!$B$36:$B$41,Assumptions!$B$36:$H$41))</f>
        <v>0</v>
      </c>
      <c r="JAH28">
        <f t="array" ref="JAH28">_xlfn.XLOOKUP(JAH$11,Assumptions!$B$35:$H$35,_xlfn.XLOOKUP($C28,Assumptions!$B$36:$B$41,Assumptions!$B$36:$H$41))</f>
        <v>0</v>
      </c>
      <c r="JAI28">
        <f t="array" ref="JAI28">_xlfn.XLOOKUP(JAI$11,Assumptions!$B$35:$H$35,_xlfn.XLOOKUP($C28,Assumptions!$B$36:$B$41,Assumptions!$B$36:$H$41))</f>
        <v>0</v>
      </c>
      <c r="JAJ28">
        <f t="array" ref="JAJ28">_xlfn.XLOOKUP(JAJ$11,Assumptions!$B$35:$H$35,_xlfn.XLOOKUP($C28,Assumptions!$B$36:$B$41,Assumptions!$B$36:$H$41))</f>
        <v>0</v>
      </c>
      <c r="JAK28">
        <f t="array" ref="JAK28">_xlfn.XLOOKUP(JAK$11,Assumptions!$B$35:$H$35,_xlfn.XLOOKUP($C28,Assumptions!$B$36:$B$41,Assumptions!$B$36:$H$41))</f>
        <v>0</v>
      </c>
      <c r="JAL28">
        <f t="array" ref="JAL28">_xlfn.XLOOKUP(JAL$11,Assumptions!$B$35:$H$35,_xlfn.XLOOKUP($C28,Assumptions!$B$36:$B$41,Assumptions!$B$36:$H$41))</f>
        <v>0</v>
      </c>
      <c r="JAM28">
        <f t="array" ref="JAM28">_xlfn.XLOOKUP(JAM$11,Assumptions!$B$35:$H$35,_xlfn.XLOOKUP($C28,Assumptions!$B$36:$B$41,Assumptions!$B$36:$H$41))</f>
        <v>0</v>
      </c>
      <c r="JAN28">
        <f t="array" ref="JAN28">_xlfn.XLOOKUP(JAN$11,Assumptions!$B$35:$H$35,_xlfn.XLOOKUP($C28,Assumptions!$B$36:$B$41,Assumptions!$B$36:$H$41))</f>
        <v>0</v>
      </c>
      <c r="JAO28">
        <f t="array" ref="JAO28">_xlfn.XLOOKUP(JAO$11,Assumptions!$B$35:$H$35,_xlfn.XLOOKUP($C28,Assumptions!$B$36:$B$41,Assumptions!$B$36:$H$41))</f>
        <v>0</v>
      </c>
      <c r="JAP28">
        <f t="array" ref="JAP28">_xlfn.XLOOKUP(JAP$11,Assumptions!$B$35:$H$35,_xlfn.XLOOKUP($C28,Assumptions!$B$36:$B$41,Assumptions!$B$36:$H$41))</f>
        <v>0</v>
      </c>
      <c r="JAQ28">
        <f t="array" ref="JAQ28">_xlfn.XLOOKUP(JAQ$11,Assumptions!$B$35:$H$35,_xlfn.XLOOKUP($C28,Assumptions!$B$36:$B$41,Assumptions!$B$36:$H$41))</f>
        <v>0</v>
      </c>
      <c r="JAR28">
        <f t="array" ref="JAR28">_xlfn.XLOOKUP(JAR$11,Assumptions!$B$35:$H$35,_xlfn.XLOOKUP($C28,Assumptions!$B$36:$B$41,Assumptions!$B$36:$H$41))</f>
        <v>0</v>
      </c>
      <c r="JAS28">
        <f t="array" ref="JAS28">_xlfn.XLOOKUP(JAS$11,Assumptions!$B$35:$H$35,_xlfn.XLOOKUP($C28,Assumptions!$B$36:$B$41,Assumptions!$B$36:$H$41))</f>
        <v>0</v>
      </c>
      <c r="JAT28">
        <f t="array" ref="JAT28">_xlfn.XLOOKUP(JAT$11,Assumptions!$B$35:$H$35,_xlfn.XLOOKUP($C28,Assumptions!$B$36:$B$41,Assumptions!$B$36:$H$41))</f>
        <v>0</v>
      </c>
      <c r="JAU28">
        <f t="array" ref="JAU28">_xlfn.XLOOKUP(JAU$11,Assumptions!$B$35:$H$35,_xlfn.XLOOKUP($C28,Assumptions!$B$36:$B$41,Assumptions!$B$36:$H$41))</f>
        <v>0</v>
      </c>
      <c r="JAV28">
        <f t="array" ref="JAV28">_xlfn.XLOOKUP(JAV$11,Assumptions!$B$35:$H$35,_xlfn.XLOOKUP($C28,Assumptions!$B$36:$B$41,Assumptions!$B$36:$H$41))</f>
        <v>0</v>
      </c>
      <c r="JAW28">
        <f t="array" ref="JAW28">_xlfn.XLOOKUP(JAW$11,Assumptions!$B$35:$H$35,_xlfn.XLOOKUP($C28,Assumptions!$B$36:$B$41,Assumptions!$B$36:$H$41))</f>
        <v>0</v>
      </c>
      <c r="JAX28">
        <f t="array" ref="JAX28">_xlfn.XLOOKUP(JAX$11,Assumptions!$B$35:$H$35,_xlfn.XLOOKUP($C28,Assumptions!$B$36:$B$41,Assumptions!$B$36:$H$41))</f>
        <v>0</v>
      </c>
      <c r="JAY28">
        <f t="array" ref="JAY28">_xlfn.XLOOKUP(JAY$11,Assumptions!$B$35:$H$35,_xlfn.XLOOKUP($C28,Assumptions!$B$36:$B$41,Assumptions!$B$36:$H$41))</f>
        <v>0</v>
      </c>
      <c r="JAZ28">
        <f t="array" ref="JAZ28">_xlfn.XLOOKUP(JAZ$11,Assumptions!$B$35:$H$35,_xlfn.XLOOKUP($C28,Assumptions!$B$36:$B$41,Assumptions!$B$36:$H$41))</f>
        <v>0</v>
      </c>
      <c r="JBA28">
        <f t="array" ref="JBA28">_xlfn.XLOOKUP(JBA$11,Assumptions!$B$35:$H$35,_xlfn.XLOOKUP($C28,Assumptions!$B$36:$B$41,Assumptions!$B$36:$H$41))</f>
        <v>0</v>
      </c>
      <c r="JBB28">
        <f t="array" ref="JBB28">_xlfn.XLOOKUP(JBB$11,Assumptions!$B$35:$H$35,_xlfn.XLOOKUP($C28,Assumptions!$B$36:$B$41,Assumptions!$B$36:$H$41))</f>
        <v>0</v>
      </c>
      <c r="JBC28">
        <f t="array" ref="JBC28">_xlfn.XLOOKUP(JBC$11,Assumptions!$B$35:$H$35,_xlfn.XLOOKUP($C28,Assumptions!$B$36:$B$41,Assumptions!$B$36:$H$41))</f>
        <v>0</v>
      </c>
      <c r="JBD28">
        <f t="array" ref="JBD28">_xlfn.XLOOKUP(JBD$11,Assumptions!$B$35:$H$35,_xlfn.XLOOKUP($C28,Assumptions!$B$36:$B$41,Assumptions!$B$36:$H$41))</f>
        <v>0</v>
      </c>
      <c r="JBE28">
        <f t="array" ref="JBE28">_xlfn.XLOOKUP(JBE$11,Assumptions!$B$35:$H$35,_xlfn.XLOOKUP($C28,Assumptions!$B$36:$B$41,Assumptions!$B$36:$H$41))</f>
        <v>0</v>
      </c>
      <c r="JBF28">
        <f t="array" ref="JBF28">_xlfn.XLOOKUP(JBF$11,Assumptions!$B$35:$H$35,_xlfn.XLOOKUP($C28,Assumptions!$B$36:$B$41,Assumptions!$B$36:$H$41))</f>
        <v>0</v>
      </c>
      <c r="JBG28">
        <f t="array" ref="JBG28">_xlfn.XLOOKUP(JBG$11,Assumptions!$B$35:$H$35,_xlfn.XLOOKUP($C28,Assumptions!$B$36:$B$41,Assumptions!$B$36:$H$41))</f>
        <v>0</v>
      </c>
      <c r="JBH28">
        <f t="array" ref="JBH28">_xlfn.XLOOKUP(JBH$11,Assumptions!$B$35:$H$35,_xlfn.XLOOKUP($C28,Assumptions!$B$36:$B$41,Assumptions!$B$36:$H$41))</f>
        <v>0</v>
      </c>
      <c r="JBI28">
        <f t="array" ref="JBI28">_xlfn.XLOOKUP(JBI$11,Assumptions!$B$35:$H$35,_xlfn.XLOOKUP($C28,Assumptions!$B$36:$B$41,Assumptions!$B$36:$H$41))</f>
        <v>0</v>
      </c>
      <c r="JBJ28">
        <f t="array" ref="JBJ28">_xlfn.XLOOKUP(JBJ$11,Assumptions!$B$35:$H$35,_xlfn.XLOOKUP($C28,Assumptions!$B$36:$B$41,Assumptions!$B$36:$H$41))</f>
        <v>0</v>
      </c>
      <c r="JBK28">
        <f t="array" ref="JBK28">_xlfn.XLOOKUP(JBK$11,Assumptions!$B$35:$H$35,_xlfn.XLOOKUP($C28,Assumptions!$B$36:$B$41,Assumptions!$B$36:$H$41))</f>
        <v>0</v>
      </c>
      <c r="JBL28">
        <f t="array" ref="JBL28">_xlfn.XLOOKUP(JBL$11,Assumptions!$B$35:$H$35,_xlfn.XLOOKUP($C28,Assumptions!$B$36:$B$41,Assumptions!$B$36:$H$41))</f>
        <v>0</v>
      </c>
      <c r="JBM28">
        <f t="array" ref="JBM28">_xlfn.XLOOKUP(JBM$11,Assumptions!$B$35:$H$35,_xlfn.XLOOKUP($C28,Assumptions!$B$36:$B$41,Assumptions!$B$36:$H$41))</f>
        <v>0</v>
      </c>
      <c r="JBN28">
        <f t="array" ref="JBN28">_xlfn.XLOOKUP(JBN$11,Assumptions!$B$35:$H$35,_xlfn.XLOOKUP($C28,Assumptions!$B$36:$B$41,Assumptions!$B$36:$H$41))</f>
        <v>0</v>
      </c>
      <c r="JBO28">
        <f t="array" ref="JBO28">_xlfn.XLOOKUP(JBO$11,Assumptions!$B$35:$H$35,_xlfn.XLOOKUP($C28,Assumptions!$B$36:$B$41,Assumptions!$B$36:$H$41))</f>
        <v>0</v>
      </c>
      <c r="JBP28">
        <f t="array" ref="JBP28">_xlfn.XLOOKUP(JBP$11,Assumptions!$B$35:$H$35,_xlfn.XLOOKUP($C28,Assumptions!$B$36:$B$41,Assumptions!$B$36:$H$41))</f>
        <v>0</v>
      </c>
      <c r="JBQ28">
        <f t="array" ref="JBQ28">_xlfn.XLOOKUP(JBQ$11,Assumptions!$B$35:$H$35,_xlfn.XLOOKUP($C28,Assumptions!$B$36:$B$41,Assumptions!$B$36:$H$41))</f>
        <v>0</v>
      </c>
      <c r="JBR28">
        <f t="array" ref="JBR28">_xlfn.XLOOKUP(JBR$11,Assumptions!$B$35:$H$35,_xlfn.XLOOKUP($C28,Assumptions!$B$36:$B$41,Assumptions!$B$36:$H$41))</f>
        <v>0</v>
      </c>
      <c r="JBS28">
        <f t="array" ref="JBS28">_xlfn.XLOOKUP(JBS$11,Assumptions!$B$35:$H$35,_xlfn.XLOOKUP($C28,Assumptions!$B$36:$B$41,Assumptions!$B$36:$H$41))</f>
        <v>0</v>
      </c>
      <c r="JBT28">
        <f t="array" ref="JBT28">_xlfn.XLOOKUP(JBT$11,Assumptions!$B$35:$H$35,_xlfn.XLOOKUP($C28,Assumptions!$B$36:$B$41,Assumptions!$B$36:$H$41))</f>
        <v>0</v>
      </c>
      <c r="JBU28">
        <f t="array" ref="JBU28">_xlfn.XLOOKUP(JBU$11,Assumptions!$B$35:$H$35,_xlfn.XLOOKUP($C28,Assumptions!$B$36:$B$41,Assumptions!$B$36:$H$41))</f>
        <v>0</v>
      </c>
      <c r="JBV28">
        <f t="array" ref="JBV28">_xlfn.XLOOKUP(JBV$11,Assumptions!$B$35:$H$35,_xlfn.XLOOKUP($C28,Assumptions!$B$36:$B$41,Assumptions!$B$36:$H$41))</f>
        <v>0</v>
      </c>
      <c r="JBW28">
        <f t="array" ref="JBW28">_xlfn.XLOOKUP(JBW$11,Assumptions!$B$35:$H$35,_xlfn.XLOOKUP($C28,Assumptions!$B$36:$B$41,Assumptions!$B$36:$H$41))</f>
        <v>0</v>
      </c>
      <c r="JBX28">
        <f t="array" ref="JBX28">_xlfn.XLOOKUP(JBX$11,Assumptions!$B$35:$H$35,_xlfn.XLOOKUP($C28,Assumptions!$B$36:$B$41,Assumptions!$B$36:$H$41))</f>
        <v>0</v>
      </c>
      <c r="JBY28">
        <f t="array" ref="JBY28">_xlfn.XLOOKUP(JBY$11,Assumptions!$B$35:$H$35,_xlfn.XLOOKUP($C28,Assumptions!$B$36:$B$41,Assumptions!$B$36:$H$41))</f>
        <v>0</v>
      </c>
      <c r="JBZ28">
        <f t="array" ref="JBZ28">_xlfn.XLOOKUP(JBZ$11,Assumptions!$B$35:$H$35,_xlfn.XLOOKUP($C28,Assumptions!$B$36:$B$41,Assumptions!$B$36:$H$41))</f>
        <v>0</v>
      </c>
      <c r="JCA28">
        <f t="array" ref="JCA28">_xlfn.XLOOKUP(JCA$11,Assumptions!$B$35:$H$35,_xlfn.XLOOKUP($C28,Assumptions!$B$36:$B$41,Assumptions!$B$36:$H$41))</f>
        <v>0</v>
      </c>
      <c r="JCB28">
        <f t="array" ref="JCB28">_xlfn.XLOOKUP(JCB$11,Assumptions!$B$35:$H$35,_xlfn.XLOOKUP($C28,Assumptions!$B$36:$B$41,Assumptions!$B$36:$H$41))</f>
        <v>0</v>
      </c>
      <c r="JCC28">
        <f t="array" ref="JCC28">_xlfn.XLOOKUP(JCC$11,Assumptions!$B$35:$H$35,_xlfn.XLOOKUP($C28,Assumptions!$B$36:$B$41,Assumptions!$B$36:$H$41))</f>
        <v>0</v>
      </c>
      <c r="JCD28">
        <f t="array" ref="JCD28">_xlfn.XLOOKUP(JCD$11,Assumptions!$B$35:$H$35,_xlfn.XLOOKUP($C28,Assumptions!$B$36:$B$41,Assumptions!$B$36:$H$41))</f>
        <v>0</v>
      </c>
      <c r="JCE28">
        <f t="array" ref="JCE28">_xlfn.XLOOKUP(JCE$11,Assumptions!$B$35:$H$35,_xlfn.XLOOKUP($C28,Assumptions!$B$36:$B$41,Assumptions!$B$36:$H$41))</f>
        <v>0</v>
      </c>
      <c r="JCF28">
        <f t="array" ref="JCF28">_xlfn.XLOOKUP(JCF$11,Assumptions!$B$35:$H$35,_xlfn.XLOOKUP($C28,Assumptions!$B$36:$B$41,Assumptions!$B$36:$H$41))</f>
        <v>0</v>
      </c>
      <c r="JCG28">
        <f t="array" ref="JCG28">_xlfn.XLOOKUP(JCG$11,Assumptions!$B$35:$H$35,_xlfn.XLOOKUP($C28,Assumptions!$B$36:$B$41,Assumptions!$B$36:$H$41))</f>
        <v>0</v>
      </c>
      <c r="JCH28">
        <f t="array" ref="JCH28">_xlfn.XLOOKUP(JCH$11,Assumptions!$B$35:$H$35,_xlfn.XLOOKUP($C28,Assumptions!$B$36:$B$41,Assumptions!$B$36:$H$41))</f>
        <v>0</v>
      </c>
      <c r="JCI28">
        <f t="array" ref="JCI28">_xlfn.XLOOKUP(JCI$11,Assumptions!$B$35:$H$35,_xlfn.XLOOKUP($C28,Assumptions!$B$36:$B$41,Assumptions!$B$36:$H$41))</f>
        <v>0</v>
      </c>
      <c r="JCJ28">
        <f t="array" ref="JCJ28">_xlfn.XLOOKUP(JCJ$11,Assumptions!$B$35:$H$35,_xlfn.XLOOKUP($C28,Assumptions!$B$36:$B$41,Assumptions!$B$36:$H$41))</f>
        <v>0</v>
      </c>
      <c r="JCK28">
        <f t="array" ref="JCK28">_xlfn.XLOOKUP(JCK$11,Assumptions!$B$35:$H$35,_xlfn.XLOOKUP($C28,Assumptions!$B$36:$B$41,Assumptions!$B$36:$H$41))</f>
        <v>0</v>
      </c>
      <c r="JCL28">
        <f t="array" ref="JCL28">_xlfn.XLOOKUP(JCL$11,Assumptions!$B$35:$H$35,_xlfn.XLOOKUP($C28,Assumptions!$B$36:$B$41,Assumptions!$B$36:$H$41))</f>
        <v>0</v>
      </c>
      <c r="JCM28">
        <f t="array" ref="JCM28">_xlfn.XLOOKUP(JCM$11,Assumptions!$B$35:$H$35,_xlfn.XLOOKUP($C28,Assumptions!$B$36:$B$41,Assumptions!$B$36:$H$41))</f>
        <v>0</v>
      </c>
      <c r="JCN28">
        <f t="array" ref="JCN28">_xlfn.XLOOKUP(JCN$11,Assumptions!$B$35:$H$35,_xlfn.XLOOKUP($C28,Assumptions!$B$36:$B$41,Assumptions!$B$36:$H$41))</f>
        <v>0</v>
      </c>
      <c r="JCO28">
        <f t="array" ref="JCO28">_xlfn.XLOOKUP(JCO$11,Assumptions!$B$35:$H$35,_xlfn.XLOOKUP($C28,Assumptions!$B$36:$B$41,Assumptions!$B$36:$H$41))</f>
        <v>0</v>
      </c>
      <c r="JCP28">
        <f t="array" ref="JCP28">_xlfn.XLOOKUP(JCP$11,Assumptions!$B$35:$H$35,_xlfn.XLOOKUP($C28,Assumptions!$B$36:$B$41,Assumptions!$B$36:$H$41))</f>
        <v>0</v>
      </c>
      <c r="JCQ28">
        <f t="array" ref="JCQ28">_xlfn.XLOOKUP(JCQ$11,Assumptions!$B$35:$H$35,_xlfn.XLOOKUP($C28,Assumptions!$B$36:$B$41,Assumptions!$B$36:$H$41))</f>
        <v>0</v>
      </c>
      <c r="JCR28">
        <f t="array" ref="JCR28">_xlfn.XLOOKUP(JCR$11,Assumptions!$B$35:$H$35,_xlfn.XLOOKUP($C28,Assumptions!$B$36:$B$41,Assumptions!$B$36:$H$41))</f>
        <v>0</v>
      </c>
      <c r="JCS28">
        <f t="array" ref="JCS28">_xlfn.XLOOKUP(JCS$11,Assumptions!$B$35:$H$35,_xlfn.XLOOKUP($C28,Assumptions!$B$36:$B$41,Assumptions!$B$36:$H$41))</f>
        <v>0</v>
      </c>
      <c r="JCT28">
        <f t="array" ref="JCT28">_xlfn.XLOOKUP(JCT$11,Assumptions!$B$35:$H$35,_xlfn.XLOOKUP($C28,Assumptions!$B$36:$B$41,Assumptions!$B$36:$H$41))</f>
        <v>0</v>
      </c>
      <c r="JCU28">
        <f t="array" ref="JCU28">_xlfn.XLOOKUP(JCU$11,Assumptions!$B$35:$H$35,_xlfn.XLOOKUP($C28,Assumptions!$B$36:$B$41,Assumptions!$B$36:$H$41))</f>
        <v>0</v>
      </c>
      <c r="JCV28">
        <f t="array" ref="JCV28">_xlfn.XLOOKUP(JCV$11,Assumptions!$B$35:$H$35,_xlfn.XLOOKUP($C28,Assumptions!$B$36:$B$41,Assumptions!$B$36:$H$41))</f>
        <v>0</v>
      </c>
      <c r="JCW28">
        <f t="array" ref="JCW28">_xlfn.XLOOKUP(JCW$11,Assumptions!$B$35:$H$35,_xlfn.XLOOKUP($C28,Assumptions!$B$36:$B$41,Assumptions!$B$36:$H$41))</f>
        <v>0</v>
      </c>
      <c r="JCX28">
        <f t="array" ref="JCX28">_xlfn.XLOOKUP(JCX$11,Assumptions!$B$35:$H$35,_xlfn.XLOOKUP($C28,Assumptions!$B$36:$B$41,Assumptions!$B$36:$H$41))</f>
        <v>0</v>
      </c>
      <c r="JCY28">
        <f t="array" ref="JCY28">_xlfn.XLOOKUP(JCY$11,Assumptions!$B$35:$H$35,_xlfn.XLOOKUP($C28,Assumptions!$B$36:$B$41,Assumptions!$B$36:$H$41))</f>
        <v>0</v>
      </c>
      <c r="JCZ28">
        <f t="array" ref="JCZ28">_xlfn.XLOOKUP(JCZ$11,Assumptions!$B$35:$H$35,_xlfn.XLOOKUP($C28,Assumptions!$B$36:$B$41,Assumptions!$B$36:$H$41))</f>
        <v>0</v>
      </c>
      <c r="JDA28">
        <f t="array" ref="JDA28">_xlfn.XLOOKUP(JDA$11,Assumptions!$B$35:$H$35,_xlfn.XLOOKUP($C28,Assumptions!$B$36:$B$41,Assumptions!$B$36:$H$41))</f>
        <v>0</v>
      </c>
      <c r="JDB28">
        <f t="array" ref="JDB28">_xlfn.XLOOKUP(JDB$11,Assumptions!$B$35:$H$35,_xlfn.XLOOKUP($C28,Assumptions!$B$36:$B$41,Assumptions!$B$36:$H$41))</f>
        <v>0</v>
      </c>
      <c r="JDC28">
        <f t="array" ref="JDC28">_xlfn.XLOOKUP(JDC$11,Assumptions!$B$35:$H$35,_xlfn.XLOOKUP($C28,Assumptions!$B$36:$B$41,Assumptions!$B$36:$H$41))</f>
        <v>0</v>
      </c>
      <c r="JDD28">
        <f t="array" ref="JDD28">_xlfn.XLOOKUP(JDD$11,Assumptions!$B$35:$H$35,_xlfn.XLOOKUP($C28,Assumptions!$B$36:$B$41,Assumptions!$B$36:$H$41))</f>
        <v>0</v>
      </c>
      <c r="JDE28">
        <f t="array" ref="JDE28">_xlfn.XLOOKUP(JDE$11,Assumptions!$B$35:$H$35,_xlfn.XLOOKUP($C28,Assumptions!$B$36:$B$41,Assumptions!$B$36:$H$41))</f>
        <v>0</v>
      </c>
      <c r="JDF28">
        <f t="array" ref="JDF28">_xlfn.XLOOKUP(JDF$11,Assumptions!$B$35:$H$35,_xlfn.XLOOKUP($C28,Assumptions!$B$36:$B$41,Assumptions!$B$36:$H$41))</f>
        <v>0</v>
      </c>
      <c r="JDG28">
        <f t="array" ref="JDG28">_xlfn.XLOOKUP(JDG$11,Assumptions!$B$35:$H$35,_xlfn.XLOOKUP($C28,Assumptions!$B$36:$B$41,Assumptions!$B$36:$H$41))</f>
        <v>0</v>
      </c>
      <c r="JDH28">
        <f t="array" ref="JDH28">_xlfn.XLOOKUP(JDH$11,Assumptions!$B$35:$H$35,_xlfn.XLOOKUP($C28,Assumptions!$B$36:$B$41,Assumptions!$B$36:$H$41))</f>
        <v>0</v>
      </c>
      <c r="JDI28">
        <f t="array" ref="JDI28">_xlfn.XLOOKUP(JDI$11,Assumptions!$B$35:$H$35,_xlfn.XLOOKUP($C28,Assumptions!$B$36:$B$41,Assumptions!$B$36:$H$41))</f>
        <v>0</v>
      </c>
      <c r="JDJ28">
        <f t="array" ref="JDJ28">_xlfn.XLOOKUP(JDJ$11,Assumptions!$B$35:$H$35,_xlfn.XLOOKUP($C28,Assumptions!$B$36:$B$41,Assumptions!$B$36:$H$41))</f>
        <v>0</v>
      </c>
      <c r="JDK28">
        <f t="array" ref="JDK28">_xlfn.XLOOKUP(JDK$11,Assumptions!$B$35:$H$35,_xlfn.XLOOKUP($C28,Assumptions!$B$36:$B$41,Assumptions!$B$36:$H$41))</f>
        <v>0</v>
      </c>
      <c r="JDL28">
        <f t="array" ref="JDL28">_xlfn.XLOOKUP(JDL$11,Assumptions!$B$35:$H$35,_xlfn.XLOOKUP($C28,Assumptions!$B$36:$B$41,Assumptions!$B$36:$H$41))</f>
        <v>0</v>
      </c>
      <c r="JDM28">
        <f t="array" ref="JDM28">_xlfn.XLOOKUP(JDM$11,Assumptions!$B$35:$H$35,_xlfn.XLOOKUP($C28,Assumptions!$B$36:$B$41,Assumptions!$B$36:$H$41))</f>
        <v>0</v>
      </c>
      <c r="JDN28">
        <f t="array" ref="JDN28">_xlfn.XLOOKUP(JDN$11,Assumptions!$B$35:$H$35,_xlfn.XLOOKUP($C28,Assumptions!$B$36:$B$41,Assumptions!$B$36:$H$41))</f>
        <v>0</v>
      </c>
      <c r="JDO28">
        <f t="array" ref="JDO28">_xlfn.XLOOKUP(JDO$11,Assumptions!$B$35:$H$35,_xlfn.XLOOKUP($C28,Assumptions!$B$36:$B$41,Assumptions!$B$36:$H$41))</f>
        <v>0</v>
      </c>
      <c r="JDP28">
        <f t="array" ref="JDP28">_xlfn.XLOOKUP(JDP$11,Assumptions!$B$35:$H$35,_xlfn.XLOOKUP($C28,Assumptions!$B$36:$B$41,Assumptions!$B$36:$H$41))</f>
        <v>0</v>
      </c>
      <c r="JDQ28">
        <f t="array" ref="JDQ28">_xlfn.XLOOKUP(JDQ$11,Assumptions!$B$35:$H$35,_xlfn.XLOOKUP($C28,Assumptions!$B$36:$B$41,Assumptions!$B$36:$H$41))</f>
        <v>0</v>
      </c>
      <c r="JDR28">
        <f t="array" ref="JDR28">_xlfn.XLOOKUP(JDR$11,Assumptions!$B$35:$H$35,_xlfn.XLOOKUP($C28,Assumptions!$B$36:$B$41,Assumptions!$B$36:$H$41))</f>
        <v>0</v>
      </c>
      <c r="JDS28">
        <f t="array" ref="JDS28">_xlfn.XLOOKUP(JDS$11,Assumptions!$B$35:$H$35,_xlfn.XLOOKUP($C28,Assumptions!$B$36:$B$41,Assumptions!$B$36:$H$41))</f>
        <v>0</v>
      </c>
      <c r="JDT28">
        <f t="array" ref="JDT28">_xlfn.XLOOKUP(JDT$11,Assumptions!$B$35:$H$35,_xlfn.XLOOKUP($C28,Assumptions!$B$36:$B$41,Assumptions!$B$36:$H$41))</f>
        <v>0</v>
      </c>
      <c r="JDU28">
        <f t="array" ref="JDU28">_xlfn.XLOOKUP(JDU$11,Assumptions!$B$35:$H$35,_xlfn.XLOOKUP($C28,Assumptions!$B$36:$B$41,Assumptions!$B$36:$H$41))</f>
        <v>0</v>
      </c>
      <c r="JDV28">
        <f t="array" ref="JDV28">_xlfn.XLOOKUP(JDV$11,Assumptions!$B$35:$H$35,_xlfn.XLOOKUP($C28,Assumptions!$B$36:$B$41,Assumptions!$B$36:$H$41))</f>
        <v>0</v>
      </c>
      <c r="JDW28">
        <f t="array" ref="JDW28">_xlfn.XLOOKUP(JDW$11,Assumptions!$B$35:$H$35,_xlfn.XLOOKUP($C28,Assumptions!$B$36:$B$41,Assumptions!$B$36:$H$41))</f>
        <v>0</v>
      </c>
      <c r="JDX28">
        <f t="array" ref="JDX28">_xlfn.XLOOKUP(JDX$11,Assumptions!$B$35:$H$35,_xlfn.XLOOKUP($C28,Assumptions!$B$36:$B$41,Assumptions!$B$36:$H$41))</f>
        <v>0</v>
      </c>
      <c r="JDY28">
        <f t="array" ref="JDY28">_xlfn.XLOOKUP(JDY$11,Assumptions!$B$35:$H$35,_xlfn.XLOOKUP($C28,Assumptions!$B$36:$B$41,Assumptions!$B$36:$H$41))</f>
        <v>0</v>
      </c>
      <c r="JDZ28">
        <f t="array" ref="JDZ28">_xlfn.XLOOKUP(JDZ$11,Assumptions!$B$35:$H$35,_xlfn.XLOOKUP($C28,Assumptions!$B$36:$B$41,Assumptions!$B$36:$H$41))</f>
        <v>0</v>
      </c>
      <c r="JEA28">
        <f t="array" ref="JEA28">_xlfn.XLOOKUP(JEA$11,Assumptions!$B$35:$H$35,_xlfn.XLOOKUP($C28,Assumptions!$B$36:$B$41,Assumptions!$B$36:$H$41))</f>
        <v>0</v>
      </c>
      <c r="JEB28">
        <f t="array" ref="JEB28">_xlfn.XLOOKUP(JEB$11,Assumptions!$B$35:$H$35,_xlfn.XLOOKUP($C28,Assumptions!$B$36:$B$41,Assumptions!$B$36:$H$41))</f>
        <v>0</v>
      </c>
      <c r="JEC28">
        <f t="array" ref="JEC28">_xlfn.XLOOKUP(JEC$11,Assumptions!$B$35:$H$35,_xlfn.XLOOKUP($C28,Assumptions!$B$36:$B$41,Assumptions!$B$36:$H$41))</f>
        <v>0</v>
      </c>
      <c r="JED28">
        <f t="array" ref="JED28">_xlfn.XLOOKUP(JED$11,Assumptions!$B$35:$H$35,_xlfn.XLOOKUP($C28,Assumptions!$B$36:$B$41,Assumptions!$B$36:$H$41))</f>
        <v>0</v>
      </c>
      <c r="JEE28">
        <f t="array" ref="JEE28">_xlfn.XLOOKUP(JEE$11,Assumptions!$B$35:$H$35,_xlfn.XLOOKUP($C28,Assumptions!$B$36:$B$41,Assumptions!$B$36:$H$41))</f>
        <v>0</v>
      </c>
      <c r="JEF28">
        <f t="array" ref="JEF28">_xlfn.XLOOKUP(JEF$11,Assumptions!$B$35:$H$35,_xlfn.XLOOKUP($C28,Assumptions!$B$36:$B$41,Assumptions!$B$36:$H$41))</f>
        <v>0</v>
      </c>
      <c r="JEG28">
        <f t="array" ref="JEG28">_xlfn.XLOOKUP(JEG$11,Assumptions!$B$35:$H$35,_xlfn.XLOOKUP($C28,Assumptions!$B$36:$B$41,Assumptions!$B$36:$H$41))</f>
        <v>0</v>
      </c>
      <c r="JEH28">
        <f t="array" ref="JEH28">_xlfn.XLOOKUP(JEH$11,Assumptions!$B$35:$H$35,_xlfn.XLOOKUP($C28,Assumptions!$B$36:$B$41,Assumptions!$B$36:$H$41))</f>
        <v>0</v>
      </c>
      <c r="JEI28">
        <f t="array" ref="JEI28">_xlfn.XLOOKUP(JEI$11,Assumptions!$B$35:$H$35,_xlfn.XLOOKUP($C28,Assumptions!$B$36:$B$41,Assumptions!$B$36:$H$41))</f>
        <v>0</v>
      </c>
      <c r="JEJ28">
        <f t="array" ref="JEJ28">_xlfn.XLOOKUP(JEJ$11,Assumptions!$B$35:$H$35,_xlfn.XLOOKUP($C28,Assumptions!$B$36:$B$41,Assumptions!$B$36:$H$41))</f>
        <v>0</v>
      </c>
      <c r="JEK28">
        <f t="array" ref="JEK28">_xlfn.XLOOKUP(JEK$11,Assumptions!$B$35:$H$35,_xlfn.XLOOKUP($C28,Assumptions!$B$36:$B$41,Assumptions!$B$36:$H$41))</f>
        <v>0</v>
      </c>
      <c r="JEL28">
        <f t="array" ref="JEL28">_xlfn.XLOOKUP(JEL$11,Assumptions!$B$35:$H$35,_xlfn.XLOOKUP($C28,Assumptions!$B$36:$B$41,Assumptions!$B$36:$H$41))</f>
        <v>0</v>
      </c>
      <c r="JEM28">
        <f t="array" ref="JEM28">_xlfn.XLOOKUP(JEM$11,Assumptions!$B$35:$H$35,_xlfn.XLOOKUP($C28,Assumptions!$B$36:$B$41,Assumptions!$B$36:$H$41))</f>
        <v>0</v>
      </c>
      <c r="JEN28">
        <f t="array" ref="JEN28">_xlfn.XLOOKUP(JEN$11,Assumptions!$B$35:$H$35,_xlfn.XLOOKUP($C28,Assumptions!$B$36:$B$41,Assumptions!$B$36:$H$41))</f>
        <v>0</v>
      </c>
      <c r="JEO28">
        <f t="array" ref="JEO28">_xlfn.XLOOKUP(JEO$11,Assumptions!$B$35:$H$35,_xlfn.XLOOKUP($C28,Assumptions!$B$36:$B$41,Assumptions!$B$36:$H$41))</f>
        <v>0</v>
      </c>
      <c r="JEP28">
        <f t="array" ref="JEP28">_xlfn.XLOOKUP(JEP$11,Assumptions!$B$35:$H$35,_xlfn.XLOOKUP($C28,Assumptions!$B$36:$B$41,Assumptions!$B$36:$H$41))</f>
        <v>0</v>
      </c>
      <c r="JEQ28">
        <f t="array" ref="JEQ28">_xlfn.XLOOKUP(JEQ$11,Assumptions!$B$35:$H$35,_xlfn.XLOOKUP($C28,Assumptions!$B$36:$B$41,Assumptions!$B$36:$H$41))</f>
        <v>0</v>
      </c>
      <c r="JER28">
        <f t="array" ref="JER28">_xlfn.XLOOKUP(JER$11,Assumptions!$B$35:$H$35,_xlfn.XLOOKUP($C28,Assumptions!$B$36:$B$41,Assumptions!$B$36:$H$41))</f>
        <v>0</v>
      </c>
      <c r="JES28">
        <f t="array" ref="JES28">_xlfn.XLOOKUP(JES$11,Assumptions!$B$35:$H$35,_xlfn.XLOOKUP($C28,Assumptions!$B$36:$B$41,Assumptions!$B$36:$H$41))</f>
        <v>0</v>
      </c>
      <c r="JET28">
        <f t="array" ref="JET28">_xlfn.XLOOKUP(JET$11,Assumptions!$B$35:$H$35,_xlfn.XLOOKUP($C28,Assumptions!$B$36:$B$41,Assumptions!$B$36:$H$41))</f>
        <v>0</v>
      </c>
      <c r="JEU28">
        <f t="array" ref="JEU28">_xlfn.XLOOKUP(JEU$11,Assumptions!$B$35:$H$35,_xlfn.XLOOKUP($C28,Assumptions!$B$36:$B$41,Assumptions!$B$36:$H$41))</f>
        <v>0</v>
      </c>
      <c r="JEV28">
        <f t="array" ref="JEV28">_xlfn.XLOOKUP(JEV$11,Assumptions!$B$35:$H$35,_xlfn.XLOOKUP($C28,Assumptions!$B$36:$B$41,Assumptions!$B$36:$H$41))</f>
        <v>0</v>
      </c>
      <c r="JEW28">
        <f t="array" ref="JEW28">_xlfn.XLOOKUP(JEW$11,Assumptions!$B$35:$H$35,_xlfn.XLOOKUP($C28,Assumptions!$B$36:$B$41,Assumptions!$B$36:$H$41))</f>
        <v>0</v>
      </c>
      <c r="JEX28">
        <f t="array" ref="JEX28">_xlfn.XLOOKUP(JEX$11,Assumptions!$B$35:$H$35,_xlfn.XLOOKUP($C28,Assumptions!$B$36:$B$41,Assumptions!$B$36:$H$41))</f>
        <v>0</v>
      </c>
      <c r="JEY28">
        <f t="array" ref="JEY28">_xlfn.XLOOKUP(JEY$11,Assumptions!$B$35:$H$35,_xlfn.XLOOKUP($C28,Assumptions!$B$36:$B$41,Assumptions!$B$36:$H$41))</f>
        <v>0</v>
      </c>
      <c r="JEZ28">
        <f t="array" ref="JEZ28">_xlfn.XLOOKUP(JEZ$11,Assumptions!$B$35:$H$35,_xlfn.XLOOKUP($C28,Assumptions!$B$36:$B$41,Assumptions!$B$36:$H$41))</f>
        <v>0</v>
      </c>
      <c r="JFA28">
        <f t="array" ref="JFA28">_xlfn.XLOOKUP(JFA$11,Assumptions!$B$35:$H$35,_xlfn.XLOOKUP($C28,Assumptions!$B$36:$B$41,Assumptions!$B$36:$H$41))</f>
        <v>0</v>
      </c>
      <c r="JFB28">
        <f t="array" ref="JFB28">_xlfn.XLOOKUP(JFB$11,Assumptions!$B$35:$H$35,_xlfn.XLOOKUP($C28,Assumptions!$B$36:$B$41,Assumptions!$B$36:$H$41))</f>
        <v>0</v>
      </c>
      <c r="JFC28">
        <f t="array" ref="JFC28">_xlfn.XLOOKUP(JFC$11,Assumptions!$B$35:$H$35,_xlfn.XLOOKUP($C28,Assumptions!$B$36:$B$41,Assumptions!$B$36:$H$41))</f>
        <v>0</v>
      </c>
      <c r="JFD28">
        <f t="array" ref="JFD28">_xlfn.XLOOKUP(JFD$11,Assumptions!$B$35:$H$35,_xlfn.XLOOKUP($C28,Assumptions!$B$36:$B$41,Assumptions!$B$36:$H$41))</f>
        <v>0</v>
      </c>
      <c r="JFE28">
        <f t="array" ref="JFE28">_xlfn.XLOOKUP(JFE$11,Assumptions!$B$35:$H$35,_xlfn.XLOOKUP($C28,Assumptions!$B$36:$B$41,Assumptions!$B$36:$H$41))</f>
        <v>0</v>
      </c>
      <c r="JFF28">
        <f t="array" ref="JFF28">_xlfn.XLOOKUP(JFF$11,Assumptions!$B$35:$H$35,_xlfn.XLOOKUP($C28,Assumptions!$B$36:$B$41,Assumptions!$B$36:$H$41))</f>
        <v>0</v>
      </c>
      <c r="JFG28">
        <f t="array" ref="JFG28">_xlfn.XLOOKUP(JFG$11,Assumptions!$B$35:$H$35,_xlfn.XLOOKUP($C28,Assumptions!$B$36:$B$41,Assumptions!$B$36:$H$41))</f>
        <v>0</v>
      </c>
      <c r="JFH28">
        <f t="array" ref="JFH28">_xlfn.XLOOKUP(JFH$11,Assumptions!$B$35:$H$35,_xlfn.XLOOKUP($C28,Assumptions!$B$36:$B$41,Assumptions!$B$36:$H$41))</f>
        <v>0</v>
      </c>
      <c r="JFI28">
        <f t="array" ref="JFI28">_xlfn.XLOOKUP(JFI$11,Assumptions!$B$35:$H$35,_xlfn.XLOOKUP($C28,Assumptions!$B$36:$B$41,Assumptions!$B$36:$H$41))</f>
        <v>0</v>
      </c>
      <c r="JFJ28">
        <f t="array" ref="JFJ28">_xlfn.XLOOKUP(JFJ$11,Assumptions!$B$35:$H$35,_xlfn.XLOOKUP($C28,Assumptions!$B$36:$B$41,Assumptions!$B$36:$H$41))</f>
        <v>0</v>
      </c>
      <c r="JFK28">
        <f t="array" ref="JFK28">_xlfn.XLOOKUP(JFK$11,Assumptions!$B$35:$H$35,_xlfn.XLOOKUP($C28,Assumptions!$B$36:$B$41,Assumptions!$B$36:$H$41))</f>
        <v>0</v>
      </c>
      <c r="JFL28">
        <f t="array" ref="JFL28">_xlfn.XLOOKUP(JFL$11,Assumptions!$B$35:$H$35,_xlfn.XLOOKUP($C28,Assumptions!$B$36:$B$41,Assumptions!$B$36:$H$41))</f>
        <v>0</v>
      </c>
      <c r="JFM28">
        <f t="array" ref="JFM28">_xlfn.XLOOKUP(JFM$11,Assumptions!$B$35:$H$35,_xlfn.XLOOKUP($C28,Assumptions!$B$36:$B$41,Assumptions!$B$36:$H$41))</f>
        <v>0</v>
      </c>
      <c r="JFN28">
        <f t="array" ref="JFN28">_xlfn.XLOOKUP(JFN$11,Assumptions!$B$35:$H$35,_xlfn.XLOOKUP($C28,Assumptions!$B$36:$B$41,Assumptions!$B$36:$H$41))</f>
        <v>0</v>
      </c>
      <c r="JFO28">
        <f t="array" ref="JFO28">_xlfn.XLOOKUP(JFO$11,Assumptions!$B$35:$H$35,_xlfn.XLOOKUP($C28,Assumptions!$B$36:$B$41,Assumptions!$B$36:$H$41))</f>
        <v>0</v>
      </c>
      <c r="JFP28">
        <f t="array" ref="JFP28">_xlfn.XLOOKUP(JFP$11,Assumptions!$B$35:$H$35,_xlfn.XLOOKUP($C28,Assumptions!$B$36:$B$41,Assumptions!$B$36:$H$41))</f>
        <v>0</v>
      </c>
      <c r="JFQ28">
        <f t="array" ref="JFQ28">_xlfn.XLOOKUP(JFQ$11,Assumptions!$B$35:$H$35,_xlfn.XLOOKUP($C28,Assumptions!$B$36:$B$41,Assumptions!$B$36:$H$41))</f>
        <v>0</v>
      </c>
      <c r="JFR28">
        <f t="array" ref="JFR28">_xlfn.XLOOKUP(JFR$11,Assumptions!$B$35:$H$35,_xlfn.XLOOKUP($C28,Assumptions!$B$36:$B$41,Assumptions!$B$36:$H$41))</f>
        <v>0</v>
      </c>
      <c r="JFS28">
        <f t="array" ref="JFS28">_xlfn.XLOOKUP(JFS$11,Assumptions!$B$35:$H$35,_xlfn.XLOOKUP($C28,Assumptions!$B$36:$B$41,Assumptions!$B$36:$H$41))</f>
        <v>0</v>
      </c>
      <c r="JFT28">
        <f t="array" ref="JFT28">_xlfn.XLOOKUP(JFT$11,Assumptions!$B$35:$H$35,_xlfn.XLOOKUP($C28,Assumptions!$B$36:$B$41,Assumptions!$B$36:$H$41))</f>
        <v>0</v>
      </c>
      <c r="JFU28">
        <f t="array" ref="JFU28">_xlfn.XLOOKUP(JFU$11,Assumptions!$B$35:$H$35,_xlfn.XLOOKUP($C28,Assumptions!$B$36:$B$41,Assumptions!$B$36:$H$41))</f>
        <v>0</v>
      </c>
      <c r="JFV28">
        <f t="array" ref="JFV28">_xlfn.XLOOKUP(JFV$11,Assumptions!$B$35:$H$35,_xlfn.XLOOKUP($C28,Assumptions!$B$36:$B$41,Assumptions!$B$36:$H$41))</f>
        <v>0</v>
      </c>
      <c r="JFW28">
        <f t="array" ref="JFW28">_xlfn.XLOOKUP(JFW$11,Assumptions!$B$35:$H$35,_xlfn.XLOOKUP($C28,Assumptions!$B$36:$B$41,Assumptions!$B$36:$H$41))</f>
        <v>0</v>
      </c>
      <c r="JFX28">
        <f t="array" ref="JFX28">_xlfn.XLOOKUP(JFX$11,Assumptions!$B$35:$H$35,_xlfn.XLOOKUP($C28,Assumptions!$B$36:$B$41,Assumptions!$B$36:$H$41))</f>
        <v>0</v>
      </c>
      <c r="JFY28">
        <f t="array" ref="JFY28">_xlfn.XLOOKUP(JFY$11,Assumptions!$B$35:$H$35,_xlfn.XLOOKUP($C28,Assumptions!$B$36:$B$41,Assumptions!$B$36:$H$41))</f>
        <v>0</v>
      </c>
      <c r="JFZ28">
        <f t="array" ref="JFZ28">_xlfn.XLOOKUP(JFZ$11,Assumptions!$B$35:$H$35,_xlfn.XLOOKUP($C28,Assumptions!$B$36:$B$41,Assumptions!$B$36:$H$41))</f>
        <v>0</v>
      </c>
      <c r="JGA28">
        <f t="array" ref="JGA28">_xlfn.XLOOKUP(JGA$11,Assumptions!$B$35:$H$35,_xlfn.XLOOKUP($C28,Assumptions!$B$36:$B$41,Assumptions!$B$36:$H$41))</f>
        <v>0</v>
      </c>
      <c r="JGB28">
        <f t="array" ref="JGB28">_xlfn.XLOOKUP(JGB$11,Assumptions!$B$35:$H$35,_xlfn.XLOOKUP($C28,Assumptions!$B$36:$B$41,Assumptions!$B$36:$H$41))</f>
        <v>0</v>
      </c>
      <c r="JGC28">
        <f t="array" ref="JGC28">_xlfn.XLOOKUP(JGC$11,Assumptions!$B$35:$H$35,_xlfn.XLOOKUP($C28,Assumptions!$B$36:$B$41,Assumptions!$B$36:$H$41))</f>
        <v>0</v>
      </c>
      <c r="JGD28">
        <f t="array" ref="JGD28">_xlfn.XLOOKUP(JGD$11,Assumptions!$B$35:$H$35,_xlfn.XLOOKUP($C28,Assumptions!$B$36:$B$41,Assumptions!$B$36:$H$41))</f>
        <v>0</v>
      </c>
      <c r="JGE28">
        <f t="array" ref="JGE28">_xlfn.XLOOKUP(JGE$11,Assumptions!$B$35:$H$35,_xlfn.XLOOKUP($C28,Assumptions!$B$36:$B$41,Assumptions!$B$36:$H$41))</f>
        <v>0</v>
      </c>
      <c r="JGF28">
        <f t="array" ref="JGF28">_xlfn.XLOOKUP(JGF$11,Assumptions!$B$35:$H$35,_xlfn.XLOOKUP($C28,Assumptions!$B$36:$B$41,Assumptions!$B$36:$H$41))</f>
        <v>0</v>
      </c>
      <c r="JGG28">
        <f t="array" ref="JGG28">_xlfn.XLOOKUP(JGG$11,Assumptions!$B$35:$H$35,_xlfn.XLOOKUP($C28,Assumptions!$B$36:$B$41,Assumptions!$B$36:$H$41))</f>
        <v>0</v>
      </c>
      <c r="JGH28">
        <f t="array" ref="JGH28">_xlfn.XLOOKUP(JGH$11,Assumptions!$B$35:$H$35,_xlfn.XLOOKUP($C28,Assumptions!$B$36:$B$41,Assumptions!$B$36:$H$41))</f>
        <v>0</v>
      </c>
      <c r="JGI28">
        <f t="array" ref="JGI28">_xlfn.XLOOKUP(JGI$11,Assumptions!$B$35:$H$35,_xlfn.XLOOKUP($C28,Assumptions!$B$36:$B$41,Assumptions!$B$36:$H$41))</f>
        <v>0</v>
      </c>
      <c r="JGJ28">
        <f t="array" ref="JGJ28">_xlfn.XLOOKUP(JGJ$11,Assumptions!$B$35:$H$35,_xlfn.XLOOKUP($C28,Assumptions!$B$36:$B$41,Assumptions!$B$36:$H$41))</f>
        <v>0</v>
      </c>
      <c r="JGK28">
        <f t="array" ref="JGK28">_xlfn.XLOOKUP(JGK$11,Assumptions!$B$35:$H$35,_xlfn.XLOOKUP($C28,Assumptions!$B$36:$B$41,Assumptions!$B$36:$H$41))</f>
        <v>0</v>
      </c>
      <c r="JGL28">
        <f t="array" ref="JGL28">_xlfn.XLOOKUP(JGL$11,Assumptions!$B$35:$H$35,_xlfn.XLOOKUP($C28,Assumptions!$B$36:$B$41,Assumptions!$B$36:$H$41))</f>
        <v>0</v>
      </c>
      <c r="JGM28">
        <f t="array" ref="JGM28">_xlfn.XLOOKUP(JGM$11,Assumptions!$B$35:$H$35,_xlfn.XLOOKUP($C28,Assumptions!$B$36:$B$41,Assumptions!$B$36:$H$41))</f>
        <v>0</v>
      </c>
      <c r="JGN28">
        <f t="array" ref="JGN28">_xlfn.XLOOKUP(JGN$11,Assumptions!$B$35:$H$35,_xlfn.XLOOKUP($C28,Assumptions!$B$36:$B$41,Assumptions!$B$36:$H$41))</f>
        <v>0</v>
      </c>
      <c r="JGO28">
        <f t="array" ref="JGO28">_xlfn.XLOOKUP(JGO$11,Assumptions!$B$35:$H$35,_xlfn.XLOOKUP($C28,Assumptions!$B$36:$B$41,Assumptions!$B$36:$H$41))</f>
        <v>0</v>
      </c>
      <c r="JGP28">
        <f t="array" ref="JGP28">_xlfn.XLOOKUP(JGP$11,Assumptions!$B$35:$H$35,_xlfn.XLOOKUP($C28,Assumptions!$B$36:$B$41,Assumptions!$B$36:$H$41))</f>
        <v>0</v>
      </c>
      <c r="JGQ28">
        <f t="array" ref="JGQ28">_xlfn.XLOOKUP(JGQ$11,Assumptions!$B$35:$H$35,_xlfn.XLOOKUP($C28,Assumptions!$B$36:$B$41,Assumptions!$B$36:$H$41))</f>
        <v>0</v>
      </c>
      <c r="JGR28">
        <f t="array" ref="JGR28">_xlfn.XLOOKUP(JGR$11,Assumptions!$B$35:$H$35,_xlfn.XLOOKUP($C28,Assumptions!$B$36:$B$41,Assumptions!$B$36:$H$41))</f>
        <v>0</v>
      </c>
      <c r="JGS28">
        <f t="array" ref="JGS28">_xlfn.XLOOKUP(JGS$11,Assumptions!$B$35:$H$35,_xlfn.XLOOKUP($C28,Assumptions!$B$36:$B$41,Assumptions!$B$36:$H$41))</f>
        <v>0</v>
      </c>
      <c r="JGT28">
        <f t="array" ref="JGT28">_xlfn.XLOOKUP(JGT$11,Assumptions!$B$35:$H$35,_xlfn.XLOOKUP($C28,Assumptions!$B$36:$B$41,Assumptions!$B$36:$H$41))</f>
        <v>0</v>
      </c>
      <c r="JGU28">
        <f t="array" ref="JGU28">_xlfn.XLOOKUP(JGU$11,Assumptions!$B$35:$H$35,_xlfn.XLOOKUP($C28,Assumptions!$B$36:$B$41,Assumptions!$B$36:$H$41))</f>
        <v>0</v>
      </c>
      <c r="JGV28">
        <f t="array" ref="JGV28">_xlfn.XLOOKUP(JGV$11,Assumptions!$B$35:$H$35,_xlfn.XLOOKUP($C28,Assumptions!$B$36:$B$41,Assumptions!$B$36:$H$41))</f>
        <v>0</v>
      </c>
      <c r="JGW28">
        <f t="array" ref="JGW28">_xlfn.XLOOKUP(JGW$11,Assumptions!$B$35:$H$35,_xlfn.XLOOKUP($C28,Assumptions!$B$36:$B$41,Assumptions!$B$36:$H$41))</f>
        <v>0</v>
      </c>
      <c r="JGX28">
        <f t="array" ref="JGX28">_xlfn.XLOOKUP(JGX$11,Assumptions!$B$35:$H$35,_xlfn.XLOOKUP($C28,Assumptions!$B$36:$B$41,Assumptions!$B$36:$H$41))</f>
        <v>0</v>
      </c>
      <c r="JGY28">
        <f t="array" ref="JGY28">_xlfn.XLOOKUP(JGY$11,Assumptions!$B$35:$H$35,_xlfn.XLOOKUP($C28,Assumptions!$B$36:$B$41,Assumptions!$B$36:$H$41))</f>
        <v>0</v>
      </c>
      <c r="JGZ28">
        <f t="array" ref="JGZ28">_xlfn.XLOOKUP(JGZ$11,Assumptions!$B$35:$H$35,_xlfn.XLOOKUP($C28,Assumptions!$B$36:$B$41,Assumptions!$B$36:$H$41))</f>
        <v>0</v>
      </c>
      <c r="JHA28">
        <f t="array" ref="JHA28">_xlfn.XLOOKUP(JHA$11,Assumptions!$B$35:$H$35,_xlfn.XLOOKUP($C28,Assumptions!$B$36:$B$41,Assumptions!$B$36:$H$41))</f>
        <v>0</v>
      </c>
      <c r="JHB28">
        <f t="array" ref="JHB28">_xlfn.XLOOKUP(JHB$11,Assumptions!$B$35:$H$35,_xlfn.XLOOKUP($C28,Assumptions!$B$36:$B$41,Assumptions!$B$36:$H$41))</f>
        <v>0</v>
      </c>
      <c r="JHC28">
        <f t="array" ref="JHC28">_xlfn.XLOOKUP(JHC$11,Assumptions!$B$35:$H$35,_xlfn.XLOOKUP($C28,Assumptions!$B$36:$B$41,Assumptions!$B$36:$H$41))</f>
        <v>0</v>
      </c>
      <c r="JHD28">
        <f t="array" ref="JHD28">_xlfn.XLOOKUP(JHD$11,Assumptions!$B$35:$H$35,_xlfn.XLOOKUP($C28,Assumptions!$B$36:$B$41,Assumptions!$B$36:$H$41))</f>
        <v>0</v>
      </c>
      <c r="JHE28">
        <f t="array" ref="JHE28">_xlfn.XLOOKUP(JHE$11,Assumptions!$B$35:$H$35,_xlfn.XLOOKUP($C28,Assumptions!$B$36:$B$41,Assumptions!$B$36:$H$41))</f>
        <v>0</v>
      </c>
      <c r="JHF28">
        <f t="array" ref="JHF28">_xlfn.XLOOKUP(JHF$11,Assumptions!$B$35:$H$35,_xlfn.XLOOKUP($C28,Assumptions!$B$36:$B$41,Assumptions!$B$36:$H$41))</f>
        <v>0</v>
      </c>
      <c r="JHG28">
        <f t="array" ref="JHG28">_xlfn.XLOOKUP(JHG$11,Assumptions!$B$35:$H$35,_xlfn.XLOOKUP($C28,Assumptions!$B$36:$B$41,Assumptions!$B$36:$H$41))</f>
        <v>0</v>
      </c>
      <c r="JHH28">
        <f t="array" ref="JHH28">_xlfn.XLOOKUP(JHH$11,Assumptions!$B$35:$H$35,_xlfn.XLOOKUP($C28,Assumptions!$B$36:$B$41,Assumptions!$B$36:$H$41))</f>
        <v>0</v>
      </c>
      <c r="JHI28">
        <f t="array" ref="JHI28">_xlfn.XLOOKUP(JHI$11,Assumptions!$B$35:$H$35,_xlfn.XLOOKUP($C28,Assumptions!$B$36:$B$41,Assumptions!$B$36:$H$41))</f>
        <v>0</v>
      </c>
      <c r="JHJ28">
        <f t="array" ref="JHJ28">_xlfn.XLOOKUP(JHJ$11,Assumptions!$B$35:$H$35,_xlfn.XLOOKUP($C28,Assumptions!$B$36:$B$41,Assumptions!$B$36:$H$41))</f>
        <v>0</v>
      </c>
      <c r="JHK28">
        <f t="array" ref="JHK28">_xlfn.XLOOKUP(JHK$11,Assumptions!$B$35:$H$35,_xlfn.XLOOKUP($C28,Assumptions!$B$36:$B$41,Assumptions!$B$36:$H$41))</f>
        <v>0</v>
      </c>
      <c r="JHL28">
        <f t="array" ref="JHL28">_xlfn.XLOOKUP(JHL$11,Assumptions!$B$35:$H$35,_xlfn.XLOOKUP($C28,Assumptions!$B$36:$B$41,Assumptions!$B$36:$H$41))</f>
        <v>0</v>
      </c>
      <c r="JHM28">
        <f t="array" ref="JHM28">_xlfn.XLOOKUP(JHM$11,Assumptions!$B$35:$H$35,_xlfn.XLOOKUP($C28,Assumptions!$B$36:$B$41,Assumptions!$B$36:$H$41))</f>
        <v>0</v>
      </c>
      <c r="JHN28">
        <f t="array" ref="JHN28">_xlfn.XLOOKUP(JHN$11,Assumptions!$B$35:$H$35,_xlfn.XLOOKUP($C28,Assumptions!$B$36:$B$41,Assumptions!$B$36:$H$41))</f>
        <v>0</v>
      </c>
      <c r="JHO28">
        <f t="array" ref="JHO28">_xlfn.XLOOKUP(JHO$11,Assumptions!$B$35:$H$35,_xlfn.XLOOKUP($C28,Assumptions!$B$36:$B$41,Assumptions!$B$36:$H$41))</f>
        <v>0</v>
      </c>
      <c r="JHP28">
        <f t="array" ref="JHP28">_xlfn.XLOOKUP(JHP$11,Assumptions!$B$35:$H$35,_xlfn.XLOOKUP($C28,Assumptions!$B$36:$B$41,Assumptions!$B$36:$H$41))</f>
        <v>0</v>
      </c>
      <c r="JHQ28">
        <f t="array" ref="JHQ28">_xlfn.XLOOKUP(JHQ$11,Assumptions!$B$35:$H$35,_xlfn.XLOOKUP($C28,Assumptions!$B$36:$B$41,Assumptions!$B$36:$H$41))</f>
        <v>0</v>
      </c>
      <c r="JHR28">
        <f t="array" ref="JHR28">_xlfn.XLOOKUP(JHR$11,Assumptions!$B$35:$H$35,_xlfn.XLOOKUP($C28,Assumptions!$B$36:$B$41,Assumptions!$B$36:$H$41))</f>
        <v>0</v>
      </c>
      <c r="JHS28">
        <f t="array" ref="JHS28">_xlfn.XLOOKUP(JHS$11,Assumptions!$B$35:$H$35,_xlfn.XLOOKUP($C28,Assumptions!$B$36:$B$41,Assumptions!$B$36:$H$41))</f>
        <v>0</v>
      </c>
      <c r="JHT28">
        <f t="array" ref="JHT28">_xlfn.XLOOKUP(JHT$11,Assumptions!$B$35:$H$35,_xlfn.XLOOKUP($C28,Assumptions!$B$36:$B$41,Assumptions!$B$36:$H$41))</f>
        <v>0</v>
      </c>
      <c r="JHU28">
        <f t="array" ref="JHU28">_xlfn.XLOOKUP(JHU$11,Assumptions!$B$35:$H$35,_xlfn.XLOOKUP($C28,Assumptions!$B$36:$B$41,Assumptions!$B$36:$H$41))</f>
        <v>0</v>
      </c>
      <c r="JHV28">
        <f t="array" ref="JHV28">_xlfn.XLOOKUP(JHV$11,Assumptions!$B$35:$H$35,_xlfn.XLOOKUP($C28,Assumptions!$B$36:$B$41,Assumptions!$B$36:$H$41))</f>
        <v>0</v>
      </c>
      <c r="JHW28">
        <f t="array" ref="JHW28">_xlfn.XLOOKUP(JHW$11,Assumptions!$B$35:$H$35,_xlfn.XLOOKUP($C28,Assumptions!$B$36:$B$41,Assumptions!$B$36:$H$41))</f>
        <v>0</v>
      </c>
      <c r="JHX28">
        <f t="array" ref="JHX28">_xlfn.XLOOKUP(JHX$11,Assumptions!$B$35:$H$35,_xlfn.XLOOKUP($C28,Assumptions!$B$36:$B$41,Assumptions!$B$36:$H$41))</f>
        <v>0</v>
      </c>
      <c r="JHY28">
        <f t="array" ref="JHY28">_xlfn.XLOOKUP(JHY$11,Assumptions!$B$35:$H$35,_xlfn.XLOOKUP($C28,Assumptions!$B$36:$B$41,Assumptions!$B$36:$H$41))</f>
        <v>0</v>
      </c>
      <c r="JHZ28">
        <f t="array" ref="JHZ28">_xlfn.XLOOKUP(JHZ$11,Assumptions!$B$35:$H$35,_xlfn.XLOOKUP($C28,Assumptions!$B$36:$B$41,Assumptions!$B$36:$H$41))</f>
        <v>0</v>
      </c>
      <c r="JIA28">
        <f t="array" ref="JIA28">_xlfn.XLOOKUP(JIA$11,Assumptions!$B$35:$H$35,_xlfn.XLOOKUP($C28,Assumptions!$B$36:$B$41,Assumptions!$B$36:$H$41))</f>
        <v>0</v>
      </c>
      <c r="JIB28">
        <f t="array" ref="JIB28">_xlfn.XLOOKUP(JIB$11,Assumptions!$B$35:$H$35,_xlfn.XLOOKUP($C28,Assumptions!$B$36:$B$41,Assumptions!$B$36:$H$41))</f>
        <v>0</v>
      </c>
      <c r="JIC28">
        <f t="array" ref="JIC28">_xlfn.XLOOKUP(JIC$11,Assumptions!$B$35:$H$35,_xlfn.XLOOKUP($C28,Assumptions!$B$36:$B$41,Assumptions!$B$36:$H$41))</f>
        <v>0</v>
      </c>
      <c r="JID28">
        <f t="array" ref="JID28">_xlfn.XLOOKUP(JID$11,Assumptions!$B$35:$H$35,_xlfn.XLOOKUP($C28,Assumptions!$B$36:$B$41,Assumptions!$B$36:$H$41))</f>
        <v>0</v>
      </c>
      <c r="JIE28">
        <f t="array" ref="JIE28">_xlfn.XLOOKUP(JIE$11,Assumptions!$B$35:$H$35,_xlfn.XLOOKUP($C28,Assumptions!$B$36:$B$41,Assumptions!$B$36:$H$41))</f>
        <v>0</v>
      </c>
      <c r="JIF28">
        <f t="array" ref="JIF28">_xlfn.XLOOKUP(JIF$11,Assumptions!$B$35:$H$35,_xlfn.XLOOKUP($C28,Assumptions!$B$36:$B$41,Assumptions!$B$36:$H$41))</f>
        <v>0</v>
      </c>
      <c r="JIG28">
        <f t="array" ref="JIG28">_xlfn.XLOOKUP(JIG$11,Assumptions!$B$35:$H$35,_xlfn.XLOOKUP($C28,Assumptions!$B$36:$B$41,Assumptions!$B$36:$H$41))</f>
        <v>0</v>
      </c>
      <c r="JIH28">
        <f t="array" ref="JIH28">_xlfn.XLOOKUP(JIH$11,Assumptions!$B$35:$H$35,_xlfn.XLOOKUP($C28,Assumptions!$B$36:$B$41,Assumptions!$B$36:$H$41))</f>
        <v>0</v>
      </c>
      <c r="JII28">
        <f t="array" ref="JII28">_xlfn.XLOOKUP(JII$11,Assumptions!$B$35:$H$35,_xlfn.XLOOKUP($C28,Assumptions!$B$36:$B$41,Assumptions!$B$36:$H$41))</f>
        <v>0</v>
      </c>
      <c r="JIJ28">
        <f t="array" ref="JIJ28">_xlfn.XLOOKUP(JIJ$11,Assumptions!$B$35:$H$35,_xlfn.XLOOKUP($C28,Assumptions!$B$36:$B$41,Assumptions!$B$36:$H$41))</f>
        <v>0</v>
      </c>
      <c r="JIK28">
        <f t="array" ref="JIK28">_xlfn.XLOOKUP(JIK$11,Assumptions!$B$35:$H$35,_xlfn.XLOOKUP($C28,Assumptions!$B$36:$B$41,Assumptions!$B$36:$H$41))</f>
        <v>0</v>
      </c>
      <c r="JIL28">
        <f t="array" ref="JIL28">_xlfn.XLOOKUP(JIL$11,Assumptions!$B$35:$H$35,_xlfn.XLOOKUP($C28,Assumptions!$B$36:$B$41,Assumptions!$B$36:$H$41))</f>
        <v>0</v>
      </c>
      <c r="JIM28">
        <f t="array" ref="JIM28">_xlfn.XLOOKUP(JIM$11,Assumptions!$B$35:$H$35,_xlfn.XLOOKUP($C28,Assumptions!$B$36:$B$41,Assumptions!$B$36:$H$41))</f>
        <v>0</v>
      </c>
      <c r="JIN28">
        <f t="array" ref="JIN28">_xlfn.XLOOKUP(JIN$11,Assumptions!$B$35:$H$35,_xlfn.XLOOKUP($C28,Assumptions!$B$36:$B$41,Assumptions!$B$36:$H$41))</f>
        <v>0</v>
      </c>
      <c r="JIO28">
        <f t="array" ref="JIO28">_xlfn.XLOOKUP(JIO$11,Assumptions!$B$35:$H$35,_xlfn.XLOOKUP($C28,Assumptions!$B$36:$B$41,Assumptions!$B$36:$H$41))</f>
        <v>0</v>
      </c>
      <c r="JIP28">
        <f t="array" ref="JIP28">_xlfn.XLOOKUP(JIP$11,Assumptions!$B$35:$H$35,_xlfn.XLOOKUP($C28,Assumptions!$B$36:$B$41,Assumptions!$B$36:$H$41))</f>
        <v>0</v>
      </c>
      <c r="JIQ28">
        <f t="array" ref="JIQ28">_xlfn.XLOOKUP(JIQ$11,Assumptions!$B$35:$H$35,_xlfn.XLOOKUP($C28,Assumptions!$B$36:$B$41,Assumptions!$B$36:$H$41))</f>
        <v>0</v>
      </c>
      <c r="JIR28">
        <f t="array" ref="JIR28">_xlfn.XLOOKUP(JIR$11,Assumptions!$B$35:$H$35,_xlfn.XLOOKUP($C28,Assumptions!$B$36:$B$41,Assumptions!$B$36:$H$41))</f>
        <v>0</v>
      </c>
      <c r="JIS28">
        <f t="array" ref="JIS28">_xlfn.XLOOKUP(JIS$11,Assumptions!$B$35:$H$35,_xlfn.XLOOKUP($C28,Assumptions!$B$36:$B$41,Assumptions!$B$36:$H$41))</f>
        <v>0</v>
      </c>
      <c r="JIT28">
        <f t="array" ref="JIT28">_xlfn.XLOOKUP(JIT$11,Assumptions!$B$35:$H$35,_xlfn.XLOOKUP($C28,Assumptions!$B$36:$B$41,Assumptions!$B$36:$H$41))</f>
        <v>0</v>
      </c>
      <c r="JIU28">
        <f t="array" ref="JIU28">_xlfn.XLOOKUP(JIU$11,Assumptions!$B$35:$H$35,_xlfn.XLOOKUP($C28,Assumptions!$B$36:$B$41,Assumptions!$B$36:$H$41))</f>
        <v>0</v>
      </c>
      <c r="JIV28">
        <f t="array" ref="JIV28">_xlfn.XLOOKUP(JIV$11,Assumptions!$B$35:$H$35,_xlfn.XLOOKUP($C28,Assumptions!$B$36:$B$41,Assumptions!$B$36:$H$41))</f>
        <v>0</v>
      </c>
      <c r="JIW28">
        <f t="array" ref="JIW28">_xlfn.XLOOKUP(JIW$11,Assumptions!$B$35:$H$35,_xlfn.XLOOKUP($C28,Assumptions!$B$36:$B$41,Assumptions!$B$36:$H$41))</f>
        <v>0</v>
      </c>
      <c r="JIX28">
        <f t="array" ref="JIX28">_xlfn.XLOOKUP(JIX$11,Assumptions!$B$35:$H$35,_xlfn.XLOOKUP($C28,Assumptions!$B$36:$B$41,Assumptions!$B$36:$H$41))</f>
        <v>0</v>
      </c>
      <c r="JIY28">
        <f t="array" ref="JIY28">_xlfn.XLOOKUP(JIY$11,Assumptions!$B$35:$H$35,_xlfn.XLOOKUP($C28,Assumptions!$B$36:$B$41,Assumptions!$B$36:$H$41))</f>
        <v>0</v>
      </c>
      <c r="JIZ28">
        <f t="array" ref="JIZ28">_xlfn.XLOOKUP(JIZ$11,Assumptions!$B$35:$H$35,_xlfn.XLOOKUP($C28,Assumptions!$B$36:$B$41,Assumptions!$B$36:$H$41))</f>
        <v>0</v>
      </c>
      <c r="JJA28">
        <f t="array" ref="JJA28">_xlfn.XLOOKUP(JJA$11,Assumptions!$B$35:$H$35,_xlfn.XLOOKUP($C28,Assumptions!$B$36:$B$41,Assumptions!$B$36:$H$41))</f>
        <v>0</v>
      </c>
      <c r="JJB28">
        <f t="array" ref="JJB28">_xlfn.XLOOKUP(JJB$11,Assumptions!$B$35:$H$35,_xlfn.XLOOKUP($C28,Assumptions!$B$36:$B$41,Assumptions!$B$36:$H$41))</f>
        <v>0</v>
      </c>
      <c r="JJC28">
        <f t="array" ref="JJC28">_xlfn.XLOOKUP(JJC$11,Assumptions!$B$35:$H$35,_xlfn.XLOOKUP($C28,Assumptions!$B$36:$B$41,Assumptions!$B$36:$H$41))</f>
        <v>0</v>
      </c>
      <c r="JJD28">
        <f t="array" ref="JJD28">_xlfn.XLOOKUP(JJD$11,Assumptions!$B$35:$H$35,_xlfn.XLOOKUP($C28,Assumptions!$B$36:$B$41,Assumptions!$B$36:$H$41))</f>
        <v>0</v>
      </c>
      <c r="JJE28">
        <f t="array" ref="JJE28">_xlfn.XLOOKUP(JJE$11,Assumptions!$B$35:$H$35,_xlfn.XLOOKUP($C28,Assumptions!$B$36:$B$41,Assumptions!$B$36:$H$41))</f>
        <v>0</v>
      </c>
      <c r="JJF28">
        <f t="array" ref="JJF28">_xlfn.XLOOKUP(JJF$11,Assumptions!$B$35:$H$35,_xlfn.XLOOKUP($C28,Assumptions!$B$36:$B$41,Assumptions!$B$36:$H$41))</f>
        <v>0</v>
      </c>
      <c r="JJG28">
        <f t="array" ref="JJG28">_xlfn.XLOOKUP(JJG$11,Assumptions!$B$35:$H$35,_xlfn.XLOOKUP($C28,Assumptions!$B$36:$B$41,Assumptions!$B$36:$H$41))</f>
        <v>0</v>
      </c>
      <c r="JJH28">
        <f t="array" ref="JJH28">_xlfn.XLOOKUP(JJH$11,Assumptions!$B$35:$H$35,_xlfn.XLOOKUP($C28,Assumptions!$B$36:$B$41,Assumptions!$B$36:$H$41))</f>
        <v>0</v>
      </c>
      <c r="JJI28">
        <f t="array" ref="JJI28">_xlfn.XLOOKUP(JJI$11,Assumptions!$B$35:$H$35,_xlfn.XLOOKUP($C28,Assumptions!$B$36:$B$41,Assumptions!$B$36:$H$41))</f>
        <v>0</v>
      </c>
      <c r="JJJ28">
        <f t="array" ref="JJJ28">_xlfn.XLOOKUP(JJJ$11,Assumptions!$B$35:$H$35,_xlfn.XLOOKUP($C28,Assumptions!$B$36:$B$41,Assumptions!$B$36:$H$41))</f>
        <v>0</v>
      </c>
      <c r="JJK28">
        <f t="array" ref="JJK28">_xlfn.XLOOKUP(JJK$11,Assumptions!$B$35:$H$35,_xlfn.XLOOKUP($C28,Assumptions!$B$36:$B$41,Assumptions!$B$36:$H$41))</f>
        <v>0</v>
      </c>
      <c r="JJL28">
        <f t="array" ref="JJL28">_xlfn.XLOOKUP(JJL$11,Assumptions!$B$35:$H$35,_xlfn.XLOOKUP($C28,Assumptions!$B$36:$B$41,Assumptions!$B$36:$H$41))</f>
        <v>0</v>
      </c>
      <c r="JJM28">
        <f t="array" ref="JJM28">_xlfn.XLOOKUP(JJM$11,Assumptions!$B$35:$H$35,_xlfn.XLOOKUP($C28,Assumptions!$B$36:$B$41,Assumptions!$B$36:$H$41))</f>
        <v>0</v>
      </c>
      <c r="JJN28">
        <f t="array" ref="JJN28">_xlfn.XLOOKUP(JJN$11,Assumptions!$B$35:$H$35,_xlfn.XLOOKUP($C28,Assumptions!$B$36:$B$41,Assumptions!$B$36:$H$41))</f>
        <v>0</v>
      </c>
      <c r="JJO28">
        <f t="array" ref="JJO28">_xlfn.XLOOKUP(JJO$11,Assumptions!$B$35:$H$35,_xlfn.XLOOKUP($C28,Assumptions!$B$36:$B$41,Assumptions!$B$36:$H$41))</f>
        <v>0</v>
      </c>
      <c r="JJP28">
        <f t="array" ref="JJP28">_xlfn.XLOOKUP(JJP$11,Assumptions!$B$35:$H$35,_xlfn.XLOOKUP($C28,Assumptions!$B$36:$B$41,Assumptions!$B$36:$H$41))</f>
        <v>0</v>
      </c>
      <c r="JJQ28">
        <f t="array" ref="JJQ28">_xlfn.XLOOKUP(JJQ$11,Assumptions!$B$35:$H$35,_xlfn.XLOOKUP($C28,Assumptions!$B$36:$B$41,Assumptions!$B$36:$H$41))</f>
        <v>0</v>
      </c>
      <c r="JJR28">
        <f t="array" ref="JJR28">_xlfn.XLOOKUP(JJR$11,Assumptions!$B$35:$H$35,_xlfn.XLOOKUP($C28,Assumptions!$B$36:$B$41,Assumptions!$B$36:$H$41))</f>
        <v>0</v>
      </c>
      <c r="JJS28">
        <f t="array" ref="JJS28">_xlfn.XLOOKUP(JJS$11,Assumptions!$B$35:$H$35,_xlfn.XLOOKUP($C28,Assumptions!$B$36:$B$41,Assumptions!$B$36:$H$41))</f>
        <v>0</v>
      </c>
      <c r="JJT28">
        <f t="array" ref="JJT28">_xlfn.XLOOKUP(JJT$11,Assumptions!$B$35:$H$35,_xlfn.XLOOKUP($C28,Assumptions!$B$36:$B$41,Assumptions!$B$36:$H$41))</f>
        <v>0</v>
      </c>
      <c r="JJU28">
        <f t="array" ref="JJU28">_xlfn.XLOOKUP(JJU$11,Assumptions!$B$35:$H$35,_xlfn.XLOOKUP($C28,Assumptions!$B$36:$B$41,Assumptions!$B$36:$H$41))</f>
        <v>0</v>
      </c>
      <c r="JJV28">
        <f t="array" ref="JJV28">_xlfn.XLOOKUP(JJV$11,Assumptions!$B$35:$H$35,_xlfn.XLOOKUP($C28,Assumptions!$B$36:$B$41,Assumptions!$B$36:$H$41))</f>
        <v>0</v>
      </c>
      <c r="JJW28">
        <f t="array" ref="JJW28">_xlfn.XLOOKUP(JJW$11,Assumptions!$B$35:$H$35,_xlfn.XLOOKUP($C28,Assumptions!$B$36:$B$41,Assumptions!$B$36:$H$41))</f>
        <v>0</v>
      </c>
      <c r="JJX28">
        <f t="array" ref="JJX28">_xlfn.XLOOKUP(JJX$11,Assumptions!$B$35:$H$35,_xlfn.XLOOKUP($C28,Assumptions!$B$36:$B$41,Assumptions!$B$36:$H$41))</f>
        <v>0</v>
      </c>
      <c r="JJY28">
        <f t="array" ref="JJY28">_xlfn.XLOOKUP(JJY$11,Assumptions!$B$35:$H$35,_xlfn.XLOOKUP($C28,Assumptions!$B$36:$B$41,Assumptions!$B$36:$H$41))</f>
        <v>0</v>
      </c>
      <c r="JJZ28">
        <f t="array" ref="JJZ28">_xlfn.XLOOKUP(JJZ$11,Assumptions!$B$35:$H$35,_xlfn.XLOOKUP($C28,Assumptions!$B$36:$B$41,Assumptions!$B$36:$H$41))</f>
        <v>0</v>
      </c>
      <c r="JKA28">
        <f t="array" ref="JKA28">_xlfn.XLOOKUP(JKA$11,Assumptions!$B$35:$H$35,_xlfn.XLOOKUP($C28,Assumptions!$B$36:$B$41,Assumptions!$B$36:$H$41))</f>
        <v>0</v>
      </c>
      <c r="JKB28">
        <f t="array" ref="JKB28">_xlfn.XLOOKUP(JKB$11,Assumptions!$B$35:$H$35,_xlfn.XLOOKUP($C28,Assumptions!$B$36:$B$41,Assumptions!$B$36:$H$41))</f>
        <v>0</v>
      </c>
      <c r="JKC28">
        <f t="array" ref="JKC28">_xlfn.XLOOKUP(JKC$11,Assumptions!$B$35:$H$35,_xlfn.XLOOKUP($C28,Assumptions!$B$36:$B$41,Assumptions!$B$36:$H$41))</f>
        <v>0</v>
      </c>
      <c r="JKD28">
        <f t="array" ref="JKD28">_xlfn.XLOOKUP(JKD$11,Assumptions!$B$35:$H$35,_xlfn.XLOOKUP($C28,Assumptions!$B$36:$B$41,Assumptions!$B$36:$H$41))</f>
        <v>0</v>
      </c>
      <c r="JKE28">
        <f t="array" ref="JKE28">_xlfn.XLOOKUP(JKE$11,Assumptions!$B$35:$H$35,_xlfn.XLOOKUP($C28,Assumptions!$B$36:$B$41,Assumptions!$B$36:$H$41))</f>
        <v>0</v>
      </c>
      <c r="JKF28">
        <f t="array" ref="JKF28">_xlfn.XLOOKUP(JKF$11,Assumptions!$B$35:$H$35,_xlfn.XLOOKUP($C28,Assumptions!$B$36:$B$41,Assumptions!$B$36:$H$41))</f>
        <v>0</v>
      </c>
      <c r="JKG28">
        <f t="array" ref="JKG28">_xlfn.XLOOKUP(JKG$11,Assumptions!$B$35:$H$35,_xlfn.XLOOKUP($C28,Assumptions!$B$36:$B$41,Assumptions!$B$36:$H$41))</f>
        <v>0</v>
      </c>
      <c r="JKH28">
        <f t="array" ref="JKH28">_xlfn.XLOOKUP(JKH$11,Assumptions!$B$35:$H$35,_xlfn.XLOOKUP($C28,Assumptions!$B$36:$B$41,Assumptions!$B$36:$H$41))</f>
        <v>0</v>
      </c>
      <c r="JKI28">
        <f t="array" ref="JKI28">_xlfn.XLOOKUP(JKI$11,Assumptions!$B$35:$H$35,_xlfn.XLOOKUP($C28,Assumptions!$B$36:$B$41,Assumptions!$B$36:$H$41))</f>
        <v>0</v>
      </c>
      <c r="JKJ28">
        <f t="array" ref="JKJ28">_xlfn.XLOOKUP(JKJ$11,Assumptions!$B$35:$H$35,_xlfn.XLOOKUP($C28,Assumptions!$B$36:$B$41,Assumptions!$B$36:$H$41))</f>
        <v>0</v>
      </c>
      <c r="JKK28">
        <f t="array" ref="JKK28">_xlfn.XLOOKUP(JKK$11,Assumptions!$B$35:$H$35,_xlfn.XLOOKUP($C28,Assumptions!$B$36:$B$41,Assumptions!$B$36:$H$41))</f>
        <v>0</v>
      </c>
      <c r="JKL28">
        <f t="array" ref="JKL28">_xlfn.XLOOKUP(JKL$11,Assumptions!$B$35:$H$35,_xlfn.XLOOKUP($C28,Assumptions!$B$36:$B$41,Assumptions!$B$36:$H$41))</f>
        <v>0</v>
      </c>
      <c r="JKM28">
        <f t="array" ref="JKM28">_xlfn.XLOOKUP(JKM$11,Assumptions!$B$35:$H$35,_xlfn.XLOOKUP($C28,Assumptions!$B$36:$B$41,Assumptions!$B$36:$H$41))</f>
        <v>0</v>
      </c>
      <c r="JKN28">
        <f t="array" ref="JKN28">_xlfn.XLOOKUP(JKN$11,Assumptions!$B$35:$H$35,_xlfn.XLOOKUP($C28,Assumptions!$B$36:$B$41,Assumptions!$B$36:$H$41))</f>
        <v>0</v>
      </c>
      <c r="JKO28">
        <f t="array" ref="JKO28">_xlfn.XLOOKUP(JKO$11,Assumptions!$B$35:$H$35,_xlfn.XLOOKUP($C28,Assumptions!$B$36:$B$41,Assumptions!$B$36:$H$41))</f>
        <v>0</v>
      </c>
      <c r="JKP28">
        <f t="array" ref="JKP28">_xlfn.XLOOKUP(JKP$11,Assumptions!$B$35:$H$35,_xlfn.XLOOKUP($C28,Assumptions!$B$36:$B$41,Assumptions!$B$36:$H$41))</f>
        <v>0</v>
      </c>
      <c r="JKQ28">
        <f t="array" ref="JKQ28">_xlfn.XLOOKUP(JKQ$11,Assumptions!$B$35:$H$35,_xlfn.XLOOKUP($C28,Assumptions!$B$36:$B$41,Assumptions!$B$36:$H$41))</f>
        <v>0</v>
      </c>
      <c r="JKR28">
        <f t="array" ref="JKR28">_xlfn.XLOOKUP(JKR$11,Assumptions!$B$35:$H$35,_xlfn.XLOOKUP($C28,Assumptions!$B$36:$B$41,Assumptions!$B$36:$H$41))</f>
        <v>0</v>
      </c>
      <c r="JKS28">
        <f t="array" ref="JKS28">_xlfn.XLOOKUP(JKS$11,Assumptions!$B$35:$H$35,_xlfn.XLOOKUP($C28,Assumptions!$B$36:$B$41,Assumptions!$B$36:$H$41))</f>
        <v>0</v>
      </c>
      <c r="JKT28">
        <f t="array" ref="JKT28">_xlfn.XLOOKUP(JKT$11,Assumptions!$B$35:$H$35,_xlfn.XLOOKUP($C28,Assumptions!$B$36:$B$41,Assumptions!$B$36:$H$41))</f>
        <v>0</v>
      </c>
      <c r="JKU28">
        <f t="array" ref="JKU28">_xlfn.XLOOKUP(JKU$11,Assumptions!$B$35:$H$35,_xlfn.XLOOKUP($C28,Assumptions!$B$36:$B$41,Assumptions!$B$36:$H$41))</f>
        <v>0</v>
      </c>
      <c r="JKV28">
        <f t="array" ref="JKV28">_xlfn.XLOOKUP(JKV$11,Assumptions!$B$35:$H$35,_xlfn.XLOOKUP($C28,Assumptions!$B$36:$B$41,Assumptions!$B$36:$H$41))</f>
        <v>0</v>
      </c>
      <c r="JKW28">
        <f t="array" ref="JKW28">_xlfn.XLOOKUP(JKW$11,Assumptions!$B$35:$H$35,_xlfn.XLOOKUP($C28,Assumptions!$B$36:$B$41,Assumptions!$B$36:$H$41))</f>
        <v>0</v>
      </c>
      <c r="JKX28">
        <f t="array" ref="JKX28">_xlfn.XLOOKUP(JKX$11,Assumptions!$B$35:$H$35,_xlfn.XLOOKUP($C28,Assumptions!$B$36:$B$41,Assumptions!$B$36:$H$41))</f>
        <v>0</v>
      </c>
      <c r="JKY28">
        <f t="array" ref="JKY28">_xlfn.XLOOKUP(JKY$11,Assumptions!$B$35:$H$35,_xlfn.XLOOKUP($C28,Assumptions!$B$36:$B$41,Assumptions!$B$36:$H$41))</f>
        <v>0</v>
      </c>
      <c r="JKZ28">
        <f t="array" ref="JKZ28">_xlfn.XLOOKUP(JKZ$11,Assumptions!$B$35:$H$35,_xlfn.XLOOKUP($C28,Assumptions!$B$36:$B$41,Assumptions!$B$36:$H$41))</f>
        <v>0</v>
      </c>
      <c r="JLA28">
        <f t="array" ref="JLA28">_xlfn.XLOOKUP(JLA$11,Assumptions!$B$35:$H$35,_xlfn.XLOOKUP($C28,Assumptions!$B$36:$B$41,Assumptions!$B$36:$H$41))</f>
        <v>0</v>
      </c>
      <c r="JLB28">
        <f t="array" ref="JLB28">_xlfn.XLOOKUP(JLB$11,Assumptions!$B$35:$H$35,_xlfn.XLOOKUP($C28,Assumptions!$B$36:$B$41,Assumptions!$B$36:$H$41))</f>
        <v>0</v>
      </c>
      <c r="JLC28">
        <f t="array" ref="JLC28">_xlfn.XLOOKUP(JLC$11,Assumptions!$B$35:$H$35,_xlfn.XLOOKUP($C28,Assumptions!$B$36:$B$41,Assumptions!$B$36:$H$41))</f>
        <v>0</v>
      </c>
      <c r="JLD28">
        <f t="array" ref="JLD28">_xlfn.XLOOKUP(JLD$11,Assumptions!$B$35:$H$35,_xlfn.XLOOKUP($C28,Assumptions!$B$36:$B$41,Assumptions!$B$36:$H$41))</f>
        <v>0</v>
      </c>
      <c r="JLE28">
        <f t="array" ref="JLE28">_xlfn.XLOOKUP(JLE$11,Assumptions!$B$35:$H$35,_xlfn.XLOOKUP($C28,Assumptions!$B$36:$B$41,Assumptions!$B$36:$H$41))</f>
        <v>0</v>
      </c>
      <c r="JLF28">
        <f t="array" ref="JLF28">_xlfn.XLOOKUP(JLF$11,Assumptions!$B$35:$H$35,_xlfn.XLOOKUP($C28,Assumptions!$B$36:$B$41,Assumptions!$B$36:$H$41))</f>
        <v>0</v>
      </c>
      <c r="JLG28">
        <f t="array" ref="JLG28">_xlfn.XLOOKUP(JLG$11,Assumptions!$B$35:$H$35,_xlfn.XLOOKUP($C28,Assumptions!$B$36:$B$41,Assumptions!$B$36:$H$41))</f>
        <v>0</v>
      </c>
      <c r="JLH28">
        <f t="array" ref="JLH28">_xlfn.XLOOKUP(JLH$11,Assumptions!$B$35:$H$35,_xlfn.XLOOKUP($C28,Assumptions!$B$36:$B$41,Assumptions!$B$36:$H$41))</f>
        <v>0</v>
      </c>
      <c r="JLI28">
        <f t="array" ref="JLI28">_xlfn.XLOOKUP(JLI$11,Assumptions!$B$35:$H$35,_xlfn.XLOOKUP($C28,Assumptions!$B$36:$B$41,Assumptions!$B$36:$H$41))</f>
        <v>0</v>
      </c>
      <c r="JLJ28">
        <f t="array" ref="JLJ28">_xlfn.XLOOKUP(JLJ$11,Assumptions!$B$35:$H$35,_xlfn.XLOOKUP($C28,Assumptions!$B$36:$B$41,Assumptions!$B$36:$H$41))</f>
        <v>0</v>
      </c>
      <c r="JLK28">
        <f t="array" ref="JLK28">_xlfn.XLOOKUP(JLK$11,Assumptions!$B$35:$H$35,_xlfn.XLOOKUP($C28,Assumptions!$B$36:$B$41,Assumptions!$B$36:$H$41))</f>
        <v>0</v>
      </c>
      <c r="JLL28">
        <f t="array" ref="JLL28">_xlfn.XLOOKUP(JLL$11,Assumptions!$B$35:$H$35,_xlfn.XLOOKUP($C28,Assumptions!$B$36:$B$41,Assumptions!$B$36:$H$41))</f>
        <v>0</v>
      </c>
      <c r="JLM28">
        <f t="array" ref="JLM28">_xlfn.XLOOKUP(JLM$11,Assumptions!$B$35:$H$35,_xlfn.XLOOKUP($C28,Assumptions!$B$36:$B$41,Assumptions!$B$36:$H$41))</f>
        <v>0</v>
      </c>
      <c r="JLN28">
        <f t="array" ref="JLN28">_xlfn.XLOOKUP(JLN$11,Assumptions!$B$35:$H$35,_xlfn.XLOOKUP($C28,Assumptions!$B$36:$B$41,Assumptions!$B$36:$H$41))</f>
        <v>0</v>
      </c>
      <c r="JLO28">
        <f t="array" ref="JLO28">_xlfn.XLOOKUP(JLO$11,Assumptions!$B$35:$H$35,_xlfn.XLOOKUP($C28,Assumptions!$B$36:$B$41,Assumptions!$B$36:$H$41))</f>
        <v>0</v>
      </c>
      <c r="JLP28">
        <f t="array" ref="JLP28">_xlfn.XLOOKUP(JLP$11,Assumptions!$B$35:$H$35,_xlfn.XLOOKUP($C28,Assumptions!$B$36:$B$41,Assumptions!$B$36:$H$41))</f>
        <v>0</v>
      </c>
      <c r="JLQ28">
        <f t="array" ref="JLQ28">_xlfn.XLOOKUP(JLQ$11,Assumptions!$B$35:$H$35,_xlfn.XLOOKUP($C28,Assumptions!$B$36:$B$41,Assumptions!$B$36:$H$41))</f>
        <v>0</v>
      </c>
      <c r="JLR28">
        <f t="array" ref="JLR28">_xlfn.XLOOKUP(JLR$11,Assumptions!$B$35:$H$35,_xlfn.XLOOKUP($C28,Assumptions!$B$36:$B$41,Assumptions!$B$36:$H$41))</f>
        <v>0</v>
      </c>
      <c r="JLS28">
        <f t="array" ref="JLS28">_xlfn.XLOOKUP(JLS$11,Assumptions!$B$35:$H$35,_xlfn.XLOOKUP($C28,Assumptions!$B$36:$B$41,Assumptions!$B$36:$H$41))</f>
        <v>0</v>
      </c>
      <c r="JLT28">
        <f t="array" ref="JLT28">_xlfn.XLOOKUP(JLT$11,Assumptions!$B$35:$H$35,_xlfn.XLOOKUP($C28,Assumptions!$B$36:$B$41,Assumptions!$B$36:$H$41))</f>
        <v>0</v>
      </c>
      <c r="JLU28">
        <f t="array" ref="JLU28">_xlfn.XLOOKUP(JLU$11,Assumptions!$B$35:$H$35,_xlfn.XLOOKUP($C28,Assumptions!$B$36:$B$41,Assumptions!$B$36:$H$41))</f>
        <v>0</v>
      </c>
      <c r="JLV28">
        <f t="array" ref="JLV28">_xlfn.XLOOKUP(JLV$11,Assumptions!$B$35:$H$35,_xlfn.XLOOKUP($C28,Assumptions!$B$36:$B$41,Assumptions!$B$36:$H$41))</f>
        <v>0</v>
      </c>
      <c r="JLW28">
        <f t="array" ref="JLW28">_xlfn.XLOOKUP(JLW$11,Assumptions!$B$35:$H$35,_xlfn.XLOOKUP($C28,Assumptions!$B$36:$B$41,Assumptions!$B$36:$H$41))</f>
        <v>0</v>
      </c>
      <c r="JLX28">
        <f t="array" ref="JLX28">_xlfn.XLOOKUP(JLX$11,Assumptions!$B$35:$H$35,_xlfn.XLOOKUP($C28,Assumptions!$B$36:$B$41,Assumptions!$B$36:$H$41))</f>
        <v>0</v>
      </c>
      <c r="JLY28">
        <f t="array" ref="JLY28">_xlfn.XLOOKUP(JLY$11,Assumptions!$B$35:$H$35,_xlfn.XLOOKUP($C28,Assumptions!$B$36:$B$41,Assumptions!$B$36:$H$41))</f>
        <v>0</v>
      </c>
      <c r="JLZ28">
        <f t="array" ref="JLZ28">_xlfn.XLOOKUP(JLZ$11,Assumptions!$B$35:$H$35,_xlfn.XLOOKUP($C28,Assumptions!$B$36:$B$41,Assumptions!$B$36:$H$41))</f>
        <v>0</v>
      </c>
      <c r="JMA28">
        <f t="array" ref="JMA28">_xlfn.XLOOKUP(JMA$11,Assumptions!$B$35:$H$35,_xlfn.XLOOKUP($C28,Assumptions!$B$36:$B$41,Assumptions!$B$36:$H$41))</f>
        <v>0</v>
      </c>
      <c r="JMB28">
        <f t="array" ref="JMB28">_xlfn.XLOOKUP(JMB$11,Assumptions!$B$35:$H$35,_xlfn.XLOOKUP($C28,Assumptions!$B$36:$B$41,Assumptions!$B$36:$H$41))</f>
        <v>0</v>
      </c>
      <c r="JMC28">
        <f t="array" ref="JMC28">_xlfn.XLOOKUP(JMC$11,Assumptions!$B$35:$H$35,_xlfn.XLOOKUP($C28,Assumptions!$B$36:$B$41,Assumptions!$B$36:$H$41))</f>
        <v>0</v>
      </c>
      <c r="JMD28">
        <f t="array" ref="JMD28">_xlfn.XLOOKUP(JMD$11,Assumptions!$B$35:$H$35,_xlfn.XLOOKUP($C28,Assumptions!$B$36:$B$41,Assumptions!$B$36:$H$41))</f>
        <v>0</v>
      </c>
      <c r="JME28">
        <f t="array" ref="JME28">_xlfn.XLOOKUP(JME$11,Assumptions!$B$35:$H$35,_xlfn.XLOOKUP($C28,Assumptions!$B$36:$B$41,Assumptions!$B$36:$H$41))</f>
        <v>0</v>
      </c>
      <c r="JMF28">
        <f t="array" ref="JMF28">_xlfn.XLOOKUP(JMF$11,Assumptions!$B$35:$H$35,_xlfn.XLOOKUP($C28,Assumptions!$B$36:$B$41,Assumptions!$B$36:$H$41))</f>
        <v>0</v>
      </c>
      <c r="JMG28">
        <f t="array" ref="JMG28">_xlfn.XLOOKUP(JMG$11,Assumptions!$B$35:$H$35,_xlfn.XLOOKUP($C28,Assumptions!$B$36:$B$41,Assumptions!$B$36:$H$41))</f>
        <v>0</v>
      </c>
      <c r="JMH28">
        <f t="array" ref="JMH28">_xlfn.XLOOKUP(JMH$11,Assumptions!$B$35:$H$35,_xlfn.XLOOKUP($C28,Assumptions!$B$36:$B$41,Assumptions!$B$36:$H$41))</f>
        <v>0</v>
      </c>
      <c r="JMI28">
        <f t="array" ref="JMI28">_xlfn.XLOOKUP(JMI$11,Assumptions!$B$35:$H$35,_xlfn.XLOOKUP($C28,Assumptions!$B$36:$B$41,Assumptions!$B$36:$H$41))</f>
        <v>0</v>
      </c>
      <c r="JMJ28">
        <f t="array" ref="JMJ28">_xlfn.XLOOKUP(JMJ$11,Assumptions!$B$35:$H$35,_xlfn.XLOOKUP($C28,Assumptions!$B$36:$B$41,Assumptions!$B$36:$H$41))</f>
        <v>0</v>
      </c>
      <c r="JMK28">
        <f t="array" ref="JMK28">_xlfn.XLOOKUP(JMK$11,Assumptions!$B$35:$H$35,_xlfn.XLOOKUP($C28,Assumptions!$B$36:$B$41,Assumptions!$B$36:$H$41))</f>
        <v>0</v>
      </c>
      <c r="JML28">
        <f t="array" ref="JML28">_xlfn.XLOOKUP(JML$11,Assumptions!$B$35:$H$35,_xlfn.XLOOKUP($C28,Assumptions!$B$36:$B$41,Assumptions!$B$36:$H$41))</f>
        <v>0</v>
      </c>
      <c r="JMM28">
        <f t="array" ref="JMM28">_xlfn.XLOOKUP(JMM$11,Assumptions!$B$35:$H$35,_xlfn.XLOOKUP($C28,Assumptions!$B$36:$B$41,Assumptions!$B$36:$H$41))</f>
        <v>0</v>
      </c>
      <c r="JMN28">
        <f t="array" ref="JMN28">_xlfn.XLOOKUP(JMN$11,Assumptions!$B$35:$H$35,_xlfn.XLOOKUP($C28,Assumptions!$B$36:$B$41,Assumptions!$B$36:$H$41))</f>
        <v>0</v>
      </c>
      <c r="JMO28">
        <f t="array" ref="JMO28">_xlfn.XLOOKUP(JMO$11,Assumptions!$B$35:$H$35,_xlfn.XLOOKUP($C28,Assumptions!$B$36:$B$41,Assumptions!$B$36:$H$41))</f>
        <v>0</v>
      </c>
      <c r="JMP28">
        <f t="array" ref="JMP28">_xlfn.XLOOKUP(JMP$11,Assumptions!$B$35:$H$35,_xlfn.XLOOKUP($C28,Assumptions!$B$36:$B$41,Assumptions!$B$36:$H$41))</f>
        <v>0</v>
      </c>
      <c r="JMQ28">
        <f t="array" ref="JMQ28">_xlfn.XLOOKUP(JMQ$11,Assumptions!$B$35:$H$35,_xlfn.XLOOKUP($C28,Assumptions!$B$36:$B$41,Assumptions!$B$36:$H$41))</f>
        <v>0</v>
      </c>
      <c r="JMR28">
        <f t="array" ref="JMR28">_xlfn.XLOOKUP(JMR$11,Assumptions!$B$35:$H$35,_xlfn.XLOOKUP($C28,Assumptions!$B$36:$B$41,Assumptions!$B$36:$H$41))</f>
        <v>0</v>
      </c>
      <c r="JMS28">
        <f t="array" ref="JMS28">_xlfn.XLOOKUP(JMS$11,Assumptions!$B$35:$H$35,_xlfn.XLOOKUP($C28,Assumptions!$B$36:$B$41,Assumptions!$B$36:$H$41))</f>
        <v>0</v>
      </c>
      <c r="JMT28">
        <f t="array" ref="JMT28">_xlfn.XLOOKUP(JMT$11,Assumptions!$B$35:$H$35,_xlfn.XLOOKUP($C28,Assumptions!$B$36:$B$41,Assumptions!$B$36:$H$41))</f>
        <v>0</v>
      </c>
      <c r="JMU28">
        <f t="array" ref="JMU28">_xlfn.XLOOKUP(JMU$11,Assumptions!$B$35:$H$35,_xlfn.XLOOKUP($C28,Assumptions!$B$36:$B$41,Assumptions!$B$36:$H$41))</f>
        <v>0</v>
      </c>
      <c r="JMV28">
        <f t="array" ref="JMV28">_xlfn.XLOOKUP(JMV$11,Assumptions!$B$35:$H$35,_xlfn.XLOOKUP($C28,Assumptions!$B$36:$B$41,Assumptions!$B$36:$H$41))</f>
        <v>0</v>
      </c>
      <c r="JMW28">
        <f t="array" ref="JMW28">_xlfn.XLOOKUP(JMW$11,Assumptions!$B$35:$H$35,_xlfn.XLOOKUP($C28,Assumptions!$B$36:$B$41,Assumptions!$B$36:$H$41))</f>
        <v>0</v>
      </c>
      <c r="JMX28">
        <f t="array" ref="JMX28">_xlfn.XLOOKUP(JMX$11,Assumptions!$B$35:$H$35,_xlfn.XLOOKUP($C28,Assumptions!$B$36:$B$41,Assumptions!$B$36:$H$41))</f>
        <v>0</v>
      </c>
      <c r="JMY28">
        <f t="array" ref="JMY28">_xlfn.XLOOKUP(JMY$11,Assumptions!$B$35:$H$35,_xlfn.XLOOKUP($C28,Assumptions!$B$36:$B$41,Assumptions!$B$36:$H$41))</f>
        <v>0</v>
      </c>
      <c r="JMZ28">
        <f t="array" ref="JMZ28">_xlfn.XLOOKUP(JMZ$11,Assumptions!$B$35:$H$35,_xlfn.XLOOKUP($C28,Assumptions!$B$36:$B$41,Assumptions!$B$36:$H$41))</f>
        <v>0</v>
      </c>
      <c r="JNA28">
        <f t="array" ref="JNA28">_xlfn.XLOOKUP(JNA$11,Assumptions!$B$35:$H$35,_xlfn.XLOOKUP($C28,Assumptions!$B$36:$B$41,Assumptions!$B$36:$H$41))</f>
        <v>0</v>
      </c>
      <c r="JNB28">
        <f t="array" ref="JNB28">_xlfn.XLOOKUP(JNB$11,Assumptions!$B$35:$H$35,_xlfn.XLOOKUP($C28,Assumptions!$B$36:$B$41,Assumptions!$B$36:$H$41))</f>
        <v>0</v>
      </c>
      <c r="JNC28">
        <f t="array" ref="JNC28">_xlfn.XLOOKUP(JNC$11,Assumptions!$B$35:$H$35,_xlfn.XLOOKUP($C28,Assumptions!$B$36:$B$41,Assumptions!$B$36:$H$41))</f>
        <v>0</v>
      </c>
      <c r="JND28">
        <f t="array" ref="JND28">_xlfn.XLOOKUP(JND$11,Assumptions!$B$35:$H$35,_xlfn.XLOOKUP($C28,Assumptions!$B$36:$B$41,Assumptions!$B$36:$H$41))</f>
        <v>0</v>
      </c>
      <c r="JNE28">
        <f t="array" ref="JNE28">_xlfn.XLOOKUP(JNE$11,Assumptions!$B$35:$H$35,_xlfn.XLOOKUP($C28,Assumptions!$B$36:$B$41,Assumptions!$B$36:$H$41))</f>
        <v>0</v>
      </c>
      <c r="JNF28">
        <f t="array" ref="JNF28">_xlfn.XLOOKUP(JNF$11,Assumptions!$B$35:$H$35,_xlfn.XLOOKUP($C28,Assumptions!$B$36:$B$41,Assumptions!$B$36:$H$41))</f>
        <v>0</v>
      </c>
      <c r="JNG28">
        <f t="array" ref="JNG28">_xlfn.XLOOKUP(JNG$11,Assumptions!$B$35:$H$35,_xlfn.XLOOKUP($C28,Assumptions!$B$36:$B$41,Assumptions!$B$36:$H$41))</f>
        <v>0</v>
      </c>
      <c r="JNH28">
        <f t="array" ref="JNH28">_xlfn.XLOOKUP(JNH$11,Assumptions!$B$35:$H$35,_xlfn.XLOOKUP($C28,Assumptions!$B$36:$B$41,Assumptions!$B$36:$H$41))</f>
        <v>0</v>
      </c>
      <c r="JNI28">
        <f t="array" ref="JNI28">_xlfn.XLOOKUP(JNI$11,Assumptions!$B$35:$H$35,_xlfn.XLOOKUP($C28,Assumptions!$B$36:$B$41,Assumptions!$B$36:$H$41))</f>
        <v>0</v>
      </c>
      <c r="JNJ28">
        <f t="array" ref="JNJ28">_xlfn.XLOOKUP(JNJ$11,Assumptions!$B$35:$H$35,_xlfn.XLOOKUP($C28,Assumptions!$B$36:$B$41,Assumptions!$B$36:$H$41))</f>
        <v>0</v>
      </c>
      <c r="JNK28">
        <f t="array" ref="JNK28">_xlfn.XLOOKUP(JNK$11,Assumptions!$B$35:$H$35,_xlfn.XLOOKUP($C28,Assumptions!$B$36:$B$41,Assumptions!$B$36:$H$41))</f>
        <v>0</v>
      </c>
      <c r="JNL28">
        <f t="array" ref="JNL28">_xlfn.XLOOKUP(JNL$11,Assumptions!$B$35:$H$35,_xlfn.XLOOKUP($C28,Assumptions!$B$36:$B$41,Assumptions!$B$36:$H$41))</f>
        <v>0</v>
      </c>
      <c r="JNM28">
        <f t="array" ref="JNM28">_xlfn.XLOOKUP(JNM$11,Assumptions!$B$35:$H$35,_xlfn.XLOOKUP($C28,Assumptions!$B$36:$B$41,Assumptions!$B$36:$H$41))</f>
        <v>0</v>
      </c>
      <c r="JNN28">
        <f t="array" ref="JNN28">_xlfn.XLOOKUP(JNN$11,Assumptions!$B$35:$H$35,_xlfn.XLOOKUP($C28,Assumptions!$B$36:$B$41,Assumptions!$B$36:$H$41))</f>
        <v>0</v>
      </c>
      <c r="JNO28">
        <f t="array" ref="JNO28">_xlfn.XLOOKUP(JNO$11,Assumptions!$B$35:$H$35,_xlfn.XLOOKUP($C28,Assumptions!$B$36:$B$41,Assumptions!$B$36:$H$41))</f>
        <v>0</v>
      </c>
      <c r="JNP28">
        <f t="array" ref="JNP28">_xlfn.XLOOKUP(JNP$11,Assumptions!$B$35:$H$35,_xlfn.XLOOKUP($C28,Assumptions!$B$36:$B$41,Assumptions!$B$36:$H$41))</f>
        <v>0</v>
      </c>
      <c r="JNQ28">
        <f t="array" ref="JNQ28">_xlfn.XLOOKUP(JNQ$11,Assumptions!$B$35:$H$35,_xlfn.XLOOKUP($C28,Assumptions!$B$36:$B$41,Assumptions!$B$36:$H$41))</f>
        <v>0</v>
      </c>
      <c r="JNR28">
        <f t="array" ref="JNR28">_xlfn.XLOOKUP(JNR$11,Assumptions!$B$35:$H$35,_xlfn.XLOOKUP($C28,Assumptions!$B$36:$B$41,Assumptions!$B$36:$H$41))</f>
        <v>0</v>
      </c>
      <c r="JNS28">
        <f t="array" ref="JNS28">_xlfn.XLOOKUP(JNS$11,Assumptions!$B$35:$H$35,_xlfn.XLOOKUP($C28,Assumptions!$B$36:$B$41,Assumptions!$B$36:$H$41))</f>
        <v>0</v>
      </c>
      <c r="JNT28">
        <f t="array" ref="JNT28">_xlfn.XLOOKUP(JNT$11,Assumptions!$B$35:$H$35,_xlfn.XLOOKUP($C28,Assumptions!$B$36:$B$41,Assumptions!$B$36:$H$41))</f>
        <v>0</v>
      </c>
      <c r="JNU28">
        <f t="array" ref="JNU28">_xlfn.XLOOKUP(JNU$11,Assumptions!$B$35:$H$35,_xlfn.XLOOKUP($C28,Assumptions!$B$36:$B$41,Assumptions!$B$36:$H$41))</f>
        <v>0</v>
      </c>
      <c r="JNV28">
        <f t="array" ref="JNV28">_xlfn.XLOOKUP(JNV$11,Assumptions!$B$35:$H$35,_xlfn.XLOOKUP($C28,Assumptions!$B$36:$B$41,Assumptions!$B$36:$H$41))</f>
        <v>0</v>
      </c>
      <c r="JNW28">
        <f t="array" ref="JNW28">_xlfn.XLOOKUP(JNW$11,Assumptions!$B$35:$H$35,_xlfn.XLOOKUP($C28,Assumptions!$B$36:$B$41,Assumptions!$B$36:$H$41))</f>
        <v>0</v>
      </c>
      <c r="JNX28">
        <f t="array" ref="JNX28">_xlfn.XLOOKUP(JNX$11,Assumptions!$B$35:$H$35,_xlfn.XLOOKUP($C28,Assumptions!$B$36:$B$41,Assumptions!$B$36:$H$41))</f>
        <v>0</v>
      </c>
      <c r="JNY28">
        <f t="array" ref="JNY28">_xlfn.XLOOKUP(JNY$11,Assumptions!$B$35:$H$35,_xlfn.XLOOKUP($C28,Assumptions!$B$36:$B$41,Assumptions!$B$36:$H$41))</f>
        <v>0</v>
      </c>
      <c r="JNZ28">
        <f t="array" ref="JNZ28">_xlfn.XLOOKUP(JNZ$11,Assumptions!$B$35:$H$35,_xlfn.XLOOKUP($C28,Assumptions!$B$36:$B$41,Assumptions!$B$36:$H$41))</f>
        <v>0</v>
      </c>
      <c r="JOA28">
        <f t="array" ref="JOA28">_xlfn.XLOOKUP(JOA$11,Assumptions!$B$35:$H$35,_xlfn.XLOOKUP($C28,Assumptions!$B$36:$B$41,Assumptions!$B$36:$H$41))</f>
        <v>0</v>
      </c>
      <c r="JOB28">
        <f t="array" ref="JOB28">_xlfn.XLOOKUP(JOB$11,Assumptions!$B$35:$H$35,_xlfn.XLOOKUP($C28,Assumptions!$B$36:$B$41,Assumptions!$B$36:$H$41))</f>
        <v>0</v>
      </c>
      <c r="JOC28">
        <f t="array" ref="JOC28">_xlfn.XLOOKUP(JOC$11,Assumptions!$B$35:$H$35,_xlfn.XLOOKUP($C28,Assumptions!$B$36:$B$41,Assumptions!$B$36:$H$41))</f>
        <v>0</v>
      </c>
      <c r="JOD28">
        <f t="array" ref="JOD28">_xlfn.XLOOKUP(JOD$11,Assumptions!$B$35:$H$35,_xlfn.XLOOKUP($C28,Assumptions!$B$36:$B$41,Assumptions!$B$36:$H$41))</f>
        <v>0</v>
      </c>
      <c r="JOE28">
        <f t="array" ref="JOE28">_xlfn.XLOOKUP(JOE$11,Assumptions!$B$35:$H$35,_xlfn.XLOOKUP($C28,Assumptions!$B$36:$B$41,Assumptions!$B$36:$H$41))</f>
        <v>0</v>
      </c>
      <c r="JOF28">
        <f t="array" ref="JOF28">_xlfn.XLOOKUP(JOF$11,Assumptions!$B$35:$H$35,_xlfn.XLOOKUP($C28,Assumptions!$B$36:$B$41,Assumptions!$B$36:$H$41))</f>
        <v>0</v>
      </c>
      <c r="JOG28">
        <f t="array" ref="JOG28">_xlfn.XLOOKUP(JOG$11,Assumptions!$B$35:$H$35,_xlfn.XLOOKUP($C28,Assumptions!$B$36:$B$41,Assumptions!$B$36:$H$41))</f>
        <v>0</v>
      </c>
      <c r="JOH28">
        <f t="array" ref="JOH28">_xlfn.XLOOKUP(JOH$11,Assumptions!$B$35:$H$35,_xlfn.XLOOKUP($C28,Assumptions!$B$36:$B$41,Assumptions!$B$36:$H$41))</f>
        <v>0</v>
      </c>
      <c r="JOI28">
        <f t="array" ref="JOI28">_xlfn.XLOOKUP(JOI$11,Assumptions!$B$35:$H$35,_xlfn.XLOOKUP($C28,Assumptions!$B$36:$B$41,Assumptions!$B$36:$H$41))</f>
        <v>0</v>
      </c>
      <c r="JOJ28">
        <f t="array" ref="JOJ28">_xlfn.XLOOKUP(JOJ$11,Assumptions!$B$35:$H$35,_xlfn.XLOOKUP($C28,Assumptions!$B$36:$B$41,Assumptions!$B$36:$H$41))</f>
        <v>0</v>
      </c>
      <c r="JOK28">
        <f t="array" ref="JOK28">_xlfn.XLOOKUP(JOK$11,Assumptions!$B$35:$H$35,_xlfn.XLOOKUP($C28,Assumptions!$B$36:$B$41,Assumptions!$B$36:$H$41))</f>
        <v>0</v>
      </c>
      <c r="JOL28">
        <f t="array" ref="JOL28">_xlfn.XLOOKUP(JOL$11,Assumptions!$B$35:$H$35,_xlfn.XLOOKUP($C28,Assumptions!$B$36:$B$41,Assumptions!$B$36:$H$41))</f>
        <v>0</v>
      </c>
      <c r="JOM28">
        <f t="array" ref="JOM28">_xlfn.XLOOKUP(JOM$11,Assumptions!$B$35:$H$35,_xlfn.XLOOKUP($C28,Assumptions!$B$36:$B$41,Assumptions!$B$36:$H$41))</f>
        <v>0</v>
      </c>
      <c r="JON28">
        <f t="array" ref="JON28">_xlfn.XLOOKUP(JON$11,Assumptions!$B$35:$H$35,_xlfn.XLOOKUP($C28,Assumptions!$B$36:$B$41,Assumptions!$B$36:$H$41))</f>
        <v>0</v>
      </c>
      <c r="JOO28">
        <f t="array" ref="JOO28">_xlfn.XLOOKUP(JOO$11,Assumptions!$B$35:$H$35,_xlfn.XLOOKUP($C28,Assumptions!$B$36:$B$41,Assumptions!$B$36:$H$41))</f>
        <v>0</v>
      </c>
      <c r="JOP28">
        <f t="array" ref="JOP28">_xlfn.XLOOKUP(JOP$11,Assumptions!$B$35:$H$35,_xlfn.XLOOKUP($C28,Assumptions!$B$36:$B$41,Assumptions!$B$36:$H$41))</f>
        <v>0</v>
      </c>
      <c r="JOQ28">
        <f t="array" ref="JOQ28">_xlfn.XLOOKUP(JOQ$11,Assumptions!$B$35:$H$35,_xlfn.XLOOKUP($C28,Assumptions!$B$36:$B$41,Assumptions!$B$36:$H$41))</f>
        <v>0</v>
      </c>
      <c r="JOR28">
        <f t="array" ref="JOR28">_xlfn.XLOOKUP(JOR$11,Assumptions!$B$35:$H$35,_xlfn.XLOOKUP($C28,Assumptions!$B$36:$B$41,Assumptions!$B$36:$H$41))</f>
        <v>0</v>
      </c>
      <c r="JOS28">
        <f t="array" ref="JOS28">_xlfn.XLOOKUP(JOS$11,Assumptions!$B$35:$H$35,_xlfn.XLOOKUP($C28,Assumptions!$B$36:$B$41,Assumptions!$B$36:$H$41))</f>
        <v>0</v>
      </c>
      <c r="JOT28">
        <f t="array" ref="JOT28">_xlfn.XLOOKUP(JOT$11,Assumptions!$B$35:$H$35,_xlfn.XLOOKUP($C28,Assumptions!$B$36:$B$41,Assumptions!$B$36:$H$41))</f>
        <v>0</v>
      </c>
      <c r="JOU28">
        <f t="array" ref="JOU28">_xlfn.XLOOKUP(JOU$11,Assumptions!$B$35:$H$35,_xlfn.XLOOKUP($C28,Assumptions!$B$36:$B$41,Assumptions!$B$36:$H$41))</f>
        <v>0</v>
      </c>
      <c r="JOV28">
        <f t="array" ref="JOV28">_xlfn.XLOOKUP(JOV$11,Assumptions!$B$35:$H$35,_xlfn.XLOOKUP($C28,Assumptions!$B$36:$B$41,Assumptions!$B$36:$H$41))</f>
        <v>0</v>
      </c>
      <c r="JOW28">
        <f t="array" ref="JOW28">_xlfn.XLOOKUP(JOW$11,Assumptions!$B$35:$H$35,_xlfn.XLOOKUP($C28,Assumptions!$B$36:$B$41,Assumptions!$B$36:$H$41))</f>
        <v>0</v>
      </c>
      <c r="JOX28">
        <f t="array" ref="JOX28">_xlfn.XLOOKUP(JOX$11,Assumptions!$B$35:$H$35,_xlfn.XLOOKUP($C28,Assumptions!$B$36:$B$41,Assumptions!$B$36:$H$41))</f>
        <v>0</v>
      </c>
      <c r="JOY28">
        <f t="array" ref="JOY28">_xlfn.XLOOKUP(JOY$11,Assumptions!$B$35:$H$35,_xlfn.XLOOKUP($C28,Assumptions!$B$36:$B$41,Assumptions!$B$36:$H$41))</f>
        <v>0</v>
      </c>
      <c r="JOZ28">
        <f t="array" ref="JOZ28">_xlfn.XLOOKUP(JOZ$11,Assumptions!$B$35:$H$35,_xlfn.XLOOKUP($C28,Assumptions!$B$36:$B$41,Assumptions!$B$36:$H$41))</f>
        <v>0</v>
      </c>
      <c r="JPA28">
        <f t="array" ref="JPA28">_xlfn.XLOOKUP(JPA$11,Assumptions!$B$35:$H$35,_xlfn.XLOOKUP($C28,Assumptions!$B$36:$B$41,Assumptions!$B$36:$H$41))</f>
        <v>0</v>
      </c>
      <c r="JPB28">
        <f t="array" ref="JPB28">_xlfn.XLOOKUP(JPB$11,Assumptions!$B$35:$H$35,_xlfn.XLOOKUP($C28,Assumptions!$B$36:$B$41,Assumptions!$B$36:$H$41))</f>
        <v>0</v>
      </c>
      <c r="JPC28">
        <f t="array" ref="JPC28">_xlfn.XLOOKUP(JPC$11,Assumptions!$B$35:$H$35,_xlfn.XLOOKUP($C28,Assumptions!$B$36:$B$41,Assumptions!$B$36:$H$41))</f>
        <v>0</v>
      </c>
      <c r="JPD28">
        <f t="array" ref="JPD28">_xlfn.XLOOKUP(JPD$11,Assumptions!$B$35:$H$35,_xlfn.XLOOKUP($C28,Assumptions!$B$36:$B$41,Assumptions!$B$36:$H$41))</f>
        <v>0</v>
      </c>
      <c r="JPE28">
        <f t="array" ref="JPE28">_xlfn.XLOOKUP(JPE$11,Assumptions!$B$35:$H$35,_xlfn.XLOOKUP($C28,Assumptions!$B$36:$B$41,Assumptions!$B$36:$H$41))</f>
        <v>0</v>
      </c>
      <c r="JPF28">
        <f t="array" ref="JPF28">_xlfn.XLOOKUP(JPF$11,Assumptions!$B$35:$H$35,_xlfn.XLOOKUP($C28,Assumptions!$B$36:$B$41,Assumptions!$B$36:$H$41))</f>
        <v>0</v>
      </c>
      <c r="JPG28">
        <f t="array" ref="JPG28">_xlfn.XLOOKUP(JPG$11,Assumptions!$B$35:$H$35,_xlfn.XLOOKUP($C28,Assumptions!$B$36:$B$41,Assumptions!$B$36:$H$41))</f>
        <v>0</v>
      </c>
      <c r="JPH28">
        <f t="array" ref="JPH28">_xlfn.XLOOKUP(JPH$11,Assumptions!$B$35:$H$35,_xlfn.XLOOKUP($C28,Assumptions!$B$36:$B$41,Assumptions!$B$36:$H$41))</f>
        <v>0</v>
      </c>
      <c r="JPI28">
        <f t="array" ref="JPI28">_xlfn.XLOOKUP(JPI$11,Assumptions!$B$35:$H$35,_xlfn.XLOOKUP($C28,Assumptions!$B$36:$B$41,Assumptions!$B$36:$H$41))</f>
        <v>0</v>
      </c>
      <c r="JPJ28">
        <f t="array" ref="JPJ28">_xlfn.XLOOKUP(JPJ$11,Assumptions!$B$35:$H$35,_xlfn.XLOOKUP($C28,Assumptions!$B$36:$B$41,Assumptions!$B$36:$H$41))</f>
        <v>0</v>
      </c>
      <c r="JPK28">
        <f t="array" ref="JPK28">_xlfn.XLOOKUP(JPK$11,Assumptions!$B$35:$H$35,_xlfn.XLOOKUP($C28,Assumptions!$B$36:$B$41,Assumptions!$B$36:$H$41))</f>
        <v>0</v>
      </c>
      <c r="JPL28">
        <f t="array" ref="JPL28">_xlfn.XLOOKUP(JPL$11,Assumptions!$B$35:$H$35,_xlfn.XLOOKUP($C28,Assumptions!$B$36:$B$41,Assumptions!$B$36:$H$41))</f>
        <v>0</v>
      </c>
      <c r="JPM28">
        <f t="array" ref="JPM28">_xlfn.XLOOKUP(JPM$11,Assumptions!$B$35:$H$35,_xlfn.XLOOKUP($C28,Assumptions!$B$36:$B$41,Assumptions!$B$36:$H$41))</f>
        <v>0</v>
      </c>
      <c r="JPN28">
        <f t="array" ref="JPN28">_xlfn.XLOOKUP(JPN$11,Assumptions!$B$35:$H$35,_xlfn.XLOOKUP($C28,Assumptions!$B$36:$B$41,Assumptions!$B$36:$H$41))</f>
        <v>0</v>
      </c>
      <c r="JPO28">
        <f t="array" ref="JPO28">_xlfn.XLOOKUP(JPO$11,Assumptions!$B$35:$H$35,_xlfn.XLOOKUP($C28,Assumptions!$B$36:$B$41,Assumptions!$B$36:$H$41))</f>
        <v>0</v>
      </c>
      <c r="JPP28">
        <f t="array" ref="JPP28">_xlfn.XLOOKUP(JPP$11,Assumptions!$B$35:$H$35,_xlfn.XLOOKUP($C28,Assumptions!$B$36:$B$41,Assumptions!$B$36:$H$41))</f>
        <v>0</v>
      </c>
      <c r="JPQ28">
        <f t="array" ref="JPQ28">_xlfn.XLOOKUP(JPQ$11,Assumptions!$B$35:$H$35,_xlfn.XLOOKUP($C28,Assumptions!$B$36:$B$41,Assumptions!$B$36:$H$41))</f>
        <v>0</v>
      </c>
      <c r="JPR28">
        <f t="array" ref="JPR28">_xlfn.XLOOKUP(JPR$11,Assumptions!$B$35:$H$35,_xlfn.XLOOKUP($C28,Assumptions!$B$36:$B$41,Assumptions!$B$36:$H$41))</f>
        <v>0</v>
      </c>
      <c r="JPS28">
        <f t="array" ref="JPS28">_xlfn.XLOOKUP(JPS$11,Assumptions!$B$35:$H$35,_xlfn.XLOOKUP($C28,Assumptions!$B$36:$B$41,Assumptions!$B$36:$H$41))</f>
        <v>0</v>
      </c>
      <c r="JPT28">
        <f t="array" ref="JPT28">_xlfn.XLOOKUP(JPT$11,Assumptions!$B$35:$H$35,_xlfn.XLOOKUP($C28,Assumptions!$B$36:$B$41,Assumptions!$B$36:$H$41))</f>
        <v>0</v>
      </c>
      <c r="JPU28">
        <f t="array" ref="JPU28">_xlfn.XLOOKUP(JPU$11,Assumptions!$B$35:$H$35,_xlfn.XLOOKUP($C28,Assumptions!$B$36:$B$41,Assumptions!$B$36:$H$41))</f>
        <v>0</v>
      </c>
      <c r="JPV28">
        <f t="array" ref="JPV28">_xlfn.XLOOKUP(JPV$11,Assumptions!$B$35:$H$35,_xlfn.XLOOKUP($C28,Assumptions!$B$36:$B$41,Assumptions!$B$36:$H$41))</f>
        <v>0</v>
      </c>
      <c r="JPW28">
        <f t="array" ref="JPW28">_xlfn.XLOOKUP(JPW$11,Assumptions!$B$35:$H$35,_xlfn.XLOOKUP($C28,Assumptions!$B$36:$B$41,Assumptions!$B$36:$H$41))</f>
        <v>0</v>
      </c>
      <c r="JPX28">
        <f t="array" ref="JPX28">_xlfn.XLOOKUP(JPX$11,Assumptions!$B$35:$H$35,_xlfn.XLOOKUP($C28,Assumptions!$B$36:$B$41,Assumptions!$B$36:$H$41))</f>
        <v>0</v>
      </c>
      <c r="JPY28">
        <f t="array" ref="JPY28">_xlfn.XLOOKUP(JPY$11,Assumptions!$B$35:$H$35,_xlfn.XLOOKUP($C28,Assumptions!$B$36:$B$41,Assumptions!$B$36:$H$41))</f>
        <v>0</v>
      </c>
      <c r="JPZ28">
        <f t="array" ref="JPZ28">_xlfn.XLOOKUP(JPZ$11,Assumptions!$B$35:$H$35,_xlfn.XLOOKUP($C28,Assumptions!$B$36:$B$41,Assumptions!$B$36:$H$41))</f>
        <v>0</v>
      </c>
      <c r="JQA28">
        <f t="array" ref="JQA28">_xlfn.XLOOKUP(JQA$11,Assumptions!$B$35:$H$35,_xlfn.XLOOKUP($C28,Assumptions!$B$36:$B$41,Assumptions!$B$36:$H$41))</f>
        <v>0</v>
      </c>
      <c r="JQB28">
        <f t="array" ref="JQB28">_xlfn.XLOOKUP(JQB$11,Assumptions!$B$35:$H$35,_xlfn.XLOOKUP($C28,Assumptions!$B$36:$B$41,Assumptions!$B$36:$H$41))</f>
        <v>0</v>
      </c>
      <c r="JQC28">
        <f t="array" ref="JQC28">_xlfn.XLOOKUP(JQC$11,Assumptions!$B$35:$H$35,_xlfn.XLOOKUP($C28,Assumptions!$B$36:$B$41,Assumptions!$B$36:$H$41))</f>
        <v>0</v>
      </c>
      <c r="JQD28">
        <f t="array" ref="JQD28">_xlfn.XLOOKUP(JQD$11,Assumptions!$B$35:$H$35,_xlfn.XLOOKUP($C28,Assumptions!$B$36:$B$41,Assumptions!$B$36:$H$41))</f>
        <v>0</v>
      </c>
      <c r="JQE28">
        <f t="array" ref="JQE28">_xlfn.XLOOKUP(JQE$11,Assumptions!$B$35:$H$35,_xlfn.XLOOKUP($C28,Assumptions!$B$36:$B$41,Assumptions!$B$36:$H$41))</f>
        <v>0</v>
      </c>
      <c r="JQF28">
        <f t="array" ref="JQF28">_xlfn.XLOOKUP(JQF$11,Assumptions!$B$35:$H$35,_xlfn.XLOOKUP($C28,Assumptions!$B$36:$B$41,Assumptions!$B$36:$H$41))</f>
        <v>0</v>
      </c>
      <c r="JQG28">
        <f t="array" ref="JQG28">_xlfn.XLOOKUP(JQG$11,Assumptions!$B$35:$H$35,_xlfn.XLOOKUP($C28,Assumptions!$B$36:$B$41,Assumptions!$B$36:$H$41))</f>
        <v>0</v>
      </c>
      <c r="JQH28">
        <f t="array" ref="JQH28">_xlfn.XLOOKUP(JQH$11,Assumptions!$B$35:$H$35,_xlfn.XLOOKUP($C28,Assumptions!$B$36:$B$41,Assumptions!$B$36:$H$41))</f>
        <v>0</v>
      </c>
      <c r="JQI28">
        <f t="array" ref="JQI28">_xlfn.XLOOKUP(JQI$11,Assumptions!$B$35:$H$35,_xlfn.XLOOKUP($C28,Assumptions!$B$36:$B$41,Assumptions!$B$36:$H$41))</f>
        <v>0</v>
      </c>
      <c r="JQJ28">
        <f t="array" ref="JQJ28">_xlfn.XLOOKUP(JQJ$11,Assumptions!$B$35:$H$35,_xlfn.XLOOKUP($C28,Assumptions!$B$36:$B$41,Assumptions!$B$36:$H$41))</f>
        <v>0</v>
      </c>
      <c r="JQK28">
        <f t="array" ref="JQK28">_xlfn.XLOOKUP(JQK$11,Assumptions!$B$35:$H$35,_xlfn.XLOOKUP($C28,Assumptions!$B$36:$B$41,Assumptions!$B$36:$H$41))</f>
        <v>0</v>
      </c>
      <c r="JQL28">
        <f t="array" ref="JQL28">_xlfn.XLOOKUP(JQL$11,Assumptions!$B$35:$H$35,_xlfn.XLOOKUP($C28,Assumptions!$B$36:$B$41,Assumptions!$B$36:$H$41))</f>
        <v>0</v>
      </c>
      <c r="JQM28">
        <f t="array" ref="JQM28">_xlfn.XLOOKUP(JQM$11,Assumptions!$B$35:$H$35,_xlfn.XLOOKUP($C28,Assumptions!$B$36:$B$41,Assumptions!$B$36:$H$41))</f>
        <v>0</v>
      </c>
      <c r="JQN28">
        <f t="array" ref="JQN28">_xlfn.XLOOKUP(JQN$11,Assumptions!$B$35:$H$35,_xlfn.XLOOKUP($C28,Assumptions!$B$36:$B$41,Assumptions!$B$36:$H$41))</f>
        <v>0</v>
      </c>
      <c r="JQO28">
        <f t="array" ref="JQO28">_xlfn.XLOOKUP(JQO$11,Assumptions!$B$35:$H$35,_xlfn.XLOOKUP($C28,Assumptions!$B$36:$B$41,Assumptions!$B$36:$H$41))</f>
        <v>0</v>
      </c>
      <c r="JQP28">
        <f t="array" ref="JQP28">_xlfn.XLOOKUP(JQP$11,Assumptions!$B$35:$H$35,_xlfn.XLOOKUP($C28,Assumptions!$B$36:$B$41,Assumptions!$B$36:$H$41))</f>
        <v>0</v>
      </c>
      <c r="JQQ28">
        <f t="array" ref="JQQ28">_xlfn.XLOOKUP(JQQ$11,Assumptions!$B$35:$H$35,_xlfn.XLOOKUP($C28,Assumptions!$B$36:$B$41,Assumptions!$B$36:$H$41))</f>
        <v>0</v>
      </c>
      <c r="JQR28">
        <f t="array" ref="JQR28">_xlfn.XLOOKUP(JQR$11,Assumptions!$B$35:$H$35,_xlfn.XLOOKUP($C28,Assumptions!$B$36:$B$41,Assumptions!$B$36:$H$41))</f>
        <v>0</v>
      </c>
      <c r="JQS28">
        <f t="array" ref="JQS28">_xlfn.XLOOKUP(JQS$11,Assumptions!$B$35:$H$35,_xlfn.XLOOKUP($C28,Assumptions!$B$36:$B$41,Assumptions!$B$36:$H$41))</f>
        <v>0</v>
      </c>
      <c r="JQT28">
        <f t="array" ref="JQT28">_xlfn.XLOOKUP(JQT$11,Assumptions!$B$35:$H$35,_xlfn.XLOOKUP($C28,Assumptions!$B$36:$B$41,Assumptions!$B$36:$H$41))</f>
        <v>0</v>
      </c>
      <c r="JQU28">
        <f t="array" ref="JQU28">_xlfn.XLOOKUP(JQU$11,Assumptions!$B$35:$H$35,_xlfn.XLOOKUP($C28,Assumptions!$B$36:$B$41,Assumptions!$B$36:$H$41))</f>
        <v>0</v>
      </c>
      <c r="JQV28">
        <f t="array" ref="JQV28">_xlfn.XLOOKUP(JQV$11,Assumptions!$B$35:$H$35,_xlfn.XLOOKUP($C28,Assumptions!$B$36:$B$41,Assumptions!$B$36:$H$41))</f>
        <v>0</v>
      </c>
      <c r="JQW28">
        <f t="array" ref="JQW28">_xlfn.XLOOKUP(JQW$11,Assumptions!$B$35:$H$35,_xlfn.XLOOKUP($C28,Assumptions!$B$36:$B$41,Assumptions!$B$36:$H$41))</f>
        <v>0</v>
      </c>
      <c r="JQX28">
        <f t="array" ref="JQX28">_xlfn.XLOOKUP(JQX$11,Assumptions!$B$35:$H$35,_xlfn.XLOOKUP($C28,Assumptions!$B$36:$B$41,Assumptions!$B$36:$H$41))</f>
        <v>0</v>
      </c>
      <c r="JQY28">
        <f t="array" ref="JQY28">_xlfn.XLOOKUP(JQY$11,Assumptions!$B$35:$H$35,_xlfn.XLOOKUP($C28,Assumptions!$B$36:$B$41,Assumptions!$B$36:$H$41))</f>
        <v>0</v>
      </c>
      <c r="JQZ28">
        <f t="array" ref="JQZ28">_xlfn.XLOOKUP(JQZ$11,Assumptions!$B$35:$H$35,_xlfn.XLOOKUP($C28,Assumptions!$B$36:$B$41,Assumptions!$B$36:$H$41))</f>
        <v>0</v>
      </c>
      <c r="JRA28">
        <f t="array" ref="JRA28">_xlfn.XLOOKUP(JRA$11,Assumptions!$B$35:$H$35,_xlfn.XLOOKUP($C28,Assumptions!$B$36:$B$41,Assumptions!$B$36:$H$41))</f>
        <v>0</v>
      </c>
      <c r="JRB28">
        <f t="array" ref="JRB28">_xlfn.XLOOKUP(JRB$11,Assumptions!$B$35:$H$35,_xlfn.XLOOKUP($C28,Assumptions!$B$36:$B$41,Assumptions!$B$36:$H$41))</f>
        <v>0</v>
      </c>
      <c r="JRC28">
        <f t="array" ref="JRC28">_xlfn.XLOOKUP(JRC$11,Assumptions!$B$35:$H$35,_xlfn.XLOOKUP($C28,Assumptions!$B$36:$B$41,Assumptions!$B$36:$H$41))</f>
        <v>0</v>
      </c>
      <c r="JRD28">
        <f t="array" ref="JRD28">_xlfn.XLOOKUP(JRD$11,Assumptions!$B$35:$H$35,_xlfn.XLOOKUP($C28,Assumptions!$B$36:$B$41,Assumptions!$B$36:$H$41))</f>
        <v>0</v>
      </c>
      <c r="JRE28">
        <f t="array" ref="JRE28">_xlfn.XLOOKUP(JRE$11,Assumptions!$B$35:$H$35,_xlfn.XLOOKUP($C28,Assumptions!$B$36:$B$41,Assumptions!$B$36:$H$41))</f>
        <v>0</v>
      </c>
      <c r="JRF28">
        <f t="array" ref="JRF28">_xlfn.XLOOKUP(JRF$11,Assumptions!$B$35:$H$35,_xlfn.XLOOKUP($C28,Assumptions!$B$36:$B$41,Assumptions!$B$36:$H$41))</f>
        <v>0</v>
      </c>
      <c r="JRG28">
        <f t="array" ref="JRG28">_xlfn.XLOOKUP(JRG$11,Assumptions!$B$35:$H$35,_xlfn.XLOOKUP($C28,Assumptions!$B$36:$B$41,Assumptions!$B$36:$H$41))</f>
        <v>0</v>
      </c>
      <c r="JRH28">
        <f t="array" ref="JRH28">_xlfn.XLOOKUP(JRH$11,Assumptions!$B$35:$H$35,_xlfn.XLOOKUP($C28,Assumptions!$B$36:$B$41,Assumptions!$B$36:$H$41))</f>
        <v>0</v>
      </c>
      <c r="JRI28">
        <f t="array" ref="JRI28">_xlfn.XLOOKUP(JRI$11,Assumptions!$B$35:$H$35,_xlfn.XLOOKUP($C28,Assumptions!$B$36:$B$41,Assumptions!$B$36:$H$41))</f>
        <v>0</v>
      </c>
      <c r="JRJ28">
        <f t="array" ref="JRJ28">_xlfn.XLOOKUP(JRJ$11,Assumptions!$B$35:$H$35,_xlfn.XLOOKUP($C28,Assumptions!$B$36:$B$41,Assumptions!$B$36:$H$41))</f>
        <v>0</v>
      </c>
      <c r="JRK28">
        <f t="array" ref="JRK28">_xlfn.XLOOKUP(JRK$11,Assumptions!$B$35:$H$35,_xlfn.XLOOKUP($C28,Assumptions!$B$36:$B$41,Assumptions!$B$36:$H$41))</f>
        <v>0</v>
      </c>
      <c r="JRL28">
        <f t="array" ref="JRL28">_xlfn.XLOOKUP(JRL$11,Assumptions!$B$35:$H$35,_xlfn.XLOOKUP($C28,Assumptions!$B$36:$B$41,Assumptions!$B$36:$H$41))</f>
        <v>0</v>
      </c>
      <c r="JRM28">
        <f t="array" ref="JRM28">_xlfn.XLOOKUP(JRM$11,Assumptions!$B$35:$H$35,_xlfn.XLOOKUP($C28,Assumptions!$B$36:$B$41,Assumptions!$B$36:$H$41))</f>
        <v>0</v>
      </c>
      <c r="JRN28">
        <f t="array" ref="JRN28">_xlfn.XLOOKUP(JRN$11,Assumptions!$B$35:$H$35,_xlfn.XLOOKUP($C28,Assumptions!$B$36:$B$41,Assumptions!$B$36:$H$41))</f>
        <v>0</v>
      </c>
      <c r="JRO28">
        <f t="array" ref="JRO28">_xlfn.XLOOKUP(JRO$11,Assumptions!$B$35:$H$35,_xlfn.XLOOKUP($C28,Assumptions!$B$36:$B$41,Assumptions!$B$36:$H$41))</f>
        <v>0</v>
      </c>
      <c r="JRP28">
        <f t="array" ref="JRP28">_xlfn.XLOOKUP(JRP$11,Assumptions!$B$35:$H$35,_xlfn.XLOOKUP($C28,Assumptions!$B$36:$B$41,Assumptions!$B$36:$H$41))</f>
        <v>0</v>
      </c>
      <c r="JRQ28">
        <f t="array" ref="JRQ28">_xlfn.XLOOKUP(JRQ$11,Assumptions!$B$35:$H$35,_xlfn.XLOOKUP($C28,Assumptions!$B$36:$B$41,Assumptions!$B$36:$H$41))</f>
        <v>0</v>
      </c>
      <c r="JRR28">
        <f t="array" ref="JRR28">_xlfn.XLOOKUP(JRR$11,Assumptions!$B$35:$H$35,_xlfn.XLOOKUP($C28,Assumptions!$B$36:$B$41,Assumptions!$B$36:$H$41))</f>
        <v>0</v>
      </c>
      <c r="JRS28">
        <f t="array" ref="JRS28">_xlfn.XLOOKUP(JRS$11,Assumptions!$B$35:$H$35,_xlfn.XLOOKUP($C28,Assumptions!$B$36:$B$41,Assumptions!$B$36:$H$41))</f>
        <v>0</v>
      </c>
      <c r="JRT28">
        <f t="array" ref="JRT28">_xlfn.XLOOKUP(JRT$11,Assumptions!$B$35:$H$35,_xlfn.XLOOKUP($C28,Assumptions!$B$36:$B$41,Assumptions!$B$36:$H$41))</f>
        <v>0</v>
      </c>
      <c r="JRU28">
        <f t="array" ref="JRU28">_xlfn.XLOOKUP(JRU$11,Assumptions!$B$35:$H$35,_xlfn.XLOOKUP($C28,Assumptions!$B$36:$B$41,Assumptions!$B$36:$H$41))</f>
        <v>0</v>
      </c>
      <c r="JRV28">
        <f t="array" ref="JRV28">_xlfn.XLOOKUP(JRV$11,Assumptions!$B$35:$H$35,_xlfn.XLOOKUP($C28,Assumptions!$B$36:$B$41,Assumptions!$B$36:$H$41))</f>
        <v>0</v>
      </c>
      <c r="JRW28">
        <f t="array" ref="JRW28">_xlfn.XLOOKUP(JRW$11,Assumptions!$B$35:$H$35,_xlfn.XLOOKUP($C28,Assumptions!$B$36:$B$41,Assumptions!$B$36:$H$41))</f>
        <v>0</v>
      </c>
      <c r="JRX28">
        <f t="array" ref="JRX28">_xlfn.XLOOKUP(JRX$11,Assumptions!$B$35:$H$35,_xlfn.XLOOKUP($C28,Assumptions!$B$36:$B$41,Assumptions!$B$36:$H$41))</f>
        <v>0</v>
      </c>
      <c r="JRY28">
        <f t="array" ref="JRY28">_xlfn.XLOOKUP(JRY$11,Assumptions!$B$35:$H$35,_xlfn.XLOOKUP($C28,Assumptions!$B$36:$B$41,Assumptions!$B$36:$H$41))</f>
        <v>0</v>
      </c>
      <c r="JRZ28">
        <f t="array" ref="JRZ28">_xlfn.XLOOKUP(JRZ$11,Assumptions!$B$35:$H$35,_xlfn.XLOOKUP($C28,Assumptions!$B$36:$B$41,Assumptions!$B$36:$H$41))</f>
        <v>0</v>
      </c>
      <c r="JSA28">
        <f t="array" ref="JSA28">_xlfn.XLOOKUP(JSA$11,Assumptions!$B$35:$H$35,_xlfn.XLOOKUP($C28,Assumptions!$B$36:$B$41,Assumptions!$B$36:$H$41))</f>
        <v>0</v>
      </c>
      <c r="JSB28">
        <f t="array" ref="JSB28">_xlfn.XLOOKUP(JSB$11,Assumptions!$B$35:$H$35,_xlfn.XLOOKUP($C28,Assumptions!$B$36:$B$41,Assumptions!$B$36:$H$41))</f>
        <v>0</v>
      </c>
      <c r="JSC28">
        <f t="array" ref="JSC28">_xlfn.XLOOKUP(JSC$11,Assumptions!$B$35:$H$35,_xlfn.XLOOKUP($C28,Assumptions!$B$36:$B$41,Assumptions!$B$36:$H$41))</f>
        <v>0</v>
      </c>
      <c r="JSD28">
        <f t="array" ref="JSD28">_xlfn.XLOOKUP(JSD$11,Assumptions!$B$35:$H$35,_xlfn.XLOOKUP($C28,Assumptions!$B$36:$B$41,Assumptions!$B$36:$H$41))</f>
        <v>0</v>
      </c>
      <c r="JSE28">
        <f t="array" ref="JSE28">_xlfn.XLOOKUP(JSE$11,Assumptions!$B$35:$H$35,_xlfn.XLOOKUP($C28,Assumptions!$B$36:$B$41,Assumptions!$B$36:$H$41))</f>
        <v>0</v>
      </c>
      <c r="JSF28">
        <f t="array" ref="JSF28">_xlfn.XLOOKUP(JSF$11,Assumptions!$B$35:$H$35,_xlfn.XLOOKUP($C28,Assumptions!$B$36:$B$41,Assumptions!$B$36:$H$41))</f>
        <v>0</v>
      </c>
      <c r="JSG28">
        <f t="array" ref="JSG28">_xlfn.XLOOKUP(JSG$11,Assumptions!$B$35:$H$35,_xlfn.XLOOKUP($C28,Assumptions!$B$36:$B$41,Assumptions!$B$36:$H$41))</f>
        <v>0</v>
      </c>
      <c r="JSH28">
        <f t="array" ref="JSH28">_xlfn.XLOOKUP(JSH$11,Assumptions!$B$35:$H$35,_xlfn.XLOOKUP($C28,Assumptions!$B$36:$B$41,Assumptions!$B$36:$H$41))</f>
        <v>0</v>
      </c>
      <c r="JSI28">
        <f t="array" ref="JSI28">_xlfn.XLOOKUP(JSI$11,Assumptions!$B$35:$H$35,_xlfn.XLOOKUP($C28,Assumptions!$B$36:$B$41,Assumptions!$B$36:$H$41))</f>
        <v>0</v>
      </c>
      <c r="JSJ28">
        <f t="array" ref="JSJ28">_xlfn.XLOOKUP(JSJ$11,Assumptions!$B$35:$H$35,_xlfn.XLOOKUP($C28,Assumptions!$B$36:$B$41,Assumptions!$B$36:$H$41))</f>
        <v>0</v>
      </c>
      <c r="JSK28">
        <f t="array" ref="JSK28">_xlfn.XLOOKUP(JSK$11,Assumptions!$B$35:$H$35,_xlfn.XLOOKUP($C28,Assumptions!$B$36:$B$41,Assumptions!$B$36:$H$41))</f>
        <v>0</v>
      </c>
      <c r="JSL28">
        <f t="array" ref="JSL28">_xlfn.XLOOKUP(JSL$11,Assumptions!$B$35:$H$35,_xlfn.XLOOKUP($C28,Assumptions!$B$36:$B$41,Assumptions!$B$36:$H$41))</f>
        <v>0</v>
      </c>
      <c r="JSM28">
        <f t="array" ref="JSM28">_xlfn.XLOOKUP(JSM$11,Assumptions!$B$35:$H$35,_xlfn.XLOOKUP($C28,Assumptions!$B$36:$B$41,Assumptions!$B$36:$H$41))</f>
        <v>0</v>
      </c>
      <c r="JSN28">
        <f t="array" ref="JSN28">_xlfn.XLOOKUP(JSN$11,Assumptions!$B$35:$H$35,_xlfn.XLOOKUP($C28,Assumptions!$B$36:$B$41,Assumptions!$B$36:$H$41))</f>
        <v>0</v>
      </c>
      <c r="JSO28">
        <f t="array" ref="JSO28">_xlfn.XLOOKUP(JSO$11,Assumptions!$B$35:$H$35,_xlfn.XLOOKUP($C28,Assumptions!$B$36:$B$41,Assumptions!$B$36:$H$41))</f>
        <v>0</v>
      </c>
      <c r="JSP28">
        <f t="array" ref="JSP28">_xlfn.XLOOKUP(JSP$11,Assumptions!$B$35:$H$35,_xlfn.XLOOKUP($C28,Assumptions!$B$36:$B$41,Assumptions!$B$36:$H$41))</f>
        <v>0</v>
      </c>
      <c r="JSQ28">
        <f t="array" ref="JSQ28">_xlfn.XLOOKUP(JSQ$11,Assumptions!$B$35:$H$35,_xlfn.XLOOKUP($C28,Assumptions!$B$36:$B$41,Assumptions!$B$36:$H$41))</f>
        <v>0</v>
      </c>
      <c r="JSR28">
        <f t="array" ref="JSR28">_xlfn.XLOOKUP(JSR$11,Assumptions!$B$35:$H$35,_xlfn.XLOOKUP($C28,Assumptions!$B$36:$B$41,Assumptions!$B$36:$H$41))</f>
        <v>0</v>
      </c>
      <c r="JSS28">
        <f t="array" ref="JSS28">_xlfn.XLOOKUP(JSS$11,Assumptions!$B$35:$H$35,_xlfn.XLOOKUP($C28,Assumptions!$B$36:$B$41,Assumptions!$B$36:$H$41))</f>
        <v>0</v>
      </c>
      <c r="JST28">
        <f t="array" ref="JST28">_xlfn.XLOOKUP(JST$11,Assumptions!$B$35:$H$35,_xlfn.XLOOKUP($C28,Assumptions!$B$36:$B$41,Assumptions!$B$36:$H$41))</f>
        <v>0</v>
      </c>
      <c r="JSU28">
        <f t="array" ref="JSU28">_xlfn.XLOOKUP(JSU$11,Assumptions!$B$35:$H$35,_xlfn.XLOOKUP($C28,Assumptions!$B$36:$B$41,Assumptions!$B$36:$H$41))</f>
        <v>0</v>
      </c>
      <c r="JSV28">
        <f t="array" ref="JSV28">_xlfn.XLOOKUP(JSV$11,Assumptions!$B$35:$H$35,_xlfn.XLOOKUP($C28,Assumptions!$B$36:$B$41,Assumptions!$B$36:$H$41))</f>
        <v>0</v>
      </c>
      <c r="JSW28">
        <f t="array" ref="JSW28">_xlfn.XLOOKUP(JSW$11,Assumptions!$B$35:$H$35,_xlfn.XLOOKUP($C28,Assumptions!$B$36:$B$41,Assumptions!$B$36:$H$41))</f>
        <v>0</v>
      </c>
      <c r="JSX28">
        <f t="array" ref="JSX28">_xlfn.XLOOKUP(JSX$11,Assumptions!$B$35:$H$35,_xlfn.XLOOKUP($C28,Assumptions!$B$36:$B$41,Assumptions!$B$36:$H$41))</f>
        <v>0</v>
      </c>
      <c r="JSY28">
        <f t="array" ref="JSY28">_xlfn.XLOOKUP(JSY$11,Assumptions!$B$35:$H$35,_xlfn.XLOOKUP($C28,Assumptions!$B$36:$B$41,Assumptions!$B$36:$H$41))</f>
        <v>0</v>
      </c>
      <c r="JSZ28">
        <f t="array" ref="JSZ28">_xlfn.XLOOKUP(JSZ$11,Assumptions!$B$35:$H$35,_xlfn.XLOOKUP($C28,Assumptions!$B$36:$B$41,Assumptions!$B$36:$H$41))</f>
        <v>0</v>
      </c>
      <c r="JTA28">
        <f t="array" ref="JTA28">_xlfn.XLOOKUP(JTA$11,Assumptions!$B$35:$H$35,_xlfn.XLOOKUP($C28,Assumptions!$B$36:$B$41,Assumptions!$B$36:$H$41))</f>
        <v>0</v>
      </c>
      <c r="JTB28">
        <f t="array" ref="JTB28">_xlfn.XLOOKUP(JTB$11,Assumptions!$B$35:$H$35,_xlfn.XLOOKUP($C28,Assumptions!$B$36:$B$41,Assumptions!$B$36:$H$41))</f>
        <v>0</v>
      </c>
      <c r="JTC28">
        <f t="array" ref="JTC28">_xlfn.XLOOKUP(JTC$11,Assumptions!$B$35:$H$35,_xlfn.XLOOKUP($C28,Assumptions!$B$36:$B$41,Assumptions!$B$36:$H$41))</f>
        <v>0</v>
      </c>
      <c r="JTD28">
        <f t="array" ref="JTD28">_xlfn.XLOOKUP(JTD$11,Assumptions!$B$35:$H$35,_xlfn.XLOOKUP($C28,Assumptions!$B$36:$B$41,Assumptions!$B$36:$H$41))</f>
        <v>0</v>
      </c>
      <c r="JTE28">
        <f t="array" ref="JTE28">_xlfn.XLOOKUP(JTE$11,Assumptions!$B$35:$H$35,_xlfn.XLOOKUP($C28,Assumptions!$B$36:$B$41,Assumptions!$B$36:$H$41))</f>
        <v>0</v>
      </c>
      <c r="JTF28">
        <f t="array" ref="JTF28">_xlfn.XLOOKUP(JTF$11,Assumptions!$B$35:$H$35,_xlfn.XLOOKUP($C28,Assumptions!$B$36:$B$41,Assumptions!$B$36:$H$41))</f>
        <v>0</v>
      </c>
      <c r="JTG28">
        <f t="array" ref="JTG28">_xlfn.XLOOKUP(JTG$11,Assumptions!$B$35:$H$35,_xlfn.XLOOKUP($C28,Assumptions!$B$36:$B$41,Assumptions!$B$36:$H$41))</f>
        <v>0</v>
      </c>
      <c r="JTH28">
        <f t="array" ref="JTH28">_xlfn.XLOOKUP(JTH$11,Assumptions!$B$35:$H$35,_xlfn.XLOOKUP($C28,Assumptions!$B$36:$B$41,Assumptions!$B$36:$H$41))</f>
        <v>0</v>
      </c>
      <c r="JTI28">
        <f t="array" ref="JTI28">_xlfn.XLOOKUP(JTI$11,Assumptions!$B$35:$H$35,_xlfn.XLOOKUP($C28,Assumptions!$B$36:$B$41,Assumptions!$B$36:$H$41))</f>
        <v>0</v>
      </c>
      <c r="JTJ28">
        <f t="array" ref="JTJ28">_xlfn.XLOOKUP(JTJ$11,Assumptions!$B$35:$H$35,_xlfn.XLOOKUP($C28,Assumptions!$B$36:$B$41,Assumptions!$B$36:$H$41))</f>
        <v>0</v>
      </c>
      <c r="JTK28">
        <f t="array" ref="JTK28">_xlfn.XLOOKUP(JTK$11,Assumptions!$B$35:$H$35,_xlfn.XLOOKUP($C28,Assumptions!$B$36:$B$41,Assumptions!$B$36:$H$41))</f>
        <v>0</v>
      </c>
      <c r="JTL28">
        <f t="array" ref="JTL28">_xlfn.XLOOKUP(JTL$11,Assumptions!$B$35:$H$35,_xlfn.XLOOKUP($C28,Assumptions!$B$36:$B$41,Assumptions!$B$36:$H$41))</f>
        <v>0</v>
      </c>
      <c r="JTM28">
        <f t="array" ref="JTM28">_xlfn.XLOOKUP(JTM$11,Assumptions!$B$35:$H$35,_xlfn.XLOOKUP($C28,Assumptions!$B$36:$B$41,Assumptions!$B$36:$H$41))</f>
        <v>0</v>
      </c>
      <c r="JTN28">
        <f t="array" ref="JTN28">_xlfn.XLOOKUP(JTN$11,Assumptions!$B$35:$H$35,_xlfn.XLOOKUP($C28,Assumptions!$B$36:$B$41,Assumptions!$B$36:$H$41))</f>
        <v>0</v>
      </c>
      <c r="JTO28">
        <f t="array" ref="JTO28">_xlfn.XLOOKUP(JTO$11,Assumptions!$B$35:$H$35,_xlfn.XLOOKUP($C28,Assumptions!$B$36:$B$41,Assumptions!$B$36:$H$41))</f>
        <v>0</v>
      </c>
      <c r="JTP28">
        <f t="array" ref="JTP28">_xlfn.XLOOKUP(JTP$11,Assumptions!$B$35:$H$35,_xlfn.XLOOKUP($C28,Assumptions!$B$36:$B$41,Assumptions!$B$36:$H$41))</f>
        <v>0</v>
      </c>
      <c r="JTQ28">
        <f t="array" ref="JTQ28">_xlfn.XLOOKUP(JTQ$11,Assumptions!$B$35:$H$35,_xlfn.XLOOKUP($C28,Assumptions!$B$36:$B$41,Assumptions!$B$36:$H$41))</f>
        <v>0</v>
      </c>
      <c r="JTR28">
        <f t="array" ref="JTR28">_xlfn.XLOOKUP(JTR$11,Assumptions!$B$35:$H$35,_xlfn.XLOOKUP($C28,Assumptions!$B$36:$B$41,Assumptions!$B$36:$H$41))</f>
        <v>0</v>
      </c>
      <c r="JTS28">
        <f t="array" ref="JTS28">_xlfn.XLOOKUP(JTS$11,Assumptions!$B$35:$H$35,_xlfn.XLOOKUP($C28,Assumptions!$B$36:$B$41,Assumptions!$B$36:$H$41))</f>
        <v>0</v>
      </c>
      <c r="JTT28">
        <f t="array" ref="JTT28">_xlfn.XLOOKUP(JTT$11,Assumptions!$B$35:$H$35,_xlfn.XLOOKUP($C28,Assumptions!$B$36:$B$41,Assumptions!$B$36:$H$41))</f>
        <v>0</v>
      </c>
      <c r="JTU28">
        <f t="array" ref="JTU28">_xlfn.XLOOKUP(JTU$11,Assumptions!$B$35:$H$35,_xlfn.XLOOKUP($C28,Assumptions!$B$36:$B$41,Assumptions!$B$36:$H$41))</f>
        <v>0</v>
      </c>
      <c r="JTV28">
        <f t="array" ref="JTV28">_xlfn.XLOOKUP(JTV$11,Assumptions!$B$35:$H$35,_xlfn.XLOOKUP($C28,Assumptions!$B$36:$B$41,Assumptions!$B$36:$H$41))</f>
        <v>0</v>
      </c>
      <c r="JTW28">
        <f t="array" ref="JTW28">_xlfn.XLOOKUP(JTW$11,Assumptions!$B$35:$H$35,_xlfn.XLOOKUP($C28,Assumptions!$B$36:$B$41,Assumptions!$B$36:$H$41))</f>
        <v>0</v>
      </c>
      <c r="JTX28">
        <f t="array" ref="JTX28">_xlfn.XLOOKUP(JTX$11,Assumptions!$B$35:$H$35,_xlfn.XLOOKUP($C28,Assumptions!$B$36:$B$41,Assumptions!$B$36:$H$41))</f>
        <v>0</v>
      </c>
      <c r="JTY28">
        <f t="array" ref="JTY28">_xlfn.XLOOKUP(JTY$11,Assumptions!$B$35:$H$35,_xlfn.XLOOKUP($C28,Assumptions!$B$36:$B$41,Assumptions!$B$36:$H$41))</f>
        <v>0</v>
      </c>
      <c r="JTZ28">
        <f t="array" ref="JTZ28">_xlfn.XLOOKUP(JTZ$11,Assumptions!$B$35:$H$35,_xlfn.XLOOKUP($C28,Assumptions!$B$36:$B$41,Assumptions!$B$36:$H$41))</f>
        <v>0</v>
      </c>
      <c r="JUA28">
        <f t="array" ref="JUA28">_xlfn.XLOOKUP(JUA$11,Assumptions!$B$35:$H$35,_xlfn.XLOOKUP($C28,Assumptions!$B$36:$B$41,Assumptions!$B$36:$H$41))</f>
        <v>0</v>
      </c>
      <c r="JUB28">
        <f t="array" ref="JUB28">_xlfn.XLOOKUP(JUB$11,Assumptions!$B$35:$H$35,_xlfn.XLOOKUP($C28,Assumptions!$B$36:$B$41,Assumptions!$B$36:$H$41))</f>
        <v>0</v>
      </c>
      <c r="JUC28">
        <f t="array" ref="JUC28">_xlfn.XLOOKUP(JUC$11,Assumptions!$B$35:$H$35,_xlfn.XLOOKUP($C28,Assumptions!$B$36:$B$41,Assumptions!$B$36:$H$41))</f>
        <v>0</v>
      </c>
      <c r="JUD28">
        <f t="array" ref="JUD28">_xlfn.XLOOKUP(JUD$11,Assumptions!$B$35:$H$35,_xlfn.XLOOKUP($C28,Assumptions!$B$36:$B$41,Assumptions!$B$36:$H$41))</f>
        <v>0</v>
      </c>
      <c r="JUE28">
        <f t="array" ref="JUE28">_xlfn.XLOOKUP(JUE$11,Assumptions!$B$35:$H$35,_xlfn.XLOOKUP($C28,Assumptions!$B$36:$B$41,Assumptions!$B$36:$H$41))</f>
        <v>0</v>
      </c>
      <c r="JUF28">
        <f t="array" ref="JUF28">_xlfn.XLOOKUP(JUF$11,Assumptions!$B$35:$H$35,_xlfn.XLOOKUP($C28,Assumptions!$B$36:$B$41,Assumptions!$B$36:$H$41))</f>
        <v>0</v>
      </c>
      <c r="JUG28">
        <f t="array" ref="JUG28">_xlfn.XLOOKUP(JUG$11,Assumptions!$B$35:$H$35,_xlfn.XLOOKUP($C28,Assumptions!$B$36:$B$41,Assumptions!$B$36:$H$41))</f>
        <v>0</v>
      </c>
      <c r="JUH28">
        <f t="array" ref="JUH28">_xlfn.XLOOKUP(JUH$11,Assumptions!$B$35:$H$35,_xlfn.XLOOKUP($C28,Assumptions!$B$36:$B$41,Assumptions!$B$36:$H$41))</f>
        <v>0</v>
      </c>
      <c r="JUI28">
        <f t="array" ref="JUI28">_xlfn.XLOOKUP(JUI$11,Assumptions!$B$35:$H$35,_xlfn.XLOOKUP($C28,Assumptions!$B$36:$B$41,Assumptions!$B$36:$H$41))</f>
        <v>0</v>
      </c>
      <c r="JUJ28">
        <f t="array" ref="JUJ28">_xlfn.XLOOKUP(JUJ$11,Assumptions!$B$35:$H$35,_xlfn.XLOOKUP($C28,Assumptions!$B$36:$B$41,Assumptions!$B$36:$H$41))</f>
        <v>0</v>
      </c>
      <c r="JUK28">
        <f t="array" ref="JUK28">_xlfn.XLOOKUP(JUK$11,Assumptions!$B$35:$H$35,_xlfn.XLOOKUP($C28,Assumptions!$B$36:$B$41,Assumptions!$B$36:$H$41))</f>
        <v>0</v>
      </c>
      <c r="JUL28">
        <f t="array" ref="JUL28">_xlfn.XLOOKUP(JUL$11,Assumptions!$B$35:$H$35,_xlfn.XLOOKUP($C28,Assumptions!$B$36:$B$41,Assumptions!$B$36:$H$41))</f>
        <v>0</v>
      </c>
      <c r="JUM28">
        <f t="array" ref="JUM28">_xlfn.XLOOKUP(JUM$11,Assumptions!$B$35:$H$35,_xlfn.XLOOKUP($C28,Assumptions!$B$36:$B$41,Assumptions!$B$36:$H$41))</f>
        <v>0</v>
      </c>
      <c r="JUN28">
        <f t="array" ref="JUN28">_xlfn.XLOOKUP(JUN$11,Assumptions!$B$35:$H$35,_xlfn.XLOOKUP($C28,Assumptions!$B$36:$B$41,Assumptions!$B$36:$H$41))</f>
        <v>0</v>
      </c>
      <c r="JUO28">
        <f t="array" ref="JUO28">_xlfn.XLOOKUP(JUO$11,Assumptions!$B$35:$H$35,_xlfn.XLOOKUP($C28,Assumptions!$B$36:$B$41,Assumptions!$B$36:$H$41))</f>
        <v>0</v>
      </c>
      <c r="JUP28">
        <f t="array" ref="JUP28">_xlfn.XLOOKUP(JUP$11,Assumptions!$B$35:$H$35,_xlfn.XLOOKUP($C28,Assumptions!$B$36:$B$41,Assumptions!$B$36:$H$41))</f>
        <v>0</v>
      </c>
      <c r="JUQ28">
        <f t="array" ref="JUQ28">_xlfn.XLOOKUP(JUQ$11,Assumptions!$B$35:$H$35,_xlfn.XLOOKUP($C28,Assumptions!$B$36:$B$41,Assumptions!$B$36:$H$41))</f>
        <v>0</v>
      </c>
      <c r="JUR28">
        <f t="array" ref="JUR28">_xlfn.XLOOKUP(JUR$11,Assumptions!$B$35:$H$35,_xlfn.XLOOKUP($C28,Assumptions!$B$36:$B$41,Assumptions!$B$36:$H$41))</f>
        <v>0</v>
      </c>
      <c r="JUS28">
        <f t="array" ref="JUS28">_xlfn.XLOOKUP(JUS$11,Assumptions!$B$35:$H$35,_xlfn.XLOOKUP($C28,Assumptions!$B$36:$B$41,Assumptions!$B$36:$H$41))</f>
        <v>0</v>
      </c>
      <c r="JUT28">
        <f t="array" ref="JUT28">_xlfn.XLOOKUP(JUT$11,Assumptions!$B$35:$H$35,_xlfn.XLOOKUP($C28,Assumptions!$B$36:$B$41,Assumptions!$B$36:$H$41))</f>
        <v>0</v>
      </c>
      <c r="JUU28">
        <f t="array" ref="JUU28">_xlfn.XLOOKUP(JUU$11,Assumptions!$B$35:$H$35,_xlfn.XLOOKUP($C28,Assumptions!$B$36:$B$41,Assumptions!$B$36:$H$41))</f>
        <v>0</v>
      </c>
      <c r="JUV28">
        <f t="array" ref="JUV28">_xlfn.XLOOKUP(JUV$11,Assumptions!$B$35:$H$35,_xlfn.XLOOKUP($C28,Assumptions!$B$36:$B$41,Assumptions!$B$36:$H$41))</f>
        <v>0</v>
      </c>
      <c r="JUW28">
        <f t="array" ref="JUW28">_xlfn.XLOOKUP(JUW$11,Assumptions!$B$35:$H$35,_xlfn.XLOOKUP($C28,Assumptions!$B$36:$B$41,Assumptions!$B$36:$H$41))</f>
        <v>0</v>
      </c>
      <c r="JUX28">
        <f t="array" ref="JUX28">_xlfn.XLOOKUP(JUX$11,Assumptions!$B$35:$H$35,_xlfn.XLOOKUP($C28,Assumptions!$B$36:$B$41,Assumptions!$B$36:$H$41))</f>
        <v>0</v>
      </c>
      <c r="JUY28">
        <f t="array" ref="JUY28">_xlfn.XLOOKUP(JUY$11,Assumptions!$B$35:$H$35,_xlfn.XLOOKUP($C28,Assumptions!$B$36:$B$41,Assumptions!$B$36:$H$41))</f>
        <v>0</v>
      </c>
      <c r="JUZ28">
        <f t="array" ref="JUZ28">_xlfn.XLOOKUP(JUZ$11,Assumptions!$B$35:$H$35,_xlfn.XLOOKUP($C28,Assumptions!$B$36:$B$41,Assumptions!$B$36:$H$41))</f>
        <v>0</v>
      </c>
      <c r="JVA28">
        <f t="array" ref="JVA28">_xlfn.XLOOKUP(JVA$11,Assumptions!$B$35:$H$35,_xlfn.XLOOKUP($C28,Assumptions!$B$36:$B$41,Assumptions!$B$36:$H$41))</f>
        <v>0</v>
      </c>
      <c r="JVB28">
        <f t="array" ref="JVB28">_xlfn.XLOOKUP(JVB$11,Assumptions!$B$35:$H$35,_xlfn.XLOOKUP($C28,Assumptions!$B$36:$B$41,Assumptions!$B$36:$H$41))</f>
        <v>0</v>
      </c>
      <c r="JVC28">
        <f t="array" ref="JVC28">_xlfn.XLOOKUP(JVC$11,Assumptions!$B$35:$H$35,_xlfn.XLOOKUP($C28,Assumptions!$B$36:$B$41,Assumptions!$B$36:$H$41))</f>
        <v>0</v>
      </c>
      <c r="JVD28">
        <f t="array" ref="JVD28">_xlfn.XLOOKUP(JVD$11,Assumptions!$B$35:$H$35,_xlfn.XLOOKUP($C28,Assumptions!$B$36:$B$41,Assumptions!$B$36:$H$41))</f>
        <v>0</v>
      </c>
      <c r="JVE28">
        <f t="array" ref="JVE28">_xlfn.XLOOKUP(JVE$11,Assumptions!$B$35:$H$35,_xlfn.XLOOKUP($C28,Assumptions!$B$36:$B$41,Assumptions!$B$36:$H$41))</f>
        <v>0</v>
      </c>
      <c r="JVF28">
        <f t="array" ref="JVF28">_xlfn.XLOOKUP(JVF$11,Assumptions!$B$35:$H$35,_xlfn.XLOOKUP($C28,Assumptions!$B$36:$B$41,Assumptions!$B$36:$H$41))</f>
        <v>0</v>
      </c>
      <c r="JVG28">
        <f t="array" ref="JVG28">_xlfn.XLOOKUP(JVG$11,Assumptions!$B$35:$H$35,_xlfn.XLOOKUP($C28,Assumptions!$B$36:$B$41,Assumptions!$B$36:$H$41))</f>
        <v>0</v>
      </c>
      <c r="JVH28">
        <f t="array" ref="JVH28">_xlfn.XLOOKUP(JVH$11,Assumptions!$B$35:$H$35,_xlfn.XLOOKUP($C28,Assumptions!$B$36:$B$41,Assumptions!$B$36:$H$41))</f>
        <v>0</v>
      </c>
      <c r="JVI28">
        <f t="array" ref="JVI28">_xlfn.XLOOKUP(JVI$11,Assumptions!$B$35:$H$35,_xlfn.XLOOKUP($C28,Assumptions!$B$36:$B$41,Assumptions!$B$36:$H$41))</f>
        <v>0</v>
      </c>
      <c r="JVJ28">
        <f t="array" ref="JVJ28">_xlfn.XLOOKUP(JVJ$11,Assumptions!$B$35:$H$35,_xlfn.XLOOKUP($C28,Assumptions!$B$36:$B$41,Assumptions!$B$36:$H$41))</f>
        <v>0</v>
      </c>
      <c r="JVK28">
        <f t="array" ref="JVK28">_xlfn.XLOOKUP(JVK$11,Assumptions!$B$35:$H$35,_xlfn.XLOOKUP($C28,Assumptions!$B$36:$B$41,Assumptions!$B$36:$H$41))</f>
        <v>0</v>
      </c>
      <c r="JVL28">
        <f t="array" ref="JVL28">_xlfn.XLOOKUP(JVL$11,Assumptions!$B$35:$H$35,_xlfn.XLOOKUP($C28,Assumptions!$B$36:$B$41,Assumptions!$B$36:$H$41))</f>
        <v>0</v>
      </c>
      <c r="JVM28">
        <f t="array" ref="JVM28">_xlfn.XLOOKUP(JVM$11,Assumptions!$B$35:$H$35,_xlfn.XLOOKUP($C28,Assumptions!$B$36:$B$41,Assumptions!$B$36:$H$41))</f>
        <v>0</v>
      </c>
      <c r="JVN28">
        <f t="array" ref="JVN28">_xlfn.XLOOKUP(JVN$11,Assumptions!$B$35:$H$35,_xlfn.XLOOKUP($C28,Assumptions!$B$36:$B$41,Assumptions!$B$36:$H$41))</f>
        <v>0</v>
      </c>
      <c r="JVO28">
        <f t="array" ref="JVO28">_xlfn.XLOOKUP(JVO$11,Assumptions!$B$35:$H$35,_xlfn.XLOOKUP($C28,Assumptions!$B$36:$B$41,Assumptions!$B$36:$H$41))</f>
        <v>0</v>
      </c>
      <c r="JVP28">
        <f t="array" ref="JVP28">_xlfn.XLOOKUP(JVP$11,Assumptions!$B$35:$H$35,_xlfn.XLOOKUP($C28,Assumptions!$B$36:$B$41,Assumptions!$B$36:$H$41))</f>
        <v>0</v>
      </c>
      <c r="JVQ28">
        <f t="array" ref="JVQ28">_xlfn.XLOOKUP(JVQ$11,Assumptions!$B$35:$H$35,_xlfn.XLOOKUP($C28,Assumptions!$B$36:$B$41,Assumptions!$B$36:$H$41))</f>
        <v>0</v>
      </c>
      <c r="JVR28">
        <f t="array" ref="JVR28">_xlfn.XLOOKUP(JVR$11,Assumptions!$B$35:$H$35,_xlfn.XLOOKUP($C28,Assumptions!$B$36:$B$41,Assumptions!$B$36:$H$41))</f>
        <v>0</v>
      </c>
      <c r="JVS28">
        <f t="array" ref="JVS28">_xlfn.XLOOKUP(JVS$11,Assumptions!$B$35:$H$35,_xlfn.XLOOKUP($C28,Assumptions!$B$36:$B$41,Assumptions!$B$36:$H$41))</f>
        <v>0</v>
      </c>
      <c r="JVT28">
        <f t="array" ref="JVT28">_xlfn.XLOOKUP(JVT$11,Assumptions!$B$35:$H$35,_xlfn.XLOOKUP($C28,Assumptions!$B$36:$B$41,Assumptions!$B$36:$H$41))</f>
        <v>0</v>
      </c>
      <c r="JVU28">
        <f t="array" ref="JVU28">_xlfn.XLOOKUP(JVU$11,Assumptions!$B$35:$H$35,_xlfn.XLOOKUP($C28,Assumptions!$B$36:$B$41,Assumptions!$B$36:$H$41))</f>
        <v>0</v>
      </c>
      <c r="JVV28">
        <f t="array" ref="JVV28">_xlfn.XLOOKUP(JVV$11,Assumptions!$B$35:$H$35,_xlfn.XLOOKUP($C28,Assumptions!$B$36:$B$41,Assumptions!$B$36:$H$41))</f>
        <v>0</v>
      </c>
      <c r="JVW28">
        <f t="array" ref="JVW28">_xlfn.XLOOKUP(JVW$11,Assumptions!$B$35:$H$35,_xlfn.XLOOKUP($C28,Assumptions!$B$36:$B$41,Assumptions!$B$36:$H$41))</f>
        <v>0</v>
      </c>
      <c r="JVX28">
        <f t="array" ref="JVX28">_xlfn.XLOOKUP(JVX$11,Assumptions!$B$35:$H$35,_xlfn.XLOOKUP($C28,Assumptions!$B$36:$B$41,Assumptions!$B$36:$H$41))</f>
        <v>0</v>
      </c>
      <c r="JVY28">
        <f t="array" ref="JVY28">_xlfn.XLOOKUP(JVY$11,Assumptions!$B$35:$H$35,_xlfn.XLOOKUP($C28,Assumptions!$B$36:$B$41,Assumptions!$B$36:$H$41))</f>
        <v>0</v>
      </c>
      <c r="JVZ28">
        <f t="array" ref="JVZ28">_xlfn.XLOOKUP(JVZ$11,Assumptions!$B$35:$H$35,_xlfn.XLOOKUP($C28,Assumptions!$B$36:$B$41,Assumptions!$B$36:$H$41))</f>
        <v>0</v>
      </c>
      <c r="JWA28">
        <f t="array" ref="JWA28">_xlfn.XLOOKUP(JWA$11,Assumptions!$B$35:$H$35,_xlfn.XLOOKUP($C28,Assumptions!$B$36:$B$41,Assumptions!$B$36:$H$41))</f>
        <v>0</v>
      </c>
      <c r="JWB28">
        <f t="array" ref="JWB28">_xlfn.XLOOKUP(JWB$11,Assumptions!$B$35:$H$35,_xlfn.XLOOKUP($C28,Assumptions!$B$36:$B$41,Assumptions!$B$36:$H$41))</f>
        <v>0</v>
      </c>
      <c r="JWC28">
        <f t="array" ref="JWC28">_xlfn.XLOOKUP(JWC$11,Assumptions!$B$35:$H$35,_xlfn.XLOOKUP($C28,Assumptions!$B$36:$B$41,Assumptions!$B$36:$H$41))</f>
        <v>0</v>
      </c>
      <c r="JWD28">
        <f t="array" ref="JWD28">_xlfn.XLOOKUP(JWD$11,Assumptions!$B$35:$H$35,_xlfn.XLOOKUP($C28,Assumptions!$B$36:$B$41,Assumptions!$B$36:$H$41))</f>
        <v>0</v>
      </c>
      <c r="JWE28">
        <f t="array" ref="JWE28">_xlfn.XLOOKUP(JWE$11,Assumptions!$B$35:$H$35,_xlfn.XLOOKUP($C28,Assumptions!$B$36:$B$41,Assumptions!$B$36:$H$41))</f>
        <v>0</v>
      </c>
      <c r="JWF28">
        <f t="array" ref="JWF28">_xlfn.XLOOKUP(JWF$11,Assumptions!$B$35:$H$35,_xlfn.XLOOKUP($C28,Assumptions!$B$36:$B$41,Assumptions!$B$36:$H$41))</f>
        <v>0</v>
      </c>
      <c r="JWG28">
        <f t="array" ref="JWG28">_xlfn.XLOOKUP(JWG$11,Assumptions!$B$35:$H$35,_xlfn.XLOOKUP($C28,Assumptions!$B$36:$B$41,Assumptions!$B$36:$H$41))</f>
        <v>0</v>
      </c>
      <c r="JWH28">
        <f t="array" ref="JWH28">_xlfn.XLOOKUP(JWH$11,Assumptions!$B$35:$H$35,_xlfn.XLOOKUP($C28,Assumptions!$B$36:$B$41,Assumptions!$B$36:$H$41))</f>
        <v>0</v>
      </c>
      <c r="JWI28">
        <f t="array" ref="JWI28">_xlfn.XLOOKUP(JWI$11,Assumptions!$B$35:$H$35,_xlfn.XLOOKUP($C28,Assumptions!$B$36:$B$41,Assumptions!$B$36:$H$41))</f>
        <v>0</v>
      </c>
      <c r="JWJ28">
        <f t="array" ref="JWJ28">_xlfn.XLOOKUP(JWJ$11,Assumptions!$B$35:$H$35,_xlfn.XLOOKUP($C28,Assumptions!$B$36:$B$41,Assumptions!$B$36:$H$41))</f>
        <v>0</v>
      </c>
      <c r="JWK28">
        <f t="array" ref="JWK28">_xlfn.XLOOKUP(JWK$11,Assumptions!$B$35:$H$35,_xlfn.XLOOKUP($C28,Assumptions!$B$36:$B$41,Assumptions!$B$36:$H$41))</f>
        <v>0</v>
      </c>
      <c r="JWL28">
        <f t="array" ref="JWL28">_xlfn.XLOOKUP(JWL$11,Assumptions!$B$35:$H$35,_xlfn.XLOOKUP($C28,Assumptions!$B$36:$B$41,Assumptions!$B$36:$H$41))</f>
        <v>0</v>
      </c>
      <c r="JWM28">
        <f t="array" ref="JWM28">_xlfn.XLOOKUP(JWM$11,Assumptions!$B$35:$H$35,_xlfn.XLOOKUP($C28,Assumptions!$B$36:$B$41,Assumptions!$B$36:$H$41))</f>
        <v>0</v>
      </c>
      <c r="JWN28">
        <f t="array" ref="JWN28">_xlfn.XLOOKUP(JWN$11,Assumptions!$B$35:$H$35,_xlfn.XLOOKUP($C28,Assumptions!$B$36:$B$41,Assumptions!$B$36:$H$41))</f>
        <v>0</v>
      </c>
      <c r="JWO28">
        <f t="array" ref="JWO28">_xlfn.XLOOKUP(JWO$11,Assumptions!$B$35:$H$35,_xlfn.XLOOKUP($C28,Assumptions!$B$36:$B$41,Assumptions!$B$36:$H$41))</f>
        <v>0</v>
      </c>
      <c r="JWP28">
        <f t="array" ref="JWP28">_xlfn.XLOOKUP(JWP$11,Assumptions!$B$35:$H$35,_xlfn.XLOOKUP($C28,Assumptions!$B$36:$B$41,Assumptions!$B$36:$H$41))</f>
        <v>0</v>
      </c>
      <c r="JWQ28">
        <f t="array" ref="JWQ28">_xlfn.XLOOKUP(JWQ$11,Assumptions!$B$35:$H$35,_xlfn.XLOOKUP($C28,Assumptions!$B$36:$B$41,Assumptions!$B$36:$H$41))</f>
        <v>0</v>
      </c>
      <c r="JWR28">
        <f t="array" ref="JWR28">_xlfn.XLOOKUP(JWR$11,Assumptions!$B$35:$H$35,_xlfn.XLOOKUP($C28,Assumptions!$B$36:$B$41,Assumptions!$B$36:$H$41))</f>
        <v>0</v>
      </c>
      <c r="JWS28">
        <f t="array" ref="JWS28">_xlfn.XLOOKUP(JWS$11,Assumptions!$B$35:$H$35,_xlfn.XLOOKUP($C28,Assumptions!$B$36:$B$41,Assumptions!$B$36:$H$41))</f>
        <v>0</v>
      </c>
      <c r="JWT28">
        <f t="array" ref="JWT28">_xlfn.XLOOKUP(JWT$11,Assumptions!$B$35:$H$35,_xlfn.XLOOKUP($C28,Assumptions!$B$36:$B$41,Assumptions!$B$36:$H$41))</f>
        <v>0</v>
      </c>
      <c r="JWU28">
        <f t="array" ref="JWU28">_xlfn.XLOOKUP(JWU$11,Assumptions!$B$35:$H$35,_xlfn.XLOOKUP($C28,Assumptions!$B$36:$B$41,Assumptions!$B$36:$H$41))</f>
        <v>0</v>
      </c>
      <c r="JWV28">
        <f t="array" ref="JWV28">_xlfn.XLOOKUP(JWV$11,Assumptions!$B$35:$H$35,_xlfn.XLOOKUP($C28,Assumptions!$B$36:$B$41,Assumptions!$B$36:$H$41))</f>
        <v>0</v>
      </c>
      <c r="JWW28">
        <f t="array" ref="JWW28">_xlfn.XLOOKUP(JWW$11,Assumptions!$B$35:$H$35,_xlfn.XLOOKUP($C28,Assumptions!$B$36:$B$41,Assumptions!$B$36:$H$41))</f>
        <v>0</v>
      </c>
      <c r="JWX28">
        <f t="array" ref="JWX28">_xlfn.XLOOKUP(JWX$11,Assumptions!$B$35:$H$35,_xlfn.XLOOKUP($C28,Assumptions!$B$36:$B$41,Assumptions!$B$36:$H$41))</f>
        <v>0</v>
      </c>
      <c r="JWY28">
        <f t="array" ref="JWY28">_xlfn.XLOOKUP(JWY$11,Assumptions!$B$35:$H$35,_xlfn.XLOOKUP($C28,Assumptions!$B$36:$B$41,Assumptions!$B$36:$H$41))</f>
        <v>0</v>
      </c>
      <c r="JWZ28">
        <f t="array" ref="JWZ28">_xlfn.XLOOKUP(JWZ$11,Assumptions!$B$35:$H$35,_xlfn.XLOOKUP($C28,Assumptions!$B$36:$B$41,Assumptions!$B$36:$H$41))</f>
        <v>0</v>
      </c>
      <c r="JXA28">
        <f t="array" ref="JXA28">_xlfn.XLOOKUP(JXA$11,Assumptions!$B$35:$H$35,_xlfn.XLOOKUP($C28,Assumptions!$B$36:$B$41,Assumptions!$B$36:$H$41))</f>
        <v>0</v>
      </c>
      <c r="JXB28">
        <f t="array" ref="JXB28">_xlfn.XLOOKUP(JXB$11,Assumptions!$B$35:$H$35,_xlfn.XLOOKUP($C28,Assumptions!$B$36:$B$41,Assumptions!$B$36:$H$41))</f>
        <v>0</v>
      </c>
      <c r="JXC28">
        <f t="array" ref="JXC28">_xlfn.XLOOKUP(JXC$11,Assumptions!$B$35:$H$35,_xlfn.XLOOKUP($C28,Assumptions!$B$36:$B$41,Assumptions!$B$36:$H$41))</f>
        <v>0</v>
      </c>
      <c r="JXD28">
        <f t="array" ref="JXD28">_xlfn.XLOOKUP(JXD$11,Assumptions!$B$35:$H$35,_xlfn.XLOOKUP($C28,Assumptions!$B$36:$B$41,Assumptions!$B$36:$H$41))</f>
        <v>0</v>
      </c>
      <c r="JXE28">
        <f t="array" ref="JXE28">_xlfn.XLOOKUP(JXE$11,Assumptions!$B$35:$H$35,_xlfn.XLOOKUP($C28,Assumptions!$B$36:$B$41,Assumptions!$B$36:$H$41))</f>
        <v>0</v>
      </c>
      <c r="JXF28">
        <f t="array" ref="JXF28">_xlfn.XLOOKUP(JXF$11,Assumptions!$B$35:$H$35,_xlfn.XLOOKUP($C28,Assumptions!$B$36:$B$41,Assumptions!$B$36:$H$41))</f>
        <v>0</v>
      </c>
      <c r="JXG28">
        <f t="array" ref="JXG28">_xlfn.XLOOKUP(JXG$11,Assumptions!$B$35:$H$35,_xlfn.XLOOKUP($C28,Assumptions!$B$36:$B$41,Assumptions!$B$36:$H$41))</f>
        <v>0</v>
      </c>
      <c r="JXH28">
        <f t="array" ref="JXH28">_xlfn.XLOOKUP(JXH$11,Assumptions!$B$35:$H$35,_xlfn.XLOOKUP($C28,Assumptions!$B$36:$B$41,Assumptions!$B$36:$H$41))</f>
        <v>0</v>
      </c>
      <c r="JXI28">
        <f t="array" ref="JXI28">_xlfn.XLOOKUP(JXI$11,Assumptions!$B$35:$H$35,_xlfn.XLOOKUP($C28,Assumptions!$B$36:$B$41,Assumptions!$B$36:$H$41))</f>
        <v>0</v>
      </c>
      <c r="JXJ28">
        <f t="array" ref="JXJ28">_xlfn.XLOOKUP(JXJ$11,Assumptions!$B$35:$H$35,_xlfn.XLOOKUP($C28,Assumptions!$B$36:$B$41,Assumptions!$B$36:$H$41))</f>
        <v>0</v>
      </c>
      <c r="JXK28">
        <f t="array" ref="JXK28">_xlfn.XLOOKUP(JXK$11,Assumptions!$B$35:$H$35,_xlfn.XLOOKUP($C28,Assumptions!$B$36:$B$41,Assumptions!$B$36:$H$41))</f>
        <v>0</v>
      </c>
      <c r="JXL28">
        <f t="array" ref="JXL28">_xlfn.XLOOKUP(JXL$11,Assumptions!$B$35:$H$35,_xlfn.XLOOKUP($C28,Assumptions!$B$36:$B$41,Assumptions!$B$36:$H$41))</f>
        <v>0</v>
      </c>
      <c r="JXM28">
        <f t="array" ref="JXM28">_xlfn.XLOOKUP(JXM$11,Assumptions!$B$35:$H$35,_xlfn.XLOOKUP($C28,Assumptions!$B$36:$B$41,Assumptions!$B$36:$H$41))</f>
        <v>0</v>
      </c>
      <c r="JXN28">
        <f t="array" ref="JXN28">_xlfn.XLOOKUP(JXN$11,Assumptions!$B$35:$H$35,_xlfn.XLOOKUP($C28,Assumptions!$B$36:$B$41,Assumptions!$B$36:$H$41))</f>
        <v>0</v>
      </c>
      <c r="JXO28">
        <f t="array" ref="JXO28">_xlfn.XLOOKUP(JXO$11,Assumptions!$B$35:$H$35,_xlfn.XLOOKUP($C28,Assumptions!$B$36:$B$41,Assumptions!$B$36:$H$41))</f>
        <v>0</v>
      </c>
      <c r="JXP28">
        <f t="array" ref="JXP28">_xlfn.XLOOKUP(JXP$11,Assumptions!$B$35:$H$35,_xlfn.XLOOKUP($C28,Assumptions!$B$36:$B$41,Assumptions!$B$36:$H$41))</f>
        <v>0</v>
      </c>
      <c r="JXQ28">
        <f t="array" ref="JXQ28">_xlfn.XLOOKUP(JXQ$11,Assumptions!$B$35:$H$35,_xlfn.XLOOKUP($C28,Assumptions!$B$36:$B$41,Assumptions!$B$36:$H$41))</f>
        <v>0</v>
      </c>
      <c r="JXR28">
        <f t="array" ref="JXR28">_xlfn.XLOOKUP(JXR$11,Assumptions!$B$35:$H$35,_xlfn.XLOOKUP($C28,Assumptions!$B$36:$B$41,Assumptions!$B$36:$H$41))</f>
        <v>0</v>
      </c>
      <c r="JXS28">
        <f t="array" ref="JXS28">_xlfn.XLOOKUP(JXS$11,Assumptions!$B$35:$H$35,_xlfn.XLOOKUP($C28,Assumptions!$B$36:$B$41,Assumptions!$B$36:$H$41))</f>
        <v>0</v>
      </c>
      <c r="JXT28">
        <f t="array" ref="JXT28">_xlfn.XLOOKUP(JXT$11,Assumptions!$B$35:$H$35,_xlfn.XLOOKUP($C28,Assumptions!$B$36:$B$41,Assumptions!$B$36:$H$41))</f>
        <v>0</v>
      </c>
      <c r="JXU28">
        <f t="array" ref="JXU28">_xlfn.XLOOKUP(JXU$11,Assumptions!$B$35:$H$35,_xlfn.XLOOKUP($C28,Assumptions!$B$36:$B$41,Assumptions!$B$36:$H$41))</f>
        <v>0</v>
      </c>
      <c r="JXV28">
        <f t="array" ref="JXV28">_xlfn.XLOOKUP(JXV$11,Assumptions!$B$35:$H$35,_xlfn.XLOOKUP($C28,Assumptions!$B$36:$B$41,Assumptions!$B$36:$H$41))</f>
        <v>0</v>
      </c>
      <c r="JXW28">
        <f t="array" ref="JXW28">_xlfn.XLOOKUP(JXW$11,Assumptions!$B$35:$H$35,_xlfn.XLOOKUP($C28,Assumptions!$B$36:$B$41,Assumptions!$B$36:$H$41))</f>
        <v>0</v>
      </c>
      <c r="JXX28">
        <f t="array" ref="JXX28">_xlfn.XLOOKUP(JXX$11,Assumptions!$B$35:$H$35,_xlfn.XLOOKUP($C28,Assumptions!$B$36:$B$41,Assumptions!$B$36:$H$41))</f>
        <v>0</v>
      </c>
      <c r="JXY28">
        <f t="array" ref="JXY28">_xlfn.XLOOKUP(JXY$11,Assumptions!$B$35:$H$35,_xlfn.XLOOKUP($C28,Assumptions!$B$36:$B$41,Assumptions!$B$36:$H$41))</f>
        <v>0</v>
      </c>
      <c r="JXZ28">
        <f t="array" ref="JXZ28">_xlfn.XLOOKUP(JXZ$11,Assumptions!$B$35:$H$35,_xlfn.XLOOKUP($C28,Assumptions!$B$36:$B$41,Assumptions!$B$36:$H$41))</f>
        <v>0</v>
      </c>
      <c r="JYA28">
        <f t="array" ref="JYA28">_xlfn.XLOOKUP(JYA$11,Assumptions!$B$35:$H$35,_xlfn.XLOOKUP($C28,Assumptions!$B$36:$B$41,Assumptions!$B$36:$H$41))</f>
        <v>0</v>
      </c>
      <c r="JYB28">
        <f t="array" ref="JYB28">_xlfn.XLOOKUP(JYB$11,Assumptions!$B$35:$H$35,_xlfn.XLOOKUP($C28,Assumptions!$B$36:$B$41,Assumptions!$B$36:$H$41))</f>
        <v>0</v>
      </c>
      <c r="JYC28">
        <f t="array" ref="JYC28">_xlfn.XLOOKUP(JYC$11,Assumptions!$B$35:$H$35,_xlfn.XLOOKUP($C28,Assumptions!$B$36:$B$41,Assumptions!$B$36:$H$41))</f>
        <v>0</v>
      </c>
      <c r="JYD28">
        <f t="array" ref="JYD28">_xlfn.XLOOKUP(JYD$11,Assumptions!$B$35:$H$35,_xlfn.XLOOKUP($C28,Assumptions!$B$36:$B$41,Assumptions!$B$36:$H$41))</f>
        <v>0</v>
      </c>
      <c r="JYE28">
        <f t="array" ref="JYE28">_xlfn.XLOOKUP(JYE$11,Assumptions!$B$35:$H$35,_xlfn.XLOOKUP($C28,Assumptions!$B$36:$B$41,Assumptions!$B$36:$H$41))</f>
        <v>0</v>
      </c>
      <c r="JYF28">
        <f t="array" ref="JYF28">_xlfn.XLOOKUP(JYF$11,Assumptions!$B$35:$H$35,_xlfn.XLOOKUP($C28,Assumptions!$B$36:$B$41,Assumptions!$B$36:$H$41))</f>
        <v>0</v>
      </c>
      <c r="JYG28">
        <f t="array" ref="JYG28">_xlfn.XLOOKUP(JYG$11,Assumptions!$B$35:$H$35,_xlfn.XLOOKUP($C28,Assumptions!$B$36:$B$41,Assumptions!$B$36:$H$41))</f>
        <v>0</v>
      </c>
      <c r="JYH28">
        <f t="array" ref="JYH28">_xlfn.XLOOKUP(JYH$11,Assumptions!$B$35:$H$35,_xlfn.XLOOKUP($C28,Assumptions!$B$36:$B$41,Assumptions!$B$36:$H$41))</f>
        <v>0</v>
      </c>
      <c r="JYI28">
        <f t="array" ref="JYI28">_xlfn.XLOOKUP(JYI$11,Assumptions!$B$35:$H$35,_xlfn.XLOOKUP($C28,Assumptions!$B$36:$B$41,Assumptions!$B$36:$H$41))</f>
        <v>0</v>
      </c>
      <c r="JYJ28">
        <f t="array" ref="JYJ28">_xlfn.XLOOKUP(JYJ$11,Assumptions!$B$35:$H$35,_xlfn.XLOOKUP($C28,Assumptions!$B$36:$B$41,Assumptions!$B$36:$H$41))</f>
        <v>0</v>
      </c>
      <c r="JYK28">
        <f t="array" ref="JYK28">_xlfn.XLOOKUP(JYK$11,Assumptions!$B$35:$H$35,_xlfn.XLOOKUP($C28,Assumptions!$B$36:$B$41,Assumptions!$B$36:$H$41))</f>
        <v>0</v>
      </c>
      <c r="JYL28">
        <f t="array" ref="JYL28">_xlfn.XLOOKUP(JYL$11,Assumptions!$B$35:$H$35,_xlfn.XLOOKUP($C28,Assumptions!$B$36:$B$41,Assumptions!$B$36:$H$41))</f>
        <v>0</v>
      </c>
      <c r="JYM28">
        <f t="array" ref="JYM28">_xlfn.XLOOKUP(JYM$11,Assumptions!$B$35:$H$35,_xlfn.XLOOKUP($C28,Assumptions!$B$36:$B$41,Assumptions!$B$36:$H$41))</f>
        <v>0</v>
      </c>
      <c r="JYN28">
        <f t="array" ref="JYN28">_xlfn.XLOOKUP(JYN$11,Assumptions!$B$35:$H$35,_xlfn.XLOOKUP($C28,Assumptions!$B$36:$B$41,Assumptions!$B$36:$H$41))</f>
        <v>0</v>
      </c>
      <c r="JYO28">
        <f t="array" ref="JYO28">_xlfn.XLOOKUP(JYO$11,Assumptions!$B$35:$H$35,_xlfn.XLOOKUP($C28,Assumptions!$B$36:$B$41,Assumptions!$B$36:$H$41))</f>
        <v>0</v>
      </c>
      <c r="JYP28">
        <f t="array" ref="JYP28">_xlfn.XLOOKUP(JYP$11,Assumptions!$B$35:$H$35,_xlfn.XLOOKUP($C28,Assumptions!$B$36:$B$41,Assumptions!$B$36:$H$41))</f>
        <v>0</v>
      </c>
      <c r="JYQ28">
        <f t="array" ref="JYQ28">_xlfn.XLOOKUP(JYQ$11,Assumptions!$B$35:$H$35,_xlfn.XLOOKUP($C28,Assumptions!$B$36:$B$41,Assumptions!$B$36:$H$41))</f>
        <v>0</v>
      </c>
      <c r="JYR28">
        <f t="array" ref="JYR28">_xlfn.XLOOKUP(JYR$11,Assumptions!$B$35:$H$35,_xlfn.XLOOKUP($C28,Assumptions!$B$36:$B$41,Assumptions!$B$36:$H$41))</f>
        <v>0</v>
      </c>
      <c r="JYS28">
        <f t="array" ref="JYS28">_xlfn.XLOOKUP(JYS$11,Assumptions!$B$35:$H$35,_xlfn.XLOOKUP($C28,Assumptions!$B$36:$B$41,Assumptions!$B$36:$H$41))</f>
        <v>0</v>
      </c>
      <c r="JYT28">
        <f t="array" ref="JYT28">_xlfn.XLOOKUP(JYT$11,Assumptions!$B$35:$H$35,_xlfn.XLOOKUP($C28,Assumptions!$B$36:$B$41,Assumptions!$B$36:$H$41))</f>
        <v>0</v>
      </c>
      <c r="JYU28">
        <f t="array" ref="JYU28">_xlfn.XLOOKUP(JYU$11,Assumptions!$B$35:$H$35,_xlfn.XLOOKUP($C28,Assumptions!$B$36:$B$41,Assumptions!$B$36:$H$41))</f>
        <v>0</v>
      </c>
      <c r="JYV28">
        <f t="array" ref="JYV28">_xlfn.XLOOKUP(JYV$11,Assumptions!$B$35:$H$35,_xlfn.XLOOKUP($C28,Assumptions!$B$36:$B$41,Assumptions!$B$36:$H$41))</f>
        <v>0</v>
      </c>
      <c r="JYW28">
        <f t="array" ref="JYW28">_xlfn.XLOOKUP(JYW$11,Assumptions!$B$35:$H$35,_xlfn.XLOOKUP($C28,Assumptions!$B$36:$B$41,Assumptions!$B$36:$H$41))</f>
        <v>0</v>
      </c>
      <c r="JYX28">
        <f t="array" ref="JYX28">_xlfn.XLOOKUP(JYX$11,Assumptions!$B$35:$H$35,_xlfn.XLOOKUP($C28,Assumptions!$B$36:$B$41,Assumptions!$B$36:$H$41))</f>
        <v>0</v>
      </c>
      <c r="JYY28">
        <f t="array" ref="JYY28">_xlfn.XLOOKUP(JYY$11,Assumptions!$B$35:$H$35,_xlfn.XLOOKUP($C28,Assumptions!$B$36:$B$41,Assumptions!$B$36:$H$41))</f>
        <v>0</v>
      </c>
      <c r="JYZ28">
        <f t="array" ref="JYZ28">_xlfn.XLOOKUP(JYZ$11,Assumptions!$B$35:$H$35,_xlfn.XLOOKUP($C28,Assumptions!$B$36:$B$41,Assumptions!$B$36:$H$41))</f>
        <v>0</v>
      </c>
      <c r="JZA28">
        <f t="array" ref="JZA28">_xlfn.XLOOKUP(JZA$11,Assumptions!$B$35:$H$35,_xlfn.XLOOKUP($C28,Assumptions!$B$36:$B$41,Assumptions!$B$36:$H$41))</f>
        <v>0</v>
      </c>
      <c r="JZB28">
        <f t="array" ref="JZB28">_xlfn.XLOOKUP(JZB$11,Assumptions!$B$35:$H$35,_xlfn.XLOOKUP($C28,Assumptions!$B$36:$B$41,Assumptions!$B$36:$H$41))</f>
        <v>0</v>
      </c>
      <c r="JZC28">
        <f t="array" ref="JZC28">_xlfn.XLOOKUP(JZC$11,Assumptions!$B$35:$H$35,_xlfn.XLOOKUP($C28,Assumptions!$B$36:$B$41,Assumptions!$B$36:$H$41))</f>
        <v>0</v>
      </c>
      <c r="JZD28">
        <f t="array" ref="JZD28">_xlfn.XLOOKUP(JZD$11,Assumptions!$B$35:$H$35,_xlfn.XLOOKUP($C28,Assumptions!$B$36:$B$41,Assumptions!$B$36:$H$41))</f>
        <v>0</v>
      </c>
      <c r="JZE28">
        <f t="array" ref="JZE28">_xlfn.XLOOKUP(JZE$11,Assumptions!$B$35:$H$35,_xlfn.XLOOKUP($C28,Assumptions!$B$36:$B$41,Assumptions!$B$36:$H$41))</f>
        <v>0</v>
      </c>
      <c r="JZF28">
        <f t="array" ref="JZF28">_xlfn.XLOOKUP(JZF$11,Assumptions!$B$35:$H$35,_xlfn.XLOOKUP($C28,Assumptions!$B$36:$B$41,Assumptions!$B$36:$H$41))</f>
        <v>0</v>
      </c>
      <c r="JZG28">
        <f t="array" ref="JZG28">_xlfn.XLOOKUP(JZG$11,Assumptions!$B$35:$H$35,_xlfn.XLOOKUP($C28,Assumptions!$B$36:$B$41,Assumptions!$B$36:$H$41))</f>
        <v>0</v>
      </c>
      <c r="JZH28">
        <f t="array" ref="JZH28">_xlfn.XLOOKUP(JZH$11,Assumptions!$B$35:$H$35,_xlfn.XLOOKUP($C28,Assumptions!$B$36:$B$41,Assumptions!$B$36:$H$41))</f>
        <v>0</v>
      </c>
      <c r="JZI28">
        <f t="array" ref="JZI28">_xlfn.XLOOKUP(JZI$11,Assumptions!$B$35:$H$35,_xlfn.XLOOKUP($C28,Assumptions!$B$36:$B$41,Assumptions!$B$36:$H$41))</f>
        <v>0</v>
      </c>
      <c r="JZJ28">
        <f t="array" ref="JZJ28">_xlfn.XLOOKUP(JZJ$11,Assumptions!$B$35:$H$35,_xlfn.XLOOKUP($C28,Assumptions!$B$36:$B$41,Assumptions!$B$36:$H$41))</f>
        <v>0</v>
      </c>
      <c r="JZK28">
        <f t="array" ref="JZK28">_xlfn.XLOOKUP(JZK$11,Assumptions!$B$35:$H$35,_xlfn.XLOOKUP($C28,Assumptions!$B$36:$B$41,Assumptions!$B$36:$H$41))</f>
        <v>0</v>
      </c>
      <c r="JZL28">
        <f t="array" ref="JZL28">_xlfn.XLOOKUP(JZL$11,Assumptions!$B$35:$H$35,_xlfn.XLOOKUP($C28,Assumptions!$B$36:$B$41,Assumptions!$B$36:$H$41))</f>
        <v>0</v>
      </c>
      <c r="JZM28">
        <f t="array" ref="JZM28">_xlfn.XLOOKUP(JZM$11,Assumptions!$B$35:$H$35,_xlfn.XLOOKUP($C28,Assumptions!$B$36:$B$41,Assumptions!$B$36:$H$41))</f>
        <v>0</v>
      </c>
      <c r="JZN28">
        <f t="array" ref="JZN28">_xlfn.XLOOKUP(JZN$11,Assumptions!$B$35:$H$35,_xlfn.XLOOKUP($C28,Assumptions!$B$36:$B$41,Assumptions!$B$36:$H$41))</f>
        <v>0</v>
      </c>
      <c r="JZO28">
        <f t="array" ref="JZO28">_xlfn.XLOOKUP(JZO$11,Assumptions!$B$35:$H$35,_xlfn.XLOOKUP($C28,Assumptions!$B$36:$B$41,Assumptions!$B$36:$H$41))</f>
        <v>0</v>
      </c>
      <c r="JZP28">
        <f t="array" ref="JZP28">_xlfn.XLOOKUP(JZP$11,Assumptions!$B$35:$H$35,_xlfn.XLOOKUP($C28,Assumptions!$B$36:$B$41,Assumptions!$B$36:$H$41))</f>
        <v>0</v>
      </c>
      <c r="JZQ28">
        <f t="array" ref="JZQ28">_xlfn.XLOOKUP(JZQ$11,Assumptions!$B$35:$H$35,_xlfn.XLOOKUP($C28,Assumptions!$B$36:$B$41,Assumptions!$B$36:$H$41))</f>
        <v>0</v>
      </c>
      <c r="JZR28">
        <f t="array" ref="JZR28">_xlfn.XLOOKUP(JZR$11,Assumptions!$B$35:$H$35,_xlfn.XLOOKUP($C28,Assumptions!$B$36:$B$41,Assumptions!$B$36:$H$41))</f>
        <v>0</v>
      </c>
      <c r="JZS28">
        <f t="array" ref="JZS28">_xlfn.XLOOKUP(JZS$11,Assumptions!$B$35:$H$35,_xlfn.XLOOKUP($C28,Assumptions!$B$36:$B$41,Assumptions!$B$36:$H$41))</f>
        <v>0</v>
      </c>
      <c r="JZT28">
        <f t="array" ref="JZT28">_xlfn.XLOOKUP(JZT$11,Assumptions!$B$35:$H$35,_xlfn.XLOOKUP($C28,Assumptions!$B$36:$B$41,Assumptions!$B$36:$H$41))</f>
        <v>0</v>
      </c>
      <c r="JZU28">
        <f t="array" ref="JZU28">_xlfn.XLOOKUP(JZU$11,Assumptions!$B$35:$H$35,_xlfn.XLOOKUP($C28,Assumptions!$B$36:$B$41,Assumptions!$B$36:$H$41))</f>
        <v>0</v>
      </c>
      <c r="JZV28">
        <f t="array" ref="JZV28">_xlfn.XLOOKUP(JZV$11,Assumptions!$B$35:$H$35,_xlfn.XLOOKUP($C28,Assumptions!$B$36:$B$41,Assumptions!$B$36:$H$41))</f>
        <v>0</v>
      </c>
      <c r="JZW28">
        <f t="array" ref="JZW28">_xlfn.XLOOKUP(JZW$11,Assumptions!$B$35:$H$35,_xlfn.XLOOKUP($C28,Assumptions!$B$36:$B$41,Assumptions!$B$36:$H$41))</f>
        <v>0</v>
      </c>
      <c r="JZX28">
        <f t="array" ref="JZX28">_xlfn.XLOOKUP(JZX$11,Assumptions!$B$35:$H$35,_xlfn.XLOOKUP($C28,Assumptions!$B$36:$B$41,Assumptions!$B$36:$H$41))</f>
        <v>0</v>
      </c>
      <c r="JZY28">
        <f t="array" ref="JZY28">_xlfn.XLOOKUP(JZY$11,Assumptions!$B$35:$H$35,_xlfn.XLOOKUP($C28,Assumptions!$B$36:$B$41,Assumptions!$B$36:$H$41))</f>
        <v>0</v>
      </c>
      <c r="JZZ28">
        <f t="array" ref="JZZ28">_xlfn.XLOOKUP(JZZ$11,Assumptions!$B$35:$H$35,_xlfn.XLOOKUP($C28,Assumptions!$B$36:$B$41,Assumptions!$B$36:$H$41))</f>
        <v>0</v>
      </c>
      <c r="KAA28">
        <f t="array" ref="KAA28">_xlfn.XLOOKUP(KAA$11,Assumptions!$B$35:$H$35,_xlfn.XLOOKUP($C28,Assumptions!$B$36:$B$41,Assumptions!$B$36:$H$41))</f>
        <v>0</v>
      </c>
      <c r="KAB28">
        <f t="array" ref="KAB28">_xlfn.XLOOKUP(KAB$11,Assumptions!$B$35:$H$35,_xlfn.XLOOKUP($C28,Assumptions!$B$36:$B$41,Assumptions!$B$36:$H$41))</f>
        <v>0</v>
      </c>
      <c r="KAC28">
        <f t="array" ref="KAC28">_xlfn.XLOOKUP(KAC$11,Assumptions!$B$35:$H$35,_xlfn.XLOOKUP($C28,Assumptions!$B$36:$B$41,Assumptions!$B$36:$H$41))</f>
        <v>0</v>
      </c>
      <c r="KAD28">
        <f t="array" ref="KAD28">_xlfn.XLOOKUP(KAD$11,Assumptions!$B$35:$H$35,_xlfn.XLOOKUP($C28,Assumptions!$B$36:$B$41,Assumptions!$B$36:$H$41))</f>
        <v>0</v>
      </c>
      <c r="KAE28">
        <f t="array" ref="KAE28">_xlfn.XLOOKUP(KAE$11,Assumptions!$B$35:$H$35,_xlfn.XLOOKUP($C28,Assumptions!$B$36:$B$41,Assumptions!$B$36:$H$41))</f>
        <v>0</v>
      </c>
      <c r="KAF28">
        <f t="array" ref="KAF28">_xlfn.XLOOKUP(KAF$11,Assumptions!$B$35:$H$35,_xlfn.XLOOKUP($C28,Assumptions!$B$36:$B$41,Assumptions!$B$36:$H$41))</f>
        <v>0</v>
      </c>
      <c r="KAG28">
        <f t="array" ref="KAG28">_xlfn.XLOOKUP(KAG$11,Assumptions!$B$35:$H$35,_xlfn.XLOOKUP($C28,Assumptions!$B$36:$B$41,Assumptions!$B$36:$H$41))</f>
        <v>0</v>
      </c>
      <c r="KAH28">
        <f t="array" ref="KAH28">_xlfn.XLOOKUP(KAH$11,Assumptions!$B$35:$H$35,_xlfn.XLOOKUP($C28,Assumptions!$B$36:$B$41,Assumptions!$B$36:$H$41))</f>
        <v>0</v>
      </c>
      <c r="KAI28">
        <f t="array" ref="KAI28">_xlfn.XLOOKUP(KAI$11,Assumptions!$B$35:$H$35,_xlfn.XLOOKUP($C28,Assumptions!$B$36:$B$41,Assumptions!$B$36:$H$41))</f>
        <v>0</v>
      </c>
      <c r="KAJ28">
        <f t="array" ref="KAJ28">_xlfn.XLOOKUP(KAJ$11,Assumptions!$B$35:$H$35,_xlfn.XLOOKUP($C28,Assumptions!$B$36:$B$41,Assumptions!$B$36:$H$41))</f>
        <v>0</v>
      </c>
      <c r="KAK28">
        <f t="array" ref="KAK28">_xlfn.XLOOKUP(KAK$11,Assumptions!$B$35:$H$35,_xlfn.XLOOKUP($C28,Assumptions!$B$36:$B$41,Assumptions!$B$36:$H$41))</f>
        <v>0</v>
      </c>
      <c r="KAL28">
        <f t="array" ref="KAL28">_xlfn.XLOOKUP(KAL$11,Assumptions!$B$35:$H$35,_xlfn.XLOOKUP($C28,Assumptions!$B$36:$B$41,Assumptions!$B$36:$H$41))</f>
        <v>0</v>
      </c>
      <c r="KAM28">
        <f t="array" ref="KAM28">_xlfn.XLOOKUP(KAM$11,Assumptions!$B$35:$H$35,_xlfn.XLOOKUP($C28,Assumptions!$B$36:$B$41,Assumptions!$B$36:$H$41))</f>
        <v>0</v>
      </c>
      <c r="KAN28">
        <f t="array" ref="KAN28">_xlfn.XLOOKUP(KAN$11,Assumptions!$B$35:$H$35,_xlfn.XLOOKUP($C28,Assumptions!$B$36:$B$41,Assumptions!$B$36:$H$41))</f>
        <v>0</v>
      </c>
      <c r="KAO28">
        <f t="array" ref="KAO28">_xlfn.XLOOKUP(KAO$11,Assumptions!$B$35:$H$35,_xlfn.XLOOKUP($C28,Assumptions!$B$36:$B$41,Assumptions!$B$36:$H$41))</f>
        <v>0</v>
      </c>
      <c r="KAP28">
        <f t="array" ref="KAP28">_xlfn.XLOOKUP(KAP$11,Assumptions!$B$35:$H$35,_xlfn.XLOOKUP($C28,Assumptions!$B$36:$B$41,Assumptions!$B$36:$H$41))</f>
        <v>0</v>
      </c>
      <c r="KAQ28">
        <f t="array" ref="KAQ28">_xlfn.XLOOKUP(KAQ$11,Assumptions!$B$35:$H$35,_xlfn.XLOOKUP($C28,Assumptions!$B$36:$B$41,Assumptions!$B$36:$H$41))</f>
        <v>0</v>
      </c>
      <c r="KAR28">
        <f t="array" ref="KAR28">_xlfn.XLOOKUP(KAR$11,Assumptions!$B$35:$H$35,_xlfn.XLOOKUP($C28,Assumptions!$B$36:$B$41,Assumptions!$B$36:$H$41))</f>
        <v>0</v>
      </c>
      <c r="KAS28">
        <f t="array" ref="KAS28">_xlfn.XLOOKUP(KAS$11,Assumptions!$B$35:$H$35,_xlfn.XLOOKUP($C28,Assumptions!$B$36:$B$41,Assumptions!$B$36:$H$41))</f>
        <v>0</v>
      </c>
      <c r="KAT28">
        <f t="array" ref="KAT28">_xlfn.XLOOKUP(KAT$11,Assumptions!$B$35:$H$35,_xlfn.XLOOKUP($C28,Assumptions!$B$36:$B$41,Assumptions!$B$36:$H$41))</f>
        <v>0</v>
      </c>
      <c r="KAU28">
        <f t="array" ref="KAU28">_xlfn.XLOOKUP(KAU$11,Assumptions!$B$35:$H$35,_xlfn.XLOOKUP($C28,Assumptions!$B$36:$B$41,Assumptions!$B$36:$H$41))</f>
        <v>0</v>
      </c>
      <c r="KAV28">
        <f t="array" ref="KAV28">_xlfn.XLOOKUP(KAV$11,Assumptions!$B$35:$H$35,_xlfn.XLOOKUP($C28,Assumptions!$B$36:$B$41,Assumptions!$B$36:$H$41))</f>
        <v>0</v>
      </c>
      <c r="KAW28">
        <f t="array" ref="KAW28">_xlfn.XLOOKUP(KAW$11,Assumptions!$B$35:$H$35,_xlfn.XLOOKUP($C28,Assumptions!$B$36:$B$41,Assumptions!$B$36:$H$41))</f>
        <v>0</v>
      </c>
      <c r="KAX28">
        <f t="array" ref="KAX28">_xlfn.XLOOKUP(KAX$11,Assumptions!$B$35:$H$35,_xlfn.XLOOKUP($C28,Assumptions!$B$36:$B$41,Assumptions!$B$36:$H$41))</f>
        <v>0</v>
      </c>
      <c r="KAY28">
        <f t="array" ref="KAY28">_xlfn.XLOOKUP(KAY$11,Assumptions!$B$35:$H$35,_xlfn.XLOOKUP($C28,Assumptions!$B$36:$B$41,Assumptions!$B$36:$H$41))</f>
        <v>0</v>
      </c>
      <c r="KAZ28">
        <f t="array" ref="KAZ28">_xlfn.XLOOKUP(KAZ$11,Assumptions!$B$35:$H$35,_xlfn.XLOOKUP($C28,Assumptions!$B$36:$B$41,Assumptions!$B$36:$H$41))</f>
        <v>0</v>
      </c>
      <c r="KBA28">
        <f t="array" ref="KBA28">_xlfn.XLOOKUP(KBA$11,Assumptions!$B$35:$H$35,_xlfn.XLOOKUP($C28,Assumptions!$B$36:$B$41,Assumptions!$B$36:$H$41))</f>
        <v>0</v>
      </c>
      <c r="KBB28">
        <f t="array" ref="KBB28">_xlfn.XLOOKUP(KBB$11,Assumptions!$B$35:$H$35,_xlfn.XLOOKUP($C28,Assumptions!$B$36:$B$41,Assumptions!$B$36:$H$41))</f>
        <v>0</v>
      </c>
      <c r="KBC28">
        <f t="array" ref="KBC28">_xlfn.XLOOKUP(KBC$11,Assumptions!$B$35:$H$35,_xlfn.XLOOKUP($C28,Assumptions!$B$36:$B$41,Assumptions!$B$36:$H$41))</f>
        <v>0</v>
      </c>
      <c r="KBD28">
        <f t="array" ref="KBD28">_xlfn.XLOOKUP(KBD$11,Assumptions!$B$35:$H$35,_xlfn.XLOOKUP($C28,Assumptions!$B$36:$B$41,Assumptions!$B$36:$H$41))</f>
        <v>0</v>
      </c>
      <c r="KBE28">
        <f t="array" ref="KBE28">_xlfn.XLOOKUP(KBE$11,Assumptions!$B$35:$H$35,_xlfn.XLOOKUP($C28,Assumptions!$B$36:$B$41,Assumptions!$B$36:$H$41))</f>
        <v>0</v>
      </c>
      <c r="KBF28">
        <f t="array" ref="KBF28">_xlfn.XLOOKUP(KBF$11,Assumptions!$B$35:$H$35,_xlfn.XLOOKUP($C28,Assumptions!$B$36:$B$41,Assumptions!$B$36:$H$41))</f>
        <v>0</v>
      </c>
      <c r="KBG28">
        <f t="array" ref="KBG28">_xlfn.XLOOKUP(KBG$11,Assumptions!$B$35:$H$35,_xlfn.XLOOKUP($C28,Assumptions!$B$36:$B$41,Assumptions!$B$36:$H$41))</f>
        <v>0</v>
      </c>
      <c r="KBH28">
        <f t="array" ref="KBH28">_xlfn.XLOOKUP(KBH$11,Assumptions!$B$35:$H$35,_xlfn.XLOOKUP($C28,Assumptions!$B$36:$B$41,Assumptions!$B$36:$H$41))</f>
        <v>0</v>
      </c>
      <c r="KBI28">
        <f t="array" ref="KBI28">_xlfn.XLOOKUP(KBI$11,Assumptions!$B$35:$H$35,_xlfn.XLOOKUP($C28,Assumptions!$B$36:$B$41,Assumptions!$B$36:$H$41))</f>
        <v>0</v>
      </c>
      <c r="KBJ28">
        <f t="array" ref="KBJ28">_xlfn.XLOOKUP(KBJ$11,Assumptions!$B$35:$H$35,_xlfn.XLOOKUP($C28,Assumptions!$B$36:$B$41,Assumptions!$B$36:$H$41))</f>
        <v>0</v>
      </c>
      <c r="KBK28">
        <f t="array" ref="KBK28">_xlfn.XLOOKUP(KBK$11,Assumptions!$B$35:$H$35,_xlfn.XLOOKUP($C28,Assumptions!$B$36:$B$41,Assumptions!$B$36:$H$41))</f>
        <v>0</v>
      </c>
      <c r="KBL28">
        <f t="array" ref="KBL28">_xlfn.XLOOKUP(KBL$11,Assumptions!$B$35:$H$35,_xlfn.XLOOKUP($C28,Assumptions!$B$36:$B$41,Assumptions!$B$36:$H$41))</f>
        <v>0</v>
      </c>
      <c r="KBM28">
        <f t="array" ref="KBM28">_xlfn.XLOOKUP(KBM$11,Assumptions!$B$35:$H$35,_xlfn.XLOOKUP($C28,Assumptions!$B$36:$B$41,Assumptions!$B$36:$H$41))</f>
        <v>0</v>
      </c>
      <c r="KBN28">
        <f t="array" ref="KBN28">_xlfn.XLOOKUP(KBN$11,Assumptions!$B$35:$H$35,_xlfn.XLOOKUP($C28,Assumptions!$B$36:$B$41,Assumptions!$B$36:$H$41))</f>
        <v>0</v>
      </c>
      <c r="KBO28">
        <f t="array" ref="KBO28">_xlfn.XLOOKUP(KBO$11,Assumptions!$B$35:$H$35,_xlfn.XLOOKUP($C28,Assumptions!$B$36:$B$41,Assumptions!$B$36:$H$41))</f>
        <v>0</v>
      </c>
      <c r="KBP28">
        <f t="array" ref="KBP28">_xlfn.XLOOKUP(KBP$11,Assumptions!$B$35:$H$35,_xlfn.XLOOKUP($C28,Assumptions!$B$36:$B$41,Assumptions!$B$36:$H$41))</f>
        <v>0</v>
      </c>
      <c r="KBQ28">
        <f t="array" ref="KBQ28">_xlfn.XLOOKUP(KBQ$11,Assumptions!$B$35:$H$35,_xlfn.XLOOKUP($C28,Assumptions!$B$36:$B$41,Assumptions!$B$36:$H$41))</f>
        <v>0</v>
      </c>
      <c r="KBR28">
        <f t="array" ref="KBR28">_xlfn.XLOOKUP(KBR$11,Assumptions!$B$35:$H$35,_xlfn.XLOOKUP($C28,Assumptions!$B$36:$B$41,Assumptions!$B$36:$H$41))</f>
        <v>0</v>
      </c>
      <c r="KBS28">
        <f t="array" ref="KBS28">_xlfn.XLOOKUP(KBS$11,Assumptions!$B$35:$H$35,_xlfn.XLOOKUP($C28,Assumptions!$B$36:$B$41,Assumptions!$B$36:$H$41))</f>
        <v>0</v>
      </c>
      <c r="KBT28">
        <f t="array" ref="KBT28">_xlfn.XLOOKUP(KBT$11,Assumptions!$B$35:$H$35,_xlfn.XLOOKUP($C28,Assumptions!$B$36:$B$41,Assumptions!$B$36:$H$41))</f>
        <v>0</v>
      </c>
      <c r="KBU28">
        <f t="array" ref="KBU28">_xlfn.XLOOKUP(KBU$11,Assumptions!$B$35:$H$35,_xlfn.XLOOKUP($C28,Assumptions!$B$36:$B$41,Assumptions!$B$36:$H$41))</f>
        <v>0</v>
      </c>
      <c r="KBV28">
        <f t="array" ref="KBV28">_xlfn.XLOOKUP(KBV$11,Assumptions!$B$35:$H$35,_xlfn.XLOOKUP($C28,Assumptions!$B$36:$B$41,Assumptions!$B$36:$H$41))</f>
        <v>0</v>
      </c>
      <c r="KBW28">
        <f t="array" ref="KBW28">_xlfn.XLOOKUP(KBW$11,Assumptions!$B$35:$H$35,_xlfn.XLOOKUP($C28,Assumptions!$B$36:$B$41,Assumptions!$B$36:$H$41))</f>
        <v>0</v>
      </c>
      <c r="KBX28">
        <f t="array" ref="KBX28">_xlfn.XLOOKUP(KBX$11,Assumptions!$B$35:$H$35,_xlfn.XLOOKUP($C28,Assumptions!$B$36:$B$41,Assumptions!$B$36:$H$41))</f>
        <v>0</v>
      </c>
      <c r="KBY28">
        <f t="array" ref="KBY28">_xlfn.XLOOKUP(KBY$11,Assumptions!$B$35:$H$35,_xlfn.XLOOKUP($C28,Assumptions!$B$36:$B$41,Assumptions!$B$36:$H$41))</f>
        <v>0</v>
      </c>
      <c r="KBZ28">
        <f t="array" ref="KBZ28">_xlfn.XLOOKUP(KBZ$11,Assumptions!$B$35:$H$35,_xlfn.XLOOKUP($C28,Assumptions!$B$36:$B$41,Assumptions!$B$36:$H$41))</f>
        <v>0</v>
      </c>
      <c r="KCA28">
        <f t="array" ref="KCA28">_xlfn.XLOOKUP(KCA$11,Assumptions!$B$35:$H$35,_xlfn.XLOOKUP($C28,Assumptions!$B$36:$B$41,Assumptions!$B$36:$H$41))</f>
        <v>0</v>
      </c>
      <c r="KCB28">
        <f t="array" ref="KCB28">_xlfn.XLOOKUP(KCB$11,Assumptions!$B$35:$H$35,_xlfn.XLOOKUP($C28,Assumptions!$B$36:$B$41,Assumptions!$B$36:$H$41))</f>
        <v>0</v>
      </c>
      <c r="KCC28">
        <f t="array" ref="KCC28">_xlfn.XLOOKUP(KCC$11,Assumptions!$B$35:$H$35,_xlfn.XLOOKUP($C28,Assumptions!$B$36:$B$41,Assumptions!$B$36:$H$41))</f>
        <v>0</v>
      </c>
      <c r="KCD28">
        <f t="array" ref="KCD28">_xlfn.XLOOKUP(KCD$11,Assumptions!$B$35:$H$35,_xlfn.XLOOKUP($C28,Assumptions!$B$36:$B$41,Assumptions!$B$36:$H$41))</f>
        <v>0</v>
      </c>
      <c r="KCE28">
        <f t="array" ref="KCE28">_xlfn.XLOOKUP(KCE$11,Assumptions!$B$35:$H$35,_xlfn.XLOOKUP($C28,Assumptions!$B$36:$B$41,Assumptions!$B$36:$H$41))</f>
        <v>0</v>
      </c>
      <c r="KCF28">
        <f t="array" ref="KCF28">_xlfn.XLOOKUP(KCF$11,Assumptions!$B$35:$H$35,_xlfn.XLOOKUP($C28,Assumptions!$B$36:$B$41,Assumptions!$B$36:$H$41))</f>
        <v>0</v>
      </c>
      <c r="KCG28">
        <f t="array" ref="KCG28">_xlfn.XLOOKUP(KCG$11,Assumptions!$B$35:$H$35,_xlfn.XLOOKUP($C28,Assumptions!$B$36:$B$41,Assumptions!$B$36:$H$41))</f>
        <v>0</v>
      </c>
      <c r="KCH28">
        <f t="array" ref="KCH28">_xlfn.XLOOKUP(KCH$11,Assumptions!$B$35:$H$35,_xlfn.XLOOKUP($C28,Assumptions!$B$36:$B$41,Assumptions!$B$36:$H$41))</f>
        <v>0</v>
      </c>
      <c r="KCI28">
        <f t="array" ref="KCI28">_xlfn.XLOOKUP(KCI$11,Assumptions!$B$35:$H$35,_xlfn.XLOOKUP($C28,Assumptions!$B$36:$B$41,Assumptions!$B$36:$H$41))</f>
        <v>0</v>
      </c>
      <c r="KCJ28">
        <f t="array" ref="KCJ28">_xlfn.XLOOKUP(KCJ$11,Assumptions!$B$35:$H$35,_xlfn.XLOOKUP($C28,Assumptions!$B$36:$B$41,Assumptions!$B$36:$H$41))</f>
        <v>0</v>
      </c>
      <c r="KCK28">
        <f t="array" ref="KCK28">_xlfn.XLOOKUP(KCK$11,Assumptions!$B$35:$H$35,_xlfn.XLOOKUP($C28,Assumptions!$B$36:$B$41,Assumptions!$B$36:$H$41))</f>
        <v>0</v>
      </c>
      <c r="KCL28">
        <f t="array" ref="KCL28">_xlfn.XLOOKUP(KCL$11,Assumptions!$B$35:$H$35,_xlfn.XLOOKUP($C28,Assumptions!$B$36:$B$41,Assumptions!$B$36:$H$41))</f>
        <v>0</v>
      </c>
      <c r="KCM28">
        <f t="array" ref="KCM28">_xlfn.XLOOKUP(KCM$11,Assumptions!$B$35:$H$35,_xlfn.XLOOKUP($C28,Assumptions!$B$36:$B$41,Assumptions!$B$36:$H$41))</f>
        <v>0</v>
      </c>
      <c r="KCN28">
        <f t="array" ref="KCN28">_xlfn.XLOOKUP(KCN$11,Assumptions!$B$35:$H$35,_xlfn.XLOOKUP($C28,Assumptions!$B$36:$B$41,Assumptions!$B$36:$H$41))</f>
        <v>0</v>
      </c>
      <c r="KCO28">
        <f t="array" ref="KCO28">_xlfn.XLOOKUP(KCO$11,Assumptions!$B$35:$H$35,_xlfn.XLOOKUP($C28,Assumptions!$B$36:$B$41,Assumptions!$B$36:$H$41))</f>
        <v>0</v>
      </c>
      <c r="KCP28">
        <f t="array" ref="KCP28">_xlfn.XLOOKUP(KCP$11,Assumptions!$B$35:$H$35,_xlfn.XLOOKUP($C28,Assumptions!$B$36:$B$41,Assumptions!$B$36:$H$41))</f>
        <v>0</v>
      </c>
      <c r="KCQ28">
        <f t="array" ref="KCQ28">_xlfn.XLOOKUP(KCQ$11,Assumptions!$B$35:$H$35,_xlfn.XLOOKUP($C28,Assumptions!$B$36:$B$41,Assumptions!$B$36:$H$41))</f>
        <v>0</v>
      </c>
      <c r="KCR28">
        <f t="array" ref="KCR28">_xlfn.XLOOKUP(KCR$11,Assumptions!$B$35:$H$35,_xlfn.XLOOKUP($C28,Assumptions!$B$36:$B$41,Assumptions!$B$36:$H$41))</f>
        <v>0</v>
      </c>
      <c r="KCS28">
        <f t="array" ref="KCS28">_xlfn.XLOOKUP(KCS$11,Assumptions!$B$35:$H$35,_xlfn.XLOOKUP($C28,Assumptions!$B$36:$B$41,Assumptions!$B$36:$H$41))</f>
        <v>0</v>
      </c>
      <c r="KCT28">
        <f t="array" ref="KCT28">_xlfn.XLOOKUP(KCT$11,Assumptions!$B$35:$H$35,_xlfn.XLOOKUP($C28,Assumptions!$B$36:$B$41,Assumptions!$B$36:$H$41))</f>
        <v>0</v>
      </c>
      <c r="KCU28">
        <f t="array" ref="KCU28">_xlfn.XLOOKUP(KCU$11,Assumptions!$B$35:$H$35,_xlfn.XLOOKUP($C28,Assumptions!$B$36:$B$41,Assumptions!$B$36:$H$41))</f>
        <v>0</v>
      </c>
      <c r="KCV28">
        <f t="array" ref="KCV28">_xlfn.XLOOKUP(KCV$11,Assumptions!$B$35:$H$35,_xlfn.XLOOKUP($C28,Assumptions!$B$36:$B$41,Assumptions!$B$36:$H$41))</f>
        <v>0</v>
      </c>
      <c r="KCW28">
        <f t="array" ref="KCW28">_xlfn.XLOOKUP(KCW$11,Assumptions!$B$35:$H$35,_xlfn.XLOOKUP($C28,Assumptions!$B$36:$B$41,Assumptions!$B$36:$H$41))</f>
        <v>0</v>
      </c>
      <c r="KCX28">
        <f t="array" ref="KCX28">_xlfn.XLOOKUP(KCX$11,Assumptions!$B$35:$H$35,_xlfn.XLOOKUP($C28,Assumptions!$B$36:$B$41,Assumptions!$B$36:$H$41))</f>
        <v>0</v>
      </c>
      <c r="KCY28">
        <f t="array" ref="KCY28">_xlfn.XLOOKUP(KCY$11,Assumptions!$B$35:$H$35,_xlfn.XLOOKUP($C28,Assumptions!$B$36:$B$41,Assumptions!$B$36:$H$41))</f>
        <v>0</v>
      </c>
      <c r="KCZ28">
        <f t="array" ref="KCZ28">_xlfn.XLOOKUP(KCZ$11,Assumptions!$B$35:$H$35,_xlfn.XLOOKUP($C28,Assumptions!$B$36:$B$41,Assumptions!$B$36:$H$41))</f>
        <v>0</v>
      </c>
      <c r="KDA28">
        <f t="array" ref="KDA28">_xlfn.XLOOKUP(KDA$11,Assumptions!$B$35:$H$35,_xlfn.XLOOKUP($C28,Assumptions!$B$36:$B$41,Assumptions!$B$36:$H$41))</f>
        <v>0</v>
      </c>
      <c r="KDB28">
        <f t="array" ref="KDB28">_xlfn.XLOOKUP(KDB$11,Assumptions!$B$35:$H$35,_xlfn.XLOOKUP($C28,Assumptions!$B$36:$B$41,Assumptions!$B$36:$H$41))</f>
        <v>0</v>
      </c>
      <c r="KDC28">
        <f t="array" ref="KDC28">_xlfn.XLOOKUP(KDC$11,Assumptions!$B$35:$H$35,_xlfn.XLOOKUP($C28,Assumptions!$B$36:$B$41,Assumptions!$B$36:$H$41))</f>
        <v>0</v>
      </c>
      <c r="KDD28">
        <f t="array" ref="KDD28">_xlfn.XLOOKUP(KDD$11,Assumptions!$B$35:$H$35,_xlfn.XLOOKUP($C28,Assumptions!$B$36:$B$41,Assumptions!$B$36:$H$41))</f>
        <v>0</v>
      </c>
      <c r="KDE28">
        <f t="array" ref="KDE28">_xlfn.XLOOKUP(KDE$11,Assumptions!$B$35:$H$35,_xlfn.XLOOKUP($C28,Assumptions!$B$36:$B$41,Assumptions!$B$36:$H$41))</f>
        <v>0</v>
      </c>
      <c r="KDF28">
        <f t="array" ref="KDF28">_xlfn.XLOOKUP(KDF$11,Assumptions!$B$35:$H$35,_xlfn.XLOOKUP($C28,Assumptions!$B$36:$B$41,Assumptions!$B$36:$H$41))</f>
        <v>0</v>
      </c>
      <c r="KDG28">
        <f t="array" ref="KDG28">_xlfn.XLOOKUP(KDG$11,Assumptions!$B$35:$H$35,_xlfn.XLOOKUP($C28,Assumptions!$B$36:$B$41,Assumptions!$B$36:$H$41))</f>
        <v>0</v>
      </c>
      <c r="KDH28">
        <f t="array" ref="KDH28">_xlfn.XLOOKUP(KDH$11,Assumptions!$B$35:$H$35,_xlfn.XLOOKUP($C28,Assumptions!$B$36:$B$41,Assumptions!$B$36:$H$41))</f>
        <v>0</v>
      </c>
      <c r="KDI28">
        <f t="array" ref="KDI28">_xlfn.XLOOKUP(KDI$11,Assumptions!$B$35:$H$35,_xlfn.XLOOKUP($C28,Assumptions!$B$36:$B$41,Assumptions!$B$36:$H$41))</f>
        <v>0</v>
      </c>
      <c r="KDJ28">
        <f t="array" ref="KDJ28">_xlfn.XLOOKUP(KDJ$11,Assumptions!$B$35:$H$35,_xlfn.XLOOKUP($C28,Assumptions!$B$36:$B$41,Assumptions!$B$36:$H$41))</f>
        <v>0</v>
      </c>
      <c r="KDK28">
        <f t="array" ref="KDK28">_xlfn.XLOOKUP(KDK$11,Assumptions!$B$35:$H$35,_xlfn.XLOOKUP($C28,Assumptions!$B$36:$B$41,Assumptions!$B$36:$H$41))</f>
        <v>0</v>
      </c>
      <c r="KDL28">
        <f t="array" ref="KDL28">_xlfn.XLOOKUP(KDL$11,Assumptions!$B$35:$H$35,_xlfn.XLOOKUP($C28,Assumptions!$B$36:$B$41,Assumptions!$B$36:$H$41))</f>
        <v>0</v>
      </c>
      <c r="KDM28">
        <f t="array" ref="KDM28">_xlfn.XLOOKUP(KDM$11,Assumptions!$B$35:$H$35,_xlfn.XLOOKUP($C28,Assumptions!$B$36:$B$41,Assumptions!$B$36:$H$41))</f>
        <v>0</v>
      </c>
      <c r="KDN28">
        <f t="array" ref="KDN28">_xlfn.XLOOKUP(KDN$11,Assumptions!$B$35:$H$35,_xlfn.XLOOKUP($C28,Assumptions!$B$36:$B$41,Assumptions!$B$36:$H$41))</f>
        <v>0</v>
      </c>
      <c r="KDO28">
        <f t="array" ref="KDO28">_xlfn.XLOOKUP(KDO$11,Assumptions!$B$35:$H$35,_xlfn.XLOOKUP($C28,Assumptions!$B$36:$B$41,Assumptions!$B$36:$H$41))</f>
        <v>0</v>
      </c>
      <c r="KDP28">
        <f t="array" ref="KDP28">_xlfn.XLOOKUP(KDP$11,Assumptions!$B$35:$H$35,_xlfn.XLOOKUP($C28,Assumptions!$B$36:$B$41,Assumptions!$B$36:$H$41))</f>
        <v>0</v>
      </c>
      <c r="KDQ28">
        <f t="array" ref="KDQ28">_xlfn.XLOOKUP(KDQ$11,Assumptions!$B$35:$H$35,_xlfn.XLOOKUP($C28,Assumptions!$B$36:$B$41,Assumptions!$B$36:$H$41))</f>
        <v>0</v>
      </c>
      <c r="KDR28">
        <f t="array" ref="KDR28">_xlfn.XLOOKUP(KDR$11,Assumptions!$B$35:$H$35,_xlfn.XLOOKUP($C28,Assumptions!$B$36:$B$41,Assumptions!$B$36:$H$41))</f>
        <v>0</v>
      </c>
      <c r="KDS28">
        <f t="array" ref="KDS28">_xlfn.XLOOKUP(KDS$11,Assumptions!$B$35:$H$35,_xlfn.XLOOKUP($C28,Assumptions!$B$36:$B$41,Assumptions!$B$36:$H$41))</f>
        <v>0</v>
      </c>
      <c r="KDT28">
        <f t="array" ref="KDT28">_xlfn.XLOOKUP(KDT$11,Assumptions!$B$35:$H$35,_xlfn.XLOOKUP($C28,Assumptions!$B$36:$B$41,Assumptions!$B$36:$H$41))</f>
        <v>0</v>
      </c>
      <c r="KDU28">
        <f t="array" ref="KDU28">_xlfn.XLOOKUP(KDU$11,Assumptions!$B$35:$H$35,_xlfn.XLOOKUP($C28,Assumptions!$B$36:$B$41,Assumptions!$B$36:$H$41))</f>
        <v>0</v>
      </c>
      <c r="KDV28">
        <f t="array" ref="KDV28">_xlfn.XLOOKUP(KDV$11,Assumptions!$B$35:$H$35,_xlfn.XLOOKUP($C28,Assumptions!$B$36:$B$41,Assumptions!$B$36:$H$41))</f>
        <v>0</v>
      </c>
      <c r="KDW28">
        <f t="array" ref="KDW28">_xlfn.XLOOKUP(KDW$11,Assumptions!$B$35:$H$35,_xlfn.XLOOKUP($C28,Assumptions!$B$36:$B$41,Assumptions!$B$36:$H$41))</f>
        <v>0</v>
      </c>
      <c r="KDX28">
        <f t="array" ref="KDX28">_xlfn.XLOOKUP(KDX$11,Assumptions!$B$35:$H$35,_xlfn.XLOOKUP($C28,Assumptions!$B$36:$B$41,Assumptions!$B$36:$H$41))</f>
        <v>0</v>
      </c>
      <c r="KDY28">
        <f t="array" ref="KDY28">_xlfn.XLOOKUP(KDY$11,Assumptions!$B$35:$H$35,_xlfn.XLOOKUP($C28,Assumptions!$B$36:$B$41,Assumptions!$B$36:$H$41))</f>
        <v>0</v>
      </c>
      <c r="KDZ28">
        <f t="array" ref="KDZ28">_xlfn.XLOOKUP(KDZ$11,Assumptions!$B$35:$H$35,_xlfn.XLOOKUP($C28,Assumptions!$B$36:$B$41,Assumptions!$B$36:$H$41))</f>
        <v>0</v>
      </c>
      <c r="KEA28">
        <f t="array" ref="KEA28">_xlfn.XLOOKUP(KEA$11,Assumptions!$B$35:$H$35,_xlfn.XLOOKUP($C28,Assumptions!$B$36:$B$41,Assumptions!$B$36:$H$41))</f>
        <v>0</v>
      </c>
      <c r="KEB28">
        <f t="array" ref="KEB28">_xlfn.XLOOKUP(KEB$11,Assumptions!$B$35:$H$35,_xlfn.XLOOKUP($C28,Assumptions!$B$36:$B$41,Assumptions!$B$36:$H$41))</f>
        <v>0</v>
      </c>
      <c r="KEC28">
        <f t="array" ref="KEC28">_xlfn.XLOOKUP(KEC$11,Assumptions!$B$35:$H$35,_xlfn.XLOOKUP($C28,Assumptions!$B$36:$B$41,Assumptions!$B$36:$H$41))</f>
        <v>0</v>
      </c>
      <c r="KED28">
        <f t="array" ref="KED28">_xlfn.XLOOKUP(KED$11,Assumptions!$B$35:$H$35,_xlfn.XLOOKUP($C28,Assumptions!$B$36:$B$41,Assumptions!$B$36:$H$41))</f>
        <v>0</v>
      </c>
      <c r="KEE28">
        <f t="array" ref="KEE28">_xlfn.XLOOKUP(KEE$11,Assumptions!$B$35:$H$35,_xlfn.XLOOKUP($C28,Assumptions!$B$36:$B$41,Assumptions!$B$36:$H$41))</f>
        <v>0</v>
      </c>
      <c r="KEF28">
        <f t="array" ref="KEF28">_xlfn.XLOOKUP(KEF$11,Assumptions!$B$35:$H$35,_xlfn.XLOOKUP($C28,Assumptions!$B$36:$B$41,Assumptions!$B$36:$H$41))</f>
        <v>0</v>
      </c>
      <c r="KEG28">
        <f t="array" ref="KEG28">_xlfn.XLOOKUP(KEG$11,Assumptions!$B$35:$H$35,_xlfn.XLOOKUP($C28,Assumptions!$B$36:$B$41,Assumptions!$B$36:$H$41))</f>
        <v>0</v>
      </c>
      <c r="KEH28">
        <f t="array" ref="KEH28">_xlfn.XLOOKUP(KEH$11,Assumptions!$B$35:$H$35,_xlfn.XLOOKUP($C28,Assumptions!$B$36:$B$41,Assumptions!$B$36:$H$41))</f>
        <v>0</v>
      </c>
      <c r="KEI28">
        <f t="array" ref="KEI28">_xlfn.XLOOKUP(KEI$11,Assumptions!$B$35:$H$35,_xlfn.XLOOKUP($C28,Assumptions!$B$36:$B$41,Assumptions!$B$36:$H$41))</f>
        <v>0</v>
      </c>
      <c r="KEJ28">
        <f t="array" ref="KEJ28">_xlfn.XLOOKUP(KEJ$11,Assumptions!$B$35:$H$35,_xlfn.XLOOKUP($C28,Assumptions!$B$36:$B$41,Assumptions!$B$36:$H$41))</f>
        <v>0</v>
      </c>
      <c r="KEK28">
        <f t="array" ref="KEK28">_xlfn.XLOOKUP(KEK$11,Assumptions!$B$35:$H$35,_xlfn.XLOOKUP($C28,Assumptions!$B$36:$B$41,Assumptions!$B$36:$H$41))</f>
        <v>0</v>
      </c>
      <c r="KEL28">
        <f t="array" ref="KEL28">_xlfn.XLOOKUP(KEL$11,Assumptions!$B$35:$H$35,_xlfn.XLOOKUP($C28,Assumptions!$B$36:$B$41,Assumptions!$B$36:$H$41))</f>
        <v>0</v>
      </c>
      <c r="KEM28">
        <f t="array" ref="KEM28">_xlfn.XLOOKUP(KEM$11,Assumptions!$B$35:$H$35,_xlfn.XLOOKUP($C28,Assumptions!$B$36:$B$41,Assumptions!$B$36:$H$41))</f>
        <v>0</v>
      </c>
      <c r="KEN28">
        <f t="array" ref="KEN28">_xlfn.XLOOKUP(KEN$11,Assumptions!$B$35:$H$35,_xlfn.XLOOKUP($C28,Assumptions!$B$36:$B$41,Assumptions!$B$36:$H$41))</f>
        <v>0</v>
      </c>
      <c r="KEO28">
        <f t="array" ref="KEO28">_xlfn.XLOOKUP(KEO$11,Assumptions!$B$35:$H$35,_xlfn.XLOOKUP($C28,Assumptions!$B$36:$B$41,Assumptions!$B$36:$H$41))</f>
        <v>0</v>
      </c>
      <c r="KEP28">
        <f t="array" ref="KEP28">_xlfn.XLOOKUP(KEP$11,Assumptions!$B$35:$H$35,_xlfn.XLOOKUP($C28,Assumptions!$B$36:$B$41,Assumptions!$B$36:$H$41))</f>
        <v>0</v>
      </c>
      <c r="KEQ28">
        <f t="array" ref="KEQ28">_xlfn.XLOOKUP(KEQ$11,Assumptions!$B$35:$H$35,_xlfn.XLOOKUP($C28,Assumptions!$B$36:$B$41,Assumptions!$B$36:$H$41))</f>
        <v>0</v>
      </c>
      <c r="KER28">
        <f t="array" ref="KER28">_xlfn.XLOOKUP(KER$11,Assumptions!$B$35:$H$35,_xlfn.XLOOKUP($C28,Assumptions!$B$36:$B$41,Assumptions!$B$36:$H$41))</f>
        <v>0</v>
      </c>
      <c r="KES28">
        <f t="array" ref="KES28">_xlfn.XLOOKUP(KES$11,Assumptions!$B$35:$H$35,_xlfn.XLOOKUP($C28,Assumptions!$B$36:$B$41,Assumptions!$B$36:$H$41))</f>
        <v>0</v>
      </c>
      <c r="KET28">
        <f t="array" ref="KET28">_xlfn.XLOOKUP(KET$11,Assumptions!$B$35:$H$35,_xlfn.XLOOKUP($C28,Assumptions!$B$36:$B$41,Assumptions!$B$36:$H$41))</f>
        <v>0</v>
      </c>
      <c r="KEU28">
        <f t="array" ref="KEU28">_xlfn.XLOOKUP(KEU$11,Assumptions!$B$35:$H$35,_xlfn.XLOOKUP($C28,Assumptions!$B$36:$B$41,Assumptions!$B$36:$H$41))</f>
        <v>0</v>
      </c>
      <c r="KEV28">
        <f t="array" ref="KEV28">_xlfn.XLOOKUP(KEV$11,Assumptions!$B$35:$H$35,_xlfn.XLOOKUP($C28,Assumptions!$B$36:$B$41,Assumptions!$B$36:$H$41))</f>
        <v>0</v>
      </c>
      <c r="KEW28">
        <f t="array" ref="KEW28">_xlfn.XLOOKUP(KEW$11,Assumptions!$B$35:$H$35,_xlfn.XLOOKUP($C28,Assumptions!$B$36:$B$41,Assumptions!$B$36:$H$41))</f>
        <v>0</v>
      </c>
      <c r="KEX28">
        <f t="array" ref="KEX28">_xlfn.XLOOKUP(KEX$11,Assumptions!$B$35:$H$35,_xlfn.XLOOKUP($C28,Assumptions!$B$36:$B$41,Assumptions!$B$36:$H$41))</f>
        <v>0</v>
      </c>
      <c r="KEY28">
        <f t="array" ref="KEY28">_xlfn.XLOOKUP(KEY$11,Assumptions!$B$35:$H$35,_xlfn.XLOOKUP($C28,Assumptions!$B$36:$B$41,Assumptions!$B$36:$H$41))</f>
        <v>0</v>
      </c>
      <c r="KEZ28">
        <f t="array" ref="KEZ28">_xlfn.XLOOKUP(KEZ$11,Assumptions!$B$35:$H$35,_xlfn.XLOOKUP($C28,Assumptions!$B$36:$B$41,Assumptions!$B$36:$H$41))</f>
        <v>0</v>
      </c>
      <c r="KFA28">
        <f t="array" ref="KFA28">_xlfn.XLOOKUP(KFA$11,Assumptions!$B$35:$H$35,_xlfn.XLOOKUP($C28,Assumptions!$B$36:$B$41,Assumptions!$B$36:$H$41))</f>
        <v>0</v>
      </c>
      <c r="KFB28">
        <f t="array" ref="KFB28">_xlfn.XLOOKUP(KFB$11,Assumptions!$B$35:$H$35,_xlfn.XLOOKUP($C28,Assumptions!$B$36:$B$41,Assumptions!$B$36:$H$41))</f>
        <v>0</v>
      </c>
      <c r="KFC28">
        <f t="array" ref="KFC28">_xlfn.XLOOKUP(KFC$11,Assumptions!$B$35:$H$35,_xlfn.XLOOKUP($C28,Assumptions!$B$36:$B$41,Assumptions!$B$36:$H$41))</f>
        <v>0</v>
      </c>
      <c r="KFD28">
        <f t="array" ref="KFD28">_xlfn.XLOOKUP(KFD$11,Assumptions!$B$35:$H$35,_xlfn.XLOOKUP($C28,Assumptions!$B$36:$B$41,Assumptions!$B$36:$H$41))</f>
        <v>0</v>
      </c>
      <c r="KFE28">
        <f t="array" ref="KFE28">_xlfn.XLOOKUP(KFE$11,Assumptions!$B$35:$H$35,_xlfn.XLOOKUP($C28,Assumptions!$B$36:$B$41,Assumptions!$B$36:$H$41))</f>
        <v>0</v>
      </c>
      <c r="KFF28">
        <f t="array" ref="KFF28">_xlfn.XLOOKUP(KFF$11,Assumptions!$B$35:$H$35,_xlfn.XLOOKUP($C28,Assumptions!$B$36:$B$41,Assumptions!$B$36:$H$41))</f>
        <v>0</v>
      </c>
      <c r="KFG28">
        <f t="array" ref="KFG28">_xlfn.XLOOKUP(KFG$11,Assumptions!$B$35:$H$35,_xlfn.XLOOKUP($C28,Assumptions!$B$36:$B$41,Assumptions!$B$36:$H$41))</f>
        <v>0</v>
      </c>
      <c r="KFH28">
        <f t="array" ref="KFH28">_xlfn.XLOOKUP(KFH$11,Assumptions!$B$35:$H$35,_xlfn.XLOOKUP($C28,Assumptions!$B$36:$B$41,Assumptions!$B$36:$H$41))</f>
        <v>0</v>
      </c>
      <c r="KFI28">
        <f t="array" ref="KFI28">_xlfn.XLOOKUP(KFI$11,Assumptions!$B$35:$H$35,_xlfn.XLOOKUP($C28,Assumptions!$B$36:$B$41,Assumptions!$B$36:$H$41))</f>
        <v>0</v>
      </c>
      <c r="KFJ28">
        <f t="array" ref="KFJ28">_xlfn.XLOOKUP(KFJ$11,Assumptions!$B$35:$H$35,_xlfn.XLOOKUP($C28,Assumptions!$B$36:$B$41,Assumptions!$B$36:$H$41))</f>
        <v>0</v>
      </c>
      <c r="KFK28">
        <f t="array" ref="KFK28">_xlfn.XLOOKUP(KFK$11,Assumptions!$B$35:$H$35,_xlfn.XLOOKUP($C28,Assumptions!$B$36:$B$41,Assumptions!$B$36:$H$41))</f>
        <v>0</v>
      </c>
      <c r="KFL28">
        <f t="array" ref="KFL28">_xlfn.XLOOKUP(KFL$11,Assumptions!$B$35:$H$35,_xlfn.XLOOKUP($C28,Assumptions!$B$36:$B$41,Assumptions!$B$36:$H$41))</f>
        <v>0</v>
      </c>
      <c r="KFM28">
        <f t="array" ref="KFM28">_xlfn.XLOOKUP(KFM$11,Assumptions!$B$35:$H$35,_xlfn.XLOOKUP($C28,Assumptions!$B$36:$B$41,Assumptions!$B$36:$H$41))</f>
        <v>0</v>
      </c>
      <c r="KFN28">
        <f t="array" ref="KFN28">_xlfn.XLOOKUP(KFN$11,Assumptions!$B$35:$H$35,_xlfn.XLOOKUP($C28,Assumptions!$B$36:$B$41,Assumptions!$B$36:$H$41))</f>
        <v>0</v>
      </c>
      <c r="KFO28">
        <f t="array" ref="KFO28">_xlfn.XLOOKUP(KFO$11,Assumptions!$B$35:$H$35,_xlfn.XLOOKUP($C28,Assumptions!$B$36:$B$41,Assumptions!$B$36:$H$41))</f>
        <v>0</v>
      </c>
      <c r="KFP28">
        <f t="array" ref="KFP28">_xlfn.XLOOKUP(KFP$11,Assumptions!$B$35:$H$35,_xlfn.XLOOKUP($C28,Assumptions!$B$36:$B$41,Assumptions!$B$36:$H$41))</f>
        <v>0</v>
      </c>
      <c r="KFQ28">
        <f t="array" ref="KFQ28">_xlfn.XLOOKUP(KFQ$11,Assumptions!$B$35:$H$35,_xlfn.XLOOKUP($C28,Assumptions!$B$36:$B$41,Assumptions!$B$36:$H$41))</f>
        <v>0</v>
      </c>
      <c r="KFR28">
        <f t="array" ref="KFR28">_xlfn.XLOOKUP(KFR$11,Assumptions!$B$35:$H$35,_xlfn.XLOOKUP($C28,Assumptions!$B$36:$B$41,Assumptions!$B$36:$H$41))</f>
        <v>0</v>
      </c>
      <c r="KFS28">
        <f t="array" ref="KFS28">_xlfn.XLOOKUP(KFS$11,Assumptions!$B$35:$H$35,_xlfn.XLOOKUP($C28,Assumptions!$B$36:$B$41,Assumptions!$B$36:$H$41))</f>
        <v>0</v>
      </c>
      <c r="KFT28">
        <f t="array" ref="KFT28">_xlfn.XLOOKUP(KFT$11,Assumptions!$B$35:$H$35,_xlfn.XLOOKUP($C28,Assumptions!$B$36:$B$41,Assumptions!$B$36:$H$41))</f>
        <v>0</v>
      </c>
      <c r="KFU28">
        <f t="array" ref="KFU28">_xlfn.XLOOKUP(KFU$11,Assumptions!$B$35:$H$35,_xlfn.XLOOKUP($C28,Assumptions!$B$36:$B$41,Assumptions!$B$36:$H$41))</f>
        <v>0</v>
      </c>
      <c r="KFV28">
        <f t="array" ref="KFV28">_xlfn.XLOOKUP(KFV$11,Assumptions!$B$35:$H$35,_xlfn.XLOOKUP($C28,Assumptions!$B$36:$B$41,Assumptions!$B$36:$H$41))</f>
        <v>0</v>
      </c>
      <c r="KFW28">
        <f t="array" ref="KFW28">_xlfn.XLOOKUP(KFW$11,Assumptions!$B$35:$H$35,_xlfn.XLOOKUP($C28,Assumptions!$B$36:$B$41,Assumptions!$B$36:$H$41))</f>
        <v>0</v>
      </c>
      <c r="KFX28">
        <f t="array" ref="KFX28">_xlfn.XLOOKUP(KFX$11,Assumptions!$B$35:$H$35,_xlfn.XLOOKUP($C28,Assumptions!$B$36:$B$41,Assumptions!$B$36:$H$41))</f>
        <v>0</v>
      </c>
      <c r="KFY28">
        <f t="array" ref="KFY28">_xlfn.XLOOKUP(KFY$11,Assumptions!$B$35:$H$35,_xlfn.XLOOKUP($C28,Assumptions!$B$36:$B$41,Assumptions!$B$36:$H$41))</f>
        <v>0</v>
      </c>
      <c r="KFZ28">
        <f t="array" ref="KFZ28">_xlfn.XLOOKUP(KFZ$11,Assumptions!$B$35:$H$35,_xlfn.XLOOKUP($C28,Assumptions!$B$36:$B$41,Assumptions!$B$36:$H$41))</f>
        <v>0</v>
      </c>
      <c r="KGA28">
        <f t="array" ref="KGA28">_xlfn.XLOOKUP(KGA$11,Assumptions!$B$35:$H$35,_xlfn.XLOOKUP($C28,Assumptions!$B$36:$B$41,Assumptions!$B$36:$H$41))</f>
        <v>0</v>
      </c>
      <c r="KGB28">
        <f t="array" ref="KGB28">_xlfn.XLOOKUP(KGB$11,Assumptions!$B$35:$H$35,_xlfn.XLOOKUP($C28,Assumptions!$B$36:$B$41,Assumptions!$B$36:$H$41))</f>
        <v>0</v>
      </c>
      <c r="KGC28">
        <f t="array" ref="KGC28">_xlfn.XLOOKUP(KGC$11,Assumptions!$B$35:$H$35,_xlfn.XLOOKUP($C28,Assumptions!$B$36:$B$41,Assumptions!$B$36:$H$41))</f>
        <v>0</v>
      </c>
      <c r="KGD28">
        <f t="array" ref="KGD28">_xlfn.XLOOKUP(KGD$11,Assumptions!$B$35:$H$35,_xlfn.XLOOKUP($C28,Assumptions!$B$36:$B$41,Assumptions!$B$36:$H$41))</f>
        <v>0</v>
      </c>
      <c r="KGE28">
        <f t="array" ref="KGE28">_xlfn.XLOOKUP(KGE$11,Assumptions!$B$35:$H$35,_xlfn.XLOOKUP($C28,Assumptions!$B$36:$B$41,Assumptions!$B$36:$H$41))</f>
        <v>0</v>
      </c>
      <c r="KGF28">
        <f t="array" ref="KGF28">_xlfn.XLOOKUP(KGF$11,Assumptions!$B$35:$H$35,_xlfn.XLOOKUP($C28,Assumptions!$B$36:$B$41,Assumptions!$B$36:$H$41))</f>
        <v>0</v>
      </c>
      <c r="KGG28">
        <f t="array" ref="KGG28">_xlfn.XLOOKUP(KGG$11,Assumptions!$B$35:$H$35,_xlfn.XLOOKUP($C28,Assumptions!$B$36:$B$41,Assumptions!$B$36:$H$41))</f>
        <v>0</v>
      </c>
      <c r="KGH28">
        <f t="array" ref="KGH28">_xlfn.XLOOKUP(KGH$11,Assumptions!$B$35:$H$35,_xlfn.XLOOKUP($C28,Assumptions!$B$36:$B$41,Assumptions!$B$36:$H$41))</f>
        <v>0</v>
      </c>
      <c r="KGI28">
        <f t="array" ref="KGI28">_xlfn.XLOOKUP(KGI$11,Assumptions!$B$35:$H$35,_xlfn.XLOOKUP($C28,Assumptions!$B$36:$B$41,Assumptions!$B$36:$H$41))</f>
        <v>0</v>
      </c>
      <c r="KGJ28">
        <f t="array" ref="KGJ28">_xlfn.XLOOKUP(KGJ$11,Assumptions!$B$35:$H$35,_xlfn.XLOOKUP($C28,Assumptions!$B$36:$B$41,Assumptions!$B$36:$H$41))</f>
        <v>0</v>
      </c>
      <c r="KGK28">
        <f t="array" ref="KGK28">_xlfn.XLOOKUP(KGK$11,Assumptions!$B$35:$H$35,_xlfn.XLOOKUP($C28,Assumptions!$B$36:$B$41,Assumptions!$B$36:$H$41))</f>
        <v>0</v>
      </c>
      <c r="KGL28">
        <f t="array" ref="KGL28">_xlfn.XLOOKUP(KGL$11,Assumptions!$B$35:$H$35,_xlfn.XLOOKUP($C28,Assumptions!$B$36:$B$41,Assumptions!$B$36:$H$41))</f>
        <v>0</v>
      </c>
      <c r="KGM28">
        <f t="array" ref="KGM28">_xlfn.XLOOKUP(KGM$11,Assumptions!$B$35:$H$35,_xlfn.XLOOKUP($C28,Assumptions!$B$36:$B$41,Assumptions!$B$36:$H$41))</f>
        <v>0</v>
      </c>
      <c r="KGN28">
        <f t="array" ref="KGN28">_xlfn.XLOOKUP(KGN$11,Assumptions!$B$35:$H$35,_xlfn.XLOOKUP($C28,Assumptions!$B$36:$B$41,Assumptions!$B$36:$H$41))</f>
        <v>0</v>
      </c>
      <c r="KGO28">
        <f t="array" ref="KGO28">_xlfn.XLOOKUP(KGO$11,Assumptions!$B$35:$H$35,_xlfn.XLOOKUP($C28,Assumptions!$B$36:$B$41,Assumptions!$B$36:$H$41))</f>
        <v>0</v>
      </c>
      <c r="KGP28">
        <f t="array" ref="KGP28">_xlfn.XLOOKUP(KGP$11,Assumptions!$B$35:$H$35,_xlfn.XLOOKUP($C28,Assumptions!$B$36:$B$41,Assumptions!$B$36:$H$41))</f>
        <v>0</v>
      </c>
      <c r="KGQ28">
        <f t="array" ref="KGQ28">_xlfn.XLOOKUP(KGQ$11,Assumptions!$B$35:$H$35,_xlfn.XLOOKUP($C28,Assumptions!$B$36:$B$41,Assumptions!$B$36:$H$41))</f>
        <v>0</v>
      </c>
      <c r="KGR28">
        <f t="array" ref="KGR28">_xlfn.XLOOKUP(KGR$11,Assumptions!$B$35:$H$35,_xlfn.XLOOKUP($C28,Assumptions!$B$36:$B$41,Assumptions!$B$36:$H$41))</f>
        <v>0</v>
      </c>
      <c r="KGS28">
        <f t="array" ref="KGS28">_xlfn.XLOOKUP(KGS$11,Assumptions!$B$35:$H$35,_xlfn.XLOOKUP($C28,Assumptions!$B$36:$B$41,Assumptions!$B$36:$H$41))</f>
        <v>0</v>
      </c>
      <c r="KGT28">
        <f t="array" ref="KGT28">_xlfn.XLOOKUP(KGT$11,Assumptions!$B$35:$H$35,_xlfn.XLOOKUP($C28,Assumptions!$B$36:$B$41,Assumptions!$B$36:$H$41))</f>
        <v>0</v>
      </c>
      <c r="KGU28">
        <f t="array" ref="KGU28">_xlfn.XLOOKUP(KGU$11,Assumptions!$B$35:$H$35,_xlfn.XLOOKUP($C28,Assumptions!$B$36:$B$41,Assumptions!$B$36:$H$41))</f>
        <v>0</v>
      </c>
      <c r="KGV28">
        <f t="array" ref="KGV28">_xlfn.XLOOKUP(KGV$11,Assumptions!$B$35:$H$35,_xlfn.XLOOKUP($C28,Assumptions!$B$36:$B$41,Assumptions!$B$36:$H$41))</f>
        <v>0</v>
      </c>
      <c r="KGW28">
        <f t="array" ref="KGW28">_xlfn.XLOOKUP(KGW$11,Assumptions!$B$35:$H$35,_xlfn.XLOOKUP($C28,Assumptions!$B$36:$B$41,Assumptions!$B$36:$H$41))</f>
        <v>0</v>
      </c>
      <c r="KGX28">
        <f t="array" ref="KGX28">_xlfn.XLOOKUP(KGX$11,Assumptions!$B$35:$H$35,_xlfn.XLOOKUP($C28,Assumptions!$B$36:$B$41,Assumptions!$B$36:$H$41))</f>
        <v>0</v>
      </c>
      <c r="KGY28">
        <f t="array" ref="KGY28">_xlfn.XLOOKUP(KGY$11,Assumptions!$B$35:$H$35,_xlfn.XLOOKUP($C28,Assumptions!$B$36:$B$41,Assumptions!$B$36:$H$41))</f>
        <v>0</v>
      </c>
      <c r="KGZ28">
        <f t="array" ref="KGZ28">_xlfn.XLOOKUP(KGZ$11,Assumptions!$B$35:$H$35,_xlfn.XLOOKUP($C28,Assumptions!$B$36:$B$41,Assumptions!$B$36:$H$41))</f>
        <v>0</v>
      </c>
      <c r="KHA28">
        <f t="array" ref="KHA28">_xlfn.XLOOKUP(KHA$11,Assumptions!$B$35:$H$35,_xlfn.XLOOKUP($C28,Assumptions!$B$36:$B$41,Assumptions!$B$36:$H$41))</f>
        <v>0</v>
      </c>
      <c r="KHB28">
        <f t="array" ref="KHB28">_xlfn.XLOOKUP(KHB$11,Assumptions!$B$35:$H$35,_xlfn.XLOOKUP($C28,Assumptions!$B$36:$B$41,Assumptions!$B$36:$H$41))</f>
        <v>0</v>
      </c>
      <c r="KHC28">
        <f t="array" ref="KHC28">_xlfn.XLOOKUP(KHC$11,Assumptions!$B$35:$H$35,_xlfn.XLOOKUP($C28,Assumptions!$B$36:$B$41,Assumptions!$B$36:$H$41))</f>
        <v>0</v>
      </c>
      <c r="KHD28">
        <f t="array" ref="KHD28">_xlfn.XLOOKUP(KHD$11,Assumptions!$B$35:$H$35,_xlfn.XLOOKUP($C28,Assumptions!$B$36:$B$41,Assumptions!$B$36:$H$41))</f>
        <v>0</v>
      </c>
      <c r="KHE28">
        <f t="array" ref="KHE28">_xlfn.XLOOKUP(KHE$11,Assumptions!$B$35:$H$35,_xlfn.XLOOKUP($C28,Assumptions!$B$36:$B$41,Assumptions!$B$36:$H$41))</f>
        <v>0</v>
      </c>
      <c r="KHF28">
        <f t="array" ref="KHF28">_xlfn.XLOOKUP(KHF$11,Assumptions!$B$35:$H$35,_xlfn.XLOOKUP($C28,Assumptions!$B$36:$B$41,Assumptions!$B$36:$H$41))</f>
        <v>0</v>
      </c>
      <c r="KHG28">
        <f t="array" ref="KHG28">_xlfn.XLOOKUP(KHG$11,Assumptions!$B$35:$H$35,_xlfn.XLOOKUP($C28,Assumptions!$B$36:$B$41,Assumptions!$B$36:$H$41))</f>
        <v>0</v>
      </c>
      <c r="KHH28">
        <f t="array" ref="KHH28">_xlfn.XLOOKUP(KHH$11,Assumptions!$B$35:$H$35,_xlfn.XLOOKUP($C28,Assumptions!$B$36:$B$41,Assumptions!$B$36:$H$41))</f>
        <v>0</v>
      </c>
      <c r="KHI28">
        <f t="array" ref="KHI28">_xlfn.XLOOKUP(KHI$11,Assumptions!$B$35:$H$35,_xlfn.XLOOKUP($C28,Assumptions!$B$36:$B$41,Assumptions!$B$36:$H$41))</f>
        <v>0</v>
      </c>
      <c r="KHJ28">
        <f t="array" ref="KHJ28">_xlfn.XLOOKUP(KHJ$11,Assumptions!$B$35:$H$35,_xlfn.XLOOKUP($C28,Assumptions!$B$36:$B$41,Assumptions!$B$36:$H$41))</f>
        <v>0</v>
      </c>
      <c r="KHK28">
        <f t="array" ref="KHK28">_xlfn.XLOOKUP(KHK$11,Assumptions!$B$35:$H$35,_xlfn.XLOOKUP($C28,Assumptions!$B$36:$B$41,Assumptions!$B$36:$H$41))</f>
        <v>0</v>
      </c>
      <c r="KHL28">
        <f t="array" ref="KHL28">_xlfn.XLOOKUP(KHL$11,Assumptions!$B$35:$H$35,_xlfn.XLOOKUP($C28,Assumptions!$B$36:$B$41,Assumptions!$B$36:$H$41))</f>
        <v>0</v>
      </c>
      <c r="KHM28">
        <f t="array" ref="KHM28">_xlfn.XLOOKUP(KHM$11,Assumptions!$B$35:$H$35,_xlfn.XLOOKUP($C28,Assumptions!$B$36:$B$41,Assumptions!$B$36:$H$41))</f>
        <v>0</v>
      </c>
      <c r="KHN28">
        <f t="array" ref="KHN28">_xlfn.XLOOKUP(KHN$11,Assumptions!$B$35:$H$35,_xlfn.XLOOKUP($C28,Assumptions!$B$36:$B$41,Assumptions!$B$36:$H$41))</f>
        <v>0</v>
      </c>
      <c r="KHO28">
        <f t="array" ref="KHO28">_xlfn.XLOOKUP(KHO$11,Assumptions!$B$35:$H$35,_xlfn.XLOOKUP($C28,Assumptions!$B$36:$B$41,Assumptions!$B$36:$H$41))</f>
        <v>0</v>
      </c>
      <c r="KHP28">
        <f t="array" ref="KHP28">_xlfn.XLOOKUP(KHP$11,Assumptions!$B$35:$H$35,_xlfn.XLOOKUP($C28,Assumptions!$B$36:$B$41,Assumptions!$B$36:$H$41))</f>
        <v>0</v>
      </c>
      <c r="KHQ28">
        <f t="array" ref="KHQ28">_xlfn.XLOOKUP(KHQ$11,Assumptions!$B$35:$H$35,_xlfn.XLOOKUP($C28,Assumptions!$B$36:$B$41,Assumptions!$B$36:$H$41))</f>
        <v>0</v>
      </c>
      <c r="KHR28">
        <f t="array" ref="KHR28">_xlfn.XLOOKUP(KHR$11,Assumptions!$B$35:$H$35,_xlfn.XLOOKUP($C28,Assumptions!$B$36:$B$41,Assumptions!$B$36:$H$41))</f>
        <v>0</v>
      </c>
      <c r="KHS28">
        <f t="array" ref="KHS28">_xlfn.XLOOKUP(KHS$11,Assumptions!$B$35:$H$35,_xlfn.XLOOKUP($C28,Assumptions!$B$36:$B$41,Assumptions!$B$36:$H$41))</f>
        <v>0</v>
      </c>
      <c r="KHT28">
        <f t="array" ref="KHT28">_xlfn.XLOOKUP(KHT$11,Assumptions!$B$35:$H$35,_xlfn.XLOOKUP($C28,Assumptions!$B$36:$B$41,Assumptions!$B$36:$H$41))</f>
        <v>0</v>
      </c>
      <c r="KHU28">
        <f t="array" ref="KHU28">_xlfn.XLOOKUP(KHU$11,Assumptions!$B$35:$H$35,_xlfn.XLOOKUP($C28,Assumptions!$B$36:$B$41,Assumptions!$B$36:$H$41))</f>
        <v>0</v>
      </c>
      <c r="KHV28">
        <f t="array" ref="KHV28">_xlfn.XLOOKUP(KHV$11,Assumptions!$B$35:$H$35,_xlfn.XLOOKUP($C28,Assumptions!$B$36:$B$41,Assumptions!$B$36:$H$41))</f>
        <v>0</v>
      </c>
      <c r="KHW28">
        <f t="array" ref="KHW28">_xlfn.XLOOKUP(KHW$11,Assumptions!$B$35:$H$35,_xlfn.XLOOKUP($C28,Assumptions!$B$36:$B$41,Assumptions!$B$36:$H$41))</f>
        <v>0</v>
      </c>
      <c r="KHX28">
        <f t="array" ref="KHX28">_xlfn.XLOOKUP(KHX$11,Assumptions!$B$35:$H$35,_xlfn.XLOOKUP($C28,Assumptions!$B$36:$B$41,Assumptions!$B$36:$H$41))</f>
        <v>0</v>
      </c>
      <c r="KHY28">
        <f t="array" ref="KHY28">_xlfn.XLOOKUP(KHY$11,Assumptions!$B$35:$H$35,_xlfn.XLOOKUP($C28,Assumptions!$B$36:$B$41,Assumptions!$B$36:$H$41))</f>
        <v>0</v>
      </c>
      <c r="KHZ28">
        <f t="array" ref="KHZ28">_xlfn.XLOOKUP(KHZ$11,Assumptions!$B$35:$H$35,_xlfn.XLOOKUP($C28,Assumptions!$B$36:$B$41,Assumptions!$B$36:$H$41))</f>
        <v>0</v>
      </c>
      <c r="KIA28">
        <f t="array" ref="KIA28">_xlfn.XLOOKUP(KIA$11,Assumptions!$B$35:$H$35,_xlfn.XLOOKUP($C28,Assumptions!$B$36:$B$41,Assumptions!$B$36:$H$41))</f>
        <v>0</v>
      </c>
      <c r="KIB28">
        <f t="array" ref="KIB28">_xlfn.XLOOKUP(KIB$11,Assumptions!$B$35:$H$35,_xlfn.XLOOKUP($C28,Assumptions!$B$36:$B$41,Assumptions!$B$36:$H$41))</f>
        <v>0</v>
      </c>
      <c r="KIC28">
        <f t="array" ref="KIC28">_xlfn.XLOOKUP(KIC$11,Assumptions!$B$35:$H$35,_xlfn.XLOOKUP($C28,Assumptions!$B$36:$B$41,Assumptions!$B$36:$H$41))</f>
        <v>0</v>
      </c>
      <c r="KID28">
        <f t="array" ref="KID28">_xlfn.XLOOKUP(KID$11,Assumptions!$B$35:$H$35,_xlfn.XLOOKUP($C28,Assumptions!$B$36:$B$41,Assumptions!$B$36:$H$41))</f>
        <v>0</v>
      </c>
      <c r="KIE28">
        <f t="array" ref="KIE28">_xlfn.XLOOKUP(KIE$11,Assumptions!$B$35:$H$35,_xlfn.XLOOKUP($C28,Assumptions!$B$36:$B$41,Assumptions!$B$36:$H$41))</f>
        <v>0</v>
      </c>
      <c r="KIF28">
        <f t="array" ref="KIF28">_xlfn.XLOOKUP(KIF$11,Assumptions!$B$35:$H$35,_xlfn.XLOOKUP($C28,Assumptions!$B$36:$B$41,Assumptions!$B$36:$H$41))</f>
        <v>0</v>
      </c>
      <c r="KIG28">
        <f t="array" ref="KIG28">_xlfn.XLOOKUP(KIG$11,Assumptions!$B$35:$H$35,_xlfn.XLOOKUP($C28,Assumptions!$B$36:$B$41,Assumptions!$B$36:$H$41))</f>
        <v>0</v>
      </c>
      <c r="KIH28">
        <f t="array" ref="KIH28">_xlfn.XLOOKUP(KIH$11,Assumptions!$B$35:$H$35,_xlfn.XLOOKUP($C28,Assumptions!$B$36:$B$41,Assumptions!$B$36:$H$41))</f>
        <v>0</v>
      </c>
      <c r="KII28">
        <f t="array" ref="KII28">_xlfn.XLOOKUP(KII$11,Assumptions!$B$35:$H$35,_xlfn.XLOOKUP($C28,Assumptions!$B$36:$B$41,Assumptions!$B$36:$H$41))</f>
        <v>0</v>
      </c>
      <c r="KIJ28">
        <f t="array" ref="KIJ28">_xlfn.XLOOKUP(KIJ$11,Assumptions!$B$35:$H$35,_xlfn.XLOOKUP($C28,Assumptions!$B$36:$B$41,Assumptions!$B$36:$H$41))</f>
        <v>0</v>
      </c>
      <c r="KIK28">
        <f t="array" ref="KIK28">_xlfn.XLOOKUP(KIK$11,Assumptions!$B$35:$H$35,_xlfn.XLOOKUP($C28,Assumptions!$B$36:$B$41,Assumptions!$B$36:$H$41))</f>
        <v>0</v>
      </c>
      <c r="KIL28">
        <f t="array" ref="KIL28">_xlfn.XLOOKUP(KIL$11,Assumptions!$B$35:$H$35,_xlfn.XLOOKUP($C28,Assumptions!$B$36:$B$41,Assumptions!$B$36:$H$41))</f>
        <v>0</v>
      </c>
      <c r="KIM28">
        <f t="array" ref="KIM28">_xlfn.XLOOKUP(KIM$11,Assumptions!$B$35:$H$35,_xlfn.XLOOKUP($C28,Assumptions!$B$36:$B$41,Assumptions!$B$36:$H$41))</f>
        <v>0</v>
      </c>
      <c r="KIN28">
        <f t="array" ref="KIN28">_xlfn.XLOOKUP(KIN$11,Assumptions!$B$35:$H$35,_xlfn.XLOOKUP($C28,Assumptions!$B$36:$B$41,Assumptions!$B$36:$H$41))</f>
        <v>0</v>
      </c>
      <c r="KIO28">
        <f t="array" ref="KIO28">_xlfn.XLOOKUP(KIO$11,Assumptions!$B$35:$H$35,_xlfn.XLOOKUP($C28,Assumptions!$B$36:$B$41,Assumptions!$B$36:$H$41))</f>
        <v>0</v>
      </c>
      <c r="KIP28">
        <f t="array" ref="KIP28">_xlfn.XLOOKUP(KIP$11,Assumptions!$B$35:$H$35,_xlfn.XLOOKUP($C28,Assumptions!$B$36:$B$41,Assumptions!$B$36:$H$41))</f>
        <v>0</v>
      </c>
      <c r="KIQ28">
        <f t="array" ref="KIQ28">_xlfn.XLOOKUP(KIQ$11,Assumptions!$B$35:$H$35,_xlfn.XLOOKUP($C28,Assumptions!$B$36:$B$41,Assumptions!$B$36:$H$41))</f>
        <v>0</v>
      </c>
      <c r="KIR28">
        <f t="array" ref="KIR28">_xlfn.XLOOKUP(KIR$11,Assumptions!$B$35:$H$35,_xlfn.XLOOKUP($C28,Assumptions!$B$36:$B$41,Assumptions!$B$36:$H$41))</f>
        <v>0</v>
      </c>
      <c r="KIS28">
        <f t="array" ref="KIS28">_xlfn.XLOOKUP(KIS$11,Assumptions!$B$35:$H$35,_xlfn.XLOOKUP($C28,Assumptions!$B$36:$B$41,Assumptions!$B$36:$H$41))</f>
        <v>0</v>
      </c>
      <c r="KIT28">
        <f t="array" ref="KIT28">_xlfn.XLOOKUP(KIT$11,Assumptions!$B$35:$H$35,_xlfn.XLOOKUP($C28,Assumptions!$B$36:$B$41,Assumptions!$B$36:$H$41))</f>
        <v>0</v>
      </c>
      <c r="KIU28">
        <f t="array" ref="KIU28">_xlfn.XLOOKUP(KIU$11,Assumptions!$B$35:$H$35,_xlfn.XLOOKUP($C28,Assumptions!$B$36:$B$41,Assumptions!$B$36:$H$41))</f>
        <v>0</v>
      </c>
      <c r="KIV28">
        <f t="array" ref="KIV28">_xlfn.XLOOKUP(KIV$11,Assumptions!$B$35:$H$35,_xlfn.XLOOKUP($C28,Assumptions!$B$36:$B$41,Assumptions!$B$36:$H$41))</f>
        <v>0</v>
      </c>
      <c r="KIW28">
        <f t="array" ref="KIW28">_xlfn.XLOOKUP(KIW$11,Assumptions!$B$35:$H$35,_xlfn.XLOOKUP($C28,Assumptions!$B$36:$B$41,Assumptions!$B$36:$H$41))</f>
        <v>0</v>
      </c>
      <c r="KIX28">
        <f t="array" ref="KIX28">_xlfn.XLOOKUP(KIX$11,Assumptions!$B$35:$H$35,_xlfn.XLOOKUP($C28,Assumptions!$B$36:$B$41,Assumptions!$B$36:$H$41))</f>
        <v>0</v>
      </c>
      <c r="KIY28">
        <f t="array" ref="KIY28">_xlfn.XLOOKUP(KIY$11,Assumptions!$B$35:$H$35,_xlfn.XLOOKUP($C28,Assumptions!$B$36:$B$41,Assumptions!$B$36:$H$41))</f>
        <v>0</v>
      </c>
      <c r="KIZ28">
        <f t="array" ref="KIZ28">_xlfn.XLOOKUP(KIZ$11,Assumptions!$B$35:$H$35,_xlfn.XLOOKUP($C28,Assumptions!$B$36:$B$41,Assumptions!$B$36:$H$41))</f>
        <v>0</v>
      </c>
      <c r="KJA28">
        <f t="array" ref="KJA28">_xlfn.XLOOKUP(KJA$11,Assumptions!$B$35:$H$35,_xlfn.XLOOKUP($C28,Assumptions!$B$36:$B$41,Assumptions!$B$36:$H$41))</f>
        <v>0</v>
      </c>
      <c r="KJB28">
        <f t="array" ref="KJB28">_xlfn.XLOOKUP(KJB$11,Assumptions!$B$35:$H$35,_xlfn.XLOOKUP($C28,Assumptions!$B$36:$B$41,Assumptions!$B$36:$H$41))</f>
        <v>0</v>
      </c>
      <c r="KJC28">
        <f t="array" ref="KJC28">_xlfn.XLOOKUP(KJC$11,Assumptions!$B$35:$H$35,_xlfn.XLOOKUP($C28,Assumptions!$B$36:$B$41,Assumptions!$B$36:$H$41))</f>
        <v>0</v>
      </c>
      <c r="KJD28">
        <f t="array" ref="KJD28">_xlfn.XLOOKUP(KJD$11,Assumptions!$B$35:$H$35,_xlfn.XLOOKUP($C28,Assumptions!$B$36:$B$41,Assumptions!$B$36:$H$41))</f>
        <v>0</v>
      </c>
      <c r="KJE28">
        <f t="array" ref="KJE28">_xlfn.XLOOKUP(KJE$11,Assumptions!$B$35:$H$35,_xlfn.XLOOKUP($C28,Assumptions!$B$36:$B$41,Assumptions!$B$36:$H$41))</f>
        <v>0</v>
      </c>
      <c r="KJF28">
        <f t="array" ref="KJF28">_xlfn.XLOOKUP(KJF$11,Assumptions!$B$35:$H$35,_xlfn.XLOOKUP($C28,Assumptions!$B$36:$B$41,Assumptions!$B$36:$H$41))</f>
        <v>0</v>
      </c>
      <c r="KJG28">
        <f t="array" ref="KJG28">_xlfn.XLOOKUP(KJG$11,Assumptions!$B$35:$H$35,_xlfn.XLOOKUP($C28,Assumptions!$B$36:$B$41,Assumptions!$B$36:$H$41))</f>
        <v>0</v>
      </c>
      <c r="KJH28">
        <f t="array" ref="KJH28">_xlfn.XLOOKUP(KJH$11,Assumptions!$B$35:$H$35,_xlfn.XLOOKUP($C28,Assumptions!$B$36:$B$41,Assumptions!$B$36:$H$41))</f>
        <v>0</v>
      </c>
      <c r="KJI28">
        <f t="array" ref="KJI28">_xlfn.XLOOKUP(KJI$11,Assumptions!$B$35:$H$35,_xlfn.XLOOKUP($C28,Assumptions!$B$36:$B$41,Assumptions!$B$36:$H$41))</f>
        <v>0</v>
      </c>
      <c r="KJJ28">
        <f t="array" ref="KJJ28">_xlfn.XLOOKUP(KJJ$11,Assumptions!$B$35:$H$35,_xlfn.XLOOKUP($C28,Assumptions!$B$36:$B$41,Assumptions!$B$36:$H$41))</f>
        <v>0</v>
      </c>
      <c r="KJK28">
        <f t="array" ref="KJK28">_xlfn.XLOOKUP(KJK$11,Assumptions!$B$35:$H$35,_xlfn.XLOOKUP($C28,Assumptions!$B$36:$B$41,Assumptions!$B$36:$H$41))</f>
        <v>0</v>
      </c>
      <c r="KJL28">
        <f t="array" ref="KJL28">_xlfn.XLOOKUP(KJL$11,Assumptions!$B$35:$H$35,_xlfn.XLOOKUP($C28,Assumptions!$B$36:$B$41,Assumptions!$B$36:$H$41))</f>
        <v>0</v>
      </c>
      <c r="KJM28">
        <f t="array" ref="KJM28">_xlfn.XLOOKUP(KJM$11,Assumptions!$B$35:$H$35,_xlfn.XLOOKUP($C28,Assumptions!$B$36:$B$41,Assumptions!$B$36:$H$41))</f>
        <v>0</v>
      </c>
      <c r="KJN28">
        <f t="array" ref="KJN28">_xlfn.XLOOKUP(KJN$11,Assumptions!$B$35:$H$35,_xlfn.XLOOKUP($C28,Assumptions!$B$36:$B$41,Assumptions!$B$36:$H$41))</f>
        <v>0</v>
      </c>
      <c r="KJO28">
        <f t="array" ref="KJO28">_xlfn.XLOOKUP(KJO$11,Assumptions!$B$35:$H$35,_xlfn.XLOOKUP($C28,Assumptions!$B$36:$B$41,Assumptions!$B$36:$H$41))</f>
        <v>0</v>
      </c>
      <c r="KJP28">
        <f t="array" ref="KJP28">_xlfn.XLOOKUP(KJP$11,Assumptions!$B$35:$H$35,_xlfn.XLOOKUP($C28,Assumptions!$B$36:$B$41,Assumptions!$B$36:$H$41))</f>
        <v>0</v>
      </c>
      <c r="KJQ28">
        <f t="array" ref="KJQ28">_xlfn.XLOOKUP(KJQ$11,Assumptions!$B$35:$H$35,_xlfn.XLOOKUP($C28,Assumptions!$B$36:$B$41,Assumptions!$B$36:$H$41))</f>
        <v>0</v>
      </c>
      <c r="KJR28">
        <f t="array" ref="KJR28">_xlfn.XLOOKUP(KJR$11,Assumptions!$B$35:$H$35,_xlfn.XLOOKUP($C28,Assumptions!$B$36:$B$41,Assumptions!$B$36:$H$41))</f>
        <v>0</v>
      </c>
      <c r="KJS28">
        <f t="array" ref="KJS28">_xlfn.XLOOKUP(KJS$11,Assumptions!$B$35:$H$35,_xlfn.XLOOKUP($C28,Assumptions!$B$36:$B$41,Assumptions!$B$36:$H$41))</f>
        <v>0</v>
      </c>
      <c r="KJT28">
        <f t="array" ref="KJT28">_xlfn.XLOOKUP(KJT$11,Assumptions!$B$35:$H$35,_xlfn.XLOOKUP($C28,Assumptions!$B$36:$B$41,Assumptions!$B$36:$H$41))</f>
        <v>0</v>
      </c>
      <c r="KJU28">
        <f t="array" ref="KJU28">_xlfn.XLOOKUP(KJU$11,Assumptions!$B$35:$H$35,_xlfn.XLOOKUP($C28,Assumptions!$B$36:$B$41,Assumptions!$B$36:$H$41))</f>
        <v>0</v>
      </c>
      <c r="KJV28">
        <f t="array" ref="KJV28">_xlfn.XLOOKUP(KJV$11,Assumptions!$B$35:$H$35,_xlfn.XLOOKUP($C28,Assumptions!$B$36:$B$41,Assumptions!$B$36:$H$41))</f>
        <v>0</v>
      </c>
      <c r="KJW28">
        <f t="array" ref="KJW28">_xlfn.XLOOKUP(KJW$11,Assumptions!$B$35:$H$35,_xlfn.XLOOKUP($C28,Assumptions!$B$36:$B$41,Assumptions!$B$36:$H$41))</f>
        <v>0</v>
      </c>
      <c r="KJX28">
        <f t="array" ref="KJX28">_xlfn.XLOOKUP(KJX$11,Assumptions!$B$35:$H$35,_xlfn.XLOOKUP($C28,Assumptions!$B$36:$B$41,Assumptions!$B$36:$H$41))</f>
        <v>0</v>
      </c>
      <c r="KJY28">
        <f t="array" ref="KJY28">_xlfn.XLOOKUP(KJY$11,Assumptions!$B$35:$H$35,_xlfn.XLOOKUP($C28,Assumptions!$B$36:$B$41,Assumptions!$B$36:$H$41))</f>
        <v>0</v>
      </c>
      <c r="KJZ28">
        <f t="array" ref="KJZ28">_xlfn.XLOOKUP(KJZ$11,Assumptions!$B$35:$H$35,_xlfn.XLOOKUP($C28,Assumptions!$B$36:$B$41,Assumptions!$B$36:$H$41))</f>
        <v>0</v>
      </c>
      <c r="KKA28">
        <f t="array" ref="KKA28">_xlfn.XLOOKUP(KKA$11,Assumptions!$B$35:$H$35,_xlfn.XLOOKUP($C28,Assumptions!$B$36:$B$41,Assumptions!$B$36:$H$41))</f>
        <v>0</v>
      </c>
      <c r="KKB28">
        <f t="array" ref="KKB28">_xlfn.XLOOKUP(KKB$11,Assumptions!$B$35:$H$35,_xlfn.XLOOKUP($C28,Assumptions!$B$36:$B$41,Assumptions!$B$36:$H$41))</f>
        <v>0</v>
      </c>
      <c r="KKC28">
        <f t="array" ref="KKC28">_xlfn.XLOOKUP(KKC$11,Assumptions!$B$35:$H$35,_xlfn.XLOOKUP($C28,Assumptions!$B$36:$B$41,Assumptions!$B$36:$H$41))</f>
        <v>0</v>
      </c>
      <c r="KKD28">
        <f t="array" ref="KKD28">_xlfn.XLOOKUP(KKD$11,Assumptions!$B$35:$H$35,_xlfn.XLOOKUP($C28,Assumptions!$B$36:$B$41,Assumptions!$B$36:$H$41))</f>
        <v>0</v>
      </c>
      <c r="KKE28">
        <f t="array" ref="KKE28">_xlfn.XLOOKUP(KKE$11,Assumptions!$B$35:$H$35,_xlfn.XLOOKUP($C28,Assumptions!$B$36:$B$41,Assumptions!$B$36:$H$41))</f>
        <v>0</v>
      </c>
      <c r="KKF28">
        <f t="array" ref="KKF28">_xlfn.XLOOKUP(KKF$11,Assumptions!$B$35:$H$35,_xlfn.XLOOKUP($C28,Assumptions!$B$36:$B$41,Assumptions!$B$36:$H$41))</f>
        <v>0</v>
      </c>
      <c r="KKG28">
        <f t="array" ref="KKG28">_xlfn.XLOOKUP(KKG$11,Assumptions!$B$35:$H$35,_xlfn.XLOOKUP($C28,Assumptions!$B$36:$B$41,Assumptions!$B$36:$H$41))</f>
        <v>0</v>
      </c>
      <c r="KKH28">
        <f t="array" ref="KKH28">_xlfn.XLOOKUP(KKH$11,Assumptions!$B$35:$H$35,_xlfn.XLOOKUP($C28,Assumptions!$B$36:$B$41,Assumptions!$B$36:$H$41))</f>
        <v>0</v>
      </c>
      <c r="KKI28">
        <f t="array" ref="KKI28">_xlfn.XLOOKUP(KKI$11,Assumptions!$B$35:$H$35,_xlfn.XLOOKUP($C28,Assumptions!$B$36:$B$41,Assumptions!$B$36:$H$41))</f>
        <v>0</v>
      </c>
      <c r="KKJ28">
        <f t="array" ref="KKJ28">_xlfn.XLOOKUP(KKJ$11,Assumptions!$B$35:$H$35,_xlfn.XLOOKUP($C28,Assumptions!$B$36:$B$41,Assumptions!$B$36:$H$41))</f>
        <v>0</v>
      </c>
      <c r="KKK28">
        <f t="array" ref="KKK28">_xlfn.XLOOKUP(KKK$11,Assumptions!$B$35:$H$35,_xlfn.XLOOKUP($C28,Assumptions!$B$36:$B$41,Assumptions!$B$36:$H$41))</f>
        <v>0</v>
      </c>
      <c r="KKL28">
        <f t="array" ref="KKL28">_xlfn.XLOOKUP(KKL$11,Assumptions!$B$35:$H$35,_xlfn.XLOOKUP($C28,Assumptions!$B$36:$B$41,Assumptions!$B$36:$H$41))</f>
        <v>0</v>
      </c>
      <c r="KKM28">
        <f t="array" ref="KKM28">_xlfn.XLOOKUP(KKM$11,Assumptions!$B$35:$H$35,_xlfn.XLOOKUP($C28,Assumptions!$B$36:$B$41,Assumptions!$B$36:$H$41))</f>
        <v>0</v>
      </c>
      <c r="KKN28">
        <f t="array" ref="KKN28">_xlfn.XLOOKUP(KKN$11,Assumptions!$B$35:$H$35,_xlfn.XLOOKUP($C28,Assumptions!$B$36:$B$41,Assumptions!$B$36:$H$41))</f>
        <v>0</v>
      </c>
      <c r="KKO28">
        <f t="array" ref="KKO28">_xlfn.XLOOKUP(KKO$11,Assumptions!$B$35:$H$35,_xlfn.XLOOKUP($C28,Assumptions!$B$36:$B$41,Assumptions!$B$36:$H$41))</f>
        <v>0</v>
      </c>
      <c r="KKP28">
        <f t="array" ref="KKP28">_xlfn.XLOOKUP(KKP$11,Assumptions!$B$35:$H$35,_xlfn.XLOOKUP($C28,Assumptions!$B$36:$B$41,Assumptions!$B$36:$H$41))</f>
        <v>0</v>
      </c>
      <c r="KKQ28">
        <f t="array" ref="KKQ28">_xlfn.XLOOKUP(KKQ$11,Assumptions!$B$35:$H$35,_xlfn.XLOOKUP($C28,Assumptions!$B$36:$B$41,Assumptions!$B$36:$H$41))</f>
        <v>0</v>
      </c>
      <c r="KKR28">
        <f t="array" ref="KKR28">_xlfn.XLOOKUP(KKR$11,Assumptions!$B$35:$H$35,_xlfn.XLOOKUP($C28,Assumptions!$B$36:$B$41,Assumptions!$B$36:$H$41))</f>
        <v>0</v>
      </c>
      <c r="KKS28">
        <f t="array" ref="KKS28">_xlfn.XLOOKUP(KKS$11,Assumptions!$B$35:$H$35,_xlfn.XLOOKUP($C28,Assumptions!$B$36:$B$41,Assumptions!$B$36:$H$41))</f>
        <v>0</v>
      </c>
      <c r="KKT28">
        <f t="array" ref="KKT28">_xlfn.XLOOKUP(KKT$11,Assumptions!$B$35:$H$35,_xlfn.XLOOKUP($C28,Assumptions!$B$36:$B$41,Assumptions!$B$36:$H$41))</f>
        <v>0</v>
      </c>
      <c r="KKU28">
        <f t="array" ref="KKU28">_xlfn.XLOOKUP(KKU$11,Assumptions!$B$35:$H$35,_xlfn.XLOOKUP($C28,Assumptions!$B$36:$B$41,Assumptions!$B$36:$H$41))</f>
        <v>0</v>
      </c>
      <c r="KKV28">
        <f t="array" ref="KKV28">_xlfn.XLOOKUP(KKV$11,Assumptions!$B$35:$H$35,_xlfn.XLOOKUP($C28,Assumptions!$B$36:$B$41,Assumptions!$B$36:$H$41))</f>
        <v>0</v>
      </c>
      <c r="KKW28">
        <f t="array" ref="KKW28">_xlfn.XLOOKUP(KKW$11,Assumptions!$B$35:$H$35,_xlfn.XLOOKUP($C28,Assumptions!$B$36:$B$41,Assumptions!$B$36:$H$41))</f>
        <v>0</v>
      </c>
      <c r="KKX28">
        <f t="array" ref="KKX28">_xlfn.XLOOKUP(KKX$11,Assumptions!$B$35:$H$35,_xlfn.XLOOKUP($C28,Assumptions!$B$36:$B$41,Assumptions!$B$36:$H$41))</f>
        <v>0</v>
      </c>
      <c r="KKY28">
        <f t="array" ref="KKY28">_xlfn.XLOOKUP(KKY$11,Assumptions!$B$35:$H$35,_xlfn.XLOOKUP($C28,Assumptions!$B$36:$B$41,Assumptions!$B$36:$H$41))</f>
        <v>0</v>
      </c>
      <c r="KKZ28">
        <f t="array" ref="KKZ28">_xlfn.XLOOKUP(KKZ$11,Assumptions!$B$35:$H$35,_xlfn.XLOOKUP($C28,Assumptions!$B$36:$B$41,Assumptions!$B$36:$H$41))</f>
        <v>0</v>
      </c>
      <c r="KLA28">
        <f t="array" ref="KLA28">_xlfn.XLOOKUP(KLA$11,Assumptions!$B$35:$H$35,_xlfn.XLOOKUP($C28,Assumptions!$B$36:$B$41,Assumptions!$B$36:$H$41))</f>
        <v>0</v>
      </c>
      <c r="KLB28">
        <f t="array" ref="KLB28">_xlfn.XLOOKUP(KLB$11,Assumptions!$B$35:$H$35,_xlfn.XLOOKUP($C28,Assumptions!$B$36:$B$41,Assumptions!$B$36:$H$41))</f>
        <v>0</v>
      </c>
      <c r="KLC28">
        <f t="array" ref="KLC28">_xlfn.XLOOKUP(KLC$11,Assumptions!$B$35:$H$35,_xlfn.XLOOKUP($C28,Assumptions!$B$36:$B$41,Assumptions!$B$36:$H$41))</f>
        <v>0</v>
      </c>
      <c r="KLD28">
        <f t="array" ref="KLD28">_xlfn.XLOOKUP(KLD$11,Assumptions!$B$35:$H$35,_xlfn.XLOOKUP($C28,Assumptions!$B$36:$B$41,Assumptions!$B$36:$H$41))</f>
        <v>0</v>
      </c>
      <c r="KLE28">
        <f t="array" ref="KLE28">_xlfn.XLOOKUP(KLE$11,Assumptions!$B$35:$H$35,_xlfn.XLOOKUP($C28,Assumptions!$B$36:$B$41,Assumptions!$B$36:$H$41))</f>
        <v>0</v>
      </c>
      <c r="KLF28">
        <f t="array" ref="KLF28">_xlfn.XLOOKUP(KLF$11,Assumptions!$B$35:$H$35,_xlfn.XLOOKUP($C28,Assumptions!$B$36:$B$41,Assumptions!$B$36:$H$41))</f>
        <v>0</v>
      </c>
      <c r="KLG28">
        <f t="array" ref="KLG28">_xlfn.XLOOKUP(KLG$11,Assumptions!$B$35:$H$35,_xlfn.XLOOKUP($C28,Assumptions!$B$36:$B$41,Assumptions!$B$36:$H$41))</f>
        <v>0</v>
      </c>
      <c r="KLH28">
        <f t="array" ref="KLH28">_xlfn.XLOOKUP(KLH$11,Assumptions!$B$35:$H$35,_xlfn.XLOOKUP($C28,Assumptions!$B$36:$B$41,Assumptions!$B$36:$H$41))</f>
        <v>0</v>
      </c>
      <c r="KLI28">
        <f t="array" ref="KLI28">_xlfn.XLOOKUP(KLI$11,Assumptions!$B$35:$H$35,_xlfn.XLOOKUP($C28,Assumptions!$B$36:$B$41,Assumptions!$B$36:$H$41))</f>
        <v>0</v>
      </c>
      <c r="KLJ28">
        <f t="array" ref="KLJ28">_xlfn.XLOOKUP(KLJ$11,Assumptions!$B$35:$H$35,_xlfn.XLOOKUP($C28,Assumptions!$B$36:$B$41,Assumptions!$B$36:$H$41))</f>
        <v>0</v>
      </c>
      <c r="KLK28">
        <f t="array" ref="KLK28">_xlfn.XLOOKUP(KLK$11,Assumptions!$B$35:$H$35,_xlfn.XLOOKUP($C28,Assumptions!$B$36:$B$41,Assumptions!$B$36:$H$41))</f>
        <v>0</v>
      </c>
      <c r="KLL28">
        <f t="array" ref="KLL28">_xlfn.XLOOKUP(KLL$11,Assumptions!$B$35:$H$35,_xlfn.XLOOKUP($C28,Assumptions!$B$36:$B$41,Assumptions!$B$36:$H$41))</f>
        <v>0</v>
      </c>
      <c r="KLM28">
        <f t="array" ref="KLM28">_xlfn.XLOOKUP(KLM$11,Assumptions!$B$35:$H$35,_xlfn.XLOOKUP($C28,Assumptions!$B$36:$B$41,Assumptions!$B$36:$H$41))</f>
        <v>0</v>
      </c>
      <c r="KLN28">
        <f t="array" ref="KLN28">_xlfn.XLOOKUP(KLN$11,Assumptions!$B$35:$H$35,_xlfn.XLOOKUP($C28,Assumptions!$B$36:$B$41,Assumptions!$B$36:$H$41))</f>
        <v>0</v>
      </c>
      <c r="KLO28">
        <f t="array" ref="KLO28">_xlfn.XLOOKUP(KLO$11,Assumptions!$B$35:$H$35,_xlfn.XLOOKUP($C28,Assumptions!$B$36:$B$41,Assumptions!$B$36:$H$41))</f>
        <v>0</v>
      </c>
      <c r="KLP28">
        <f t="array" ref="KLP28">_xlfn.XLOOKUP(KLP$11,Assumptions!$B$35:$H$35,_xlfn.XLOOKUP($C28,Assumptions!$B$36:$B$41,Assumptions!$B$36:$H$41))</f>
        <v>0</v>
      </c>
      <c r="KLQ28">
        <f t="array" ref="KLQ28">_xlfn.XLOOKUP(KLQ$11,Assumptions!$B$35:$H$35,_xlfn.XLOOKUP($C28,Assumptions!$B$36:$B$41,Assumptions!$B$36:$H$41))</f>
        <v>0</v>
      </c>
      <c r="KLR28">
        <f t="array" ref="KLR28">_xlfn.XLOOKUP(KLR$11,Assumptions!$B$35:$H$35,_xlfn.XLOOKUP($C28,Assumptions!$B$36:$B$41,Assumptions!$B$36:$H$41))</f>
        <v>0</v>
      </c>
      <c r="KLS28">
        <f t="array" ref="KLS28">_xlfn.XLOOKUP(KLS$11,Assumptions!$B$35:$H$35,_xlfn.XLOOKUP($C28,Assumptions!$B$36:$B$41,Assumptions!$B$36:$H$41))</f>
        <v>0</v>
      </c>
      <c r="KLT28">
        <f t="array" ref="KLT28">_xlfn.XLOOKUP(KLT$11,Assumptions!$B$35:$H$35,_xlfn.XLOOKUP($C28,Assumptions!$B$36:$B$41,Assumptions!$B$36:$H$41))</f>
        <v>0</v>
      </c>
      <c r="KLU28">
        <f t="array" ref="KLU28">_xlfn.XLOOKUP(KLU$11,Assumptions!$B$35:$H$35,_xlfn.XLOOKUP($C28,Assumptions!$B$36:$B$41,Assumptions!$B$36:$H$41))</f>
        <v>0</v>
      </c>
      <c r="KLV28">
        <f t="array" ref="KLV28">_xlfn.XLOOKUP(KLV$11,Assumptions!$B$35:$H$35,_xlfn.XLOOKUP($C28,Assumptions!$B$36:$B$41,Assumptions!$B$36:$H$41))</f>
        <v>0</v>
      </c>
      <c r="KLW28">
        <f t="array" ref="KLW28">_xlfn.XLOOKUP(KLW$11,Assumptions!$B$35:$H$35,_xlfn.XLOOKUP($C28,Assumptions!$B$36:$B$41,Assumptions!$B$36:$H$41))</f>
        <v>0</v>
      </c>
      <c r="KLX28">
        <f t="array" ref="KLX28">_xlfn.XLOOKUP(KLX$11,Assumptions!$B$35:$H$35,_xlfn.XLOOKUP($C28,Assumptions!$B$36:$B$41,Assumptions!$B$36:$H$41))</f>
        <v>0</v>
      </c>
      <c r="KLY28">
        <f t="array" ref="KLY28">_xlfn.XLOOKUP(KLY$11,Assumptions!$B$35:$H$35,_xlfn.XLOOKUP($C28,Assumptions!$B$36:$B$41,Assumptions!$B$36:$H$41))</f>
        <v>0</v>
      </c>
      <c r="KLZ28">
        <f t="array" ref="KLZ28">_xlfn.XLOOKUP(KLZ$11,Assumptions!$B$35:$H$35,_xlfn.XLOOKUP($C28,Assumptions!$B$36:$B$41,Assumptions!$B$36:$H$41))</f>
        <v>0</v>
      </c>
      <c r="KMA28">
        <f t="array" ref="KMA28">_xlfn.XLOOKUP(KMA$11,Assumptions!$B$35:$H$35,_xlfn.XLOOKUP($C28,Assumptions!$B$36:$B$41,Assumptions!$B$36:$H$41))</f>
        <v>0</v>
      </c>
      <c r="KMB28">
        <f t="array" ref="KMB28">_xlfn.XLOOKUP(KMB$11,Assumptions!$B$35:$H$35,_xlfn.XLOOKUP($C28,Assumptions!$B$36:$B$41,Assumptions!$B$36:$H$41))</f>
        <v>0</v>
      </c>
      <c r="KMC28">
        <f t="array" ref="KMC28">_xlfn.XLOOKUP(KMC$11,Assumptions!$B$35:$H$35,_xlfn.XLOOKUP($C28,Assumptions!$B$36:$B$41,Assumptions!$B$36:$H$41))</f>
        <v>0</v>
      </c>
      <c r="KMD28">
        <f t="array" ref="KMD28">_xlfn.XLOOKUP(KMD$11,Assumptions!$B$35:$H$35,_xlfn.XLOOKUP($C28,Assumptions!$B$36:$B$41,Assumptions!$B$36:$H$41))</f>
        <v>0</v>
      </c>
      <c r="KME28">
        <f t="array" ref="KME28">_xlfn.XLOOKUP(KME$11,Assumptions!$B$35:$H$35,_xlfn.XLOOKUP($C28,Assumptions!$B$36:$B$41,Assumptions!$B$36:$H$41))</f>
        <v>0</v>
      </c>
      <c r="KMF28">
        <f t="array" ref="KMF28">_xlfn.XLOOKUP(KMF$11,Assumptions!$B$35:$H$35,_xlfn.XLOOKUP($C28,Assumptions!$B$36:$B$41,Assumptions!$B$36:$H$41))</f>
        <v>0</v>
      </c>
      <c r="KMG28">
        <f t="array" ref="KMG28">_xlfn.XLOOKUP(KMG$11,Assumptions!$B$35:$H$35,_xlfn.XLOOKUP($C28,Assumptions!$B$36:$B$41,Assumptions!$B$36:$H$41))</f>
        <v>0</v>
      </c>
      <c r="KMH28">
        <f t="array" ref="KMH28">_xlfn.XLOOKUP(KMH$11,Assumptions!$B$35:$H$35,_xlfn.XLOOKUP($C28,Assumptions!$B$36:$B$41,Assumptions!$B$36:$H$41))</f>
        <v>0</v>
      </c>
      <c r="KMI28">
        <f t="array" ref="KMI28">_xlfn.XLOOKUP(KMI$11,Assumptions!$B$35:$H$35,_xlfn.XLOOKUP($C28,Assumptions!$B$36:$B$41,Assumptions!$B$36:$H$41))</f>
        <v>0</v>
      </c>
      <c r="KMJ28">
        <f t="array" ref="KMJ28">_xlfn.XLOOKUP(KMJ$11,Assumptions!$B$35:$H$35,_xlfn.XLOOKUP($C28,Assumptions!$B$36:$B$41,Assumptions!$B$36:$H$41))</f>
        <v>0</v>
      </c>
      <c r="KMK28">
        <f t="array" ref="KMK28">_xlfn.XLOOKUP(KMK$11,Assumptions!$B$35:$H$35,_xlfn.XLOOKUP($C28,Assumptions!$B$36:$B$41,Assumptions!$B$36:$H$41))</f>
        <v>0</v>
      </c>
      <c r="KML28">
        <f t="array" ref="KML28">_xlfn.XLOOKUP(KML$11,Assumptions!$B$35:$H$35,_xlfn.XLOOKUP($C28,Assumptions!$B$36:$B$41,Assumptions!$B$36:$H$41))</f>
        <v>0</v>
      </c>
      <c r="KMM28">
        <f t="array" ref="KMM28">_xlfn.XLOOKUP(KMM$11,Assumptions!$B$35:$H$35,_xlfn.XLOOKUP($C28,Assumptions!$B$36:$B$41,Assumptions!$B$36:$H$41))</f>
        <v>0</v>
      </c>
      <c r="KMN28">
        <f t="array" ref="KMN28">_xlfn.XLOOKUP(KMN$11,Assumptions!$B$35:$H$35,_xlfn.XLOOKUP($C28,Assumptions!$B$36:$B$41,Assumptions!$B$36:$H$41))</f>
        <v>0</v>
      </c>
      <c r="KMO28">
        <f t="array" ref="KMO28">_xlfn.XLOOKUP(KMO$11,Assumptions!$B$35:$H$35,_xlfn.XLOOKUP($C28,Assumptions!$B$36:$B$41,Assumptions!$B$36:$H$41))</f>
        <v>0</v>
      </c>
      <c r="KMP28">
        <f t="array" ref="KMP28">_xlfn.XLOOKUP(KMP$11,Assumptions!$B$35:$H$35,_xlfn.XLOOKUP($C28,Assumptions!$B$36:$B$41,Assumptions!$B$36:$H$41))</f>
        <v>0</v>
      </c>
      <c r="KMQ28">
        <f t="array" ref="KMQ28">_xlfn.XLOOKUP(KMQ$11,Assumptions!$B$35:$H$35,_xlfn.XLOOKUP($C28,Assumptions!$B$36:$B$41,Assumptions!$B$36:$H$41))</f>
        <v>0</v>
      </c>
      <c r="KMR28">
        <f t="array" ref="KMR28">_xlfn.XLOOKUP(KMR$11,Assumptions!$B$35:$H$35,_xlfn.XLOOKUP($C28,Assumptions!$B$36:$B$41,Assumptions!$B$36:$H$41))</f>
        <v>0</v>
      </c>
      <c r="KMS28">
        <f t="array" ref="KMS28">_xlfn.XLOOKUP(KMS$11,Assumptions!$B$35:$H$35,_xlfn.XLOOKUP($C28,Assumptions!$B$36:$B$41,Assumptions!$B$36:$H$41))</f>
        <v>0</v>
      </c>
      <c r="KMT28">
        <f t="array" ref="KMT28">_xlfn.XLOOKUP(KMT$11,Assumptions!$B$35:$H$35,_xlfn.XLOOKUP($C28,Assumptions!$B$36:$B$41,Assumptions!$B$36:$H$41))</f>
        <v>0</v>
      </c>
      <c r="KMU28">
        <f t="array" ref="KMU28">_xlfn.XLOOKUP(KMU$11,Assumptions!$B$35:$H$35,_xlfn.XLOOKUP($C28,Assumptions!$B$36:$B$41,Assumptions!$B$36:$H$41))</f>
        <v>0</v>
      </c>
      <c r="KMV28">
        <f t="array" ref="KMV28">_xlfn.XLOOKUP(KMV$11,Assumptions!$B$35:$H$35,_xlfn.XLOOKUP($C28,Assumptions!$B$36:$B$41,Assumptions!$B$36:$H$41))</f>
        <v>0</v>
      </c>
      <c r="KMW28">
        <f t="array" ref="KMW28">_xlfn.XLOOKUP(KMW$11,Assumptions!$B$35:$H$35,_xlfn.XLOOKUP($C28,Assumptions!$B$36:$B$41,Assumptions!$B$36:$H$41))</f>
        <v>0</v>
      </c>
      <c r="KMX28">
        <f t="array" ref="KMX28">_xlfn.XLOOKUP(KMX$11,Assumptions!$B$35:$H$35,_xlfn.XLOOKUP($C28,Assumptions!$B$36:$B$41,Assumptions!$B$36:$H$41))</f>
        <v>0</v>
      </c>
      <c r="KMY28">
        <f t="array" ref="KMY28">_xlfn.XLOOKUP(KMY$11,Assumptions!$B$35:$H$35,_xlfn.XLOOKUP($C28,Assumptions!$B$36:$B$41,Assumptions!$B$36:$H$41))</f>
        <v>0</v>
      </c>
      <c r="KMZ28">
        <f t="array" ref="KMZ28">_xlfn.XLOOKUP(KMZ$11,Assumptions!$B$35:$H$35,_xlfn.XLOOKUP($C28,Assumptions!$B$36:$B$41,Assumptions!$B$36:$H$41))</f>
        <v>0</v>
      </c>
      <c r="KNA28">
        <f t="array" ref="KNA28">_xlfn.XLOOKUP(KNA$11,Assumptions!$B$35:$H$35,_xlfn.XLOOKUP($C28,Assumptions!$B$36:$B$41,Assumptions!$B$36:$H$41))</f>
        <v>0</v>
      </c>
      <c r="KNB28">
        <f t="array" ref="KNB28">_xlfn.XLOOKUP(KNB$11,Assumptions!$B$35:$H$35,_xlfn.XLOOKUP($C28,Assumptions!$B$36:$B$41,Assumptions!$B$36:$H$41))</f>
        <v>0</v>
      </c>
      <c r="KNC28">
        <f t="array" ref="KNC28">_xlfn.XLOOKUP(KNC$11,Assumptions!$B$35:$H$35,_xlfn.XLOOKUP($C28,Assumptions!$B$36:$B$41,Assumptions!$B$36:$H$41))</f>
        <v>0</v>
      </c>
      <c r="KND28">
        <f t="array" ref="KND28">_xlfn.XLOOKUP(KND$11,Assumptions!$B$35:$H$35,_xlfn.XLOOKUP($C28,Assumptions!$B$36:$B$41,Assumptions!$B$36:$H$41))</f>
        <v>0</v>
      </c>
      <c r="KNE28">
        <f t="array" ref="KNE28">_xlfn.XLOOKUP(KNE$11,Assumptions!$B$35:$H$35,_xlfn.XLOOKUP($C28,Assumptions!$B$36:$B$41,Assumptions!$B$36:$H$41))</f>
        <v>0</v>
      </c>
      <c r="KNF28">
        <f t="array" ref="KNF28">_xlfn.XLOOKUP(KNF$11,Assumptions!$B$35:$H$35,_xlfn.XLOOKUP($C28,Assumptions!$B$36:$B$41,Assumptions!$B$36:$H$41))</f>
        <v>0</v>
      </c>
      <c r="KNG28">
        <f t="array" ref="KNG28">_xlfn.XLOOKUP(KNG$11,Assumptions!$B$35:$H$35,_xlfn.XLOOKUP($C28,Assumptions!$B$36:$B$41,Assumptions!$B$36:$H$41))</f>
        <v>0</v>
      </c>
      <c r="KNH28">
        <f t="array" ref="KNH28">_xlfn.XLOOKUP(KNH$11,Assumptions!$B$35:$H$35,_xlfn.XLOOKUP($C28,Assumptions!$B$36:$B$41,Assumptions!$B$36:$H$41))</f>
        <v>0</v>
      </c>
      <c r="KNI28">
        <f t="array" ref="KNI28">_xlfn.XLOOKUP(KNI$11,Assumptions!$B$35:$H$35,_xlfn.XLOOKUP($C28,Assumptions!$B$36:$B$41,Assumptions!$B$36:$H$41))</f>
        <v>0</v>
      </c>
      <c r="KNJ28">
        <f t="array" ref="KNJ28">_xlfn.XLOOKUP(KNJ$11,Assumptions!$B$35:$H$35,_xlfn.XLOOKUP($C28,Assumptions!$B$36:$B$41,Assumptions!$B$36:$H$41))</f>
        <v>0</v>
      </c>
      <c r="KNK28">
        <f t="array" ref="KNK28">_xlfn.XLOOKUP(KNK$11,Assumptions!$B$35:$H$35,_xlfn.XLOOKUP($C28,Assumptions!$B$36:$B$41,Assumptions!$B$36:$H$41))</f>
        <v>0</v>
      </c>
      <c r="KNL28">
        <f t="array" ref="KNL28">_xlfn.XLOOKUP(KNL$11,Assumptions!$B$35:$H$35,_xlfn.XLOOKUP($C28,Assumptions!$B$36:$B$41,Assumptions!$B$36:$H$41))</f>
        <v>0</v>
      </c>
      <c r="KNM28">
        <f t="array" ref="KNM28">_xlfn.XLOOKUP(KNM$11,Assumptions!$B$35:$H$35,_xlfn.XLOOKUP($C28,Assumptions!$B$36:$B$41,Assumptions!$B$36:$H$41))</f>
        <v>0</v>
      </c>
      <c r="KNN28">
        <f t="array" ref="KNN28">_xlfn.XLOOKUP(KNN$11,Assumptions!$B$35:$H$35,_xlfn.XLOOKUP($C28,Assumptions!$B$36:$B$41,Assumptions!$B$36:$H$41))</f>
        <v>0</v>
      </c>
      <c r="KNO28">
        <f t="array" ref="KNO28">_xlfn.XLOOKUP(KNO$11,Assumptions!$B$35:$H$35,_xlfn.XLOOKUP($C28,Assumptions!$B$36:$B$41,Assumptions!$B$36:$H$41))</f>
        <v>0</v>
      </c>
      <c r="KNP28">
        <f t="array" ref="KNP28">_xlfn.XLOOKUP(KNP$11,Assumptions!$B$35:$H$35,_xlfn.XLOOKUP($C28,Assumptions!$B$36:$B$41,Assumptions!$B$36:$H$41))</f>
        <v>0</v>
      </c>
      <c r="KNQ28">
        <f t="array" ref="KNQ28">_xlfn.XLOOKUP(KNQ$11,Assumptions!$B$35:$H$35,_xlfn.XLOOKUP($C28,Assumptions!$B$36:$B$41,Assumptions!$B$36:$H$41))</f>
        <v>0</v>
      </c>
      <c r="KNR28">
        <f t="array" ref="KNR28">_xlfn.XLOOKUP(KNR$11,Assumptions!$B$35:$H$35,_xlfn.XLOOKUP($C28,Assumptions!$B$36:$B$41,Assumptions!$B$36:$H$41))</f>
        <v>0</v>
      </c>
      <c r="KNS28">
        <f t="array" ref="KNS28">_xlfn.XLOOKUP(KNS$11,Assumptions!$B$35:$H$35,_xlfn.XLOOKUP($C28,Assumptions!$B$36:$B$41,Assumptions!$B$36:$H$41))</f>
        <v>0</v>
      </c>
      <c r="KNT28">
        <f t="array" ref="KNT28">_xlfn.XLOOKUP(KNT$11,Assumptions!$B$35:$H$35,_xlfn.XLOOKUP($C28,Assumptions!$B$36:$B$41,Assumptions!$B$36:$H$41))</f>
        <v>0</v>
      </c>
      <c r="KNU28">
        <f t="array" ref="KNU28">_xlfn.XLOOKUP(KNU$11,Assumptions!$B$35:$H$35,_xlfn.XLOOKUP($C28,Assumptions!$B$36:$B$41,Assumptions!$B$36:$H$41))</f>
        <v>0</v>
      </c>
      <c r="KNV28">
        <f t="array" ref="KNV28">_xlfn.XLOOKUP(KNV$11,Assumptions!$B$35:$H$35,_xlfn.XLOOKUP($C28,Assumptions!$B$36:$B$41,Assumptions!$B$36:$H$41))</f>
        <v>0</v>
      </c>
      <c r="KNW28">
        <f t="array" ref="KNW28">_xlfn.XLOOKUP(KNW$11,Assumptions!$B$35:$H$35,_xlfn.XLOOKUP($C28,Assumptions!$B$36:$B$41,Assumptions!$B$36:$H$41))</f>
        <v>0</v>
      </c>
      <c r="KNX28">
        <f t="array" ref="KNX28">_xlfn.XLOOKUP(KNX$11,Assumptions!$B$35:$H$35,_xlfn.XLOOKUP($C28,Assumptions!$B$36:$B$41,Assumptions!$B$36:$H$41))</f>
        <v>0</v>
      </c>
      <c r="KNY28">
        <f t="array" ref="KNY28">_xlfn.XLOOKUP(KNY$11,Assumptions!$B$35:$H$35,_xlfn.XLOOKUP($C28,Assumptions!$B$36:$B$41,Assumptions!$B$36:$H$41))</f>
        <v>0</v>
      </c>
      <c r="KNZ28">
        <f t="array" ref="KNZ28">_xlfn.XLOOKUP(KNZ$11,Assumptions!$B$35:$H$35,_xlfn.XLOOKUP($C28,Assumptions!$B$36:$B$41,Assumptions!$B$36:$H$41))</f>
        <v>0</v>
      </c>
      <c r="KOA28">
        <f t="array" ref="KOA28">_xlfn.XLOOKUP(KOA$11,Assumptions!$B$35:$H$35,_xlfn.XLOOKUP($C28,Assumptions!$B$36:$B$41,Assumptions!$B$36:$H$41))</f>
        <v>0</v>
      </c>
      <c r="KOB28">
        <f t="array" ref="KOB28">_xlfn.XLOOKUP(KOB$11,Assumptions!$B$35:$H$35,_xlfn.XLOOKUP($C28,Assumptions!$B$36:$B$41,Assumptions!$B$36:$H$41))</f>
        <v>0</v>
      </c>
      <c r="KOC28">
        <f t="array" ref="KOC28">_xlfn.XLOOKUP(KOC$11,Assumptions!$B$35:$H$35,_xlfn.XLOOKUP($C28,Assumptions!$B$36:$B$41,Assumptions!$B$36:$H$41))</f>
        <v>0</v>
      </c>
      <c r="KOD28">
        <f t="array" ref="KOD28">_xlfn.XLOOKUP(KOD$11,Assumptions!$B$35:$H$35,_xlfn.XLOOKUP($C28,Assumptions!$B$36:$B$41,Assumptions!$B$36:$H$41))</f>
        <v>0</v>
      </c>
      <c r="KOE28">
        <f t="array" ref="KOE28">_xlfn.XLOOKUP(KOE$11,Assumptions!$B$35:$H$35,_xlfn.XLOOKUP($C28,Assumptions!$B$36:$B$41,Assumptions!$B$36:$H$41))</f>
        <v>0</v>
      </c>
      <c r="KOF28">
        <f t="array" ref="KOF28">_xlfn.XLOOKUP(KOF$11,Assumptions!$B$35:$H$35,_xlfn.XLOOKUP($C28,Assumptions!$B$36:$B$41,Assumptions!$B$36:$H$41))</f>
        <v>0</v>
      </c>
      <c r="KOG28">
        <f t="array" ref="KOG28">_xlfn.XLOOKUP(KOG$11,Assumptions!$B$35:$H$35,_xlfn.XLOOKUP($C28,Assumptions!$B$36:$B$41,Assumptions!$B$36:$H$41))</f>
        <v>0</v>
      </c>
      <c r="KOH28">
        <f t="array" ref="KOH28">_xlfn.XLOOKUP(KOH$11,Assumptions!$B$35:$H$35,_xlfn.XLOOKUP($C28,Assumptions!$B$36:$B$41,Assumptions!$B$36:$H$41))</f>
        <v>0</v>
      </c>
      <c r="KOI28">
        <f t="array" ref="KOI28">_xlfn.XLOOKUP(KOI$11,Assumptions!$B$35:$H$35,_xlfn.XLOOKUP($C28,Assumptions!$B$36:$B$41,Assumptions!$B$36:$H$41))</f>
        <v>0</v>
      </c>
      <c r="KOJ28">
        <f t="array" ref="KOJ28">_xlfn.XLOOKUP(KOJ$11,Assumptions!$B$35:$H$35,_xlfn.XLOOKUP($C28,Assumptions!$B$36:$B$41,Assumptions!$B$36:$H$41))</f>
        <v>0</v>
      </c>
      <c r="KOK28">
        <f t="array" ref="KOK28">_xlfn.XLOOKUP(KOK$11,Assumptions!$B$35:$H$35,_xlfn.XLOOKUP($C28,Assumptions!$B$36:$B$41,Assumptions!$B$36:$H$41))</f>
        <v>0</v>
      </c>
      <c r="KOL28">
        <f t="array" ref="KOL28">_xlfn.XLOOKUP(KOL$11,Assumptions!$B$35:$H$35,_xlfn.XLOOKUP($C28,Assumptions!$B$36:$B$41,Assumptions!$B$36:$H$41))</f>
        <v>0</v>
      </c>
      <c r="KOM28">
        <f t="array" ref="KOM28">_xlfn.XLOOKUP(KOM$11,Assumptions!$B$35:$H$35,_xlfn.XLOOKUP($C28,Assumptions!$B$36:$B$41,Assumptions!$B$36:$H$41))</f>
        <v>0</v>
      </c>
      <c r="KON28">
        <f t="array" ref="KON28">_xlfn.XLOOKUP(KON$11,Assumptions!$B$35:$H$35,_xlfn.XLOOKUP($C28,Assumptions!$B$36:$B$41,Assumptions!$B$36:$H$41))</f>
        <v>0</v>
      </c>
      <c r="KOO28">
        <f t="array" ref="KOO28">_xlfn.XLOOKUP(KOO$11,Assumptions!$B$35:$H$35,_xlfn.XLOOKUP($C28,Assumptions!$B$36:$B$41,Assumptions!$B$36:$H$41))</f>
        <v>0</v>
      </c>
      <c r="KOP28">
        <f t="array" ref="KOP28">_xlfn.XLOOKUP(KOP$11,Assumptions!$B$35:$H$35,_xlfn.XLOOKUP($C28,Assumptions!$B$36:$B$41,Assumptions!$B$36:$H$41))</f>
        <v>0</v>
      </c>
      <c r="KOQ28">
        <f t="array" ref="KOQ28">_xlfn.XLOOKUP(KOQ$11,Assumptions!$B$35:$H$35,_xlfn.XLOOKUP($C28,Assumptions!$B$36:$B$41,Assumptions!$B$36:$H$41))</f>
        <v>0</v>
      </c>
      <c r="KOR28">
        <f t="array" ref="KOR28">_xlfn.XLOOKUP(KOR$11,Assumptions!$B$35:$H$35,_xlfn.XLOOKUP($C28,Assumptions!$B$36:$B$41,Assumptions!$B$36:$H$41))</f>
        <v>0</v>
      </c>
      <c r="KOS28">
        <f t="array" ref="KOS28">_xlfn.XLOOKUP(KOS$11,Assumptions!$B$35:$H$35,_xlfn.XLOOKUP($C28,Assumptions!$B$36:$B$41,Assumptions!$B$36:$H$41))</f>
        <v>0</v>
      </c>
      <c r="KOT28">
        <f t="array" ref="KOT28">_xlfn.XLOOKUP(KOT$11,Assumptions!$B$35:$H$35,_xlfn.XLOOKUP($C28,Assumptions!$B$36:$B$41,Assumptions!$B$36:$H$41))</f>
        <v>0</v>
      </c>
      <c r="KOU28">
        <f t="array" ref="KOU28">_xlfn.XLOOKUP(KOU$11,Assumptions!$B$35:$H$35,_xlfn.XLOOKUP($C28,Assumptions!$B$36:$B$41,Assumptions!$B$36:$H$41))</f>
        <v>0</v>
      </c>
      <c r="KOV28">
        <f t="array" ref="KOV28">_xlfn.XLOOKUP(KOV$11,Assumptions!$B$35:$H$35,_xlfn.XLOOKUP($C28,Assumptions!$B$36:$B$41,Assumptions!$B$36:$H$41))</f>
        <v>0</v>
      </c>
      <c r="KOW28">
        <f t="array" ref="KOW28">_xlfn.XLOOKUP(KOW$11,Assumptions!$B$35:$H$35,_xlfn.XLOOKUP($C28,Assumptions!$B$36:$B$41,Assumptions!$B$36:$H$41))</f>
        <v>0</v>
      </c>
      <c r="KOX28">
        <f t="array" ref="KOX28">_xlfn.XLOOKUP(KOX$11,Assumptions!$B$35:$H$35,_xlfn.XLOOKUP($C28,Assumptions!$B$36:$B$41,Assumptions!$B$36:$H$41))</f>
        <v>0</v>
      </c>
      <c r="KOY28">
        <f t="array" ref="KOY28">_xlfn.XLOOKUP(KOY$11,Assumptions!$B$35:$H$35,_xlfn.XLOOKUP($C28,Assumptions!$B$36:$B$41,Assumptions!$B$36:$H$41))</f>
        <v>0</v>
      </c>
      <c r="KOZ28">
        <f t="array" ref="KOZ28">_xlfn.XLOOKUP(KOZ$11,Assumptions!$B$35:$H$35,_xlfn.XLOOKUP($C28,Assumptions!$B$36:$B$41,Assumptions!$B$36:$H$41))</f>
        <v>0</v>
      </c>
      <c r="KPA28">
        <f t="array" ref="KPA28">_xlfn.XLOOKUP(KPA$11,Assumptions!$B$35:$H$35,_xlfn.XLOOKUP($C28,Assumptions!$B$36:$B$41,Assumptions!$B$36:$H$41))</f>
        <v>0</v>
      </c>
      <c r="KPB28">
        <f t="array" ref="KPB28">_xlfn.XLOOKUP(KPB$11,Assumptions!$B$35:$H$35,_xlfn.XLOOKUP($C28,Assumptions!$B$36:$B$41,Assumptions!$B$36:$H$41))</f>
        <v>0</v>
      </c>
      <c r="KPC28">
        <f t="array" ref="KPC28">_xlfn.XLOOKUP(KPC$11,Assumptions!$B$35:$H$35,_xlfn.XLOOKUP($C28,Assumptions!$B$36:$B$41,Assumptions!$B$36:$H$41))</f>
        <v>0</v>
      </c>
      <c r="KPD28">
        <f t="array" ref="KPD28">_xlfn.XLOOKUP(KPD$11,Assumptions!$B$35:$H$35,_xlfn.XLOOKUP($C28,Assumptions!$B$36:$B$41,Assumptions!$B$36:$H$41))</f>
        <v>0</v>
      </c>
      <c r="KPE28">
        <f t="array" ref="KPE28">_xlfn.XLOOKUP(KPE$11,Assumptions!$B$35:$H$35,_xlfn.XLOOKUP($C28,Assumptions!$B$36:$B$41,Assumptions!$B$36:$H$41))</f>
        <v>0</v>
      </c>
      <c r="KPF28">
        <f t="array" ref="KPF28">_xlfn.XLOOKUP(KPF$11,Assumptions!$B$35:$H$35,_xlfn.XLOOKUP($C28,Assumptions!$B$36:$B$41,Assumptions!$B$36:$H$41))</f>
        <v>0</v>
      </c>
      <c r="KPG28">
        <f t="array" ref="KPG28">_xlfn.XLOOKUP(KPG$11,Assumptions!$B$35:$H$35,_xlfn.XLOOKUP($C28,Assumptions!$B$36:$B$41,Assumptions!$B$36:$H$41))</f>
        <v>0</v>
      </c>
      <c r="KPH28">
        <f t="array" ref="KPH28">_xlfn.XLOOKUP(KPH$11,Assumptions!$B$35:$H$35,_xlfn.XLOOKUP($C28,Assumptions!$B$36:$B$41,Assumptions!$B$36:$H$41))</f>
        <v>0</v>
      </c>
      <c r="KPI28">
        <f t="array" ref="KPI28">_xlfn.XLOOKUP(KPI$11,Assumptions!$B$35:$H$35,_xlfn.XLOOKUP($C28,Assumptions!$B$36:$B$41,Assumptions!$B$36:$H$41))</f>
        <v>0</v>
      </c>
      <c r="KPJ28">
        <f t="array" ref="KPJ28">_xlfn.XLOOKUP(KPJ$11,Assumptions!$B$35:$H$35,_xlfn.XLOOKUP($C28,Assumptions!$B$36:$B$41,Assumptions!$B$36:$H$41))</f>
        <v>0</v>
      </c>
      <c r="KPK28">
        <f t="array" ref="KPK28">_xlfn.XLOOKUP(KPK$11,Assumptions!$B$35:$H$35,_xlfn.XLOOKUP($C28,Assumptions!$B$36:$B$41,Assumptions!$B$36:$H$41))</f>
        <v>0</v>
      </c>
      <c r="KPL28">
        <f t="array" ref="KPL28">_xlfn.XLOOKUP(KPL$11,Assumptions!$B$35:$H$35,_xlfn.XLOOKUP($C28,Assumptions!$B$36:$B$41,Assumptions!$B$36:$H$41))</f>
        <v>0</v>
      </c>
      <c r="KPM28">
        <f t="array" ref="KPM28">_xlfn.XLOOKUP(KPM$11,Assumptions!$B$35:$H$35,_xlfn.XLOOKUP($C28,Assumptions!$B$36:$B$41,Assumptions!$B$36:$H$41))</f>
        <v>0</v>
      </c>
      <c r="KPN28">
        <f t="array" ref="KPN28">_xlfn.XLOOKUP(KPN$11,Assumptions!$B$35:$H$35,_xlfn.XLOOKUP($C28,Assumptions!$B$36:$B$41,Assumptions!$B$36:$H$41))</f>
        <v>0</v>
      </c>
      <c r="KPO28">
        <f t="array" ref="KPO28">_xlfn.XLOOKUP(KPO$11,Assumptions!$B$35:$H$35,_xlfn.XLOOKUP($C28,Assumptions!$B$36:$B$41,Assumptions!$B$36:$H$41))</f>
        <v>0</v>
      </c>
      <c r="KPP28">
        <f t="array" ref="KPP28">_xlfn.XLOOKUP(KPP$11,Assumptions!$B$35:$H$35,_xlfn.XLOOKUP($C28,Assumptions!$B$36:$B$41,Assumptions!$B$36:$H$41))</f>
        <v>0</v>
      </c>
      <c r="KPQ28">
        <f t="array" ref="KPQ28">_xlfn.XLOOKUP(KPQ$11,Assumptions!$B$35:$H$35,_xlfn.XLOOKUP($C28,Assumptions!$B$36:$B$41,Assumptions!$B$36:$H$41))</f>
        <v>0</v>
      </c>
      <c r="KPR28">
        <f t="array" ref="KPR28">_xlfn.XLOOKUP(KPR$11,Assumptions!$B$35:$H$35,_xlfn.XLOOKUP($C28,Assumptions!$B$36:$B$41,Assumptions!$B$36:$H$41))</f>
        <v>0</v>
      </c>
      <c r="KPS28">
        <f t="array" ref="KPS28">_xlfn.XLOOKUP(KPS$11,Assumptions!$B$35:$H$35,_xlfn.XLOOKUP($C28,Assumptions!$B$36:$B$41,Assumptions!$B$36:$H$41))</f>
        <v>0</v>
      </c>
      <c r="KPT28">
        <f t="array" ref="KPT28">_xlfn.XLOOKUP(KPT$11,Assumptions!$B$35:$H$35,_xlfn.XLOOKUP($C28,Assumptions!$B$36:$B$41,Assumptions!$B$36:$H$41))</f>
        <v>0</v>
      </c>
      <c r="KPU28">
        <f t="array" ref="KPU28">_xlfn.XLOOKUP(KPU$11,Assumptions!$B$35:$H$35,_xlfn.XLOOKUP($C28,Assumptions!$B$36:$B$41,Assumptions!$B$36:$H$41))</f>
        <v>0</v>
      </c>
      <c r="KPV28">
        <f t="array" ref="KPV28">_xlfn.XLOOKUP(KPV$11,Assumptions!$B$35:$H$35,_xlfn.XLOOKUP($C28,Assumptions!$B$36:$B$41,Assumptions!$B$36:$H$41))</f>
        <v>0</v>
      </c>
      <c r="KPW28">
        <f t="array" ref="KPW28">_xlfn.XLOOKUP(KPW$11,Assumptions!$B$35:$H$35,_xlfn.XLOOKUP($C28,Assumptions!$B$36:$B$41,Assumptions!$B$36:$H$41))</f>
        <v>0</v>
      </c>
      <c r="KPX28">
        <f t="array" ref="KPX28">_xlfn.XLOOKUP(KPX$11,Assumptions!$B$35:$H$35,_xlfn.XLOOKUP($C28,Assumptions!$B$36:$B$41,Assumptions!$B$36:$H$41))</f>
        <v>0</v>
      </c>
      <c r="KPY28">
        <f t="array" ref="KPY28">_xlfn.XLOOKUP(KPY$11,Assumptions!$B$35:$H$35,_xlfn.XLOOKUP($C28,Assumptions!$B$36:$B$41,Assumptions!$B$36:$H$41))</f>
        <v>0</v>
      </c>
      <c r="KPZ28">
        <f t="array" ref="KPZ28">_xlfn.XLOOKUP(KPZ$11,Assumptions!$B$35:$H$35,_xlfn.XLOOKUP($C28,Assumptions!$B$36:$B$41,Assumptions!$B$36:$H$41))</f>
        <v>0</v>
      </c>
      <c r="KQA28">
        <f t="array" ref="KQA28">_xlfn.XLOOKUP(KQA$11,Assumptions!$B$35:$H$35,_xlfn.XLOOKUP($C28,Assumptions!$B$36:$B$41,Assumptions!$B$36:$H$41))</f>
        <v>0</v>
      </c>
      <c r="KQB28">
        <f t="array" ref="KQB28">_xlfn.XLOOKUP(KQB$11,Assumptions!$B$35:$H$35,_xlfn.XLOOKUP($C28,Assumptions!$B$36:$B$41,Assumptions!$B$36:$H$41))</f>
        <v>0</v>
      </c>
      <c r="KQC28">
        <f t="array" ref="KQC28">_xlfn.XLOOKUP(KQC$11,Assumptions!$B$35:$H$35,_xlfn.XLOOKUP($C28,Assumptions!$B$36:$B$41,Assumptions!$B$36:$H$41))</f>
        <v>0</v>
      </c>
      <c r="KQD28">
        <f t="array" ref="KQD28">_xlfn.XLOOKUP(KQD$11,Assumptions!$B$35:$H$35,_xlfn.XLOOKUP($C28,Assumptions!$B$36:$B$41,Assumptions!$B$36:$H$41))</f>
        <v>0</v>
      </c>
      <c r="KQE28">
        <f t="array" ref="KQE28">_xlfn.XLOOKUP(KQE$11,Assumptions!$B$35:$H$35,_xlfn.XLOOKUP($C28,Assumptions!$B$36:$B$41,Assumptions!$B$36:$H$41))</f>
        <v>0</v>
      </c>
      <c r="KQF28">
        <f t="array" ref="KQF28">_xlfn.XLOOKUP(KQF$11,Assumptions!$B$35:$H$35,_xlfn.XLOOKUP($C28,Assumptions!$B$36:$B$41,Assumptions!$B$36:$H$41))</f>
        <v>0</v>
      </c>
      <c r="KQG28">
        <f t="array" ref="KQG28">_xlfn.XLOOKUP(KQG$11,Assumptions!$B$35:$H$35,_xlfn.XLOOKUP($C28,Assumptions!$B$36:$B$41,Assumptions!$B$36:$H$41))</f>
        <v>0</v>
      </c>
      <c r="KQH28">
        <f t="array" ref="KQH28">_xlfn.XLOOKUP(KQH$11,Assumptions!$B$35:$H$35,_xlfn.XLOOKUP($C28,Assumptions!$B$36:$B$41,Assumptions!$B$36:$H$41))</f>
        <v>0</v>
      </c>
      <c r="KQI28">
        <f t="array" ref="KQI28">_xlfn.XLOOKUP(KQI$11,Assumptions!$B$35:$H$35,_xlfn.XLOOKUP($C28,Assumptions!$B$36:$B$41,Assumptions!$B$36:$H$41))</f>
        <v>0</v>
      </c>
      <c r="KQJ28">
        <f t="array" ref="KQJ28">_xlfn.XLOOKUP(KQJ$11,Assumptions!$B$35:$H$35,_xlfn.XLOOKUP($C28,Assumptions!$B$36:$B$41,Assumptions!$B$36:$H$41))</f>
        <v>0</v>
      </c>
      <c r="KQK28">
        <f t="array" ref="KQK28">_xlfn.XLOOKUP(KQK$11,Assumptions!$B$35:$H$35,_xlfn.XLOOKUP($C28,Assumptions!$B$36:$B$41,Assumptions!$B$36:$H$41))</f>
        <v>0</v>
      </c>
      <c r="KQL28">
        <f t="array" ref="KQL28">_xlfn.XLOOKUP(KQL$11,Assumptions!$B$35:$H$35,_xlfn.XLOOKUP($C28,Assumptions!$B$36:$B$41,Assumptions!$B$36:$H$41))</f>
        <v>0</v>
      </c>
      <c r="KQM28">
        <f t="array" ref="KQM28">_xlfn.XLOOKUP(KQM$11,Assumptions!$B$35:$H$35,_xlfn.XLOOKUP($C28,Assumptions!$B$36:$B$41,Assumptions!$B$36:$H$41))</f>
        <v>0</v>
      </c>
      <c r="KQN28">
        <f t="array" ref="KQN28">_xlfn.XLOOKUP(KQN$11,Assumptions!$B$35:$H$35,_xlfn.XLOOKUP($C28,Assumptions!$B$36:$B$41,Assumptions!$B$36:$H$41))</f>
        <v>0</v>
      </c>
      <c r="KQO28">
        <f t="array" ref="KQO28">_xlfn.XLOOKUP(KQO$11,Assumptions!$B$35:$H$35,_xlfn.XLOOKUP($C28,Assumptions!$B$36:$B$41,Assumptions!$B$36:$H$41))</f>
        <v>0</v>
      </c>
      <c r="KQP28">
        <f t="array" ref="KQP28">_xlfn.XLOOKUP(KQP$11,Assumptions!$B$35:$H$35,_xlfn.XLOOKUP($C28,Assumptions!$B$36:$B$41,Assumptions!$B$36:$H$41))</f>
        <v>0</v>
      </c>
      <c r="KQQ28">
        <f t="array" ref="KQQ28">_xlfn.XLOOKUP(KQQ$11,Assumptions!$B$35:$H$35,_xlfn.XLOOKUP($C28,Assumptions!$B$36:$B$41,Assumptions!$B$36:$H$41))</f>
        <v>0</v>
      </c>
      <c r="KQR28">
        <f t="array" ref="KQR28">_xlfn.XLOOKUP(KQR$11,Assumptions!$B$35:$H$35,_xlfn.XLOOKUP($C28,Assumptions!$B$36:$B$41,Assumptions!$B$36:$H$41))</f>
        <v>0</v>
      </c>
      <c r="KQS28">
        <f t="array" ref="KQS28">_xlfn.XLOOKUP(KQS$11,Assumptions!$B$35:$H$35,_xlfn.XLOOKUP($C28,Assumptions!$B$36:$B$41,Assumptions!$B$36:$H$41))</f>
        <v>0</v>
      </c>
      <c r="KQT28">
        <f t="array" ref="KQT28">_xlfn.XLOOKUP(KQT$11,Assumptions!$B$35:$H$35,_xlfn.XLOOKUP($C28,Assumptions!$B$36:$B$41,Assumptions!$B$36:$H$41))</f>
        <v>0</v>
      </c>
      <c r="KQU28">
        <f t="array" ref="KQU28">_xlfn.XLOOKUP(KQU$11,Assumptions!$B$35:$H$35,_xlfn.XLOOKUP($C28,Assumptions!$B$36:$B$41,Assumptions!$B$36:$H$41))</f>
        <v>0</v>
      </c>
      <c r="KQV28">
        <f t="array" ref="KQV28">_xlfn.XLOOKUP(KQV$11,Assumptions!$B$35:$H$35,_xlfn.XLOOKUP($C28,Assumptions!$B$36:$B$41,Assumptions!$B$36:$H$41))</f>
        <v>0</v>
      </c>
      <c r="KQW28">
        <f t="array" ref="KQW28">_xlfn.XLOOKUP(KQW$11,Assumptions!$B$35:$H$35,_xlfn.XLOOKUP($C28,Assumptions!$B$36:$B$41,Assumptions!$B$36:$H$41))</f>
        <v>0</v>
      </c>
      <c r="KQX28">
        <f t="array" ref="KQX28">_xlfn.XLOOKUP(KQX$11,Assumptions!$B$35:$H$35,_xlfn.XLOOKUP($C28,Assumptions!$B$36:$B$41,Assumptions!$B$36:$H$41))</f>
        <v>0</v>
      </c>
      <c r="KQY28">
        <f t="array" ref="KQY28">_xlfn.XLOOKUP(KQY$11,Assumptions!$B$35:$H$35,_xlfn.XLOOKUP($C28,Assumptions!$B$36:$B$41,Assumptions!$B$36:$H$41))</f>
        <v>0</v>
      </c>
      <c r="KQZ28">
        <f t="array" ref="KQZ28">_xlfn.XLOOKUP(KQZ$11,Assumptions!$B$35:$H$35,_xlfn.XLOOKUP($C28,Assumptions!$B$36:$B$41,Assumptions!$B$36:$H$41))</f>
        <v>0</v>
      </c>
      <c r="KRA28">
        <f t="array" ref="KRA28">_xlfn.XLOOKUP(KRA$11,Assumptions!$B$35:$H$35,_xlfn.XLOOKUP($C28,Assumptions!$B$36:$B$41,Assumptions!$B$36:$H$41))</f>
        <v>0</v>
      </c>
      <c r="KRB28">
        <f t="array" ref="KRB28">_xlfn.XLOOKUP(KRB$11,Assumptions!$B$35:$H$35,_xlfn.XLOOKUP($C28,Assumptions!$B$36:$B$41,Assumptions!$B$36:$H$41))</f>
        <v>0</v>
      </c>
      <c r="KRC28">
        <f t="array" ref="KRC28">_xlfn.XLOOKUP(KRC$11,Assumptions!$B$35:$H$35,_xlfn.XLOOKUP($C28,Assumptions!$B$36:$B$41,Assumptions!$B$36:$H$41))</f>
        <v>0</v>
      </c>
      <c r="KRD28">
        <f t="array" ref="KRD28">_xlfn.XLOOKUP(KRD$11,Assumptions!$B$35:$H$35,_xlfn.XLOOKUP($C28,Assumptions!$B$36:$B$41,Assumptions!$B$36:$H$41))</f>
        <v>0</v>
      </c>
      <c r="KRE28">
        <f t="array" ref="KRE28">_xlfn.XLOOKUP(KRE$11,Assumptions!$B$35:$H$35,_xlfn.XLOOKUP($C28,Assumptions!$B$36:$B$41,Assumptions!$B$36:$H$41))</f>
        <v>0</v>
      </c>
      <c r="KRF28">
        <f t="array" ref="KRF28">_xlfn.XLOOKUP(KRF$11,Assumptions!$B$35:$H$35,_xlfn.XLOOKUP($C28,Assumptions!$B$36:$B$41,Assumptions!$B$36:$H$41))</f>
        <v>0</v>
      </c>
      <c r="KRG28">
        <f t="array" ref="KRG28">_xlfn.XLOOKUP(KRG$11,Assumptions!$B$35:$H$35,_xlfn.XLOOKUP($C28,Assumptions!$B$36:$B$41,Assumptions!$B$36:$H$41))</f>
        <v>0</v>
      </c>
      <c r="KRH28">
        <f t="array" ref="KRH28">_xlfn.XLOOKUP(KRH$11,Assumptions!$B$35:$H$35,_xlfn.XLOOKUP($C28,Assumptions!$B$36:$B$41,Assumptions!$B$36:$H$41))</f>
        <v>0</v>
      </c>
      <c r="KRI28">
        <f t="array" ref="KRI28">_xlfn.XLOOKUP(KRI$11,Assumptions!$B$35:$H$35,_xlfn.XLOOKUP($C28,Assumptions!$B$36:$B$41,Assumptions!$B$36:$H$41))</f>
        <v>0</v>
      </c>
      <c r="KRJ28">
        <f t="array" ref="KRJ28">_xlfn.XLOOKUP(KRJ$11,Assumptions!$B$35:$H$35,_xlfn.XLOOKUP($C28,Assumptions!$B$36:$B$41,Assumptions!$B$36:$H$41))</f>
        <v>0</v>
      </c>
      <c r="KRK28">
        <f t="array" ref="KRK28">_xlfn.XLOOKUP(KRK$11,Assumptions!$B$35:$H$35,_xlfn.XLOOKUP($C28,Assumptions!$B$36:$B$41,Assumptions!$B$36:$H$41))</f>
        <v>0</v>
      </c>
      <c r="KRL28">
        <f t="array" ref="KRL28">_xlfn.XLOOKUP(KRL$11,Assumptions!$B$35:$H$35,_xlfn.XLOOKUP($C28,Assumptions!$B$36:$B$41,Assumptions!$B$36:$H$41))</f>
        <v>0</v>
      </c>
      <c r="KRM28">
        <f t="array" ref="KRM28">_xlfn.XLOOKUP(KRM$11,Assumptions!$B$35:$H$35,_xlfn.XLOOKUP($C28,Assumptions!$B$36:$B$41,Assumptions!$B$36:$H$41))</f>
        <v>0</v>
      </c>
      <c r="KRN28">
        <f t="array" ref="KRN28">_xlfn.XLOOKUP(KRN$11,Assumptions!$B$35:$H$35,_xlfn.XLOOKUP($C28,Assumptions!$B$36:$B$41,Assumptions!$B$36:$H$41))</f>
        <v>0</v>
      </c>
      <c r="KRO28">
        <f t="array" ref="KRO28">_xlfn.XLOOKUP(KRO$11,Assumptions!$B$35:$H$35,_xlfn.XLOOKUP($C28,Assumptions!$B$36:$B$41,Assumptions!$B$36:$H$41))</f>
        <v>0</v>
      </c>
      <c r="KRP28">
        <f t="array" ref="KRP28">_xlfn.XLOOKUP(KRP$11,Assumptions!$B$35:$H$35,_xlfn.XLOOKUP($C28,Assumptions!$B$36:$B$41,Assumptions!$B$36:$H$41))</f>
        <v>0</v>
      </c>
      <c r="KRQ28">
        <f t="array" ref="KRQ28">_xlfn.XLOOKUP(KRQ$11,Assumptions!$B$35:$H$35,_xlfn.XLOOKUP($C28,Assumptions!$B$36:$B$41,Assumptions!$B$36:$H$41))</f>
        <v>0</v>
      </c>
      <c r="KRR28">
        <f t="array" ref="KRR28">_xlfn.XLOOKUP(KRR$11,Assumptions!$B$35:$H$35,_xlfn.XLOOKUP($C28,Assumptions!$B$36:$B$41,Assumptions!$B$36:$H$41))</f>
        <v>0</v>
      </c>
      <c r="KRS28">
        <f t="array" ref="KRS28">_xlfn.XLOOKUP(KRS$11,Assumptions!$B$35:$H$35,_xlfn.XLOOKUP($C28,Assumptions!$B$36:$B$41,Assumptions!$B$36:$H$41))</f>
        <v>0</v>
      </c>
      <c r="KRT28">
        <f t="array" ref="KRT28">_xlfn.XLOOKUP(KRT$11,Assumptions!$B$35:$H$35,_xlfn.XLOOKUP($C28,Assumptions!$B$36:$B$41,Assumptions!$B$36:$H$41))</f>
        <v>0</v>
      </c>
      <c r="KRU28">
        <f t="array" ref="KRU28">_xlfn.XLOOKUP(KRU$11,Assumptions!$B$35:$H$35,_xlfn.XLOOKUP($C28,Assumptions!$B$36:$B$41,Assumptions!$B$36:$H$41))</f>
        <v>0</v>
      </c>
      <c r="KRV28">
        <f t="array" ref="KRV28">_xlfn.XLOOKUP(KRV$11,Assumptions!$B$35:$H$35,_xlfn.XLOOKUP($C28,Assumptions!$B$36:$B$41,Assumptions!$B$36:$H$41))</f>
        <v>0</v>
      </c>
      <c r="KRW28">
        <f t="array" ref="KRW28">_xlfn.XLOOKUP(KRW$11,Assumptions!$B$35:$H$35,_xlfn.XLOOKUP($C28,Assumptions!$B$36:$B$41,Assumptions!$B$36:$H$41))</f>
        <v>0</v>
      </c>
      <c r="KRX28">
        <f t="array" ref="KRX28">_xlfn.XLOOKUP(KRX$11,Assumptions!$B$35:$H$35,_xlfn.XLOOKUP($C28,Assumptions!$B$36:$B$41,Assumptions!$B$36:$H$41))</f>
        <v>0</v>
      </c>
      <c r="KRY28">
        <f t="array" ref="KRY28">_xlfn.XLOOKUP(KRY$11,Assumptions!$B$35:$H$35,_xlfn.XLOOKUP($C28,Assumptions!$B$36:$B$41,Assumptions!$B$36:$H$41))</f>
        <v>0</v>
      </c>
      <c r="KRZ28">
        <f t="array" ref="KRZ28">_xlfn.XLOOKUP(KRZ$11,Assumptions!$B$35:$H$35,_xlfn.XLOOKUP($C28,Assumptions!$B$36:$B$41,Assumptions!$B$36:$H$41))</f>
        <v>0</v>
      </c>
      <c r="KSA28">
        <f t="array" ref="KSA28">_xlfn.XLOOKUP(KSA$11,Assumptions!$B$35:$H$35,_xlfn.XLOOKUP($C28,Assumptions!$B$36:$B$41,Assumptions!$B$36:$H$41))</f>
        <v>0</v>
      </c>
      <c r="KSB28">
        <f t="array" ref="KSB28">_xlfn.XLOOKUP(KSB$11,Assumptions!$B$35:$H$35,_xlfn.XLOOKUP($C28,Assumptions!$B$36:$B$41,Assumptions!$B$36:$H$41))</f>
        <v>0</v>
      </c>
      <c r="KSC28">
        <f t="array" ref="KSC28">_xlfn.XLOOKUP(KSC$11,Assumptions!$B$35:$H$35,_xlfn.XLOOKUP($C28,Assumptions!$B$36:$B$41,Assumptions!$B$36:$H$41))</f>
        <v>0</v>
      </c>
      <c r="KSD28">
        <f t="array" ref="KSD28">_xlfn.XLOOKUP(KSD$11,Assumptions!$B$35:$H$35,_xlfn.XLOOKUP($C28,Assumptions!$B$36:$B$41,Assumptions!$B$36:$H$41))</f>
        <v>0</v>
      </c>
      <c r="KSE28">
        <f t="array" ref="KSE28">_xlfn.XLOOKUP(KSE$11,Assumptions!$B$35:$H$35,_xlfn.XLOOKUP($C28,Assumptions!$B$36:$B$41,Assumptions!$B$36:$H$41))</f>
        <v>0</v>
      </c>
      <c r="KSF28">
        <f t="array" ref="KSF28">_xlfn.XLOOKUP(KSF$11,Assumptions!$B$35:$H$35,_xlfn.XLOOKUP($C28,Assumptions!$B$36:$B$41,Assumptions!$B$36:$H$41))</f>
        <v>0</v>
      </c>
      <c r="KSG28">
        <f t="array" ref="KSG28">_xlfn.XLOOKUP(KSG$11,Assumptions!$B$35:$H$35,_xlfn.XLOOKUP($C28,Assumptions!$B$36:$B$41,Assumptions!$B$36:$H$41))</f>
        <v>0</v>
      </c>
      <c r="KSH28">
        <f t="array" ref="KSH28">_xlfn.XLOOKUP(KSH$11,Assumptions!$B$35:$H$35,_xlfn.XLOOKUP($C28,Assumptions!$B$36:$B$41,Assumptions!$B$36:$H$41))</f>
        <v>0</v>
      </c>
      <c r="KSI28">
        <f t="array" ref="KSI28">_xlfn.XLOOKUP(KSI$11,Assumptions!$B$35:$H$35,_xlfn.XLOOKUP($C28,Assumptions!$B$36:$B$41,Assumptions!$B$36:$H$41))</f>
        <v>0</v>
      </c>
      <c r="KSJ28">
        <f t="array" ref="KSJ28">_xlfn.XLOOKUP(KSJ$11,Assumptions!$B$35:$H$35,_xlfn.XLOOKUP($C28,Assumptions!$B$36:$B$41,Assumptions!$B$36:$H$41))</f>
        <v>0</v>
      </c>
      <c r="KSK28">
        <f t="array" ref="KSK28">_xlfn.XLOOKUP(KSK$11,Assumptions!$B$35:$H$35,_xlfn.XLOOKUP($C28,Assumptions!$B$36:$B$41,Assumptions!$B$36:$H$41))</f>
        <v>0</v>
      </c>
      <c r="KSL28">
        <f t="array" ref="KSL28">_xlfn.XLOOKUP(KSL$11,Assumptions!$B$35:$H$35,_xlfn.XLOOKUP($C28,Assumptions!$B$36:$B$41,Assumptions!$B$36:$H$41))</f>
        <v>0</v>
      </c>
      <c r="KSM28">
        <f t="array" ref="KSM28">_xlfn.XLOOKUP(KSM$11,Assumptions!$B$35:$H$35,_xlfn.XLOOKUP($C28,Assumptions!$B$36:$B$41,Assumptions!$B$36:$H$41))</f>
        <v>0</v>
      </c>
      <c r="KSN28">
        <f t="array" ref="KSN28">_xlfn.XLOOKUP(KSN$11,Assumptions!$B$35:$H$35,_xlfn.XLOOKUP($C28,Assumptions!$B$36:$B$41,Assumptions!$B$36:$H$41))</f>
        <v>0</v>
      </c>
      <c r="KSO28">
        <f t="array" ref="KSO28">_xlfn.XLOOKUP(KSO$11,Assumptions!$B$35:$H$35,_xlfn.XLOOKUP($C28,Assumptions!$B$36:$B$41,Assumptions!$B$36:$H$41))</f>
        <v>0</v>
      </c>
      <c r="KSP28">
        <f t="array" ref="KSP28">_xlfn.XLOOKUP(KSP$11,Assumptions!$B$35:$H$35,_xlfn.XLOOKUP($C28,Assumptions!$B$36:$B$41,Assumptions!$B$36:$H$41))</f>
        <v>0</v>
      </c>
      <c r="KSQ28">
        <f t="array" ref="KSQ28">_xlfn.XLOOKUP(KSQ$11,Assumptions!$B$35:$H$35,_xlfn.XLOOKUP($C28,Assumptions!$B$36:$B$41,Assumptions!$B$36:$H$41))</f>
        <v>0</v>
      </c>
      <c r="KSR28">
        <f t="array" ref="KSR28">_xlfn.XLOOKUP(KSR$11,Assumptions!$B$35:$H$35,_xlfn.XLOOKUP($C28,Assumptions!$B$36:$B$41,Assumptions!$B$36:$H$41))</f>
        <v>0</v>
      </c>
      <c r="KSS28">
        <f t="array" ref="KSS28">_xlfn.XLOOKUP(KSS$11,Assumptions!$B$35:$H$35,_xlfn.XLOOKUP($C28,Assumptions!$B$36:$B$41,Assumptions!$B$36:$H$41))</f>
        <v>0</v>
      </c>
      <c r="KST28">
        <f t="array" ref="KST28">_xlfn.XLOOKUP(KST$11,Assumptions!$B$35:$H$35,_xlfn.XLOOKUP($C28,Assumptions!$B$36:$B$41,Assumptions!$B$36:$H$41))</f>
        <v>0</v>
      </c>
      <c r="KSU28">
        <f t="array" ref="KSU28">_xlfn.XLOOKUP(KSU$11,Assumptions!$B$35:$H$35,_xlfn.XLOOKUP($C28,Assumptions!$B$36:$B$41,Assumptions!$B$36:$H$41))</f>
        <v>0</v>
      </c>
      <c r="KSV28">
        <f t="array" ref="KSV28">_xlfn.XLOOKUP(KSV$11,Assumptions!$B$35:$H$35,_xlfn.XLOOKUP($C28,Assumptions!$B$36:$B$41,Assumptions!$B$36:$H$41))</f>
        <v>0</v>
      </c>
      <c r="KSW28">
        <f t="array" ref="KSW28">_xlfn.XLOOKUP(KSW$11,Assumptions!$B$35:$H$35,_xlfn.XLOOKUP($C28,Assumptions!$B$36:$B$41,Assumptions!$B$36:$H$41))</f>
        <v>0</v>
      </c>
      <c r="KSX28">
        <f t="array" ref="KSX28">_xlfn.XLOOKUP(KSX$11,Assumptions!$B$35:$H$35,_xlfn.XLOOKUP($C28,Assumptions!$B$36:$B$41,Assumptions!$B$36:$H$41))</f>
        <v>0</v>
      </c>
      <c r="KSY28">
        <f t="array" ref="KSY28">_xlfn.XLOOKUP(KSY$11,Assumptions!$B$35:$H$35,_xlfn.XLOOKUP($C28,Assumptions!$B$36:$B$41,Assumptions!$B$36:$H$41))</f>
        <v>0</v>
      </c>
      <c r="KSZ28">
        <f t="array" ref="KSZ28">_xlfn.XLOOKUP(KSZ$11,Assumptions!$B$35:$H$35,_xlfn.XLOOKUP($C28,Assumptions!$B$36:$B$41,Assumptions!$B$36:$H$41))</f>
        <v>0</v>
      </c>
      <c r="KTA28">
        <f t="array" ref="KTA28">_xlfn.XLOOKUP(KTA$11,Assumptions!$B$35:$H$35,_xlfn.XLOOKUP($C28,Assumptions!$B$36:$B$41,Assumptions!$B$36:$H$41))</f>
        <v>0</v>
      </c>
      <c r="KTB28">
        <f t="array" ref="KTB28">_xlfn.XLOOKUP(KTB$11,Assumptions!$B$35:$H$35,_xlfn.XLOOKUP($C28,Assumptions!$B$36:$B$41,Assumptions!$B$36:$H$41))</f>
        <v>0</v>
      </c>
      <c r="KTC28">
        <f t="array" ref="KTC28">_xlfn.XLOOKUP(KTC$11,Assumptions!$B$35:$H$35,_xlfn.XLOOKUP($C28,Assumptions!$B$36:$B$41,Assumptions!$B$36:$H$41))</f>
        <v>0</v>
      </c>
      <c r="KTD28">
        <f t="array" ref="KTD28">_xlfn.XLOOKUP(KTD$11,Assumptions!$B$35:$H$35,_xlfn.XLOOKUP($C28,Assumptions!$B$36:$B$41,Assumptions!$B$36:$H$41))</f>
        <v>0</v>
      </c>
      <c r="KTE28">
        <f t="array" ref="KTE28">_xlfn.XLOOKUP(KTE$11,Assumptions!$B$35:$H$35,_xlfn.XLOOKUP($C28,Assumptions!$B$36:$B$41,Assumptions!$B$36:$H$41))</f>
        <v>0</v>
      </c>
      <c r="KTF28">
        <f t="array" ref="KTF28">_xlfn.XLOOKUP(KTF$11,Assumptions!$B$35:$H$35,_xlfn.XLOOKUP($C28,Assumptions!$B$36:$B$41,Assumptions!$B$36:$H$41))</f>
        <v>0</v>
      </c>
      <c r="KTG28">
        <f t="array" ref="KTG28">_xlfn.XLOOKUP(KTG$11,Assumptions!$B$35:$H$35,_xlfn.XLOOKUP($C28,Assumptions!$B$36:$B$41,Assumptions!$B$36:$H$41))</f>
        <v>0</v>
      </c>
      <c r="KTH28">
        <f t="array" ref="KTH28">_xlfn.XLOOKUP(KTH$11,Assumptions!$B$35:$H$35,_xlfn.XLOOKUP($C28,Assumptions!$B$36:$B$41,Assumptions!$B$36:$H$41))</f>
        <v>0</v>
      </c>
      <c r="KTI28">
        <f t="array" ref="KTI28">_xlfn.XLOOKUP(KTI$11,Assumptions!$B$35:$H$35,_xlfn.XLOOKUP($C28,Assumptions!$B$36:$B$41,Assumptions!$B$36:$H$41))</f>
        <v>0</v>
      </c>
      <c r="KTJ28">
        <f t="array" ref="KTJ28">_xlfn.XLOOKUP(KTJ$11,Assumptions!$B$35:$H$35,_xlfn.XLOOKUP($C28,Assumptions!$B$36:$B$41,Assumptions!$B$36:$H$41))</f>
        <v>0</v>
      </c>
      <c r="KTK28">
        <f t="array" ref="KTK28">_xlfn.XLOOKUP(KTK$11,Assumptions!$B$35:$H$35,_xlfn.XLOOKUP($C28,Assumptions!$B$36:$B$41,Assumptions!$B$36:$H$41))</f>
        <v>0</v>
      </c>
      <c r="KTL28">
        <f t="array" ref="KTL28">_xlfn.XLOOKUP(KTL$11,Assumptions!$B$35:$H$35,_xlfn.XLOOKUP($C28,Assumptions!$B$36:$B$41,Assumptions!$B$36:$H$41))</f>
        <v>0</v>
      </c>
      <c r="KTM28">
        <f t="array" ref="KTM28">_xlfn.XLOOKUP(KTM$11,Assumptions!$B$35:$H$35,_xlfn.XLOOKUP($C28,Assumptions!$B$36:$B$41,Assumptions!$B$36:$H$41))</f>
        <v>0</v>
      </c>
      <c r="KTN28">
        <f t="array" ref="KTN28">_xlfn.XLOOKUP(KTN$11,Assumptions!$B$35:$H$35,_xlfn.XLOOKUP($C28,Assumptions!$B$36:$B$41,Assumptions!$B$36:$H$41))</f>
        <v>0</v>
      </c>
      <c r="KTO28">
        <f t="array" ref="KTO28">_xlfn.XLOOKUP(KTO$11,Assumptions!$B$35:$H$35,_xlfn.XLOOKUP($C28,Assumptions!$B$36:$B$41,Assumptions!$B$36:$H$41))</f>
        <v>0</v>
      </c>
      <c r="KTP28">
        <f t="array" ref="KTP28">_xlfn.XLOOKUP(KTP$11,Assumptions!$B$35:$H$35,_xlfn.XLOOKUP($C28,Assumptions!$B$36:$B$41,Assumptions!$B$36:$H$41))</f>
        <v>0</v>
      </c>
      <c r="KTQ28">
        <f t="array" ref="KTQ28">_xlfn.XLOOKUP(KTQ$11,Assumptions!$B$35:$H$35,_xlfn.XLOOKUP($C28,Assumptions!$B$36:$B$41,Assumptions!$B$36:$H$41))</f>
        <v>0</v>
      </c>
      <c r="KTR28">
        <f t="array" ref="KTR28">_xlfn.XLOOKUP(KTR$11,Assumptions!$B$35:$H$35,_xlfn.XLOOKUP($C28,Assumptions!$B$36:$B$41,Assumptions!$B$36:$H$41))</f>
        <v>0</v>
      </c>
      <c r="KTS28">
        <f t="array" ref="KTS28">_xlfn.XLOOKUP(KTS$11,Assumptions!$B$35:$H$35,_xlfn.XLOOKUP($C28,Assumptions!$B$36:$B$41,Assumptions!$B$36:$H$41))</f>
        <v>0</v>
      </c>
      <c r="KTT28">
        <f t="array" ref="KTT28">_xlfn.XLOOKUP(KTT$11,Assumptions!$B$35:$H$35,_xlfn.XLOOKUP($C28,Assumptions!$B$36:$B$41,Assumptions!$B$36:$H$41))</f>
        <v>0</v>
      </c>
      <c r="KTU28">
        <f t="array" ref="KTU28">_xlfn.XLOOKUP(KTU$11,Assumptions!$B$35:$H$35,_xlfn.XLOOKUP($C28,Assumptions!$B$36:$B$41,Assumptions!$B$36:$H$41))</f>
        <v>0</v>
      </c>
      <c r="KTV28">
        <f t="array" ref="KTV28">_xlfn.XLOOKUP(KTV$11,Assumptions!$B$35:$H$35,_xlfn.XLOOKUP($C28,Assumptions!$B$36:$B$41,Assumptions!$B$36:$H$41))</f>
        <v>0</v>
      </c>
      <c r="KTW28">
        <f t="array" ref="KTW28">_xlfn.XLOOKUP(KTW$11,Assumptions!$B$35:$H$35,_xlfn.XLOOKUP($C28,Assumptions!$B$36:$B$41,Assumptions!$B$36:$H$41))</f>
        <v>0</v>
      </c>
      <c r="KTX28">
        <f t="array" ref="KTX28">_xlfn.XLOOKUP(KTX$11,Assumptions!$B$35:$H$35,_xlfn.XLOOKUP($C28,Assumptions!$B$36:$B$41,Assumptions!$B$36:$H$41))</f>
        <v>0</v>
      </c>
      <c r="KTY28">
        <f t="array" ref="KTY28">_xlfn.XLOOKUP(KTY$11,Assumptions!$B$35:$H$35,_xlfn.XLOOKUP($C28,Assumptions!$B$36:$B$41,Assumptions!$B$36:$H$41))</f>
        <v>0</v>
      </c>
      <c r="KTZ28">
        <f t="array" ref="KTZ28">_xlfn.XLOOKUP(KTZ$11,Assumptions!$B$35:$H$35,_xlfn.XLOOKUP($C28,Assumptions!$B$36:$B$41,Assumptions!$B$36:$H$41))</f>
        <v>0</v>
      </c>
      <c r="KUA28">
        <f t="array" ref="KUA28">_xlfn.XLOOKUP(KUA$11,Assumptions!$B$35:$H$35,_xlfn.XLOOKUP($C28,Assumptions!$B$36:$B$41,Assumptions!$B$36:$H$41))</f>
        <v>0</v>
      </c>
      <c r="KUB28">
        <f t="array" ref="KUB28">_xlfn.XLOOKUP(KUB$11,Assumptions!$B$35:$H$35,_xlfn.XLOOKUP($C28,Assumptions!$B$36:$B$41,Assumptions!$B$36:$H$41))</f>
        <v>0</v>
      </c>
      <c r="KUC28">
        <f t="array" ref="KUC28">_xlfn.XLOOKUP(KUC$11,Assumptions!$B$35:$H$35,_xlfn.XLOOKUP($C28,Assumptions!$B$36:$B$41,Assumptions!$B$36:$H$41))</f>
        <v>0</v>
      </c>
      <c r="KUD28">
        <f t="array" ref="KUD28">_xlfn.XLOOKUP(KUD$11,Assumptions!$B$35:$H$35,_xlfn.XLOOKUP($C28,Assumptions!$B$36:$B$41,Assumptions!$B$36:$H$41))</f>
        <v>0</v>
      </c>
      <c r="KUE28">
        <f t="array" ref="KUE28">_xlfn.XLOOKUP(KUE$11,Assumptions!$B$35:$H$35,_xlfn.XLOOKUP($C28,Assumptions!$B$36:$B$41,Assumptions!$B$36:$H$41))</f>
        <v>0</v>
      </c>
      <c r="KUF28">
        <f t="array" ref="KUF28">_xlfn.XLOOKUP(KUF$11,Assumptions!$B$35:$H$35,_xlfn.XLOOKUP($C28,Assumptions!$B$36:$B$41,Assumptions!$B$36:$H$41))</f>
        <v>0</v>
      </c>
      <c r="KUG28">
        <f t="array" ref="KUG28">_xlfn.XLOOKUP(KUG$11,Assumptions!$B$35:$H$35,_xlfn.XLOOKUP($C28,Assumptions!$B$36:$B$41,Assumptions!$B$36:$H$41))</f>
        <v>0</v>
      </c>
      <c r="KUH28">
        <f t="array" ref="KUH28">_xlfn.XLOOKUP(KUH$11,Assumptions!$B$35:$H$35,_xlfn.XLOOKUP($C28,Assumptions!$B$36:$B$41,Assumptions!$B$36:$H$41))</f>
        <v>0</v>
      </c>
      <c r="KUI28">
        <f t="array" ref="KUI28">_xlfn.XLOOKUP(KUI$11,Assumptions!$B$35:$H$35,_xlfn.XLOOKUP($C28,Assumptions!$B$36:$B$41,Assumptions!$B$36:$H$41))</f>
        <v>0</v>
      </c>
      <c r="KUJ28">
        <f t="array" ref="KUJ28">_xlfn.XLOOKUP(KUJ$11,Assumptions!$B$35:$H$35,_xlfn.XLOOKUP($C28,Assumptions!$B$36:$B$41,Assumptions!$B$36:$H$41))</f>
        <v>0</v>
      </c>
      <c r="KUK28">
        <f t="array" ref="KUK28">_xlfn.XLOOKUP(KUK$11,Assumptions!$B$35:$H$35,_xlfn.XLOOKUP($C28,Assumptions!$B$36:$B$41,Assumptions!$B$36:$H$41))</f>
        <v>0</v>
      </c>
      <c r="KUL28">
        <f t="array" ref="KUL28">_xlfn.XLOOKUP(KUL$11,Assumptions!$B$35:$H$35,_xlfn.XLOOKUP($C28,Assumptions!$B$36:$B$41,Assumptions!$B$36:$H$41))</f>
        <v>0</v>
      </c>
      <c r="KUM28">
        <f t="array" ref="KUM28">_xlfn.XLOOKUP(KUM$11,Assumptions!$B$35:$H$35,_xlfn.XLOOKUP($C28,Assumptions!$B$36:$B$41,Assumptions!$B$36:$H$41))</f>
        <v>0</v>
      </c>
      <c r="KUN28">
        <f t="array" ref="KUN28">_xlfn.XLOOKUP(KUN$11,Assumptions!$B$35:$H$35,_xlfn.XLOOKUP($C28,Assumptions!$B$36:$B$41,Assumptions!$B$36:$H$41))</f>
        <v>0</v>
      </c>
      <c r="KUO28">
        <f t="array" ref="KUO28">_xlfn.XLOOKUP(KUO$11,Assumptions!$B$35:$H$35,_xlfn.XLOOKUP($C28,Assumptions!$B$36:$B$41,Assumptions!$B$36:$H$41))</f>
        <v>0</v>
      </c>
      <c r="KUP28">
        <f t="array" ref="KUP28">_xlfn.XLOOKUP(KUP$11,Assumptions!$B$35:$H$35,_xlfn.XLOOKUP($C28,Assumptions!$B$36:$B$41,Assumptions!$B$36:$H$41))</f>
        <v>0</v>
      </c>
      <c r="KUQ28">
        <f t="array" ref="KUQ28">_xlfn.XLOOKUP(KUQ$11,Assumptions!$B$35:$H$35,_xlfn.XLOOKUP($C28,Assumptions!$B$36:$B$41,Assumptions!$B$36:$H$41))</f>
        <v>0</v>
      </c>
      <c r="KUR28">
        <f t="array" ref="KUR28">_xlfn.XLOOKUP(KUR$11,Assumptions!$B$35:$H$35,_xlfn.XLOOKUP($C28,Assumptions!$B$36:$B$41,Assumptions!$B$36:$H$41))</f>
        <v>0</v>
      </c>
      <c r="KUS28">
        <f t="array" ref="KUS28">_xlfn.XLOOKUP(KUS$11,Assumptions!$B$35:$H$35,_xlfn.XLOOKUP($C28,Assumptions!$B$36:$B$41,Assumptions!$B$36:$H$41))</f>
        <v>0</v>
      </c>
      <c r="KUT28">
        <f t="array" ref="KUT28">_xlfn.XLOOKUP(KUT$11,Assumptions!$B$35:$H$35,_xlfn.XLOOKUP($C28,Assumptions!$B$36:$B$41,Assumptions!$B$36:$H$41))</f>
        <v>0</v>
      </c>
      <c r="KUU28">
        <f t="array" ref="KUU28">_xlfn.XLOOKUP(KUU$11,Assumptions!$B$35:$H$35,_xlfn.XLOOKUP($C28,Assumptions!$B$36:$B$41,Assumptions!$B$36:$H$41))</f>
        <v>0</v>
      </c>
      <c r="KUV28">
        <f t="array" ref="KUV28">_xlfn.XLOOKUP(KUV$11,Assumptions!$B$35:$H$35,_xlfn.XLOOKUP($C28,Assumptions!$B$36:$B$41,Assumptions!$B$36:$H$41))</f>
        <v>0</v>
      </c>
      <c r="KUW28">
        <f t="array" ref="KUW28">_xlfn.XLOOKUP(KUW$11,Assumptions!$B$35:$H$35,_xlfn.XLOOKUP($C28,Assumptions!$B$36:$B$41,Assumptions!$B$36:$H$41))</f>
        <v>0</v>
      </c>
      <c r="KUX28">
        <f t="array" ref="KUX28">_xlfn.XLOOKUP(KUX$11,Assumptions!$B$35:$H$35,_xlfn.XLOOKUP($C28,Assumptions!$B$36:$B$41,Assumptions!$B$36:$H$41))</f>
        <v>0</v>
      </c>
      <c r="KUY28">
        <f t="array" ref="KUY28">_xlfn.XLOOKUP(KUY$11,Assumptions!$B$35:$H$35,_xlfn.XLOOKUP($C28,Assumptions!$B$36:$B$41,Assumptions!$B$36:$H$41))</f>
        <v>0</v>
      </c>
      <c r="KUZ28">
        <f t="array" ref="KUZ28">_xlfn.XLOOKUP(KUZ$11,Assumptions!$B$35:$H$35,_xlfn.XLOOKUP($C28,Assumptions!$B$36:$B$41,Assumptions!$B$36:$H$41))</f>
        <v>0</v>
      </c>
      <c r="KVA28">
        <f t="array" ref="KVA28">_xlfn.XLOOKUP(KVA$11,Assumptions!$B$35:$H$35,_xlfn.XLOOKUP($C28,Assumptions!$B$36:$B$41,Assumptions!$B$36:$H$41))</f>
        <v>0</v>
      </c>
      <c r="KVB28">
        <f t="array" ref="KVB28">_xlfn.XLOOKUP(KVB$11,Assumptions!$B$35:$H$35,_xlfn.XLOOKUP($C28,Assumptions!$B$36:$B$41,Assumptions!$B$36:$H$41))</f>
        <v>0</v>
      </c>
      <c r="KVC28">
        <f t="array" ref="KVC28">_xlfn.XLOOKUP(KVC$11,Assumptions!$B$35:$H$35,_xlfn.XLOOKUP($C28,Assumptions!$B$36:$B$41,Assumptions!$B$36:$H$41))</f>
        <v>0</v>
      </c>
      <c r="KVD28">
        <f t="array" ref="KVD28">_xlfn.XLOOKUP(KVD$11,Assumptions!$B$35:$H$35,_xlfn.XLOOKUP($C28,Assumptions!$B$36:$B$41,Assumptions!$B$36:$H$41))</f>
        <v>0</v>
      </c>
      <c r="KVE28">
        <f t="array" ref="KVE28">_xlfn.XLOOKUP(KVE$11,Assumptions!$B$35:$H$35,_xlfn.XLOOKUP($C28,Assumptions!$B$36:$B$41,Assumptions!$B$36:$H$41))</f>
        <v>0</v>
      </c>
      <c r="KVF28">
        <f t="array" ref="KVF28">_xlfn.XLOOKUP(KVF$11,Assumptions!$B$35:$H$35,_xlfn.XLOOKUP($C28,Assumptions!$B$36:$B$41,Assumptions!$B$36:$H$41))</f>
        <v>0</v>
      </c>
      <c r="KVG28">
        <f t="array" ref="KVG28">_xlfn.XLOOKUP(KVG$11,Assumptions!$B$35:$H$35,_xlfn.XLOOKUP($C28,Assumptions!$B$36:$B$41,Assumptions!$B$36:$H$41))</f>
        <v>0</v>
      </c>
      <c r="KVH28">
        <f t="array" ref="KVH28">_xlfn.XLOOKUP(KVH$11,Assumptions!$B$35:$H$35,_xlfn.XLOOKUP($C28,Assumptions!$B$36:$B$41,Assumptions!$B$36:$H$41))</f>
        <v>0</v>
      </c>
      <c r="KVI28">
        <f t="array" ref="KVI28">_xlfn.XLOOKUP(KVI$11,Assumptions!$B$35:$H$35,_xlfn.XLOOKUP($C28,Assumptions!$B$36:$B$41,Assumptions!$B$36:$H$41))</f>
        <v>0</v>
      </c>
      <c r="KVJ28">
        <f t="array" ref="KVJ28">_xlfn.XLOOKUP(KVJ$11,Assumptions!$B$35:$H$35,_xlfn.XLOOKUP($C28,Assumptions!$B$36:$B$41,Assumptions!$B$36:$H$41))</f>
        <v>0</v>
      </c>
      <c r="KVK28">
        <f t="array" ref="KVK28">_xlfn.XLOOKUP(KVK$11,Assumptions!$B$35:$H$35,_xlfn.XLOOKUP($C28,Assumptions!$B$36:$B$41,Assumptions!$B$36:$H$41))</f>
        <v>0</v>
      </c>
      <c r="KVL28">
        <f t="array" ref="KVL28">_xlfn.XLOOKUP(KVL$11,Assumptions!$B$35:$H$35,_xlfn.XLOOKUP($C28,Assumptions!$B$36:$B$41,Assumptions!$B$36:$H$41))</f>
        <v>0</v>
      </c>
      <c r="KVM28">
        <f t="array" ref="KVM28">_xlfn.XLOOKUP(KVM$11,Assumptions!$B$35:$H$35,_xlfn.XLOOKUP($C28,Assumptions!$B$36:$B$41,Assumptions!$B$36:$H$41))</f>
        <v>0</v>
      </c>
      <c r="KVN28">
        <f t="array" ref="KVN28">_xlfn.XLOOKUP(KVN$11,Assumptions!$B$35:$H$35,_xlfn.XLOOKUP($C28,Assumptions!$B$36:$B$41,Assumptions!$B$36:$H$41))</f>
        <v>0</v>
      </c>
      <c r="KVO28">
        <f t="array" ref="KVO28">_xlfn.XLOOKUP(KVO$11,Assumptions!$B$35:$H$35,_xlfn.XLOOKUP($C28,Assumptions!$B$36:$B$41,Assumptions!$B$36:$H$41))</f>
        <v>0</v>
      </c>
      <c r="KVP28">
        <f t="array" ref="KVP28">_xlfn.XLOOKUP(KVP$11,Assumptions!$B$35:$H$35,_xlfn.XLOOKUP($C28,Assumptions!$B$36:$B$41,Assumptions!$B$36:$H$41))</f>
        <v>0</v>
      </c>
      <c r="KVQ28">
        <f t="array" ref="KVQ28">_xlfn.XLOOKUP(KVQ$11,Assumptions!$B$35:$H$35,_xlfn.XLOOKUP($C28,Assumptions!$B$36:$B$41,Assumptions!$B$36:$H$41))</f>
        <v>0</v>
      </c>
      <c r="KVR28">
        <f t="array" ref="KVR28">_xlfn.XLOOKUP(KVR$11,Assumptions!$B$35:$H$35,_xlfn.XLOOKUP($C28,Assumptions!$B$36:$B$41,Assumptions!$B$36:$H$41))</f>
        <v>0</v>
      </c>
      <c r="KVS28">
        <f t="array" ref="KVS28">_xlfn.XLOOKUP(KVS$11,Assumptions!$B$35:$H$35,_xlfn.XLOOKUP($C28,Assumptions!$B$36:$B$41,Assumptions!$B$36:$H$41))</f>
        <v>0</v>
      </c>
      <c r="KVT28">
        <f t="array" ref="KVT28">_xlfn.XLOOKUP(KVT$11,Assumptions!$B$35:$H$35,_xlfn.XLOOKUP($C28,Assumptions!$B$36:$B$41,Assumptions!$B$36:$H$41))</f>
        <v>0</v>
      </c>
      <c r="KVU28">
        <f t="array" ref="KVU28">_xlfn.XLOOKUP(KVU$11,Assumptions!$B$35:$H$35,_xlfn.XLOOKUP($C28,Assumptions!$B$36:$B$41,Assumptions!$B$36:$H$41))</f>
        <v>0</v>
      </c>
      <c r="KVV28">
        <f t="array" ref="KVV28">_xlfn.XLOOKUP(KVV$11,Assumptions!$B$35:$H$35,_xlfn.XLOOKUP($C28,Assumptions!$B$36:$B$41,Assumptions!$B$36:$H$41))</f>
        <v>0</v>
      </c>
      <c r="KVW28">
        <f t="array" ref="KVW28">_xlfn.XLOOKUP(KVW$11,Assumptions!$B$35:$H$35,_xlfn.XLOOKUP($C28,Assumptions!$B$36:$B$41,Assumptions!$B$36:$H$41))</f>
        <v>0</v>
      </c>
      <c r="KVX28">
        <f t="array" ref="KVX28">_xlfn.XLOOKUP(KVX$11,Assumptions!$B$35:$H$35,_xlfn.XLOOKUP($C28,Assumptions!$B$36:$B$41,Assumptions!$B$36:$H$41))</f>
        <v>0</v>
      </c>
      <c r="KVY28">
        <f t="array" ref="KVY28">_xlfn.XLOOKUP(KVY$11,Assumptions!$B$35:$H$35,_xlfn.XLOOKUP($C28,Assumptions!$B$36:$B$41,Assumptions!$B$36:$H$41))</f>
        <v>0</v>
      </c>
      <c r="KVZ28">
        <f t="array" ref="KVZ28">_xlfn.XLOOKUP(KVZ$11,Assumptions!$B$35:$H$35,_xlfn.XLOOKUP($C28,Assumptions!$B$36:$B$41,Assumptions!$B$36:$H$41))</f>
        <v>0</v>
      </c>
      <c r="KWA28">
        <f t="array" ref="KWA28">_xlfn.XLOOKUP(KWA$11,Assumptions!$B$35:$H$35,_xlfn.XLOOKUP($C28,Assumptions!$B$36:$B$41,Assumptions!$B$36:$H$41))</f>
        <v>0</v>
      </c>
      <c r="KWB28">
        <f t="array" ref="KWB28">_xlfn.XLOOKUP(KWB$11,Assumptions!$B$35:$H$35,_xlfn.XLOOKUP($C28,Assumptions!$B$36:$B$41,Assumptions!$B$36:$H$41))</f>
        <v>0</v>
      </c>
      <c r="KWC28">
        <f t="array" ref="KWC28">_xlfn.XLOOKUP(KWC$11,Assumptions!$B$35:$H$35,_xlfn.XLOOKUP($C28,Assumptions!$B$36:$B$41,Assumptions!$B$36:$H$41))</f>
        <v>0</v>
      </c>
      <c r="KWD28">
        <f t="array" ref="KWD28">_xlfn.XLOOKUP(KWD$11,Assumptions!$B$35:$H$35,_xlfn.XLOOKUP($C28,Assumptions!$B$36:$B$41,Assumptions!$B$36:$H$41))</f>
        <v>0</v>
      </c>
      <c r="KWE28">
        <f t="array" ref="KWE28">_xlfn.XLOOKUP(KWE$11,Assumptions!$B$35:$H$35,_xlfn.XLOOKUP($C28,Assumptions!$B$36:$B$41,Assumptions!$B$36:$H$41))</f>
        <v>0</v>
      </c>
      <c r="KWF28">
        <f t="array" ref="KWF28">_xlfn.XLOOKUP(KWF$11,Assumptions!$B$35:$H$35,_xlfn.XLOOKUP($C28,Assumptions!$B$36:$B$41,Assumptions!$B$36:$H$41))</f>
        <v>0</v>
      </c>
      <c r="KWG28">
        <f t="array" ref="KWG28">_xlfn.XLOOKUP(KWG$11,Assumptions!$B$35:$H$35,_xlfn.XLOOKUP($C28,Assumptions!$B$36:$B$41,Assumptions!$B$36:$H$41))</f>
        <v>0</v>
      </c>
      <c r="KWH28">
        <f t="array" ref="KWH28">_xlfn.XLOOKUP(KWH$11,Assumptions!$B$35:$H$35,_xlfn.XLOOKUP($C28,Assumptions!$B$36:$B$41,Assumptions!$B$36:$H$41))</f>
        <v>0</v>
      </c>
      <c r="KWI28">
        <f t="array" ref="KWI28">_xlfn.XLOOKUP(KWI$11,Assumptions!$B$35:$H$35,_xlfn.XLOOKUP($C28,Assumptions!$B$36:$B$41,Assumptions!$B$36:$H$41))</f>
        <v>0</v>
      </c>
      <c r="KWJ28">
        <f t="array" ref="KWJ28">_xlfn.XLOOKUP(KWJ$11,Assumptions!$B$35:$H$35,_xlfn.XLOOKUP($C28,Assumptions!$B$36:$B$41,Assumptions!$B$36:$H$41))</f>
        <v>0</v>
      </c>
      <c r="KWK28">
        <f t="array" ref="KWK28">_xlfn.XLOOKUP(KWK$11,Assumptions!$B$35:$H$35,_xlfn.XLOOKUP($C28,Assumptions!$B$36:$B$41,Assumptions!$B$36:$H$41))</f>
        <v>0</v>
      </c>
      <c r="KWL28">
        <f t="array" ref="KWL28">_xlfn.XLOOKUP(KWL$11,Assumptions!$B$35:$H$35,_xlfn.XLOOKUP($C28,Assumptions!$B$36:$B$41,Assumptions!$B$36:$H$41))</f>
        <v>0</v>
      </c>
      <c r="KWM28">
        <f t="array" ref="KWM28">_xlfn.XLOOKUP(KWM$11,Assumptions!$B$35:$H$35,_xlfn.XLOOKUP($C28,Assumptions!$B$36:$B$41,Assumptions!$B$36:$H$41))</f>
        <v>0</v>
      </c>
      <c r="KWN28">
        <f t="array" ref="KWN28">_xlfn.XLOOKUP(KWN$11,Assumptions!$B$35:$H$35,_xlfn.XLOOKUP($C28,Assumptions!$B$36:$B$41,Assumptions!$B$36:$H$41))</f>
        <v>0</v>
      </c>
      <c r="KWO28">
        <f t="array" ref="KWO28">_xlfn.XLOOKUP(KWO$11,Assumptions!$B$35:$H$35,_xlfn.XLOOKUP($C28,Assumptions!$B$36:$B$41,Assumptions!$B$36:$H$41))</f>
        <v>0</v>
      </c>
      <c r="KWP28">
        <f t="array" ref="KWP28">_xlfn.XLOOKUP(KWP$11,Assumptions!$B$35:$H$35,_xlfn.XLOOKUP($C28,Assumptions!$B$36:$B$41,Assumptions!$B$36:$H$41))</f>
        <v>0</v>
      </c>
      <c r="KWQ28">
        <f t="array" ref="KWQ28">_xlfn.XLOOKUP(KWQ$11,Assumptions!$B$35:$H$35,_xlfn.XLOOKUP($C28,Assumptions!$B$36:$B$41,Assumptions!$B$36:$H$41))</f>
        <v>0</v>
      </c>
      <c r="KWR28">
        <f t="array" ref="KWR28">_xlfn.XLOOKUP(KWR$11,Assumptions!$B$35:$H$35,_xlfn.XLOOKUP($C28,Assumptions!$B$36:$B$41,Assumptions!$B$36:$H$41))</f>
        <v>0</v>
      </c>
      <c r="KWS28">
        <f t="array" ref="KWS28">_xlfn.XLOOKUP(KWS$11,Assumptions!$B$35:$H$35,_xlfn.XLOOKUP($C28,Assumptions!$B$36:$B$41,Assumptions!$B$36:$H$41))</f>
        <v>0</v>
      </c>
      <c r="KWT28">
        <f t="array" ref="KWT28">_xlfn.XLOOKUP(KWT$11,Assumptions!$B$35:$H$35,_xlfn.XLOOKUP($C28,Assumptions!$B$36:$B$41,Assumptions!$B$36:$H$41))</f>
        <v>0</v>
      </c>
      <c r="KWU28">
        <f t="array" ref="KWU28">_xlfn.XLOOKUP(KWU$11,Assumptions!$B$35:$H$35,_xlfn.XLOOKUP($C28,Assumptions!$B$36:$B$41,Assumptions!$B$36:$H$41))</f>
        <v>0</v>
      </c>
      <c r="KWV28">
        <f t="array" ref="KWV28">_xlfn.XLOOKUP(KWV$11,Assumptions!$B$35:$H$35,_xlfn.XLOOKUP($C28,Assumptions!$B$36:$B$41,Assumptions!$B$36:$H$41))</f>
        <v>0</v>
      </c>
      <c r="KWW28">
        <f t="array" ref="KWW28">_xlfn.XLOOKUP(KWW$11,Assumptions!$B$35:$H$35,_xlfn.XLOOKUP($C28,Assumptions!$B$36:$B$41,Assumptions!$B$36:$H$41))</f>
        <v>0</v>
      </c>
      <c r="KWX28">
        <f t="array" ref="KWX28">_xlfn.XLOOKUP(KWX$11,Assumptions!$B$35:$H$35,_xlfn.XLOOKUP($C28,Assumptions!$B$36:$B$41,Assumptions!$B$36:$H$41))</f>
        <v>0</v>
      </c>
      <c r="KWY28">
        <f t="array" ref="KWY28">_xlfn.XLOOKUP(KWY$11,Assumptions!$B$35:$H$35,_xlfn.XLOOKUP($C28,Assumptions!$B$36:$B$41,Assumptions!$B$36:$H$41))</f>
        <v>0</v>
      </c>
      <c r="KWZ28">
        <f t="array" ref="KWZ28">_xlfn.XLOOKUP(KWZ$11,Assumptions!$B$35:$H$35,_xlfn.XLOOKUP($C28,Assumptions!$B$36:$B$41,Assumptions!$B$36:$H$41))</f>
        <v>0</v>
      </c>
      <c r="KXA28">
        <f t="array" ref="KXA28">_xlfn.XLOOKUP(KXA$11,Assumptions!$B$35:$H$35,_xlfn.XLOOKUP($C28,Assumptions!$B$36:$B$41,Assumptions!$B$36:$H$41))</f>
        <v>0</v>
      </c>
      <c r="KXB28">
        <f t="array" ref="KXB28">_xlfn.XLOOKUP(KXB$11,Assumptions!$B$35:$H$35,_xlfn.XLOOKUP($C28,Assumptions!$B$36:$B$41,Assumptions!$B$36:$H$41))</f>
        <v>0</v>
      </c>
      <c r="KXC28">
        <f t="array" ref="KXC28">_xlfn.XLOOKUP(KXC$11,Assumptions!$B$35:$H$35,_xlfn.XLOOKUP($C28,Assumptions!$B$36:$B$41,Assumptions!$B$36:$H$41))</f>
        <v>0</v>
      </c>
      <c r="KXD28">
        <f t="array" ref="KXD28">_xlfn.XLOOKUP(KXD$11,Assumptions!$B$35:$H$35,_xlfn.XLOOKUP($C28,Assumptions!$B$36:$B$41,Assumptions!$B$36:$H$41))</f>
        <v>0</v>
      </c>
      <c r="KXE28">
        <f t="array" ref="KXE28">_xlfn.XLOOKUP(KXE$11,Assumptions!$B$35:$H$35,_xlfn.XLOOKUP($C28,Assumptions!$B$36:$B$41,Assumptions!$B$36:$H$41))</f>
        <v>0</v>
      </c>
      <c r="KXF28">
        <f t="array" ref="KXF28">_xlfn.XLOOKUP(KXF$11,Assumptions!$B$35:$H$35,_xlfn.XLOOKUP($C28,Assumptions!$B$36:$B$41,Assumptions!$B$36:$H$41))</f>
        <v>0</v>
      </c>
      <c r="KXG28">
        <f t="array" ref="KXG28">_xlfn.XLOOKUP(KXG$11,Assumptions!$B$35:$H$35,_xlfn.XLOOKUP($C28,Assumptions!$B$36:$B$41,Assumptions!$B$36:$H$41))</f>
        <v>0</v>
      </c>
      <c r="KXH28">
        <f t="array" ref="KXH28">_xlfn.XLOOKUP(KXH$11,Assumptions!$B$35:$H$35,_xlfn.XLOOKUP($C28,Assumptions!$B$36:$B$41,Assumptions!$B$36:$H$41))</f>
        <v>0</v>
      </c>
      <c r="KXI28">
        <f t="array" ref="KXI28">_xlfn.XLOOKUP(KXI$11,Assumptions!$B$35:$H$35,_xlfn.XLOOKUP($C28,Assumptions!$B$36:$B$41,Assumptions!$B$36:$H$41))</f>
        <v>0</v>
      </c>
      <c r="KXJ28">
        <f t="array" ref="KXJ28">_xlfn.XLOOKUP(KXJ$11,Assumptions!$B$35:$H$35,_xlfn.XLOOKUP($C28,Assumptions!$B$36:$B$41,Assumptions!$B$36:$H$41))</f>
        <v>0</v>
      </c>
      <c r="KXK28">
        <f t="array" ref="KXK28">_xlfn.XLOOKUP(KXK$11,Assumptions!$B$35:$H$35,_xlfn.XLOOKUP($C28,Assumptions!$B$36:$B$41,Assumptions!$B$36:$H$41))</f>
        <v>0</v>
      </c>
      <c r="KXL28">
        <f t="array" ref="KXL28">_xlfn.XLOOKUP(KXL$11,Assumptions!$B$35:$H$35,_xlfn.XLOOKUP($C28,Assumptions!$B$36:$B$41,Assumptions!$B$36:$H$41))</f>
        <v>0</v>
      </c>
      <c r="KXM28">
        <f t="array" ref="KXM28">_xlfn.XLOOKUP(KXM$11,Assumptions!$B$35:$H$35,_xlfn.XLOOKUP($C28,Assumptions!$B$36:$B$41,Assumptions!$B$36:$H$41))</f>
        <v>0</v>
      </c>
      <c r="KXN28">
        <f t="array" ref="KXN28">_xlfn.XLOOKUP(KXN$11,Assumptions!$B$35:$H$35,_xlfn.XLOOKUP($C28,Assumptions!$B$36:$B$41,Assumptions!$B$36:$H$41))</f>
        <v>0</v>
      </c>
      <c r="KXO28">
        <f t="array" ref="KXO28">_xlfn.XLOOKUP(KXO$11,Assumptions!$B$35:$H$35,_xlfn.XLOOKUP($C28,Assumptions!$B$36:$B$41,Assumptions!$B$36:$H$41))</f>
        <v>0</v>
      </c>
      <c r="KXP28">
        <f t="array" ref="KXP28">_xlfn.XLOOKUP(KXP$11,Assumptions!$B$35:$H$35,_xlfn.XLOOKUP($C28,Assumptions!$B$36:$B$41,Assumptions!$B$36:$H$41))</f>
        <v>0</v>
      </c>
      <c r="KXQ28">
        <f t="array" ref="KXQ28">_xlfn.XLOOKUP(KXQ$11,Assumptions!$B$35:$H$35,_xlfn.XLOOKUP($C28,Assumptions!$B$36:$B$41,Assumptions!$B$36:$H$41))</f>
        <v>0</v>
      </c>
      <c r="KXR28">
        <f t="array" ref="KXR28">_xlfn.XLOOKUP(KXR$11,Assumptions!$B$35:$H$35,_xlfn.XLOOKUP($C28,Assumptions!$B$36:$B$41,Assumptions!$B$36:$H$41))</f>
        <v>0</v>
      </c>
      <c r="KXS28">
        <f t="array" ref="KXS28">_xlfn.XLOOKUP(KXS$11,Assumptions!$B$35:$H$35,_xlfn.XLOOKUP($C28,Assumptions!$B$36:$B$41,Assumptions!$B$36:$H$41))</f>
        <v>0</v>
      </c>
      <c r="KXT28">
        <f t="array" ref="KXT28">_xlfn.XLOOKUP(KXT$11,Assumptions!$B$35:$H$35,_xlfn.XLOOKUP($C28,Assumptions!$B$36:$B$41,Assumptions!$B$36:$H$41))</f>
        <v>0</v>
      </c>
      <c r="KXU28">
        <f t="array" ref="KXU28">_xlfn.XLOOKUP(KXU$11,Assumptions!$B$35:$H$35,_xlfn.XLOOKUP($C28,Assumptions!$B$36:$B$41,Assumptions!$B$36:$H$41))</f>
        <v>0</v>
      </c>
      <c r="KXV28">
        <f t="array" ref="KXV28">_xlfn.XLOOKUP(KXV$11,Assumptions!$B$35:$H$35,_xlfn.XLOOKUP($C28,Assumptions!$B$36:$B$41,Assumptions!$B$36:$H$41))</f>
        <v>0</v>
      </c>
      <c r="KXW28">
        <f t="array" ref="KXW28">_xlfn.XLOOKUP(KXW$11,Assumptions!$B$35:$H$35,_xlfn.XLOOKUP($C28,Assumptions!$B$36:$B$41,Assumptions!$B$36:$H$41))</f>
        <v>0</v>
      </c>
      <c r="KXX28">
        <f t="array" ref="KXX28">_xlfn.XLOOKUP(KXX$11,Assumptions!$B$35:$H$35,_xlfn.XLOOKUP($C28,Assumptions!$B$36:$B$41,Assumptions!$B$36:$H$41))</f>
        <v>0</v>
      </c>
      <c r="KXY28">
        <f t="array" ref="KXY28">_xlfn.XLOOKUP(KXY$11,Assumptions!$B$35:$H$35,_xlfn.XLOOKUP($C28,Assumptions!$B$36:$B$41,Assumptions!$B$36:$H$41))</f>
        <v>0</v>
      </c>
      <c r="KXZ28">
        <f t="array" ref="KXZ28">_xlfn.XLOOKUP(KXZ$11,Assumptions!$B$35:$H$35,_xlfn.XLOOKUP($C28,Assumptions!$B$36:$B$41,Assumptions!$B$36:$H$41))</f>
        <v>0</v>
      </c>
      <c r="KYA28">
        <f t="array" ref="KYA28">_xlfn.XLOOKUP(KYA$11,Assumptions!$B$35:$H$35,_xlfn.XLOOKUP($C28,Assumptions!$B$36:$B$41,Assumptions!$B$36:$H$41))</f>
        <v>0</v>
      </c>
      <c r="KYB28">
        <f t="array" ref="KYB28">_xlfn.XLOOKUP(KYB$11,Assumptions!$B$35:$H$35,_xlfn.XLOOKUP($C28,Assumptions!$B$36:$B$41,Assumptions!$B$36:$H$41))</f>
        <v>0</v>
      </c>
      <c r="KYC28">
        <f t="array" ref="KYC28">_xlfn.XLOOKUP(KYC$11,Assumptions!$B$35:$H$35,_xlfn.XLOOKUP($C28,Assumptions!$B$36:$B$41,Assumptions!$B$36:$H$41))</f>
        <v>0</v>
      </c>
      <c r="KYD28">
        <f t="array" ref="KYD28">_xlfn.XLOOKUP(KYD$11,Assumptions!$B$35:$H$35,_xlfn.XLOOKUP($C28,Assumptions!$B$36:$B$41,Assumptions!$B$36:$H$41))</f>
        <v>0</v>
      </c>
      <c r="KYE28">
        <f t="array" ref="KYE28">_xlfn.XLOOKUP(KYE$11,Assumptions!$B$35:$H$35,_xlfn.XLOOKUP($C28,Assumptions!$B$36:$B$41,Assumptions!$B$36:$H$41))</f>
        <v>0</v>
      </c>
      <c r="KYF28">
        <f t="array" ref="KYF28">_xlfn.XLOOKUP(KYF$11,Assumptions!$B$35:$H$35,_xlfn.XLOOKUP($C28,Assumptions!$B$36:$B$41,Assumptions!$B$36:$H$41))</f>
        <v>0</v>
      </c>
      <c r="KYG28">
        <f t="array" ref="KYG28">_xlfn.XLOOKUP(KYG$11,Assumptions!$B$35:$H$35,_xlfn.XLOOKUP($C28,Assumptions!$B$36:$B$41,Assumptions!$B$36:$H$41))</f>
        <v>0</v>
      </c>
      <c r="KYH28">
        <f t="array" ref="KYH28">_xlfn.XLOOKUP(KYH$11,Assumptions!$B$35:$H$35,_xlfn.XLOOKUP($C28,Assumptions!$B$36:$B$41,Assumptions!$B$36:$H$41))</f>
        <v>0</v>
      </c>
      <c r="KYI28">
        <f t="array" ref="KYI28">_xlfn.XLOOKUP(KYI$11,Assumptions!$B$35:$H$35,_xlfn.XLOOKUP($C28,Assumptions!$B$36:$B$41,Assumptions!$B$36:$H$41))</f>
        <v>0</v>
      </c>
      <c r="KYJ28">
        <f t="array" ref="KYJ28">_xlfn.XLOOKUP(KYJ$11,Assumptions!$B$35:$H$35,_xlfn.XLOOKUP($C28,Assumptions!$B$36:$B$41,Assumptions!$B$36:$H$41))</f>
        <v>0</v>
      </c>
      <c r="KYK28">
        <f t="array" ref="KYK28">_xlfn.XLOOKUP(KYK$11,Assumptions!$B$35:$H$35,_xlfn.XLOOKUP($C28,Assumptions!$B$36:$B$41,Assumptions!$B$36:$H$41))</f>
        <v>0</v>
      </c>
      <c r="KYL28">
        <f t="array" ref="KYL28">_xlfn.XLOOKUP(KYL$11,Assumptions!$B$35:$H$35,_xlfn.XLOOKUP($C28,Assumptions!$B$36:$B$41,Assumptions!$B$36:$H$41))</f>
        <v>0</v>
      </c>
      <c r="KYM28">
        <f t="array" ref="KYM28">_xlfn.XLOOKUP(KYM$11,Assumptions!$B$35:$H$35,_xlfn.XLOOKUP($C28,Assumptions!$B$36:$B$41,Assumptions!$B$36:$H$41))</f>
        <v>0</v>
      </c>
      <c r="KYN28">
        <f t="array" ref="KYN28">_xlfn.XLOOKUP(KYN$11,Assumptions!$B$35:$H$35,_xlfn.XLOOKUP($C28,Assumptions!$B$36:$B$41,Assumptions!$B$36:$H$41))</f>
        <v>0</v>
      </c>
      <c r="KYO28">
        <f t="array" ref="KYO28">_xlfn.XLOOKUP(KYO$11,Assumptions!$B$35:$H$35,_xlfn.XLOOKUP($C28,Assumptions!$B$36:$B$41,Assumptions!$B$36:$H$41))</f>
        <v>0</v>
      </c>
      <c r="KYP28">
        <f t="array" ref="KYP28">_xlfn.XLOOKUP(KYP$11,Assumptions!$B$35:$H$35,_xlfn.XLOOKUP($C28,Assumptions!$B$36:$B$41,Assumptions!$B$36:$H$41))</f>
        <v>0</v>
      </c>
      <c r="KYQ28">
        <f t="array" ref="KYQ28">_xlfn.XLOOKUP(KYQ$11,Assumptions!$B$35:$H$35,_xlfn.XLOOKUP($C28,Assumptions!$B$36:$B$41,Assumptions!$B$36:$H$41))</f>
        <v>0</v>
      </c>
      <c r="KYR28">
        <f t="array" ref="KYR28">_xlfn.XLOOKUP(KYR$11,Assumptions!$B$35:$H$35,_xlfn.XLOOKUP($C28,Assumptions!$B$36:$B$41,Assumptions!$B$36:$H$41))</f>
        <v>0</v>
      </c>
      <c r="KYS28">
        <f t="array" ref="KYS28">_xlfn.XLOOKUP(KYS$11,Assumptions!$B$35:$H$35,_xlfn.XLOOKUP($C28,Assumptions!$B$36:$B$41,Assumptions!$B$36:$H$41))</f>
        <v>0</v>
      </c>
      <c r="KYT28">
        <f t="array" ref="KYT28">_xlfn.XLOOKUP(KYT$11,Assumptions!$B$35:$H$35,_xlfn.XLOOKUP($C28,Assumptions!$B$36:$B$41,Assumptions!$B$36:$H$41))</f>
        <v>0</v>
      </c>
      <c r="KYU28">
        <f t="array" ref="KYU28">_xlfn.XLOOKUP(KYU$11,Assumptions!$B$35:$H$35,_xlfn.XLOOKUP($C28,Assumptions!$B$36:$B$41,Assumptions!$B$36:$H$41))</f>
        <v>0</v>
      </c>
      <c r="KYV28">
        <f t="array" ref="KYV28">_xlfn.XLOOKUP(KYV$11,Assumptions!$B$35:$H$35,_xlfn.XLOOKUP($C28,Assumptions!$B$36:$B$41,Assumptions!$B$36:$H$41))</f>
        <v>0</v>
      </c>
      <c r="KYW28">
        <f t="array" ref="KYW28">_xlfn.XLOOKUP(KYW$11,Assumptions!$B$35:$H$35,_xlfn.XLOOKUP($C28,Assumptions!$B$36:$B$41,Assumptions!$B$36:$H$41))</f>
        <v>0</v>
      </c>
      <c r="KYX28">
        <f t="array" ref="KYX28">_xlfn.XLOOKUP(KYX$11,Assumptions!$B$35:$H$35,_xlfn.XLOOKUP($C28,Assumptions!$B$36:$B$41,Assumptions!$B$36:$H$41))</f>
        <v>0</v>
      </c>
      <c r="KYY28">
        <f t="array" ref="KYY28">_xlfn.XLOOKUP(KYY$11,Assumptions!$B$35:$H$35,_xlfn.XLOOKUP($C28,Assumptions!$B$36:$B$41,Assumptions!$B$36:$H$41))</f>
        <v>0</v>
      </c>
      <c r="KYZ28">
        <f t="array" ref="KYZ28">_xlfn.XLOOKUP(KYZ$11,Assumptions!$B$35:$H$35,_xlfn.XLOOKUP($C28,Assumptions!$B$36:$B$41,Assumptions!$B$36:$H$41))</f>
        <v>0</v>
      </c>
      <c r="KZA28">
        <f t="array" ref="KZA28">_xlfn.XLOOKUP(KZA$11,Assumptions!$B$35:$H$35,_xlfn.XLOOKUP($C28,Assumptions!$B$36:$B$41,Assumptions!$B$36:$H$41))</f>
        <v>0</v>
      </c>
      <c r="KZB28">
        <f t="array" ref="KZB28">_xlfn.XLOOKUP(KZB$11,Assumptions!$B$35:$H$35,_xlfn.XLOOKUP($C28,Assumptions!$B$36:$B$41,Assumptions!$B$36:$H$41))</f>
        <v>0</v>
      </c>
      <c r="KZC28">
        <f t="array" ref="KZC28">_xlfn.XLOOKUP(KZC$11,Assumptions!$B$35:$H$35,_xlfn.XLOOKUP($C28,Assumptions!$B$36:$B$41,Assumptions!$B$36:$H$41))</f>
        <v>0</v>
      </c>
      <c r="KZD28">
        <f t="array" ref="KZD28">_xlfn.XLOOKUP(KZD$11,Assumptions!$B$35:$H$35,_xlfn.XLOOKUP($C28,Assumptions!$B$36:$B$41,Assumptions!$B$36:$H$41))</f>
        <v>0</v>
      </c>
      <c r="KZE28">
        <f t="array" ref="KZE28">_xlfn.XLOOKUP(KZE$11,Assumptions!$B$35:$H$35,_xlfn.XLOOKUP($C28,Assumptions!$B$36:$B$41,Assumptions!$B$36:$H$41))</f>
        <v>0</v>
      </c>
      <c r="KZF28">
        <f t="array" ref="KZF28">_xlfn.XLOOKUP(KZF$11,Assumptions!$B$35:$H$35,_xlfn.XLOOKUP($C28,Assumptions!$B$36:$B$41,Assumptions!$B$36:$H$41))</f>
        <v>0</v>
      </c>
      <c r="KZG28">
        <f t="array" ref="KZG28">_xlfn.XLOOKUP(KZG$11,Assumptions!$B$35:$H$35,_xlfn.XLOOKUP($C28,Assumptions!$B$36:$B$41,Assumptions!$B$36:$H$41))</f>
        <v>0</v>
      </c>
      <c r="KZH28">
        <f t="array" ref="KZH28">_xlfn.XLOOKUP(KZH$11,Assumptions!$B$35:$H$35,_xlfn.XLOOKUP($C28,Assumptions!$B$36:$B$41,Assumptions!$B$36:$H$41))</f>
        <v>0</v>
      </c>
      <c r="KZI28">
        <f t="array" ref="KZI28">_xlfn.XLOOKUP(KZI$11,Assumptions!$B$35:$H$35,_xlfn.XLOOKUP($C28,Assumptions!$B$36:$B$41,Assumptions!$B$36:$H$41))</f>
        <v>0</v>
      </c>
      <c r="KZJ28">
        <f t="array" ref="KZJ28">_xlfn.XLOOKUP(KZJ$11,Assumptions!$B$35:$H$35,_xlfn.XLOOKUP($C28,Assumptions!$B$36:$B$41,Assumptions!$B$36:$H$41))</f>
        <v>0</v>
      </c>
      <c r="KZK28">
        <f t="array" ref="KZK28">_xlfn.XLOOKUP(KZK$11,Assumptions!$B$35:$H$35,_xlfn.XLOOKUP($C28,Assumptions!$B$36:$B$41,Assumptions!$B$36:$H$41))</f>
        <v>0</v>
      </c>
      <c r="KZL28">
        <f t="array" ref="KZL28">_xlfn.XLOOKUP(KZL$11,Assumptions!$B$35:$H$35,_xlfn.XLOOKUP($C28,Assumptions!$B$36:$B$41,Assumptions!$B$36:$H$41))</f>
        <v>0</v>
      </c>
      <c r="KZM28">
        <f t="array" ref="KZM28">_xlfn.XLOOKUP(KZM$11,Assumptions!$B$35:$H$35,_xlfn.XLOOKUP($C28,Assumptions!$B$36:$B$41,Assumptions!$B$36:$H$41))</f>
        <v>0</v>
      </c>
      <c r="KZN28">
        <f t="array" ref="KZN28">_xlfn.XLOOKUP(KZN$11,Assumptions!$B$35:$H$35,_xlfn.XLOOKUP($C28,Assumptions!$B$36:$B$41,Assumptions!$B$36:$H$41))</f>
        <v>0</v>
      </c>
      <c r="KZO28">
        <f t="array" ref="KZO28">_xlfn.XLOOKUP(KZO$11,Assumptions!$B$35:$H$35,_xlfn.XLOOKUP($C28,Assumptions!$B$36:$B$41,Assumptions!$B$36:$H$41))</f>
        <v>0</v>
      </c>
      <c r="KZP28">
        <f t="array" ref="KZP28">_xlfn.XLOOKUP(KZP$11,Assumptions!$B$35:$H$35,_xlfn.XLOOKUP($C28,Assumptions!$B$36:$B$41,Assumptions!$B$36:$H$41))</f>
        <v>0</v>
      </c>
      <c r="KZQ28">
        <f t="array" ref="KZQ28">_xlfn.XLOOKUP(KZQ$11,Assumptions!$B$35:$H$35,_xlfn.XLOOKUP($C28,Assumptions!$B$36:$B$41,Assumptions!$B$36:$H$41))</f>
        <v>0</v>
      </c>
      <c r="KZR28">
        <f t="array" ref="KZR28">_xlfn.XLOOKUP(KZR$11,Assumptions!$B$35:$H$35,_xlfn.XLOOKUP($C28,Assumptions!$B$36:$B$41,Assumptions!$B$36:$H$41))</f>
        <v>0</v>
      </c>
      <c r="KZS28">
        <f t="array" ref="KZS28">_xlfn.XLOOKUP(KZS$11,Assumptions!$B$35:$H$35,_xlfn.XLOOKUP($C28,Assumptions!$B$36:$B$41,Assumptions!$B$36:$H$41))</f>
        <v>0</v>
      </c>
      <c r="KZT28">
        <f t="array" ref="KZT28">_xlfn.XLOOKUP(KZT$11,Assumptions!$B$35:$H$35,_xlfn.XLOOKUP($C28,Assumptions!$B$36:$B$41,Assumptions!$B$36:$H$41))</f>
        <v>0</v>
      </c>
      <c r="KZU28">
        <f t="array" ref="KZU28">_xlfn.XLOOKUP(KZU$11,Assumptions!$B$35:$H$35,_xlfn.XLOOKUP($C28,Assumptions!$B$36:$B$41,Assumptions!$B$36:$H$41))</f>
        <v>0</v>
      </c>
      <c r="KZV28">
        <f t="array" ref="KZV28">_xlfn.XLOOKUP(KZV$11,Assumptions!$B$35:$H$35,_xlfn.XLOOKUP($C28,Assumptions!$B$36:$B$41,Assumptions!$B$36:$H$41))</f>
        <v>0</v>
      </c>
      <c r="KZW28">
        <f t="array" ref="KZW28">_xlfn.XLOOKUP(KZW$11,Assumptions!$B$35:$H$35,_xlfn.XLOOKUP($C28,Assumptions!$B$36:$B$41,Assumptions!$B$36:$H$41))</f>
        <v>0</v>
      </c>
      <c r="KZX28">
        <f t="array" ref="KZX28">_xlfn.XLOOKUP(KZX$11,Assumptions!$B$35:$H$35,_xlfn.XLOOKUP($C28,Assumptions!$B$36:$B$41,Assumptions!$B$36:$H$41))</f>
        <v>0</v>
      </c>
      <c r="KZY28">
        <f t="array" ref="KZY28">_xlfn.XLOOKUP(KZY$11,Assumptions!$B$35:$H$35,_xlfn.XLOOKUP($C28,Assumptions!$B$36:$B$41,Assumptions!$B$36:$H$41))</f>
        <v>0</v>
      </c>
      <c r="KZZ28">
        <f t="array" ref="KZZ28">_xlfn.XLOOKUP(KZZ$11,Assumptions!$B$35:$H$35,_xlfn.XLOOKUP($C28,Assumptions!$B$36:$B$41,Assumptions!$B$36:$H$41))</f>
        <v>0</v>
      </c>
      <c r="LAA28">
        <f t="array" ref="LAA28">_xlfn.XLOOKUP(LAA$11,Assumptions!$B$35:$H$35,_xlfn.XLOOKUP($C28,Assumptions!$B$36:$B$41,Assumptions!$B$36:$H$41))</f>
        <v>0</v>
      </c>
      <c r="LAB28">
        <f t="array" ref="LAB28">_xlfn.XLOOKUP(LAB$11,Assumptions!$B$35:$H$35,_xlfn.XLOOKUP($C28,Assumptions!$B$36:$B$41,Assumptions!$B$36:$H$41))</f>
        <v>0</v>
      </c>
      <c r="LAC28">
        <f t="array" ref="LAC28">_xlfn.XLOOKUP(LAC$11,Assumptions!$B$35:$H$35,_xlfn.XLOOKUP($C28,Assumptions!$B$36:$B$41,Assumptions!$B$36:$H$41))</f>
        <v>0</v>
      </c>
      <c r="LAD28">
        <f t="array" ref="LAD28">_xlfn.XLOOKUP(LAD$11,Assumptions!$B$35:$H$35,_xlfn.XLOOKUP($C28,Assumptions!$B$36:$B$41,Assumptions!$B$36:$H$41))</f>
        <v>0</v>
      </c>
      <c r="LAE28">
        <f t="array" ref="LAE28">_xlfn.XLOOKUP(LAE$11,Assumptions!$B$35:$H$35,_xlfn.XLOOKUP($C28,Assumptions!$B$36:$B$41,Assumptions!$B$36:$H$41))</f>
        <v>0</v>
      </c>
      <c r="LAF28">
        <f t="array" ref="LAF28">_xlfn.XLOOKUP(LAF$11,Assumptions!$B$35:$H$35,_xlfn.XLOOKUP($C28,Assumptions!$B$36:$B$41,Assumptions!$B$36:$H$41))</f>
        <v>0</v>
      </c>
      <c r="LAG28">
        <f t="array" ref="LAG28">_xlfn.XLOOKUP(LAG$11,Assumptions!$B$35:$H$35,_xlfn.XLOOKUP($C28,Assumptions!$B$36:$B$41,Assumptions!$B$36:$H$41))</f>
        <v>0</v>
      </c>
      <c r="LAH28">
        <f t="array" ref="LAH28">_xlfn.XLOOKUP(LAH$11,Assumptions!$B$35:$H$35,_xlfn.XLOOKUP($C28,Assumptions!$B$36:$B$41,Assumptions!$B$36:$H$41))</f>
        <v>0</v>
      </c>
      <c r="LAI28">
        <f t="array" ref="LAI28">_xlfn.XLOOKUP(LAI$11,Assumptions!$B$35:$H$35,_xlfn.XLOOKUP($C28,Assumptions!$B$36:$B$41,Assumptions!$B$36:$H$41))</f>
        <v>0</v>
      </c>
      <c r="LAJ28">
        <f t="array" ref="LAJ28">_xlfn.XLOOKUP(LAJ$11,Assumptions!$B$35:$H$35,_xlfn.XLOOKUP($C28,Assumptions!$B$36:$B$41,Assumptions!$B$36:$H$41))</f>
        <v>0</v>
      </c>
      <c r="LAK28">
        <f t="array" ref="LAK28">_xlfn.XLOOKUP(LAK$11,Assumptions!$B$35:$H$35,_xlfn.XLOOKUP($C28,Assumptions!$B$36:$B$41,Assumptions!$B$36:$H$41))</f>
        <v>0</v>
      </c>
      <c r="LAL28">
        <f t="array" ref="LAL28">_xlfn.XLOOKUP(LAL$11,Assumptions!$B$35:$H$35,_xlfn.XLOOKUP($C28,Assumptions!$B$36:$B$41,Assumptions!$B$36:$H$41))</f>
        <v>0</v>
      </c>
      <c r="LAM28">
        <f t="array" ref="LAM28">_xlfn.XLOOKUP(LAM$11,Assumptions!$B$35:$H$35,_xlfn.XLOOKUP($C28,Assumptions!$B$36:$B$41,Assumptions!$B$36:$H$41))</f>
        <v>0</v>
      </c>
      <c r="LAN28">
        <f t="array" ref="LAN28">_xlfn.XLOOKUP(LAN$11,Assumptions!$B$35:$H$35,_xlfn.XLOOKUP($C28,Assumptions!$B$36:$B$41,Assumptions!$B$36:$H$41))</f>
        <v>0</v>
      </c>
      <c r="LAO28">
        <f t="array" ref="LAO28">_xlfn.XLOOKUP(LAO$11,Assumptions!$B$35:$H$35,_xlfn.XLOOKUP($C28,Assumptions!$B$36:$B$41,Assumptions!$B$36:$H$41))</f>
        <v>0</v>
      </c>
      <c r="LAP28">
        <f t="array" ref="LAP28">_xlfn.XLOOKUP(LAP$11,Assumptions!$B$35:$H$35,_xlfn.XLOOKUP($C28,Assumptions!$B$36:$B$41,Assumptions!$B$36:$H$41))</f>
        <v>0</v>
      </c>
      <c r="LAQ28">
        <f t="array" ref="LAQ28">_xlfn.XLOOKUP(LAQ$11,Assumptions!$B$35:$H$35,_xlfn.XLOOKUP($C28,Assumptions!$B$36:$B$41,Assumptions!$B$36:$H$41))</f>
        <v>0</v>
      </c>
      <c r="LAR28">
        <f t="array" ref="LAR28">_xlfn.XLOOKUP(LAR$11,Assumptions!$B$35:$H$35,_xlfn.XLOOKUP($C28,Assumptions!$B$36:$B$41,Assumptions!$B$36:$H$41))</f>
        <v>0</v>
      </c>
      <c r="LAS28">
        <f t="array" ref="LAS28">_xlfn.XLOOKUP(LAS$11,Assumptions!$B$35:$H$35,_xlfn.XLOOKUP($C28,Assumptions!$B$36:$B$41,Assumptions!$B$36:$H$41))</f>
        <v>0</v>
      </c>
      <c r="LAT28">
        <f t="array" ref="LAT28">_xlfn.XLOOKUP(LAT$11,Assumptions!$B$35:$H$35,_xlfn.XLOOKUP($C28,Assumptions!$B$36:$B$41,Assumptions!$B$36:$H$41))</f>
        <v>0</v>
      </c>
      <c r="LAU28">
        <f t="array" ref="LAU28">_xlfn.XLOOKUP(LAU$11,Assumptions!$B$35:$H$35,_xlfn.XLOOKUP($C28,Assumptions!$B$36:$B$41,Assumptions!$B$36:$H$41))</f>
        <v>0</v>
      </c>
      <c r="LAV28">
        <f t="array" ref="LAV28">_xlfn.XLOOKUP(LAV$11,Assumptions!$B$35:$H$35,_xlfn.XLOOKUP($C28,Assumptions!$B$36:$B$41,Assumptions!$B$36:$H$41))</f>
        <v>0</v>
      </c>
      <c r="LAW28">
        <f t="array" ref="LAW28">_xlfn.XLOOKUP(LAW$11,Assumptions!$B$35:$H$35,_xlfn.XLOOKUP($C28,Assumptions!$B$36:$B$41,Assumptions!$B$36:$H$41))</f>
        <v>0</v>
      </c>
      <c r="LAX28">
        <f t="array" ref="LAX28">_xlfn.XLOOKUP(LAX$11,Assumptions!$B$35:$H$35,_xlfn.XLOOKUP($C28,Assumptions!$B$36:$B$41,Assumptions!$B$36:$H$41))</f>
        <v>0</v>
      </c>
      <c r="LAY28">
        <f t="array" ref="LAY28">_xlfn.XLOOKUP(LAY$11,Assumptions!$B$35:$H$35,_xlfn.XLOOKUP($C28,Assumptions!$B$36:$B$41,Assumptions!$B$36:$H$41))</f>
        <v>0</v>
      </c>
      <c r="LAZ28">
        <f t="array" ref="LAZ28">_xlfn.XLOOKUP(LAZ$11,Assumptions!$B$35:$H$35,_xlfn.XLOOKUP($C28,Assumptions!$B$36:$B$41,Assumptions!$B$36:$H$41))</f>
        <v>0</v>
      </c>
      <c r="LBA28">
        <f t="array" ref="LBA28">_xlfn.XLOOKUP(LBA$11,Assumptions!$B$35:$H$35,_xlfn.XLOOKUP($C28,Assumptions!$B$36:$B$41,Assumptions!$B$36:$H$41))</f>
        <v>0</v>
      </c>
      <c r="LBB28">
        <f t="array" ref="LBB28">_xlfn.XLOOKUP(LBB$11,Assumptions!$B$35:$H$35,_xlfn.XLOOKUP($C28,Assumptions!$B$36:$B$41,Assumptions!$B$36:$H$41))</f>
        <v>0</v>
      </c>
      <c r="LBC28">
        <f t="array" ref="LBC28">_xlfn.XLOOKUP(LBC$11,Assumptions!$B$35:$H$35,_xlfn.XLOOKUP($C28,Assumptions!$B$36:$B$41,Assumptions!$B$36:$H$41))</f>
        <v>0</v>
      </c>
      <c r="LBD28">
        <f t="array" ref="LBD28">_xlfn.XLOOKUP(LBD$11,Assumptions!$B$35:$H$35,_xlfn.XLOOKUP($C28,Assumptions!$B$36:$B$41,Assumptions!$B$36:$H$41))</f>
        <v>0</v>
      </c>
      <c r="LBE28">
        <f t="array" ref="LBE28">_xlfn.XLOOKUP(LBE$11,Assumptions!$B$35:$H$35,_xlfn.XLOOKUP($C28,Assumptions!$B$36:$B$41,Assumptions!$B$36:$H$41))</f>
        <v>0</v>
      </c>
      <c r="LBF28">
        <f t="array" ref="LBF28">_xlfn.XLOOKUP(LBF$11,Assumptions!$B$35:$H$35,_xlfn.XLOOKUP($C28,Assumptions!$B$36:$B$41,Assumptions!$B$36:$H$41))</f>
        <v>0</v>
      </c>
      <c r="LBG28">
        <f t="array" ref="LBG28">_xlfn.XLOOKUP(LBG$11,Assumptions!$B$35:$H$35,_xlfn.XLOOKUP($C28,Assumptions!$B$36:$B$41,Assumptions!$B$36:$H$41))</f>
        <v>0</v>
      </c>
      <c r="LBH28">
        <f t="array" ref="LBH28">_xlfn.XLOOKUP(LBH$11,Assumptions!$B$35:$H$35,_xlfn.XLOOKUP($C28,Assumptions!$B$36:$B$41,Assumptions!$B$36:$H$41))</f>
        <v>0</v>
      </c>
      <c r="LBI28">
        <f t="array" ref="LBI28">_xlfn.XLOOKUP(LBI$11,Assumptions!$B$35:$H$35,_xlfn.XLOOKUP($C28,Assumptions!$B$36:$B$41,Assumptions!$B$36:$H$41))</f>
        <v>0</v>
      </c>
      <c r="LBJ28">
        <f t="array" ref="LBJ28">_xlfn.XLOOKUP(LBJ$11,Assumptions!$B$35:$H$35,_xlfn.XLOOKUP($C28,Assumptions!$B$36:$B$41,Assumptions!$B$36:$H$41))</f>
        <v>0</v>
      </c>
      <c r="LBK28">
        <f t="array" ref="LBK28">_xlfn.XLOOKUP(LBK$11,Assumptions!$B$35:$H$35,_xlfn.XLOOKUP($C28,Assumptions!$B$36:$B$41,Assumptions!$B$36:$H$41))</f>
        <v>0</v>
      </c>
      <c r="LBL28">
        <f t="array" ref="LBL28">_xlfn.XLOOKUP(LBL$11,Assumptions!$B$35:$H$35,_xlfn.XLOOKUP($C28,Assumptions!$B$36:$B$41,Assumptions!$B$36:$H$41))</f>
        <v>0</v>
      </c>
      <c r="LBM28">
        <f t="array" ref="LBM28">_xlfn.XLOOKUP(LBM$11,Assumptions!$B$35:$H$35,_xlfn.XLOOKUP($C28,Assumptions!$B$36:$B$41,Assumptions!$B$36:$H$41))</f>
        <v>0</v>
      </c>
      <c r="LBN28">
        <f t="array" ref="LBN28">_xlfn.XLOOKUP(LBN$11,Assumptions!$B$35:$H$35,_xlfn.XLOOKUP($C28,Assumptions!$B$36:$B$41,Assumptions!$B$36:$H$41))</f>
        <v>0</v>
      </c>
      <c r="LBO28">
        <f t="array" ref="LBO28">_xlfn.XLOOKUP(LBO$11,Assumptions!$B$35:$H$35,_xlfn.XLOOKUP($C28,Assumptions!$B$36:$B$41,Assumptions!$B$36:$H$41))</f>
        <v>0</v>
      </c>
      <c r="LBP28">
        <f t="array" ref="LBP28">_xlfn.XLOOKUP(LBP$11,Assumptions!$B$35:$H$35,_xlfn.XLOOKUP($C28,Assumptions!$B$36:$B$41,Assumptions!$B$36:$H$41))</f>
        <v>0</v>
      </c>
      <c r="LBQ28">
        <f t="array" ref="LBQ28">_xlfn.XLOOKUP(LBQ$11,Assumptions!$B$35:$H$35,_xlfn.XLOOKUP($C28,Assumptions!$B$36:$B$41,Assumptions!$B$36:$H$41))</f>
        <v>0</v>
      </c>
      <c r="LBR28">
        <f t="array" ref="LBR28">_xlfn.XLOOKUP(LBR$11,Assumptions!$B$35:$H$35,_xlfn.XLOOKUP($C28,Assumptions!$B$36:$B$41,Assumptions!$B$36:$H$41))</f>
        <v>0</v>
      </c>
      <c r="LBS28">
        <f t="array" ref="LBS28">_xlfn.XLOOKUP(LBS$11,Assumptions!$B$35:$H$35,_xlfn.XLOOKUP($C28,Assumptions!$B$36:$B$41,Assumptions!$B$36:$H$41))</f>
        <v>0</v>
      </c>
      <c r="LBT28">
        <f t="array" ref="LBT28">_xlfn.XLOOKUP(LBT$11,Assumptions!$B$35:$H$35,_xlfn.XLOOKUP($C28,Assumptions!$B$36:$B$41,Assumptions!$B$36:$H$41))</f>
        <v>0</v>
      </c>
      <c r="LBU28">
        <f t="array" ref="LBU28">_xlfn.XLOOKUP(LBU$11,Assumptions!$B$35:$H$35,_xlfn.XLOOKUP($C28,Assumptions!$B$36:$B$41,Assumptions!$B$36:$H$41))</f>
        <v>0</v>
      </c>
      <c r="LBV28">
        <f t="array" ref="LBV28">_xlfn.XLOOKUP(LBV$11,Assumptions!$B$35:$H$35,_xlfn.XLOOKUP($C28,Assumptions!$B$36:$B$41,Assumptions!$B$36:$H$41))</f>
        <v>0</v>
      </c>
      <c r="LBW28">
        <f t="array" ref="LBW28">_xlfn.XLOOKUP(LBW$11,Assumptions!$B$35:$H$35,_xlfn.XLOOKUP($C28,Assumptions!$B$36:$B$41,Assumptions!$B$36:$H$41))</f>
        <v>0</v>
      </c>
      <c r="LBX28">
        <f t="array" ref="LBX28">_xlfn.XLOOKUP(LBX$11,Assumptions!$B$35:$H$35,_xlfn.XLOOKUP($C28,Assumptions!$B$36:$B$41,Assumptions!$B$36:$H$41))</f>
        <v>0</v>
      </c>
      <c r="LBY28">
        <f t="array" ref="LBY28">_xlfn.XLOOKUP(LBY$11,Assumptions!$B$35:$H$35,_xlfn.XLOOKUP($C28,Assumptions!$B$36:$B$41,Assumptions!$B$36:$H$41))</f>
        <v>0</v>
      </c>
      <c r="LBZ28">
        <f t="array" ref="LBZ28">_xlfn.XLOOKUP(LBZ$11,Assumptions!$B$35:$H$35,_xlfn.XLOOKUP($C28,Assumptions!$B$36:$B$41,Assumptions!$B$36:$H$41))</f>
        <v>0</v>
      </c>
      <c r="LCA28">
        <f t="array" ref="LCA28">_xlfn.XLOOKUP(LCA$11,Assumptions!$B$35:$H$35,_xlfn.XLOOKUP($C28,Assumptions!$B$36:$B$41,Assumptions!$B$36:$H$41))</f>
        <v>0</v>
      </c>
      <c r="LCB28">
        <f t="array" ref="LCB28">_xlfn.XLOOKUP(LCB$11,Assumptions!$B$35:$H$35,_xlfn.XLOOKUP($C28,Assumptions!$B$36:$B$41,Assumptions!$B$36:$H$41))</f>
        <v>0</v>
      </c>
      <c r="LCC28">
        <f t="array" ref="LCC28">_xlfn.XLOOKUP(LCC$11,Assumptions!$B$35:$H$35,_xlfn.XLOOKUP($C28,Assumptions!$B$36:$B$41,Assumptions!$B$36:$H$41))</f>
        <v>0</v>
      </c>
      <c r="LCD28">
        <f t="array" ref="LCD28">_xlfn.XLOOKUP(LCD$11,Assumptions!$B$35:$H$35,_xlfn.XLOOKUP($C28,Assumptions!$B$36:$B$41,Assumptions!$B$36:$H$41))</f>
        <v>0</v>
      </c>
      <c r="LCE28">
        <f t="array" ref="LCE28">_xlfn.XLOOKUP(LCE$11,Assumptions!$B$35:$H$35,_xlfn.XLOOKUP($C28,Assumptions!$B$36:$B$41,Assumptions!$B$36:$H$41))</f>
        <v>0</v>
      </c>
      <c r="LCF28">
        <f t="array" ref="LCF28">_xlfn.XLOOKUP(LCF$11,Assumptions!$B$35:$H$35,_xlfn.XLOOKUP($C28,Assumptions!$B$36:$B$41,Assumptions!$B$36:$H$41))</f>
        <v>0</v>
      </c>
      <c r="LCG28">
        <f t="array" ref="LCG28">_xlfn.XLOOKUP(LCG$11,Assumptions!$B$35:$H$35,_xlfn.XLOOKUP($C28,Assumptions!$B$36:$B$41,Assumptions!$B$36:$H$41))</f>
        <v>0</v>
      </c>
      <c r="LCH28">
        <f t="array" ref="LCH28">_xlfn.XLOOKUP(LCH$11,Assumptions!$B$35:$H$35,_xlfn.XLOOKUP($C28,Assumptions!$B$36:$B$41,Assumptions!$B$36:$H$41))</f>
        <v>0</v>
      </c>
      <c r="LCI28">
        <f t="array" ref="LCI28">_xlfn.XLOOKUP(LCI$11,Assumptions!$B$35:$H$35,_xlfn.XLOOKUP($C28,Assumptions!$B$36:$B$41,Assumptions!$B$36:$H$41))</f>
        <v>0</v>
      </c>
      <c r="LCJ28">
        <f t="array" ref="LCJ28">_xlfn.XLOOKUP(LCJ$11,Assumptions!$B$35:$H$35,_xlfn.XLOOKUP($C28,Assumptions!$B$36:$B$41,Assumptions!$B$36:$H$41))</f>
        <v>0</v>
      </c>
      <c r="LCK28">
        <f t="array" ref="LCK28">_xlfn.XLOOKUP(LCK$11,Assumptions!$B$35:$H$35,_xlfn.XLOOKUP($C28,Assumptions!$B$36:$B$41,Assumptions!$B$36:$H$41))</f>
        <v>0</v>
      </c>
      <c r="LCL28">
        <f t="array" ref="LCL28">_xlfn.XLOOKUP(LCL$11,Assumptions!$B$35:$H$35,_xlfn.XLOOKUP($C28,Assumptions!$B$36:$B$41,Assumptions!$B$36:$H$41))</f>
        <v>0</v>
      </c>
      <c r="LCM28">
        <f t="array" ref="LCM28">_xlfn.XLOOKUP(LCM$11,Assumptions!$B$35:$H$35,_xlfn.XLOOKUP($C28,Assumptions!$B$36:$B$41,Assumptions!$B$36:$H$41))</f>
        <v>0</v>
      </c>
      <c r="LCN28">
        <f t="array" ref="LCN28">_xlfn.XLOOKUP(LCN$11,Assumptions!$B$35:$H$35,_xlfn.XLOOKUP($C28,Assumptions!$B$36:$B$41,Assumptions!$B$36:$H$41))</f>
        <v>0</v>
      </c>
      <c r="LCO28">
        <f t="array" ref="LCO28">_xlfn.XLOOKUP(LCO$11,Assumptions!$B$35:$H$35,_xlfn.XLOOKUP($C28,Assumptions!$B$36:$B$41,Assumptions!$B$36:$H$41))</f>
        <v>0</v>
      </c>
      <c r="LCP28">
        <f t="array" ref="LCP28">_xlfn.XLOOKUP(LCP$11,Assumptions!$B$35:$H$35,_xlfn.XLOOKUP($C28,Assumptions!$B$36:$B$41,Assumptions!$B$36:$H$41))</f>
        <v>0</v>
      </c>
      <c r="LCQ28">
        <f t="array" ref="LCQ28">_xlfn.XLOOKUP(LCQ$11,Assumptions!$B$35:$H$35,_xlfn.XLOOKUP($C28,Assumptions!$B$36:$B$41,Assumptions!$B$36:$H$41))</f>
        <v>0</v>
      </c>
      <c r="LCR28">
        <f t="array" ref="LCR28">_xlfn.XLOOKUP(LCR$11,Assumptions!$B$35:$H$35,_xlfn.XLOOKUP($C28,Assumptions!$B$36:$B$41,Assumptions!$B$36:$H$41))</f>
        <v>0</v>
      </c>
      <c r="LCS28">
        <f t="array" ref="LCS28">_xlfn.XLOOKUP(LCS$11,Assumptions!$B$35:$H$35,_xlfn.XLOOKUP($C28,Assumptions!$B$36:$B$41,Assumptions!$B$36:$H$41))</f>
        <v>0</v>
      </c>
      <c r="LCT28">
        <f t="array" ref="LCT28">_xlfn.XLOOKUP(LCT$11,Assumptions!$B$35:$H$35,_xlfn.XLOOKUP($C28,Assumptions!$B$36:$B$41,Assumptions!$B$36:$H$41))</f>
        <v>0</v>
      </c>
      <c r="LCU28">
        <f t="array" ref="LCU28">_xlfn.XLOOKUP(LCU$11,Assumptions!$B$35:$H$35,_xlfn.XLOOKUP($C28,Assumptions!$B$36:$B$41,Assumptions!$B$36:$H$41))</f>
        <v>0</v>
      </c>
      <c r="LCV28">
        <f t="array" ref="LCV28">_xlfn.XLOOKUP(LCV$11,Assumptions!$B$35:$H$35,_xlfn.XLOOKUP($C28,Assumptions!$B$36:$B$41,Assumptions!$B$36:$H$41))</f>
        <v>0</v>
      </c>
      <c r="LCW28">
        <f t="array" ref="LCW28">_xlfn.XLOOKUP(LCW$11,Assumptions!$B$35:$H$35,_xlfn.XLOOKUP($C28,Assumptions!$B$36:$B$41,Assumptions!$B$36:$H$41))</f>
        <v>0</v>
      </c>
      <c r="LCX28">
        <f t="array" ref="LCX28">_xlfn.XLOOKUP(LCX$11,Assumptions!$B$35:$H$35,_xlfn.XLOOKUP($C28,Assumptions!$B$36:$B$41,Assumptions!$B$36:$H$41))</f>
        <v>0</v>
      </c>
      <c r="LCY28">
        <f t="array" ref="LCY28">_xlfn.XLOOKUP(LCY$11,Assumptions!$B$35:$H$35,_xlfn.XLOOKUP($C28,Assumptions!$B$36:$B$41,Assumptions!$B$36:$H$41))</f>
        <v>0</v>
      </c>
      <c r="LCZ28">
        <f t="array" ref="LCZ28">_xlfn.XLOOKUP(LCZ$11,Assumptions!$B$35:$H$35,_xlfn.XLOOKUP($C28,Assumptions!$B$36:$B$41,Assumptions!$B$36:$H$41))</f>
        <v>0</v>
      </c>
      <c r="LDA28">
        <f t="array" ref="LDA28">_xlfn.XLOOKUP(LDA$11,Assumptions!$B$35:$H$35,_xlfn.XLOOKUP($C28,Assumptions!$B$36:$B$41,Assumptions!$B$36:$H$41))</f>
        <v>0</v>
      </c>
      <c r="LDB28">
        <f t="array" ref="LDB28">_xlfn.XLOOKUP(LDB$11,Assumptions!$B$35:$H$35,_xlfn.XLOOKUP($C28,Assumptions!$B$36:$B$41,Assumptions!$B$36:$H$41))</f>
        <v>0</v>
      </c>
      <c r="LDC28">
        <f t="array" ref="LDC28">_xlfn.XLOOKUP(LDC$11,Assumptions!$B$35:$H$35,_xlfn.XLOOKUP($C28,Assumptions!$B$36:$B$41,Assumptions!$B$36:$H$41))</f>
        <v>0</v>
      </c>
      <c r="LDD28">
        <f t="array" ref="LDD28">_xlfn.XLOOKUP(LDD$11,Assumptions!$B$35:$H$35,_xlfn.XLOOKUP($C28,Assumptions!$B$36:$B$41,Assumptions!$B$36:$H$41))</f>
        <v>0</v>
      </c>
      <c r="LDE28">
        <f t="array" ref="LDE28">_xlfn.XLOOKUP(LDE$11,Assumptions!$B$35:$H$35,_xlfn.XLOOKUP($C28,Assumptions!$B$36:$B$41,Assumptions!$B$36:$H$41))</f>
        <v>0</v>
      </c>
      <c r="LDF28">
        <f t="array" ref="LDF28">_xlfn.XLOOKUP(LDF$11,Assumptions!$B$35:$H$35,_xlfn.XLOOKUP($C28,Assumptions!$B$36:$B$41,Assumptions!$B$36:$H$41))</f>
        <v>0</v>
      </c>
      <c r="LDG28">
        <f t="array" ref="LDG28">_xlfn.XLOOKUP(LDG$11,Assumptions!$B$35:$H$35,_xlfn.XLOOKUP($C28,Assumptions!$B$36:$B$41,Assumptions!$B$36:$H$41))</f>
        <v>0</v>
      </c>
      <c r="LDH28">
        <f t="array" ref="LDH28">_xlfn.XLOOKUP(LDH$11,Assumptions!$B$35:$H$35,_xlfn.XLOOKUP($C28,Assumptions!$B$36:$B$41,Assumptions!$B$36:$H$41))</f>
        <v>0</v>
      </c>
      <c r="LDI28">
        <f t="array" ref="LDI28">_xlfn.XLOOKUP(LDI$11,Assumptions!$B$35:$H$35,_xlfn.XLOOKUP($C28,Assumptions!$B$36:$B$41,Assumptions!$B$36:$H$41))</f>
        <v>0</v>
      </c>
      <c r="LDJ28">
        <f t="array" ref="LDJ28">_xlfn.XLOOKUP(LDJ$11,Assumptions!$B$35:$H$35,_xlfn.XLOOKUP($C28,Assumptions!$B$36:$B$41,Assumptions!$B$36:$H$41))</f>
        <v>0</v>
      </c>
      <c r="LDK28">
        <f t="array" ref="LDK28">_xlfn.XLOOKUP(LDK$11,Assumptions!$B$35:$H$35,_xlfn.XLOOKUP($C28,Assumptions!$B$36:$B$41,Assumptions!$B$36:$H$41))</f>
        <v>0</v>
      </c>
      <c r="LDL28">
        <f t="array" ref="LDL28">_xlfn.XLOOKUP(LDL$11,Assumptions!$B$35:$H$35,_xlfn.XLOOKUP($C28,Assumptions!$B$36:$B$41,Assumptions!$B$36:$H$41))</f>
        <v>0</v>
      </c>
      <c r="LDM28">
        <f t="array" ref="LDM28">_xlfn.XLOOKUP(LDM$11,Assumptions!$B$35:$H$35,_xlfn.XLOOKUP($C28,Assumptions!$B$36:$B$41,Assumptions!$B$36:$H$41))</f>
        <v>0</v>
      </c>
      <c r="LDN28">
        <f t="array" ref="LDN28">_xlfn.XLOOKUP(LDN$11,Assumptions!$B$35:$H$35,_xlfn.XLOOKUP($C28,Assumptions!$B$36:$B$41,Assumptions!$B$36:$H$41))</f>
        <v>0</v>
      </c>
      <c r="LDO28">
        <f t="array" ref="LDO28">_xlfn.XLOOKUP(LDO$11,Assumptions!$B$35:$H$35,_xlfn.XLOOKUP($C28,Assumptions!$B$36:$B$41,Assumptions!$B$36:$H$41))</f>
        <v>0</v>
      </c>
      <c r="LDP28">
        <f t="array" ref="LDP28">_xlfn.XLOOKUP(LDP$11,Assumptions!$B$35:$H$35,_xlfn.XLOOKUP($C28,Assumptions!$B$36:$B$41,Assumptions!$B$36:$H$41))</f>
        <v>0</v>
      </c>
      <c r="LDQ28">
        <f t="array" ref="LDQ28">_xlfn.XLOOKUP(LDQ$11,Assumptions!$B$35:$H$35,_xlfn.XLOOKUP($C28,Assumptions!$B$36:$B$41,Assumptions!$B$36:$H$41))</f>
        <v>0</v>
      </c>
      <c r="LDR28">
        <f t="array" ref="LDR28">_xlfn.XLOOKUP(LDR$11,Assumptions!$B$35:$H$35,_xlfn.XLOOKUP($C28,Assumptions!$B$36:$B$41,Assumptions!$B$36:$H$41))</f>
        <v>0</v>
      </c>
      <c r="LDS28">
        <f t="array" ref="LDS28">_xlfn.XLOOKUP(LDS$11,Assumptions!$B$35:$H$35,_xlfn.XLOOKUP($C28,Assumptions!$B$36:$B$41,Assumptions!$B$36:$H$41))</f>
        <v>0</v>
      </c>
      <c r="LDT28">
        <f t="array" ref="LDT28">_xlfn.XLOOKUP(LDT$11,Assumptions!$B$35:$H$35,_xlfn.XLOOKUP($C28,Assumptions!$B$36:$B$41,Assumptions!$B$36:$H$41))</f>
        <v>0</v>
      </c>
      <c r="LDU28">
        <f t="array" ref="LDU28">_xlfn.XLOOKUP(LDU$11,Assumptions!$B$35:$H$35,_xlfn.XLOOKUP($C28,Assumptions!$B$36:$B$41,Assumptions!$B$36:$H$41))</f>
        <v>0</v>
      </c>
      <c r="LDV28">
        <f t="array" ref="LDV28">_xlfn.XLOOKUP(LDV$11,Assumptions!$B$35:$H$35,_xlfn.XLOOKUP($C28,Assumptions!$B$36:$B$41,Assumptions!$B$36:$H$41))</f>
        <v>0</v>
      </c>
      <c r="LDW28">
        <f t="array" ref="LDW28">_xlfn.XLOOKUP(LDW$11,Assumptions!$B$35:$H$35,_xlfn.XLOOKUP($C28,Assumptions!$B$36:$B$41,Assumptions!$B$36:$H$41))</f>
        <v>0</v>
      </c>
      <c r="LDX28">
        <f t="array" ref="LDX28">_xlfn.XLOOKUP(LDX$11,Assumptions!$B$35:$H$35,_xlfn.XLOOKUP($C28,Assumptions!$B$36:$B$41,Assumptions!$B$36:$H$41))</f>
        <v>0</v>
      </c>
      <c r="LDY28">
        <f t="array" ref="LDY28">_xlfn.XLOOKUP(LDY$11,Assumptions!$B$35:$H$35,_xlfn.XLOOKUP($C28,Assumptions!$B$36:$B$41,Assumptions!$B$36:$H$41))</f>
        <v>0</v>
      </c>
      <c r="LDZ28">
        <f t="array" ref="LDZ28">_xlfn.XLOOKUP(LDZ$11,Assumptions!$B$35:$H$35,_xlfn.XLOOKUP($C28,Assumptions!$B$36:$B$41,Assumptions!$B$36:$H$41))</f>
        <v>0</v>
      </c>
      <c r="LEA28">
        <f t="array" ref="LEA28">_xlfn.XLOOKUP(LEA$11,Assumptions!$B$35:$H$35,_xlfn.XLOOKUP($C28,Assumptions!$B$36:$B$41,Assumptions!$B$36:$H$41))</f>
        <v>0</v>
      </c>
      <c r="LEB28">
        <f t="array" ref="LEB28">_xlfn.XLOOKUP(LEB$11,Assumptions!$B$35:$H$35,_xlfn.XLOOKUP($C28,Assumptions!$B$36:$B$41,Assumptions!$B$36:$H$41))</f>
        <v>0</v>
      </c>
      <c r="LEC28">
        <f t="array" ref="LEC28">_xlfn.XLOOKUP(LEC$11,Assumptions!$B$35:$H$35,_xlfn.XLOOKUP($C28,Assumptions!$B$36:$B$41,Assumptions!$B$36:$H$41))</f>
        <v>0</v>
      </c>
      <c r="LED28">
        <f t="array" ref="LED28">_xlfn.XLOOKUP(LED$11,Assumptions!$B$35:$H$35,_xlfn.XLOOKUP($C28,Assumptions!$B$36:$B$41,Assumptions!$B$36:$H$41))</f>
        <v>0</v>
      </c>
      <c r="LEE28">
        <f t="array" ref="LEE28">_xlfn.XLOOKUP(LEE$11,Assumptions!$B$35:$H$35,_xlfn.XLOOKUP($C28,Assumptions!$B$36:$B$41,Assumptions!$B$36:$H$41))</f>
        <v>0</v>
      </c>
      <c r="LEF28">
        <f t="array" ref="LEF28">_xlfn.XLOOKUP(LEF$11,Assumptions!$B$35:$H$35,_xlfn.XLOOKUP($C28,Assumptions!$B$36:$B$41,Assumptions!$B$36:$H$41))</f>
        <v>0</v>
      </c>
      <c r="LEG28">
        <f t="array" ref="LEG28">_xlfn.XLOOKUP(LEG$11,Assumptions!$B$35:$H$35,_xlfn.XLOOKUP($C28,Assumptions!$B$36:$B$41,Assumptions!$B$36:$H$41))</f>
        <v>0</v>
      </c>
      <c r="LEH28">
        <f t="array" ref="LEH28">_xlfn.XLOOKUP(LEH$11,Assumptions!$B$35:$H$35,_xlfn.XLOOKUP($C28,Assumptions!$B$36:$B$41,Assumptions!$B$36:$H$41))</f>
        <v>0</v>
      </c>
      <c r="LEI28">
        <f t="array" ref="LEI28">_xlfn.XLOOKUP(LEI$11,Assumptions!$B$35:$H$35,_xlfn.XLOOKUP($C28,Assumptions!$B$36:$B$41,Assumptions!$B$36:$H$41))</f>
        <v>0</v>
      </c>
      <c r="LEJ28">
        <f t="array" ref="LEJ28">_xlfn.XLOOKUP(LEJ$11,Assumptions!$B$35:$H$35,_xlfn.XLOOKUP($C28,Assumptions!$B$36:$B$41,Assumptions!$B$36:$H$41))</f>
        <v>0</v>
      </c>
      <c r="LEK28">
        <f t="array" ref="LEK28">_xlfn.XLOOKUP(LEK$11,Assumptions!$B$35:$H$35,_xlfn.XLOOKUP($C28,Assumptions!$B$36:$B$41,Assumptions!$B$36:$H$41))</f>
        <v>0</v>
      </c>
      <c r="LEL28">
        <f t="array" ref="LEL28">_xlfn.XLOOKUP(LEL$11,Assumptions!$B$35:$H$35,_xlfn.XLOOKUP($C28,Assumptions!$B$36:$B$41,Assumptions!$B$36:$H$41))</f>
        <v>0</v>
      </c>
      <c r="LEM28">
        <f t="array" ref="LEM28">_xlfn.XLOOKUP(LEM$11,Assumptions!$B$35:$H$35,_xlfn.XLOOKUP($C28,Assumptions!$B$36:$B$41,Assumptions!$B$36:$H$41))</f>
        <v>0</v>
      </c>
      <c r="LEN28">
        <f t="array" ref="LEN28">_xlfn.XLOOKUP(LEN$11,Assumptions!$B$35:$H$35,_xlfn.XLOOKUP($C28,Assumptions!$B$36:$B$41,Assumptions!$B$36:$H$41))</f>
        <v>0</v>
      </c>
      <c r="LEO28">
        <f t="array" ref="LEO28">_xlfn.XLOOKUP(LEO$11,Assumptions!$B$35:$H$35,_xlfn.XLOOKUP($C28,Assumptions!$B$36:$B$41,Assumptions!$B$36:$H$41))</f>
        <v>0</v>
      </c>
      <c r="LEP28">
        <f t="array" ref="LEP28">_xlfn.XLOOKUP(LEP$11,Assumptions!$B$35:$H$35,_xlfn.XLOOKUP($C28,Assumptions!$B$36:$B$41,Assumptions!$B$36:$H$41))</f>
        <v>0</v>
      </c>
      <c r="LEQ28">
        <f t="array" ref="LEQ28">_xlfn.XLOOKUP(LEQ$11,Assumptions!$B$35:$H$35,_xlfn.XLOOKUP($C28,Assumptions!$B$36:$B$41,Assumptions!$B$36:$H$41))</f>
        <v>0</v>
      </c>
      <c r="LER28">
        <f t="array" ref="LER28">_xlfn.XLOOKUP(LER$11,Assumptions!$B$35:$H$35,_xlfn.XLOOKUP($C28,Assumptions!$B$36:$B$41,Assumptions!$B$36:$H$41))</f>
        <v>0</v>
      </c>
      <c r="LES28">
        <f t="array" ref="LES28">_xlfn.XLOOKUP(LES$11,Assumptions!$B$35:$H$35,_xlfn.XLOOKUP($C28,Assumptions!$B$36:$B$41,Assumptions!$B$36:$H$41))</f>
        <v>0</v>
      </c>
      <c r="LET28">
        <f t="array" ref="LET28">_xlfn.XLOOKUP(LET$11,Assumptions!$B$35:$H$35,_xlfn.XLOOKUP($C28,Assumptions!$B$36:$B$41,Assumptions!$B$36:$H$41))</f>
        <v>0</v>
      </c>
      <c r="LEU28">
        <f t="array" ref="LEU28">_xlfn.XLOOKUP(LEU$11,Assumptions!$B$35:$H$35,_xlfn.XLOOKUP($C28,Assumptions!$B$36:$B$41,Assumptions!$B$36:$H$41))</f>
        <v>0</v>
      </c>
      <c r="LEV28">
        <f t="array" ref="LEV28">_xlfn.XLOOKUP(LEV$11,Assumptions!$B$35:$H$35,_xlfn.XLOOKUP($C28,Assumptions!$B$36:$B$41,Assumptions!$B$36:$H$41))</f>
        <v>0</v>
      </c>
      <c r="LEW28">
        <f t="array" ref="LEW28">_xlfn.XLOOKUP(LEW$11,Assumptions!$B$35:$H$35,_xlfn.XLOOKUP($C28,Assumptions!$B$36:$B$41,Assumptions!$B$36:$H$41))</f>
        <v>0</v>
      </c>
      <c r="LEX28">
        <f t="array" ref="LEX28">_xlfn.XLOOKUP(LEX$11,Assumptions!$B$35:$H$35,_xlfn.XLOOKUP($C28,Assumptions!$B$36:$B$41,Assumptions!$B$36:$H$41))</f>
        <v>0</v>
      </c>
      <c r="LEY28">
        <f t="array" ref="LEY28">_xlfn.XLOOKUP(LEY$11,Assumptions!$B$35:$H$35,_xlfn.XLOOKUP($C28,Assumptions!$B$36:$B$41,Assumptions!$B$36:$H$41))</f>
        <v>0</v>
      </c>
      <c r="LEZ28">
        <f t="array" ref="LEZ28">_xlfn.XLOOKUP(LEZ$11,Assumptions!$B$35:$H$35,_xlfn.XLOOKUP($C28,Assumptions!$B$36:$B$41,Assumptions!$B$36:$H$41))</f>
        <v>0</v>
      </c>
      <c r="LFA28">
        <f t="array" ref="LFA28">_xlfn.XLOOKUP(LFA$11,Assumptions!$B$35:$H$35,_xlfn.XLOOKUP($C28,Assumptions!$B$36:$B$41,Assumptions!$B$36:$H$41))</f>
        <v>0</v>
      </c>
      <c r="LFB28">
        <f t="array" ref="LFB28">_xlfn.XLOOKUP(LFB$11,Assumptions!$B$35:$H$35,_xlfn.XLOOKUP($C28,Assumptions!$B$36:$B$41,Assumptions!$B$36:$H$41))</f>
        <v>0</v>
      </c>
      <c r="LFC28">
        <f t="array" ref="LFC28">_xlfn.XLOOKUP(LFC$11,Assumptions!$B$35:$H$35,_xlfn.XLOOKUP($C28,Assumptions!$B$36:$B$41,Assumptions!$B$36:$H$41))</f>
        <v>0</v>
      </c>
      <c r="LFD28">
        <f t="array" ref="LFD28">_xlfn.XLOOKUP(LFD$11,Assumptions!$B$35:$H$35,_xlfn.XLOOKUP($C28,Assumptions!$B$36:$B$41,Assumptions!$B$36:$H$41))</f>
        <v>0</v>
      </c>
      <c r="LFE28">
        <f t="array" ref="LFE28">_xlfn.XLOOKUP(LFE$11,Assumptions!$B$35:$H$35,_xlfn.XLOOKUP($C28,Assumptions!$B$36:$B$41,Assumptions!$B$36:$H$41))</f>
        <v>0</v>
      </c>
      <c r="LFF28">
        <f t="array" ref="LFF28">_xlfn.XLOOKUP(LFF$11,Assumptions!$B$35:$H$35,_xlfn.XLOOKUP($C28,Assumptions!$B$36:$B$41,Assumptions!$B$36:$H$41))</f>
        <v>0</v>
      </c>
      <c r="LFG28">
        <f t="array" ref="LFG28">_xlfn.XLOOKUP(LFG$11,Assumptions!$B$35:$H$35,_xlfn.XLOOKUP($C28,Assumptions!$B$36:$B$41,Assumptions!$B$36:$H$41))</f>
        <v>0</v>
      </c>
      <c r="LFH28">
        <f t="array" ref="LFH28">_xlfn.XLOOKUP(LFH$11,Assumptions!$B$35:$H$35,_xlfn.XLOOKUP($C28,Assumptions!$B$36:$B$41,Assumptions!$B$36:$H$41))</f>
        <v>0</v>
      </c>
      <c r="LFI28">
        <f t="array" ref="LFI28">_xlfn.XLOOKUP(LFI$11,Assumptions!$B$35:$H$35,_xlfn.XLOOKUP($C28,Assumptions!$B$36:$B$41,Assumptions!$B$36:$H$41))</f>
        <v>0</v>
      </c>
      <c r="LFJ28">
        <f t="array" ref="LFJ28">_xlfn.XLOOKUP(LFJ$11,Assumptions!$B$35:$H$35,_xlfn.XLOOKUP($C28,Assumptions!$B$36:$B$41,Assumptions!$B$36:$H$41))</f>
        <v>0</v>
      </c>
      <c r="LFK28">
        <f t="array" ref="LFK28">_xlfn.XLOOKUP(LFK$11,Assumptions!$B$35:$H$35,_xlfn.XLOOKUP($C28,Assumptions!$B$36:$B$41,Assumptions!$B$36:$H$41))</f>
        <v>0</v>
      </c>
      <c r="LFL28">
        <f t="array" ref="LFL28">_xlfn.XLOOKUP(LFL$11,Assumptions!$B$35:$H$35,_xlfn.XLOOKUP($C28,Assumptions!$B$36:$B$41,Assumptions!$B$36:$H$41))</f>
        <v>0</v>
      </c>
      <c r="LFM28">
        <f t="array" ref="LFM28">_xlfn.XLOOKUP(LFM$11,Assumptions!$B$35:$H$35,_xlfn.XLOOKUP($C28,Assumptions!$B$36:$B$41,Assumptions!$B$36:$H$41))</f>
        <v>0</v>
      </c>
      <c r="LFN28">
        <f t="array" ref="LFN28">_xlfn.XLOOKUP(LFN$11,Assumptions!$B$35:$H$35,_xlfn.XLOOKUP($C28,Assumptions!$B$36:$B$41,Assumptions!$B$36:$H$41))</f>
        <v>0</v>
      </c>
      <c r="LFO28">
        <f t="array" ref="LFO28">_xlfn.XLOOKUP(LFO$11,Assumptions!$B$35:$H$35,_xlfn.XLOOKUP($C28,Assumptions!$B$36:$B$41,Assumptions!$B$36:$H$41))</f>
        <v>0</v>
      </c>
      <c r="LFP28">
        <f t="array" ref="LFP28">_xlfn.XLOOKUP(LFP$11,Assumptions!$B$35:$H$35,_xlfn.XLOOKUP($C28,Assumptions!$B$36:$B$41,Assumptions!$B$36:$H$41))</f>
        <v>0</v>
      </c>
      <c r="LFQ28">
        <f t="array" ref="LFQ28">_xlfn.XLOOKUP(LFQ$11,Assumptions!$B$35:$H$35,_xlfn.XLOOKUP($C28,Assumptions!$B$36:$B$41,Assumptions!$B$36:$H$41))</f>
        <v>0</v>
      </c>
      <c r="LFR28">
        <f t="array" ref="LFR28">_xlfn.XLOOKUP(LFR$11,Assumptions!$B$35:$H$35,_xlfn.XLOOKUP($C28,Assumptions!$B$36:$B$41,Assumptions!$B$36:$H$41))</f>
        <v>0</v>
      </c>
      <c r="LFS28">
        <f t="array" ref="LFS28">_xlfn.XLOOKUP(LFS$11,Assumptions!$B$35:$H$35,_xlfn.XLOOKUP($C28,Assumptions!$B$36:$B$41,Assumptions!$B$36:$H$41))</f>
        <v>0</v>
      </c>
      <c r="LFT28">
        <f t="array" ref="LFT28">_xlfn.XLOOKUP(LFT$11,Assumptions!$B$35:$H$35,_xlfn.XLOOKUP($C28,Assumptions!$B$36:$B$41,Assumptions!$B$36:$H$41))</f>
        <v>0</v>
      </c>
      <c r="LFU28">
        <f t="array" ref="LFU28">_xlfn.XLOOKUP(LFU$11,Assumptions!$B$35:$H$35,_xlfn.XLOOKUP($C28,Assumptions!$B$36:$B$41,Assumptions!$B$36:$H$41))</f>
        <v>0</v>
      </c>
      <c r="LFV28">
        <f t="array" ref="LFV28">_xlfn.XLOOKUP(LFV$11,Assumptions!$B$35:$H$35,_xlfn.XLOOKUP($C28,Assumptions!$B$36:$B$41,Assumptions!$B$36:$H$41))</f>
        <v>0</v>
      </c>
      <c r="LFW28">
        <f t="array" ref="LFW28">_xlfn.XLOOKUP(LFW$11,Assumptions!$B$35:$H$35,_xlfn.XLOOKUP($C28,Assumptions!$B$36:$B$41,Assumptions!$B$36:$H$41))</f>
        <v>0</v>
      </c>
      <c r="LFX28">
        <f t="array" ref="LFX28">_xlfn.XLOOKUP(LFX$11,Assumptions!$B$35:$H$35,_xlfn.XLOOKUP($C28,Assumptions!$B$36:$B$41,Assumptions!$B$36:$H$41))</f>
        <v>0</v>
      </c>
      <c r="LFY28">
        <f t="array" ref="LFY28">_xlfn.XLOOKUP(LFY$11,Assumptions!$B$35:$H$35,_xlfn.XLOOKUP($C28,Assumptions!$B$36:$B$41,Assumptions!$B$36:$H$41))</f>
        <v>0</v>
      </c>
      <c r="LFZ28">
        <f t="array" ref="LFZ28">_xlfn.XLOOKUP(LFZ$11,Assumptions!$B$35:$H$35,_xlfn.XLOOKUP($C28,Assumptions!$B$36:$B$41,Assumptions!$B$36:$H$41))</f>
        <v>0</v>
      </c>
      <c r="LGA28">
        <f t="array" ref="LGA28">_xlfn.XLOOKUP(LGA$11,Assumptions!$B$35:$H$35,_xlfn.XLOOKUP($C28,Assumptions!$B$36:$B$41,Assumptions!$B$36:$H$41))</f>
        <v>0</v>
      </c>
      <c r="LGB28">
        <f t="array" ref="LGB28">_xlfn.XLOOKUP(LGB$11,Assumptions!$B$35:$H$35,_xlfn.XLOOKUP($C28,Assumptions!$B$36:$B$41,Assumptions!$B$36:$H$41))</f>
        <v>0</v>
      </c>
      <c r="LGC28">
        <f t="array" ref="LGC28">_xlfn.XLOOKUP(LGC$11,Assumptions!$B$35:$H$35,_xlfn.XLOOKUP($C28,Assumptions!$B$36:$B$41,Assumptions!$B$36:$H$41))</f>
        <v>0</v>
      </c>
      <c r="LGD28">
        <f t="array" ref="LGD28">_xlfn.XLOOKUP(LGD$11,Assumptions!$B$35:$H$35,_xlfn.XLOOKUP($C28,Assumptions!$B$36:$B$41,Assumptions!$B$36:$H$41))</f>
        <v>0</v>
      </c>
      <c r="LGE28">
        <f t="array" ref="LGE28">_xlfn.XLOOKUP(LGE$11,Assumptions!$B$35:$H$35,_xlfn.XLOOKUP($C28,Assumptions!$B$36:$B$41,Assumptions!$B$36:$H$41))</f>
        <v>0</v>
      </c>
      <c r="LGF28">
        <f t="array" ref="LGF28">_xlfn.XLOOKUP(LGF$11,Assumptions!$B$35:$H$35,_xlfn.XLOOKUP($C28,Assumptions!$B$36:$B$41,Assumptions!$B$36:$H$41))</f>
        <v>0</v>
      </c>
      <c r="LGG28">
        <f t="array" ref="LGG28">_xlfn.XLOOKUP(LGG$11,Assumptions!$B$35:$H$35,_xlfn.XLOOKUP($C28,Assumptions!$B$36:$B$41,Assumptions!$B$36:$H$41))</f>
        <v>0</v>
      </c>
      <c r="LGH28">
        <f t="array" ref="LGH28">_xlfn.XLOOKUP(LGH$11,Assumptions!$B$35:$H$35,_xlfn.XLOOKUP($C28,Assumptions!$B$36:$B$41,Assumptions!$B$36:$H$41))</f>
        <v>0</v>
      </c>
      <c r="LGI28">
        <f t="array" ref="LGI28">_xlfn.XLOOKUP(LGI$11,Assumptions!$B$35:$H$35,_xlfn.XLOOKUP($C28,Assumptions!$B$36:$B$41,Assumptions!$B$36:$H$41))</f>
        <v>0</v>
      </c>
      <c r="LGJ28">
        <f t="array" ref="LGJ28">_xlfn.XLOOKUP(LGJ$11,Assumptions!$B$35:$H$35,_xlfn.XLOOKUP($C28,Assumptions!$B$36:$B$41,Assumptions!$B$36:$H$41))</f>
        <v>0</v>
      </c>
      <c r="LGK28">
        <f t="array" ref="LGK28">_xlfn.XLOOKUP(LGK$11,Assumptions!$B$35:$H$35,_xlfn.XLOOKUP($C28,Assumptions!$B$36:$B$41,Assumptions!$B$36:$H$41))</f>
        <v>0</v>
      </c>
      <c r="LGL28">
        <f t="array" ref="LGL28">_xlfn.XLOOKUP(LGL$11,Assumptions!$B$35:$H$35,_xlfn.XLOOKUP($C28,Assumptions!$B$36:$B$41,Assumptions!$B$36:$H$41))</f>
        <v>0</v>
      </c>
      <c r="LGM28">
        <f t="array" ref="LGM28">_xlfn.XLOOKUP(LGM$11,Assumptions!$B$35:$H$35,_xlfn.XLOOKUP($C28,Assumptions!$B$36:$B$41,Assumptions!$B$36:$H$41))</f>
        <v>0</v>
      </c>
      <c r="LGN28">
        <f t="array" ref="LGN28">_xlfn.XLOOKUP(LGN$11,Assumptions!$B$35:$H$35,_xlfn.XLOOKUP($C28,Assumptions!$B$36:$B$41,Assumptions!$B$36:$H$41))</f>
        <v>0</v>
      </c>
      <c r="LGO28">
        <f t="array" ref="LGO28">_xlfn.XLOOKUP(LGO$11,Assumptions!$B$35:$H$35,_xlfn.XLOOKUP($C28,Assumptions!$B$36:$B$41,Assumptions!$B$36:$H$41))</f>
        <v>0</v>
      </c>
      <c r="LGP28">
        <f t="array" ref="LGP28">_xlfn.XLOOKUP(LGP$11,Assumptions!$B$35:$H$35,_xlfn.XLOOKUP($C28,Assumptions!$B$36:$B$41,Assumptions!$B$36:$H$41))</f>
        <v>0</v>
      </c>
      <c r="LGQ28">
        <f t="array" ref="LGQ28">_xlfn.XLOOKUP(LGQ$11,Assumptions!$B$35:$H$35,_xlfn.XLOOKUP($C28,Assumptions!$B$36:$B$41,Assumptions!$B$36:$H$41))</f>
        <v>0</v>
      </c>
      <c r="LGR28">
        <f t="array" ref="LGR28">_xlfn.XLOOKUP(LGR$11,Assumptions!$B$35:$H$35,_xlfn.XLOOKUP($C28,Assumptions!$B$36:$B$41,Assumptions!$B$36:$H$41))</f>
        <v>0</v>
      </c>
      <c r="LGS28">
        <f t="array" ref="LGS28">_xlfn.XLOOKUP(LGS$11,Assumptions!$B$35:$H$35,_xlfn.XLOOKUP($C28,Assumptions!$B$36:$B$41,Assumptions!$B$36:$H$41))</f>
        <v>0</v>
      </c>
      <c r="LGT28">
        <f t="array" ref="LGT28">_xlfn.XLOOKUP(LGT$11,Assumptions!$B$35:$H$35,_xlfn.XLOOKUP($C28,Assumptions!$B$36:$B$41,Assumptions!$B$36:$H$41))</f>
        <v>0</v>
      </c>
      <c r="LGU28">
        <f t="array" ref="LGU28">_xlfn.XLOOKUP(LGU$11,Assumptions!$B$35:$H$35,_xlfn.XLOOKUP($C28,Assumptions!$B$36:$B$41,Assumptions!$B$36:$H$41))</f>
        <v>0</v>
      </c>
      <c r="LGV28">
        <f t="array" ref="LGV28">_xlfn.XLOOKUP(LGV$11,Assumptions!$B$35:$H$35,_xlfn.XLOOKUP($C28,Assumptions!$B$36:$B$41,Assumptions!$B$36:$H$41))</f>
        <v>0</v>
      </c>
      <c r="LGW28">
        <f t="array" ref="LGW28">_xlfn.XLOOKUP(LGW$11,Assumptions!$B$35:$H$35,_xlfn.XLOOKUP($C28,Assumptions!$B$36:$B$41,Assumptions!$B$36:$H$41))</f>
        <v>0</v>
      </c>
      <c r="LGX28">
        <f t="array" ref="LGX28">_xlfn.XLOOKUP(LGX$11,Assumptions!$B$35:$H$35,_xlfn.XLOOKUP($C28,Assumptions!$B$36:$B$41,Assumptions!$B$36:$H$41))</f>
        <v>0</v>
      </c>
      <c r="LGY28">
        <f t="array" ref="LGY28">_xlfn.XLOOKUP(LGY$11,Assumptions!$B$35:$H$35,_xlfn.XLOOKUP($C28,Assumptions!$B$36:$B$41,Assumptions!$B$36:$H$41))</f>
        <v>0</v>
      </c>
      <c r="LGZ28">
        <f t="array" ref="LGZ28">_xlfn.XLOOKUP(LGZ$11,Assumptions!$B$35:$H$35,_xlfn.XLOOKUP($C28,Assumptions!$B$36:$B$41,Assumptions!$B$36:$H$41))</f>
        <v>0</v>
      </c>
      <c r="LHA28">
        <f t="array" ref="LHA28">_xlfn.XLOOKUP(LHA$11,Assumptions!$B$35:$H$35,_xlfn.XLOOKUP($C28,Assumptions!$B$36:$B$41,Assumptions!$B$36:$H$41))</f>
        <v>0</v>
      </c>
      <c r="LHB28">
        <f t="array" ref="LHB28">_xlfn.XLOOKUP(LHB$11,Assumptions!$B$35:$H$35,_xlfn.XLOOKUP($C28,Assumptions!$B$36:$B$41,Assumptions!$B$36:$H$41))</f>
        <v>0</v>
      </c>
      <c r="LHC28">
        <f t="array" ref="LHC28">_xlfn.XLOOKUP(LHC$11,Assumptions!$B$35:$H$35,_xlfn.XLOOKUP($C28,Assumptions!$B$36:$B$41,Assumptions!$B$36:$H$41))</f>
        <v>0</v>
      </c>
      <c r="LHD28">
        <f t="array" ref="LHD28">_xlfn.XLOOKUP(LHD$11,Assumptions!$B$35:$H$35,_xlfn.XLOOKUP($C28,Assumptions!$B$36:$B$41,Assumptions!$B$36:$H$41))</f>
        <v>0</v>
      </c>
      <c r="LHE28">
        <f t="array" ref="LHE28">_xlfn.XLOOKUP(LHE$11,Assumptions!$B$35:$H$35,_xlfn.XLOOKUP($C28,Assumptions!$B$36:$B$41,Assumptions!$B$36:$H$41))</f>
        <v>0</v>
      </c>
      <c r="LHF28">
        <f t="array" ref="LHF28">_xlfn.XLOOKUP(LHF$11,Assumptions!$B$35:$H$35,_xlfn.XLOOKUP($C28,Assumptions!$B$36:$B$41,Assumptions!$B$36:$H$41))</f>
        <v>0</v>
      </c>
      <c r="LHG28">
        <f t="array" ref="LHG28">_xlfn.XLOOKUP(LHG$11,Assumptions!$B$35:$H$35,_xlfn.XLOOKUP($C28,Assumptions!$B$36:$B$41,Assumptions!$B$36:$H$41))</f>
        <v>0</v>
      </c>
      <c r="LHH28">
        <f t="array" ref="LHH28">_xlfn.XLOOKUP(LHH$11,Assumptions!$B$35:$H$35,_xlfn.XLOOKUP($C28,Assumptions!$B$36:$B$41,Assumptions!$B$36:$H$41))</f>
        <v>0</v>
      </c>
      <c r="LHI28">
        <f t="array" ref="LHI28">_xlfn.XLOOKUP(LHI$11,Assumptions!$B$35:$H$35,_xlfn.XLOOKUP($C28,Assumptions!$B$36:$B$41,Assumptions!$B$36:$H$41))</f>
        <v>0</v>
      </c>
      <c r="LHJ28">
        <f t="array" ref="LHJ28">_xlfn.XLOOKUP(LHJ$11,Assumptions!$B$35:$H$35,_xlfn.XLOOKUP($C28,Assumptions!$B$36:$B$41,Assumptions!$B$36:$H$41))</f>
        <v>0</v>
      </c>
      <c r="LHK28">
        <f t="array" ref="LHK28">_xlfn.XLOOKUP(LHK$11,Assumptions!$B$35:$H$35,_xlfn.XLOOKUP($C28,Assumptions!$B$36:$B$41,Assumptions!$B$36:$H$41))</f>
        <v>0</v>
      </c>
      <c r="LHL28">
        <f t="array" ref="LHL28">_xlfn.XLOOKUP(LHL$11,Assumptions!$B$35:$H$35,_xlfn.XLOOKUP($C28,Assumptions!$B$36:$B$41,Assumptions!$B$36:$H$41))</f>
        <v>0</v>
      </c>
      <c r="LHM28">
        <f t="array" ref="LHM28">_xlfn.XLOOKUP(LHM$11,Assumptions!$B$35:$H$35,_xlfn.XLOOKUP($C28,Assumptions!$B$36:$B$41,Assumptions!$B$36:$H$41))</f>
        <v>0</v>
      </c>
      <c r="LHN28">
        <f t="array" ref="LHN28">_xlfn.XLOOKUP(LHN$11,Assumptions!$B$35:$H$35,_xlfn.XLOOKUP($C28,Assumptions!$B$36:$B$41,Assumptions!$B$36:$H$41))</f>
        <v>0</v>
      </c>
      <c r="LHO28">
        <f t="array" ref="LHO28">_xlfn.XLOOKUP(LHO$11,Assumptions!$B$35:$H$35,_xlfn.XLOOKUP($C28,Assumptions!$B$36:$B$41,Assumptions!$B$36:$H$41))</f>
        <v>0</v>
      </c>
      <c r="LHP28">
        <f t="array" ref="LHP28">_xlfn.XLOOKUP(LHP$11,Assumptions!$B$35:$H$35,_xlfn.XLOOKUP($C28,Assumptions!$B$36:$B$41,Assumptions!$B$36:$H$41))</f>
        <v>0</v>
      </c>
      <c r="LHQ28">
        <f t="array" ref="LHQ28">_xlfn.XLOOKUP(LHQ$11,Assumptions!$B$35:$H$35,_xlfn.XLOOKUP($C28,Assumptions!$B$36:$B$41,Assumptions!$B$36:$H$41))</f>
        <v>0</v>
      </c>
      <c r="LHR28">
        <f t="array" ref="LHR28">_xlfn.XLOOKUP(LHR$11,Assumptions!$B$35:$H$35,_xlfn.XLOOKUP($C28,Assumptions!$B$36:$B$41,Assumptions!$B$36:$H$41))</f>
        <v>0</v>
      </c>
      <c r="LHS28">
        <f t="array" ref="LHS28">_xlfn.XLOOKUP(LHS$11,Assumptions!$B$35:$H$35,_xlfn.XLOOKUP($C28,Assumptions!$B$36:$B$41,Assumptions!$B$36:$H$41))</f>
        <v>0</v>
      </c>
      <c r="LHT28">
        <f t="array" ref="LHT28">_xlfn.XLOOKUP(LHT$11,Assumptions!$B$35:$H$35,_xlfn.XLOOKUP($C28,Assumptions!$B$36:$B$41,Assumptions!$B$36:$H$41))</f>
        <v>0</v>
      </c>
      <c r="LHU28">
        <f t="array" ref="LHU28">_xlfn.XLOOKUP(LHU$11,Assumptions!$B$35:$H$35,_xlfn.XLOOKUP($C28,Assumptions!$B$36:$B$41,Assumptions!$B$36:$H$41))</f>
        <v>0</v>
      </c>
      <c r="LHV28">
        <f t="array" ref="LHV28">_xlfn.XLOOKUP(LHV$11,Assumptions!$B$35:$H$35,_xlfn.XLOOKUP($C28,Assumptions!$B$36:$B$41,Assumptions!$B$36:$H$41))</f>
        <v>0</v>
      </c>
      <c r="LHW28">
        <f t="array" ref="LHW28">_xlfn.XLOOKUP(LHW$11,Assumptions!$B$35:$H$35,_xlfn.XLOOKUP($C28,Assumptions!$B$36:$B$41,Assumptions!$B$36:$H$41))</f>
        <v>0</v>
      </c>
      <c r="LHX28">
        <f t="array" ref="LHX28">_xlfn.XLOOKUP(LHX$11,Assumptions!$B$35:$H$35,_xlfn.XLOOKUP($C28,Assumptions!$B$36:$B$41,Assumptions!$B$36:$H$41))</f>
        <v>0</v>
      </c>
      <c r="LHY28">
        <f t="array" ref="LHY28">_xlfn.XLOOKUP(LHY$11,Assumptions!$B$35:$H$35,_xlfn.XLOOKUP($C28,Assumptions!$B$36:$B$41,Assumptions!$B$36:$H$41))</f>
        <v>0</v>
      </c>
      <c r="LHZ28">
        <f t="array" ref="LHZ28">_xlfn.XLOOKUP(LHZ$11,Assumptions!$B$35:$H$35,_xlfn.XLOOKUP($C28,Assumptions!$B$36:$B$41,Assumptions!$B$36:$H$41))</f>
        <v>0</v>
      </c>
      <c r="LIA28">
        <f t="array" ref="LIA28">_xlfn.XLOOKUP(LIA$11,Assumptions!$B$35:$H$35,_xlfn.XLOOKUP($C28,Assumptions!$B$36:$B$41,Assumptions!$B$36:$H$41))</f>
        <v>0</v>
      </c>
      <c r="LIB28">
        <f t="array" ref="LIB28">_xlfn.XLOOKUP(LIB$11,Assumptions!$B$35:$H$35,_xlfn.XLOOKUP($C28,Assumptions!$B$36:$B$41,Assumptions!$B$36:$H$41))</f>
        <v>0</v>
      </c>
      <c r="LIC28">
        <f t="array" ref="LIC28">_xlfn.XLOOKUP(LIC$11,Assumptions!$B$35:$H$35,_xlfn.XLOOKUP($C28,Assumptions!$B$36:$B$41,Assumptions!$B$36:$H$41))</f>
        <v>0</v>
      </c>
      <c r="LID28">
        <f t="array" ref="LID28">_xlfn.XLOOKUP(LID$11,Assumptions!$B$35:$H$35,_xlfn.XLOOKUP($C28,Assumptions!$B$36:$B$41,Assumptions!$B$36:$H$41))</f>
        <v>0</v>
      </c>
      <c r="LIE28">
        <f t="array" ref="LIE28">_xlfn.XLOOKUP(LIE$11,Assumptions!$B$35:$H$35,_xlfn.XLOOKUP($C28,Assumptions!$B$36:$B$41,Assumptions!$B$36:$H$41))</f>
        <v>0</v>
      </c>
      <c r="LIF28">
        <f t="array" ref="LIF28">_xlfn.XLOOKUP(LIF$11,Assumptions!$B$35:$H$35,_xlfn.XLOOKUP($C28,Assumptions!$B$36:$B$41,Assumptions!$B$36:$H$41))</f>
        <v>0</v>
      </c>
      <c r="LIG28">
        <f t="array" ref="LIG28">_xlfn.XLOOKUP(LIG$11,Assumptions!$B$35:$H$35,_xlfn.XLOOKUP($C28,Assumptions!$B$36:$B$41,Assumptions!$B$36:$H$41))</f>
        <v>0</v>
      </c>
      <c r="LIH28">
        <f t="array" ref="LIH28">_xlfn.XLOOKUP(LIH$11,Assumptions!$B$35:$H$35,_xlfn.XLOOKUP($C28,Assumptions!$B$36:$B$41,Assumptions!$B$36:$H$41))</f>
        <v>0</v>
      </c>
      <c r="LII28">
        <f t="array" ref="LII28">_xlfn.XLOOKUP(LII$11,Assumptions!$B$35:$H$35,_xlfn.XLOOKUP($C28,Assumptions!$B$36:$B$41,Assumptions!$B$36:$H$41))</f>
        <v>0</v>
      </c>
      <c r="LIJ28">
        <f t="array" ref="LIJ28">_xlfn.XLOOKUP(LIJ$11,Assumptions!$B$35:$H$35,_xlfn.XLOOKUP($C28,Assumptions!$B$36:$B$41,Assumptions!$B$36:$H$41))</f>
        <v>0</v>
      </c>
      <c r="LIK28">
        <f t="array" ref="LIK28">_xlfn.XLOOKUP(LIK$11,Assumptions!$B$35:$H$35,_xlfn.XLOOKUP($C28,Assumptions!$B$36:$B$41,Assumptions!$B$36:$H$41))</f>
        <v>0</v>
      </c>
      <c r="LIL28">
        <f t="array" ref="LIL28">_xlfn.XLOOKUP(LIL$11,Assumptions!$B$35:$H$35,_xlfn.XLOOKUP($C28,Assumptions!$B$36:$B$41,Assumptions!$B$36:$H$41))</f>
        <v>0</v>
      </c>
      <c r="LIM28">
        <f t="array" ref="LIM28">_xlfn.XLOOKUP(LIM$11,Assumptions!$B$35:$H$35,_xlfn.XLOOKUP($C28,Assumptions!$B$36:$B$41,Assumptions!$B$36:$H$41))</f>
        <v>0</v>
      </c>
      <c r="LIN28">
        <f t="array" ref="LIN28">_xlfn.XLOOKUP(LIN$11,Assumptions!$B$35:$H$35,_xlfn.XLOOKUP($C28,Assumptions!$B$36:$B$41,Assumptions!$B$36:$H$41))</f>
        <v>0</v>
      </c>
      <c r="LIO28">
        <f t="array" ref="LIO28">_xlfn.XLOOKUP(LIO$11,Assumptions!$B$35:$H$35,_xlfn.XLOOKUP($C28,Assumptions!$B$36:$B$41,Assumptions!$B$36:$H$41))</f>
        <v>0</v>
      </c>
      <c r="LIP28">
        <f t="array" ref="LIP28">_xlfn.XLOOKUP(LIP$11,Assumptions!$B$35:$H$35,_xlfn.XLOOKUP($C28,Assumptions!$B$36:$B$41,Assumptions!$B$36:$H$41))</f>
        <v>0</v>
      </c>
      <c r="LIQ28">
        <f t="array" ref="LIQ28">_xlfn.XLOOKUP(LIQ$11,Assumptions!$B$35:$H$35,_xlfn.XLOOKUP($C28,Assumptions!$B$36:$B$41,Assumptions!$B$36:$H$41))</f>
        <v>0</v>
      </c>
      <c r="LIR28">
        <f t="array" ref="LIR28">_xlfn.XLOOKUP(LIR$11,Assumptions!$B$35:$H$35,_xlfn.XLOOKUP($C28,Assumptions!$B$36:$B$41,Assumptions!$B$36:$H$41))</f>
        <v>0</v>
      </c>
      <c r="LIS28">
        <f t="array" ref="LIS28">_xlfn.XLOOKUP(LIS$11,Assumptions!$B$35:$H$35,_xlfn.XLOOKUP($C28,Assumptions!$B$36:$B$41,Assumptions!$B$36:$H$41))</f>
        <v>0</v>
      </c>
      <c r="LIT28">
        <f t="array" ref="LIT28">_xlfn.XLOOKUP(LIT$11,Assumptions!$B$35:$H$35,_xlfn.XLOOKUP($C28,Assumptions!$B$36:$B$41,Assumptions!$B$36:$H$41))</f>
        <v>0</v>
      </c>
      <c r="LIU28">
        <f t="array" ref="LIU28">_xlfn.XLOOKUP(LIU$11,Assumptions!$B$35:$H$35,_xlfn.XLOOKUP($C28,Assumptions!$B$36:$B$41,Assumptions!$B$36:$H$41))</f>
        <v>0</v>
      </c>
      <c r="LIV28">
        <f t="array" ref="LIV28">_xlfn.XLOOKUP(LIV$11,Assumptions!$B$35:$H$35,_xlfn.XLOOKUP($C28,Assumptions!$B$36:$B$41,Assumptions!$B$36:$H$41))</f>
        <v>0</v>
      </c>
      <c r="LIW28">
        <f t="array" ref="LIW28">_xlfn.XLOOKUP(LIW$11,Assumptions!$B$35:$H$35,_xlfn.XLOOKUP($C28,Assumptions!$B$36:$B$41,Assumptions!$B$36:$H$41))</f>
        <v>0</v>
      </c>
      <c r="LIX28">
        <f t="array" ref="LIX28">_xlfn.XLOOKUP(LIX$11,Assumptions!$B$35:$H$35,_xlfn.XLOOKUP($C28,Assumptions!$B$36:$B$41,Assumptions!$B$36:$H$41))</f>
        <v>0</v>
      </c>
      <c r="LIY28">
        <f t="array" ref="LIY28">_xlfn.XLOOKUP(LIY$11,Assumptions!$B$35:$H$35,_xlfn.XLOOKUP($C28,Assumptions!$B$36:$B$41,Assumptions!$B$36:$H$41))</f>
        <v>0</v>
      </c>
      <c r="LIZ28">
        <f t="array" ref="LIZ28">_xlfn.XLOOKUP(LIZ$11,Assumptions!$B$35:$H$35,_xlfn.XLOOKUP($C28,Assumptions!$B$36:$B$41,Assumptions!$B$36:$H$41))</f>
        <v>0</v>
      </c>
      <c r="LJA28">
        <f t="array" ref="LJA28">_xlfn.XLOOKUP(LJA$11,Assumptions!$B$35:$H$35,_xlfn.XLOOKUP($C28,Assumptions!$B$36:$B$41,Assumptions!$B$36:$H$41))</f>
        <v>0</v>
      </c>
      <c r="LJB28">
        <f t="array" ref="LJB28">_xlfn.XLOOKUP(LJB$11,Assumptions!$B$35:$H$35,_xlfn.XLOOKUP($C28,Assumptions!$B$36:$B$41,Assumptions!$B$36:$H$41))</f>
        <v>0</v>
      </c>
      <c r="LJC28">
        <f t="array" ref="LJC28">_xlfn.XLOOKUP(LJC$11,Assumptions!$B$35:$H$35,_xlfn.XLOOKUP($C28,Assumptions!$B$36:$B$41,Assumptions!$B$36:$H$41))</f>
        <v>0</v>
      </c>
      <c r="LJD28">
        <f t="array" ref="LJD28">_xlfn.XLOOKUP(LJD$11,Assumptions!$B$35:$H$35,_xlfn.XLOOKUP($C28,Assumptions!$B$36:$B$41,Assumptions!$B$36:$H$41))</f>
        <v>0</v>
      </c>
      <c r="LJE28">
        <f t="array" ref="LJE28">_xlfn.XLOOKUP(LJE$11,Assumptions!$B$35:$H$35,_xlfn.XLOOKUP($C28,Assumptions!$B$36:$B$41,Assumptions!$B$36:$H$41))</f>
        <v>0</v>
      </c>
      <c r="LJF28">
        <f t="array" ref="LJF28">_xlfn.XLOOKUP(LJF$11,Assumptions!$B$35:$H$35,_xlfn.XLOOKUP($C28,Assumptions!$B$36:$B$41,Assumptions!$B$36:$H$41))</f>
        <v>0</v>
      </c>
      <c r="LJG28">
        <f t="array" ref="LJG28">_xlfn.XLOOKUP(LJG$11,Assumptions!$B$35:$H$35,_xlfn.XLOOKUP($C28,Assumptions!$B$36:$B$41,Assumptions!$B$36:$H$41))</f>
        <v>0</v>
      </c>
      <c r="LJH28">
        <f t="array" ref="LJH28">_xlfn.XLOOKUP(LJH$11,Assumptions!$B$35:$H$35,_xlfn.XLOOKUP($C28,Assumptions!$B$36:$B$41,Assumptions!$B$36:$H$41))</f>
        <v>0</v>
      </c>
      <c r="LJI28">
        <f t="array" ref="LJI28">_xlfn.XLOOKUP(LJI$11,Assumptions!$B$35:$H$35,_xlfn.XLOOKUP($C28,Assumptions!$B$36:$B$41,Assumptions!$B$36:$H$41))</f>
        <v>0</v>
      </c>
      <c r="LJJ28">
        <f t="array" ref="LJJ28">_xlfn.XLOOKUP(LJJ$11,Assumptions!$B$35:$H$35,_xlfn.XLOOKUP($C28,Assumptions!$B$36:$B$41,Assumptions!$B$36:$H$41))</f>
        <v>0</v>
      </c>
      <c r="LJK28">
        <f t="array" ref="LJK28">_xlfn.XLOOKUP(LJK$11,Assumptions!$B$35:$H$35,_xlfn.XLOOKUP($C28,Assumptions!$B$36:$B$41,Assumptions!$B$36:$H$41))</f>
        <v>0</v>
      </c>
      <c r="LJL28">
        <f t="array" ref="LJL28">_xlfn.XLOOKUP(LJL$11,Assumptions!$B$35:$H$35,_xlfn.XLOOKUP($C28,Assumptions!$B$36:$B$41,Assumptions!$B$36:$H$41))</f>
        <v>0</v>
      </c>
      <c r="LJM28">
        <f t="array" ref="LJM28">_xlfn.XLOOKUP(LJM$11,Assumptions!$B$35:$H$35,_xlfn.XLOOKUP($C28,Assumptions!$B$36:$B$41,Assumptions!$B$36:$H$41))</f>
        <v>0</v>
      </c>
      <c r="LJN28">
        <f t="array" ref="LJN28">_xlfn.XLOOKUP(LJN$11,Assumptions!$B$35:$H$35,_xlfn.XLOOKUP($C28,Assumptions!$B$36:$B$41,Assumptions!$B$36:$H$41))</f>
        <v>0</v>
      </c>
      <c r="LJO28">
        <f t="array" ref="LJO28">_xlfn.XLOOKUP(LJO$11,Assumptions!$B$35:$H$35,_xlfn.XLOOKUP($C28,Assumptions!$B$36:$B$41,Assumptions!$B$36:$H$41))</f>
        <v>0</v>
      </c>
      <c r="LJP28">
        <f t="array" ref="LJP28">_xlfn.XLOOKUP(LJP$11,Assumptions!$B$35:$H$35,_xlfn.XLOOKUP($C28,Assumptions!$B$36:$B$41,Assumptions!$B$36:$H$41))</f>
        <v>0</v>
      </c>
      <c r="LJQ28">
        <f t="array" ref="LJQ28">_xlfn.XLOOKUP(LJQ$11,Assumptions!$B$35:$H$35,_xlfn.XLOOKUP($C28,Assumptions!$B$36:$B$41,Assumptions!$B$36:$H$41))</f>
        <v>0</v>
      </c>
      <c r="LJR28">
        <f t="array" ref="LJR28">_xlfn.XLOOKUP(LJR$11,Assumptions!$B$35:$H$35,_xlfn.XLOOKUP($C28,Assumptions!$B$36:$B$41,Assumptions!$B$36:$H$41))</f>
        <v>0</v>
      </c>
      <c r="LJS28">
        <f t="array" ref="LJS28">_xlfn.XLOOKUP(LJS$11,Assumptions!$B$35:$H$35,_xlfn.XLOOKUP($C28,Assumptions!$B$36:$B$41,Assumptions!$B$36:$H$41))</f>
        <v>0</v>
      </c>
      <c r="LJT28">
        <f t="array" ref="LJT28">_xlfn.XLOOKUP(LJT$11,Assumptions!$B$35:$H$35,_xlfn.XLOOKUP($C28,Assumptions!$B$36:$B$41,Assumptions!$B$36:$H$41))</f>
        <v>0</v>
      </c>
      <c r="LJU28">
        <f t="array" ref="LJU28">_xlfn.XLOOKUP(LJU$11,Assumptions!$B$35:$H$35,_xlfn.XLOOKUP($C28,Assumptions!$B$36:$B$41,Assumptions!$B$36:$H$41))</f>
        <v>0</v>
      </c>
      <c r="LJV28">
        <f t="array" ref="LJV28">_xlfn.XLOOKUP(LJV$11,Assumptions!$B$35:$H$35,_xlfn.XLOOKUP($C28,Assumptions!$B$36:$B$41,Assumptions!$B$36:$H$41))</f>
        <v>0</v>
      </c>
      <c r="LJW28">
        <f t="array" ref="LJW28">_xlfn.XLOOKUP(LJW$11,Assumptions!$B$35:$H$35,_xlfn.XLOOKUP($C28,Assumptions!$B$36:$B$41,Assumptions!$B$36:$H$41))</f>
        <v>0</v>
      </c>
      <c r="LJX28">
        <f t="array" ref="LJX28">_xlfn.XLOOKUP(LJX$11,Assumptions!$B$35:$H$35,_xlfn.XLOOKUP($C28,Assumptions!$B$36:$B$41,Assumptions!$B$36:$H$41))</f>
        <v>0</v>
      </c>
      <c r="LJY28">
        <f t="array" ref="LJY28">_xlfn.XLOOKUP(LJY$11,Assumptions!$B$35:$H$35,_xlfn.XLOOKUP($C28,Assumptions!$B$36:$B$41,Assumptions!$B$36:$H$41))</f>
        <v>0</v>
      </c>
      <c r="LJZ28">
        <f t="array" ref="LJZ28">_xlfn.XLOOKUP(LJZ$11,Assumptions!$B$35:$H$35,_xlfn.XLOOKUP($C28,Assumptions!$B$36:$B$41,Assumptions!$B$36:$H$41))</f>
        <v>0</v>
      </c>
      <c r="LKA28">
        <f t="array" ref="LKA28">_xlfn.XLOOKUP(LKA$11,Assumptions!$B$35:$H$35,_xlfn.XLOOKUP($C28,Assumptions!$B$36:$B$41,Assumptions!$B$36:$H$41))</f>
        <v>0</v>
      </c>
      <c r="LKB28">
        <f t="array" ref="LKB28">_xlfn.XLOOKUP(LKB$11,Assumptions!$B$35:$H$35,_xlfn.XLOOKUP($C28,Assumptions!$B$36:$B$41,Assumptions!$B$36:$H$41))</f>
        <v>0</v>
      </c>
      <c r="LKC28">
        <f t="array" ref="LKC28">_xlfn.XLOOKUP(LKC$11,Assumptions!$B$35:$H$35,_xlfn.XLOOKUP($C28,Assumptions!$B$36:$B$41,Assumptions!$B$36:$H$41))</f>
        <v>0</v>
      </c>
      <c r="LKD28">
        <f t="array" ref="LKD28">_xlfn.XLOOKUP(LKD$11,Assumptions!$B$35:$H$35,_xlfn.XLOOKUP($C28,Assumptions!$B$36:$B$41,Assumptions!$B$36:$H$41))</f>
        <v>0</v>
      </c>
      <c r="LKE28">
        <f t="array" ref="LKE28">_xlfn.XLOOKUP(LKE$11,Assumptions!$B$35:$H$35,_xlfn.XLOOKUP($C28,Assumptions!$B$36:$B$41,Assumptions!$B$36:$H$41))</f>
        <v>0</v>
      </c>
      <c r="LKF28">
        <f t="array" ref="LKF28">_xlfn.XLOOKUP(LKF$11,Assumptions!$B$35:$H$35,_xlfn.XLOOKUP($C28,Assumptions!$B$36:$B$41,Assumptions!$B$36:$H$41))</f>
        <v>0</v>
      </c>
      <c r="LKG28">
        <f t="array" ref="LKG28">_xlfn.XLOOKUP(LKG$11,Assumptions!$B$35:$H$35,_xlfn.XLOOKUP($C28,Assumptions!$B$36:$B$41,Assumptions!$B$36:$H$41))</f>
        <v>0</v>
      </c>
      <c r="LKH28">
        <f t="array" ref="LKH28">_xlfn.XLOOKUP(LKH$11,Assumptions!$B$35:$H$35,_xlfn.XLOOKUP($C28,Assumptions!$B$36:$B$41,Assumptions!$B$36:$H$41))</f>
        <v>0</v>
      </c>
      <c r="LKI28">
        <f t="array" ref="LKI28">_xlfn.XLOOKUP(LKI$11,Assumptions!$B$35:$H$35,_xlfn.XLOOKUP($C28,Assumptions!$B$36:$B$41,Assumptions!$B$36:$H$41))</f>
        <v>0</v>
      </c>
      <c r="LKJ28">
        <f t="array" ref="LKJ28">_xlfn.XLOOKUP(LKJ$11,Assumptions!$B$35:$H$35,_xlfn.XLOOKUP($C28,Assumptions!$B$36:$B$41,Assumptions!$B$36:$H$41))</f>
        <v>0</v>
      </c>
      <c r="LKK28">
        <f t="array" ref="LKK28">_xlfn.XLOOKUP(LKK$11,Assumptions!$B$35:$H$35,_xlfn.XLOOKUP($C28,Assumptions!$B$36:$B$41,Assumptions!$B$36:$H$41))</f>
        <v>0</v>
      </c>
      <c r="LKL28">
        <f t="array" ref="LKL28">_xlfn.XLOOKUP(LKL$11,Assumptions!$B$35:$H$35,_xlfn.XLOOKUP($C28,Assumptions!$B$36:$B$41,Assumptions!$B$36:$H$41))</f>
        <v>0</v>
      </c>
      <c r="LKM28">
        <f t="array" ref="LKM28">_xlfn.XLOOKUP(LKM$11,Assumptions!$B$35:$H$35,_xlfn.XLOOKUP($C28,Assumptions!$B$36:$B$41,Assumptions!$B$36:$H$41))</f>
        <v>0</v>
      </c>
      <c r="LKN28">
        <f t="array" ref="LKN28">_xlfn.XLOOKUP(LKN$11,Assumptions!$B$35:$H$35,_xlfn.XLOOKUP($C28,Assumptions!$B$36:$B$41,Assumptions!$B$36:$H$41))</f>
        <v>0</v>
      </c>
      <c r="LKO28">
        <f t="array" ref="LKO28">_xlfn.XLOOKUP(LKO$11,Assumptions!$B$35:$H$35,_xlfn.XLOOKUP($C28,Assumptions!$B$36:$B$41,Assumptions!$B$36:$H$41))</f>
        <v>0</v>
      </c>
      <c r="LKP28">
        <f t="array" ref="LKP28">_xlfn.XLOOKUP(LKP$11,Assumptions!$B$35:$H$35,_xlfn.XLOOKUP($C28,Assumptions!$B$36:$B$41,Assumptions!$B$36:$H$41))</f>
        <v>0</v>
      </c>
      <c r="LKQ28">
        <f t="array" ref="LKQ28">_xlfn.XLOOKUP(LKQ$11,Assumptions!$B$35:$H$35,_xlfn.XLOOKUP($C28,Assumptions!$B$36:$B$41,Assumptions!$B$36:$H$41))</f>
        <v>0</v>
      </c>
      <c r="LKR28">
        <f t="array" ref="LKR28">_xlfn.XLOOKUP(LKR$11,Assumptions!$B$35:$H$35,_xlfn.XLOOKUP($C28,Assumptions!$B$36:$B$41,Assumptions!$B$36:$H$41))</f>
        <v>0</v>
      </c>
      <c r="LKS28">
        <f t="array" ref="LKS28">_xlfn.XLOOKUP(LKS$11,Assumptions!$B$35:$H$35,_xlfn.XLOOKUP($C28,Assumptions!$B$36:$B$41,Assumptions!$B$36:$H$41))</f>
        <v>0</v>
      </c>
      <c r="LKT28">
        <f t="array" ref="LKT28">_xlfn.XLOOKUP(LKT$11,Assumptions!$B$35:$H$35,_xlfn.XLOOKUP($C28,Assumptions!$B$36:$B$41,Assumptions!$B$36:$H$41))</f>
        <v>0</v>
      </c>
      <c r="LKU28">
        <f t="array" ref="LKU28">_xlfn.XLOOKUP(LKU$11,Assumptions!$B$35:$H$35,_xlfn.XLOOKUP($C28,Assumptions!$B$36:$B$41,Assumptions!$B$36:$H$41))</f>
        <v>0</v>
      </c>
      <c r="LKV28">
        <f t="array" ref="LKV28">_xlfn.XLOOKUP(LKV$11,Assumptions!$B$35:$H$35,_xlfn.XLOOKUP($C28,Assumptions!$B$36:$B$41,Assumptions!$B$36:$H$41))</f>
        <v>0</v>
      </c>
      <c r="LKW28">
        <f t="array" ref="LKW28">_xlfn.XLOOKUP(LKW$11,Assumptions!$B$35:$H$35,_xlfn.XLOOKUP($C28,Assumptions!$B$36:$B$41,Assumptions!$B$36:$H$41))</f>
        <v>0</v>
      </c>
      <c r="LKX28">
        <f t="array" ref="LKX28">_xlfn.XLOOKUP(LKX$11,Assumptions!$B$35:$H$35,_xlfn.XLOOKUP($C28,Assumptions!$B$36:$B$41,Assumptions!$B$36:$H$41))</f>
        <v>0</v>
      </c>
      <c r="LKY28">
        <f t="array" ref="LKY28">_xlfn.XLOOKUP(LKY$11,Assumptions!$B$35:$H$35,_xlfn.XLOOKUP($C28,Assumptions!$B$36:$B$41,Assumptions!$B$36:$H$41))</f>
        <v>0</v>
      </c>
      <c r="LKZ28">
        <f t="array" ref="LKZ28">_xlfn.XLOOKUP(LKZ$11,Assumptions!$B$35:$H$35,_xlfn.XLOOKUP($C28,Assumptions!$B$36:$B$41,Assumptions!$B$36:$H$41))</f>
        <v>0</v>
      </c>
      <c r="LLA28">
        <f t="array" ref="LLA28">_xlfn.XLOOKUP(LLA$11,Assumptions!$B$35:$H$35,_xlfn.XLOOKUP($C28,Assumptions!$B$36:$B$41,Assumptions!$B$36:$H$41))</f>
        <v>0</v>
      </c>
      <c r="LLB28">
        <f t="array" ref="LLB28">_xlfn.XLOOKUP(LLB$11,Assumptions!$B$35:$H$35,_xlfn.XLOOKUP($C28,Assumptions!$B$36:$B$41,Assumptions!$B$36:$H$41))</f>
        <v>0</v>
      </c>
      <c r="LLC28">
        <f t="array" ref="LLC28">_xlfn.XLOOKUP(LLC$11,Assumptions!$B$35:$H$35,_xlfn.XLOOKUP($C28,Assumptions!$B$36:$B$41,Assumptions!$B$36:$H$41))</f>
        <v>0</v>
      </c>
      <c r="LLD28">
        <f t="array" ref="LLD28">_xlfn.XLOOKUP(LLD$11,Assumptions!$B$35:$H$35,_xlfn.XLOOKUP($C28,Assumptions!$B$36:$B$41,Assumptions!$B$36:$H$41))</f>
        <v>0</v>
      </c>
      <c r="LLE28">
        <f t="array" ref="LLE28">_xlfn.XLOOKUP(LLE$11,Assumptions!$B$35:$H$35,_xlfn.XLOOKUP($C28,Assumptions!$B$36:$B$41,Assumptions!$B$36:$H$41))</f>
        <v>0</v>
      </c>
      <c r="LLF28">
        <f t="array" ref="LLF28">_xlfn.XLOOKUP(LLF$11,Assumptions!$B$35:$H$35,_xlfn.XLOOKUP($C28,Assumptions!$B$36:$B$41,Assumptions!$B$36:$H$41))</f>
        <v>0</v>
      </c>
      <c r="LLG28">
        <f t="array" ref="LLG28">_xlfn.XLOOKUP(LLG$11,Assumptions!$B$35:$H$35,_xlfn.XLOOKUP($C28,Assumptions!$B$36:$B$41,Assumptions!$B$36:$H$41))</f>
        <v>0</v>
      </c>
      <c r="LLH28">
        <f t="array" ref="LLH28">_xlfn.XLOOKUP(LLH$11,Assumptions!$B$35:$H$35,_xlfn.XLOOKUP($C28,Assumptions!$B$36:$B$41,Assumptions!$B$36:$H$41))</f>
        <v>0</v>
      </c>
      <c r="LLI28">
        <f t="array" ref="LLI28">_xlfn.XLOOKUP(LLI$11,Assumptions!$B$35:$H$35,_xlfn.XLOOKUP($C28,Assumptions!$B$36:$B$41,Assumptions!$B$36:$H$41))</f>
        <v>0</v>
      </c>
      <c r="LLJ28">
        <f t="array" ref="LLJ28">_xlfn.XLOOKUP(LLJ$11,Assumptions!$B$35:$H$35,_xlfn.XLOOKUP($C28,Assumptions!$B$36:$B$41,Assumptions!$B$36:$H$41))</f>
        <v>0</v>
      </c>
      <c r="LLK28">
        <f t="array" ref="LLK28">_xlfn.XLOOKUP(LLK$11,Assumptions!$B$35:$H$35,_xlfn.XLOOKUP($C28,Assumptions!$B$36:$B$41,Assumptions!$B$36:$H$41))</f>
        <v>0</v>
      </c>
      <c r="LLL28">
        <f t="array" ref="LLL28">_xlfn.XLOOKUP(LLL$11,Assumptions!$B$35:$H$35,_xlfn.XLOOKUP($C28,Assumptions!$B$36:$B$41,Assumptions!$B$36:$H$41))</f>
        <v>0</v>
      </c>
      <c r="LLM28">
        <f t="array" ref="LLM28">_xlfn.XLOOKUP(LLM$11,Assumptions!$B$35:$H$35,_xlfn.XLOOKUP($C28,Assumptions!$B$36:$B$41,Assumptions!$B$36:$H$41))</f>
        <v>0</v>
      </c>
      <c r="LLN28">
        <f t="array" ref="LLN28">_xlfn.XLOOKUP(LLN$11,Assumptions!$B$35:$H$35,_xlfn.XLOOKUP($C28,Assumptions!$B$36:$B$41,Assumptions!$B$36:$H$41))</f>
        <v>0</v>
      </c>
      <c r="LLO28">
        <f t="array" ref="LLO28">_xlfn.XLOOKUP(LLO$11,Assumptions!$B$35:$H$35,_xlfn.XLOOKUP($C28,Assumptions!$B$36:$B$41,Assumptions!$B$36:$H$41))</f>
        <v>0</v>
      </c>
      <c r="LLP28">
        <f t="array" ref="LLP28">_xlfn.XLOOKUP(LLP$11,Assumptions!$B$35:$H$35,_xlfn.XLOOKUP($C28,Assumptions!$B$36:$B$41,Assumptions!$B$36:$H$41))</f>
        <v>0</v>
      </c>
      <c r="LLQ28">
        <f t="array" ref="LLQ28">_xlfn.XLOOKUP(LLQ$11,Assumptions!$B$35:$H$35,_xlfn.XLOOKUP($C28,Assumptions!$B$36:$B$41,Assumptions!$B$36:$H$41))</f>
        <v>0</v>
      </c>
      <c r="LLR28">
        <f t="array" ref="LLR28">_xlfn.XLOOKUP(LLR$11,Assumptions!$B$35:$H$35,_xlfn.XLOOKUP($C28,Assumptions!$B$36:$B$41,Assumptions!$B$36:$H$41))</f>
        <v>0</v>
      </c>
      <c r="LLS28">
        <f t="array" ref="LLS28">_xlfn.XLOOKUP(LLS$11,Assumptions!$B$35:$H$35,_xlfn.XLOOKUP($C28,Assumptions!$B$36:$B$41,Assumptions!$B$36:$H$41))</f>
        <v>0</v>
      </c>
      <c r="LLT28">
        <f t="array" ref="LLT28">_xlfn.XLOOKUP(LLT$11,Assumptions!$B$35:$H$35,_xlfn.XLOOKUP($C28,Assumptions!$B$36:$B$41,Assumptions!$B$36:$H$41))</f>
        <v>0</v>
      </c>
      <c r="LLU28">
        <f t="array" ref="LLU28">_xlfn.XLOOKUP(LLU$11,Assumptions!$B$35:$H$35,_xlfn.XLOOKUP($C28,Assumptions!$B$36:$B$41,Assumptions!$B$36:$H$41))</f>
        <v>0</v>
      </c>
      <c r="LLV28">
        <f t="array" ref="LLV28">_xlfn.XLOOKUP(LLV$11,Assumptions!$B$35:$H$35,_xlfn.XLOOKUP($C28,Assumptions!$B$36:$B$41,Assumptions!$B$36:$H$41))</f>
        <v>0</v>
      </c>
      <c r="LLW28">
        <f t="array" ref="LLW28">_xlfn.XLOOKUP(LLW$11,Assumptions!$B$35:$H$35,_xlfn.XLOOKUP($C28,Assumptions!$B$36:$B$41,Assumptions!$B$36:$H$41))</f>
        <v>0</v>
      </c>
      <c r="LLX28">
        <f t="array" ref="LLX28">_xlfn.XLOOKUP(LLX$11,Assumptions!$B$35:$H$35,_xlfn.XLOOKUP($C28,Assumptions!$B$36:$B$41,Assumptions!$B$36:$H$41))</f>
        <v>0</v>
      </c>
      <c r="LLY28">
        <f t="array" ref="LLY28">_xlfn.XLOOKUP(LLY$11,Assumptions!$B$35:$H$35,_xlfn.XLOOKUP($C28,Assumptions!$B$36:$B$41,Assumptions!$B$36:$H$41))</f>
        <v>0</v>
      </c>
      <c r="LLZ28">
        <f t="array" ref="LLZ28">_xlfn.XLOOKUP(LLZ$11,Assumptions!$B$35:$H$35,_xlfn.XLOOKUP($C28,Assumptions!$B$36:$B$41,Assumptions!$B$36:$H$41))</f>
        <v>0</v>
      </c>
      <c r="LMA28">
        <f t="array" ref="LMA28">_xlfn.XLOOKUP(LMA$11,Assumptions!$B$35:$H$35,_xlfn.XLOOKUP($C28,Assumptions!$B$36:$B$41,Assumptions!$B$36:$H$41))</f>
        <v>0</v>
      </c>
      <c r="LMB28">
        <f t="array" ref="LMB28">_xlfn.XLOOKUP(LMB$11,Assumptions!$B$35:$H$35,_xlfn.XLOOKUP($C28,Assumptions!$B$36:$B$41,Assumptions!$B$36:$H$41))</f>
        <v>0</v>
      </c>
      <c r="LMC28">
        <f t="array" ref="LMC28">_xlfn.XLOOKUP(LMC$11,Assumptions!$B$35:$H$35,_xlfn.XLOOKUP($C28,Assumptions!$B$36:$B$41,Assumptions!$B$36:$H$41))</f>
        <v>0</v>
      </c>
      <c r="LMD28">
        <f t="array" ref="LMD28">_xlfn.XLOOKUP(LMD$11,Assumptions!$B$35:$H$35,_xlfn.XLOOKUP($C28,Assumptions!$B$36:$B$41,Assumptions!$B$36:$H$41))</f>
        <v>0</v>
      </c>
      <c r="LME28">
        <f t="array" ref="LME28">_xlfn.XLOOKUP(LME$11,Assumptions!$B$35:$H$35,_xlfn.XLOOKUP($C28,Assumptions!$B$36:$B$41,Assumptions!$B$36:$H$41))</f>
        <v>0</v>
      </c>
      <c r="LMF28">
        <f t="array" ref="LMF28">_xlfn.XLOOKUP(LMF$11,Assumptions!$B$35:$H$35,_xlfn.XLOOKUP($C28,Assumptions!$B$36:$B$41,Assumptions!$B$36:$H$41))</f>
        <v>0</v>
      </c>
      <c r="LMG28">
        <f t="array" ref="LMG28">_xlfn.XLOOKUP(LMG$11,Assumptions!$B$35:$H$35,_xlfn.XLOOKUP($C28,Assumptions!$B$36:$B$41,Assumptions!$B$36:$H$41))</f>
        <v>0</v>
      </c>
      <c r="LMH28">
        <f t="array" ref="LMH28">_xlfn.XLOOKUP(LMH$11,Assumptions!$B$35:$H$35,_xlfn.XLOOKUP($C28,Assumptions!$B$36:$B$41,Assumptions!$B$36:$H$41))</f>
        <v>0</v>
      </c>
      <c r="LMI28">
        <f t="array" ref="LMI28">_xlfn.XLOOKUP(LMI$11,Assumptions!$B$35:$H$35,_xlfn.XLOOKUP($C28,Assumptions!$B$36:$B$41,Assumptions!$B$36:$H$41))</f>
        <v>0</v>
      </c>
      <c r="LMJ28">
        <f t="array" ref="LMJ28">_xlfn.XLOOKUP(LMJ$11,Assumptions!$B$35:$H$35,_xlfn.XLOOKUP($C28,Assumptions!$B$36:$B$41,Assumptions!$B$36:$H$41))</f>
        <v>0</v>
      </c>
      <c r="LMK28">
        <f t="array" ref="LMK28">_xlfn.XLOOKUP(LMK$11,Assumptions!$B$35:$H$35,_xlfn.XLOOKUP($C28,Assumptions!$B$36:$B$41,Assumptions!$B$36:$H$41))</f>
        <v>0</v>
      </c>
      <c r="LML28">
        <f t="array" ref="LML28">_xlfn.XLOOKUP(LML$11,Assumptions!$B$35:$H$35,_xlfn.XLOOKUP($C28,Assumptions!$B$36:$B$41,Assumptions!$B$36:$H$41))</f>
        <v>0</v>
      </c>
      <c r="LMM28">
        <f t="array" ref="LMM28">_xlfn.XLOOKUP(LMM$11,Assumptions!$B$35:$H$35,_xlfn.XLOOKUP($C28,Assumptions!$B$36:$B$41,Assumptions!$B$36:$H$41))</f>
        <v>0</v>
      </c>
      <c r="LMN28">
        <f t="array" ref="LMN28">_xlfn.XLOOKUP(LMN$11,Assumptions!$B$35:$H$35,_xlfn.XLOOKUP($C28,Assumptions!$B$36:$B$41,Assumptions!$B$36:$H$41))</f>
        <v>0</v>
      </c>
      <c r="LMO28">
        <f t="array" ref="LMO28">_xlfn.XLOOKUP(LMO$11,Assumptions!$B$35:$H$35,_xlfn.XLOOKUP($C28,Assumptions!$B$36:$B$41,Assumptions!$B$36:$H$41))</f>
        <v>0</v>
      </c>
      <c r="LMP28">
        <f t="array" ref="LMP28">_xlfn.XLOOKUP(LMP$11,Assumptions!$B$35:$H$35,_xlfn.XLOOKUP($C28,Assumptions!$B$36:$B$41,Assumptions!$B$36:$H$41))</f>
        <v>0</v>
      </c>
      <c r="LMQ28">
        <f t="array" ref="LMQ28">_xlfn.XLOOKUP(LMQ$11,Assumptions!$B$35:$H$35,_xlfn.XLOOKUP($C28,Assumptions!$B$36:$B$41,Assumptions!$B$36:$H$41))</f>
        <v>0</v>
      </c>
      <c r="LMR28">
        <f t="array" ref="LMR28">_xlfn.XLOOKUP(LMR$11,Assumptions!$B$35:$H$35,_xlfn.XLOOKUP($C28,Assumptions!$B$36:$B$41,Assumptions!$B$36:$H$41))</f>
        <v>0</v>
      </c>
      <c r="LMS28">
        <f t="array" ref="LMS28">_xlfn.XLOOKUP(LMS$11,Assumptions!$B$35:$H$35,_xlfn.XLOOKUP($C28,Assumptions!$B$36:$B$41,Assumptions!$B$36:$H$41))</f>
        <v>0</v>
      </c>
      <c r="LMT28">
        <f t="array" ref="LMT28">_xlfn.XLOOKUP(LMT$11,Assumptions!$B$35:$H$35,_xlfn.XLOOKUP($C28,Assumptions!$B$36:$B$41,Assumptions!$B$36:$H$41))</f>
        <v>0</v>
      </c>
      <c r="LMU28">
        <f t="array" ref="LMU28">_xlfn.XLOOKUP(LMU$11,Assumptions!$B$35:$H$35,_xlfn.XLOOKUP($C28,Assumptions!$B$36:$B$41,Assumptions!$B$36:$H$41))</f>
        <v>0</v>
      </c>
      <c r="LMV28">
        <f t="array" ref="LMV28">_xlfn.XLOOKUP(LMV$11,Assumptions!$B$35:$H$35,_xlfn.XLOOKUP($C28,Assumptions!$B$36:$B$41,Assumptions!$B$36:$H$41))</f>
        <v>0</v>
      </c>
      <c r="LMW28">
        <f t="array" ref="LMW28">_xlfn.XLOOKUP(LMW$11,Assumptions!$B$35:$H$35,_xlfn.XLOOKUP($C28,Assumptions!$B$36:$B$41,Assumptions!$B$36:$H$41))</f>
        <v>0</v>
      </c>
      <c r="LMX28">
        <f t="array" ref="LMX28">_xlfn.XLOOKUP(LMX$11,Assumptions!$B$35:$H$35,_xlfn.XLOOKUP($C28,Assumptions!$B$36:$B$41,Assumptions!$B$36:$H$41))</f>
        <v>0</v>
      </c>
      <c r="LMY28">
        <f t="array" ref="LMY28">_xlfn.XLOOKUP(LMY$11,Assumptions!$B$35:$H$35,_xlfn.XLOOKUP($C28,Assumptions!$B$36:$B$41,Assumptions!$B$36:$H$41))</f>
        <v>0</v>
      </c>
      <c r="LMZ28">
        <f t="array" ref="LMZ28">_xlfn.XLOOKUP(LMZ$11,Assumptions!$B$35:$H$35,_xlfn.XLOOKUP($C28,Assumptions!$B$36:$B$41,Assumptions!$B$36:$H$41))</f>
        <v>0</v>
      </c>
      <c r="LNA28">
        <f t="array" ref="LNA28">_xlfn.XLOOKUP(LNA$11,Assumptions!$B$35:$H$35,_xlfn.XLOOKUP($C28,Assumptions!$B$36:$B$41,Assumptions!$B$36:$H$41))</f>
        <v>0</v>
      </c>
      <c r="LNB28">
        <f t="array" ref="LNB28">_xlfn.XLOOKUP(LNB$11,Assumptions!$B$35:$H$35,_xlfn.XLOOKUP($C28,Assumptions!$B$36:$B$41,Assumptions!$B$36:$H$41))</f>
        <v>0</v>
      </c>
      <c r="LNC28">
        <f t="array" ref="LNC28">_xlfn.XLOOKUP(LNC$11,Assumptions!$B$35:$H$35,_xlfn.XLOOKUP($C28,Assumptions!$B$36:$B$41,Assumptions!$B$36:$H$41))</f>
        <v>0</v>
      </c>
      <c r="LND28">
        <f t="array" ref="LND28">_xlfn.XLOOKUP(LND$11,Assumptions!$B$35:$H$35,_xlfn.XLOOKUP($C28,Assumptions!$B$36:$B$41,Assumptions!$B$36:$H$41))</f>
        <v>0</v>
      </c>
      <c r="LNE28">
        <f t="array" ref="LNE28">_xlfn.XLOOKUP(LNE$11,Assumptions!$B$35:$H$35,_xlfn.XLOOKUP($C28,Assumptions!$B$36:$B$41,Assumptions!$B$36:$H$41))</f>
        <v>0</v>
      </c>
      <c r="LNF28">
        <f t="array" ref="LNF28">_xlfn.XLOOKUP(LNF$11,Assumptions!$B$35:$H$35,_xlfn.XLOOKUP($C28,Assumptions!$B$36:$B$41,Assumptions!$B$36:$H$41))</f>
        <v>0</v>
      </c>
      <c r="LNG28">
        <f t="array" ref="LNG28">_xlfn.XLOOKUP(LNG$11,Assumptions!$B$35:$H$35,_xlfn.XLOOKUP($C28,Assumptions!$B$36:$B$41,Assumptions!$B$36:$H$41))</f>
        <v>0</v>
      </c>
      <c r="LNH28">
        <f t="array" ref="LNH28">_xlfn.XLOOKUP(LNH$11,Assumptions!$B$35:$H$35,_xlfn.XLOOKUP($C28,Assumptions!$B$36:$B$41,Assumptions!$B$36:$H$41))</f>
        <v>0</v>
      </c>
      <c r="LNI28">
        <f t="array" ref="LNI28">_xlfn.XLOOKUP(LNI$11,Assumptions!$B$35:$H$35,_xlfn.XLOOKUP($C28,Assumptions!$B$36:$B$41,Assumptions!$B$36:$H$41))</f>
        <v>0</v>
      </c>
      <c r="LNJ28">
        <f t="array" ref="LNJ28">_xlfn.XLOOKUP(LNJ$11,Assumptions!$B$35:$H$35,_xlfn.XLOOKUP($C28,Assumptions!$B$36:$B$41,Assumptions!$B$36:$H$41))</f>
        <v>0</v>
      </c>
      <c r="LNK28">
        <f t="array" ref="LNK28">_xlfn.XLOOKUP(LNK$11,Assumptions!$B$35:$H$35,_xlfn.XLOOKUP($C28,Assumptions!$B$36:$B$41,Assumptions!$B$36:$H$41))</f>
        <v>0</v>
      </c>
      <c r="LNL28">
        <f t="array" ref="LNL28">_xlfn.XLOOKUP(LNL$11,Assumptions!$B$35:$H$35,_xlfn.XLOOKUP($C28,Assumptions!$B$36:$B$41,Assumptions!$B$36:$H$41))</f>
        <v>0</v>
      </c>
      <c r="LNM28">
        <f t="array" ref="LNM28">_xlfn.XLOOKUP(LNM$11,Assumptions!$B$35:$H$35,_xlfn.XLOOKUP($C28,Assumptions!$B$36:$B$41,Assumptions!$B$36:$H$41))</f>
        <v>0</v>
      </c>
      <c r="LNN28">
        <f t="array" ref="LNN28">_xlfn.XLOOKUP(LNN$11,Assumptions!$B$35:$H$35,_xlfn.XLOOKUP($C28,Assumptions!$B$36:$B$41,Assumptions!$B$36:$H$41))</f>
        <v>0</v>
      </c>
      <c r="LNO28">
        <f t="array" ref="LNO28">_xlfn.XLOOKUP(LNO$11,Assumptions!$B$35:$H$35,_xlfn.XLOOKUP($C28,Assumptions!$B$36:$B$41,Assumptions!$B$36:$H$41))</f>
        <v>0</v>
      </c>
      <c r="LNP28">
        <f t="array" ref="LNP28">_xlfn.XLOOKUP(LNP$11,Assumptions!$B$35:$H$35,_xlfn.XLOOKUP($C28,Assumptions!$B$36:$B$41,Assumptions!$B$36:$H$41))</f>
        <v>0</v>
      </c>
      <c r="LNQ28">
        <f t="array" ref="LNQ28">_xlfn.XLOOKUP(LNQ$11,Assumptions!$B$35:$H$35,_xlfn.XLOOKUP($C28,Assumptions!$B$36:$B$41,Assumptions!$B$36:$H$41))</f>
        <v>0</v>
      </c>
      <c r="LNR28">
        <f t="array" ref="LNR28">_xlfn.XLOOKUP(LNR$11,Assumptions!$B$35:$H$35,_xlfn.XLOOKUP($C28,Assumptions!$B$36:$B$41,Assumptions!$B$36:$H$41))</f>
        <v>0</v>
      </c>
      <c r="LNS28">
        <f t="array" ref="LNS28">_xlfn.XLOOKUP(LNS$11,Assumptions!$B$35:$H$35,_xlfn.XLOOKUP($C28,Assumptions!$B$36:$B$41,Assumptions!$B$36:$H$41))</f>
        <v>0</v>
      </c>
      <c r="LNT28">
        <f t="array" ref="LNT28">_xlfn.XLOOKUP(LNT$11,Assumptions!$B$35:$H$35,_xlfn.XLOOKUP($C28,Assumptions!$B$36:$B$41,Assumptions!$B$36:$H$41))</f>
        <v>0</v>
      </c>
      <c r="LNU28">
        <f t="array" ref="LNU28">_xlfn.XLOOKUP(LNU$11,Assumptions!$B$35:$H$35,_xlfn.XLOOKUP($C28,Assumptions!$B$36:$B$41,Assumptions!$B$36:$H$41))</f>
        <v>0</v>
      </c>
      <c r="LNV28">
        <f t="array" ref="LNV28">_xlfn.XLOOKUP(LNV$11,Assumptions!$B$35:$H$35,_xlfn.XLOOKUP($C28,Assumptions!$B$36:$B$41,Assumptions!$B$36:$H$41))</f>
        <v>0</v>
      </c>
      <c r="LNW28">
        <f t="array" ref="LNW28">_xlfn.XLOOKUP(LNW$11,Assumptions!$B$35:$H$35,_xlfn.XLOOKUP($C28,Assumptions!$B$36:$B$41,Assumptions!$B$36:$H$41))</f>
        <v>0</v>
      </c>
      <c r="LNX28">
        <f t="array" ref="LNX28">_xlfn.XLOOKUP(LNX$11,Assumptions!$B$35:$H$35,_xlfn.XLOOKUP($C28,Assumptions!$B$36:$B$41,Assumptions!$B$36:$H$41))</f>
        <v>0</v>
      </c>
      <c r="LNY28">
        <f t="array" ref="LNY28">_xlfn.XLOOKUP(LNY$11,Assumptions!$B$35:$H$35,_xlfn.XLOOKUP($C28,Assumptions!$B$36:$B$41,Assumptions!$B$36:$H$41))</f>
        <v>0</v>
      </c>
      <c r="LNZ28">
        <f t="array" ref="LNZ28">_xlfn.XLOOKUP(LNZ$11,Assumptions!$B$35:$H$35,_xlfn.XLOOKUP($C28,Assumptions!$B$36:$B$41,Assumptions!$B$36:$H$41))</f>
        <v>0</v>
      </c>
      <c r="LOA28">
        <f t="array" ref="LOA28">_xlfn.XLOOKUP(LOA$11,Assumptions!$B$35:$H$35,_xlfn.XLOOKUP($C28,Assumptions!$B$36:$B$41,Assumptions!$B$36:$H$41))</f>
        <v>0</v>
      </c>
      <c r="LOB28">
        <f t="array" ref="LOB28">_xlfn.XLOOKUP(LOB$11,Assumptions!$B$35:$H$35,_xlfn.XLOOKUP($C28,Assumptions!$B$36:$B$41,Assumptions!$B$36:$H$41))</f>
        <v>0</v>
      </c>
      <c r="LOC28">
        <f t="array" ref="LOC28">_xlfn.XLOOKUP(LOC$11,Assumptions!$B$35:$H$35,_xlfn.XLOOKUP($C28,Assumptions!$B$36:$B$41,Assumptions!$B$36:$H$41))</f>
        <v>0</v>
      </c>
      <c r="LOD28">
        <f t="array" ref="LOD28">_xlfn.XLOOKUP(LOD$11,Assumptions!$B$35:$H$35,_xlfn.XLOOKUP($C28,Assumptions!$B$36:$B$41,Assumptions!$B$36:$H$41))</f>
        <v>0</v>
      </c>
      <c r="LOE28">
        <f t="array" ref="LOE28">_xlfn.XLOOKUP(LOE$11,Assumptions!$B$35:$H$35,_xlfn.XLOOKUP($C28,Assumptions!$B$36:$B$41,Assumptions!$B$36:$H$41))</f>
        <v>0</v>
      </c>
      <c r="LOF28">
        <f t="array" ref="LOF28">_xlfn.XLOOKUP(LOF$11,Assumptions!$B$35:$H$35,_xlfn.XLOOKUP($C28,Assumptions!$B$36:$B$41,Assumptions!$B$36:$H$41))</f>
        <v>0</v>
      </c>
      <c r="LOG28">
        <f t="array" ref="LOG28">_xlfn.XLOOKUP(LOG$11,Assumptions!$B$35:$H$35,_xlfn.XLOOKUP($C28,Assumptions!$B$36:$B$41,Assumptions!$B$36:$H$41))</f>
        <v>0</v>
      </c>
      <c r="LOH28">
        <f t="array" ref="LOH28">_xlfn.XLOOKUP(LOH$11,Assumptions!$B$35:$H$35,_xlfn.XLOOKUP($C28,Assumptions!$B$36:$B$41,Assumptions!$B$36:$H$41))</f>
        <v>0</v>
      </c>
      <c r="LOI28">
        <f t="array" ref="LOI28">_xlfn.XLOOKUP(LOI$11,Assumptions!$B$35:$H$35,_xlfn.XLOOKUP($C28,Assumptions!$B$36:$B$41,Assumptions!$B$36:$H$41))</f>
        <v>0</v>
      </c>
      <c r="LOJ28">
        <f t="array" ref="LOJ28">_xlfn.XLOOKUP(LOJ$11,Assumptions!$B$35:$H$35,_xlfn.XLOOKUP($C28,Assumptions!$B$36:$B$41,Assumptions!$B$36:$H$41))</f>
        <v>0</v>
      </c>
      <c r="LOK28">
        <f t="array" ref="LOK28">_xlfn.XLOOKUP(LOK$11,Assumptions!$B$35:$H$35,_xlfn.XLOOKUP($C28,Assumptions!$B$36:$B$41,Assumptions!$B$36:$H$41))</f>
        <v>0</v>
      </c>
      <c r="LOL28">
        <f t="array" ref="LOL28">_xlfn.XLOOKUP(LOL$11,Assumptions!$B$35:$H$35,_xlfn.XLOOKUP($C28,Assumptions!$B$36:$B$41,Assumptions!$B$36:$H$41))</f>
        <v>0</v>
      </c>
      <c r="LOM28">
        <f t="array" ref="LOM28">_xlfn.XLOOKUP(LOM$11,Assumptions!$B$35:$H$35,_xlfn.XLOOKUP($C28,Assumptions!$B$36:$B$41,Assumptions!$B$36:$H$41))</f>
        <v>0</v>
      </c>
      <c r="LON28">
        <f t="array" ref="LON28">_xlfn.XLOOKUP(LON$11,Assumptions!$B$35:$H$35,_xlfn.XLOOKUP($C28,Assumptions!$B$36:$B$41,Assumptions!$B$36:$H$41))</f>
        <v>0</v>
      </c>
      <c r="LOO28">
        <f t="array" ref="LOO28">_xlfn.XLOOKUP(LOO$11,Assumptions!$B$35:$H$35,_xlfn.XLOOKUP($C28,Assumptions!$B$36:$B$41,Assumptions!$B$36:$H$41))</f>
        <v>0</v>
      </c>
      <c r="LOP28">
        <f t="array" ref="LOP28">_xlfn.XLOOKUP(LOP$11,Assumptions!$B$35:$H$35,_xlfn.XLOOKUP($C28,Assumptions!$B$36:$B$41,Assumptions!$B$36:$H$41))</f>
        <v>0</v>
      </c>
      <c r="LOQ28">
        <f t="array" ref="LOQ28">_xlfn.XLOOKUP(LOQ$11,Assumptions!$B$35:$H$35,_xlfn.XLOOKUP($C28,Assumptions!$B$36:$B$41,Assumptions!$B$36:$H$41))</f>
        <v>0</v>
      </c>
      <c r="LOR28">
        <f t="array" ref="LOR28">_xlfn.XLOOKUP(LOR$11,Assumptions!$B$35:$H$35,_xlfn.XLOOKUP($C28,Assumptions!$B$36:$B$41,Assumptions!$B$36:$H$41))</f>
        <v>0</v>
      </c>
      <c r="LOS28">
        <f t="array" ref="LOS28">_xlfn.XLOOKUP(LOS$11,Assumptions!$B$35:$H$35,_xlfn.XLOOKUP($C28,Assumptions!$B$36:$B$41,Assumptions!$B$36:$H$41))</f>
        <v>0</v>
      </c>
      <c r="LOT28">
        <f t="array" ref="LOT28">_xlfn.XLOOKUP(LOT$11,Assumptions!$B$35:$H$35,_xlfn.XLOOKUP($C28,Assumptions!$B$36:$B$41,Assumptions!$B$36:$H$41))</f>
        <v>0</v>
      </c>
      <c r="LOU28">
        <f t="array" ref="LOU28">_xlfn.XLOOKUP(LOU$11,Assumptions!$B$35:$H$35,_xlfn.XLOOKUP($C28,Assumptions!$B$36:$B$41,Assumptions!$B$36:$H$41))</f>
        <v>0</v>
      </c>
      <c r="LOV28">
        <f t="array" ref="LOV28">_xlfn.XLOOKUP(LOV$11,Assumptions!$B$35:$H$35,_xlfn.XLOOKUP($C28,Assumptions!$B$36:$B$41,Assumptions!$B$36:$H$41))</f>
        <v>0</v>
      </c>
      <c r="LOW28">
        <f t="array" ref="LOW28">_xlfn.XLOOKUP(LOW$11,Assumptions!$B$35:$H$35,_xlfn.XLOOKUP($C28,Assumptions!$B$36:$B$41,Assumptions!$B$36:$H$41))</f>
        <v>0</v>
      </c>
      <c r="LOX28">
        <f t="array" ref="LOX28">_xlfn.XLOOKUP(LOX$11,Assumptions!$B$35:$H$35,_xlfn.XLOOKUP($C28,Assumptions!$B$36:$B$41,Assumptions!$B$36:$H$41))</f>
        <v>0</v>
      </c>
      <c r="LOY28">
        <f t="array" ref="LOY28">_xlfn.XLOOKUP(LOY$11,Assumptions!$B$35:$H$35,_xlfn.XLOOKUP($C28,Assumptions!$B$36:$B$41,Assumptions!$B$36:$H$41))</f>
        <v>0</v>
      </c>
      <c r="LOZ28">
        <f t="array" ref="LOZ28">_xlfn.XLOOKUP(LOZ$11,Assumptions!$B$35:$H$35,_xlfn.XLOOKUP($C28,Assumptions!$B$36:$B$41,Assumptions!$B$36:$H$41))</f>
        <v>0</v>
      </c>
      <c r="LPA28">
        <f t="array" ref="LPA28">_xlfn.XLOOKUP(LPA$11,Assumptions!$B$35:$H$35,_xlfn.XLOOKUP($C28,Assumptions!$B$36:$B$41,Assumptions!$B$36:$H$41))</f>
        <v>0</v>
      </c>
      <c r="LPB28">
        <f t="array" ref="LPB28">_xlfn.XLOOKUP(LPB$11,Assumptions!$B$35:$H$35,_xlfn.XLOOKUP($C28,Assumptions!$B$36:$B$41,Assumptions!$B$36:$H$41))</f>
        <v>0</v>
      </c>
      <c r="LPC28">
        <f t="array" ref="LPC28">_xlfn.XLOOKUP(LPC$11,Assumptions!$B$35:$H$35,_xlfn.XLOOKUP($C28,Assumptions!$B$36:$B$41,Assumptions!$B$36:$H$41))</f>
        <v>0</v>
      </c>
      <c r="LPD28">
        <f t="array" ref="LPD28">_xlfn.XLOOKUP(LPD$11,Assumptions!$B$35:$H$35,_xlfn.XLOOKUP($C28,Assumptions!$B$36:$B$41,Assumptions!$B$36:$H$41))</f>
        <v>0</v>
      </c>
      <c r="LPE28">
        <f t="array" ref="LPE28">_xlfn.XLOOKUP(LPE$11,Assumptions!$B$35:$H$35,_xlfn.XLOOKUP($C28,Assumptions!$B$36:$B$41,Assumptions!$B$36:$H$41))</f>
        <v>0</v>
      </c>
      <c r="LPF28">
        <f t="array" ref="LPF28">_xlfn.XLOOKUP(LPF$11,Assumptions!$B$35:$H$35,_xlfn.XLOOKUP($C28,Assumptions!$B$36:$B$41,Assumptions!$B$36:$H$41))</f>
        <v>0</v>
      </c>
      <c r="LPG28">
        <f t="array" ref="LPG28">_xlfn.XLOOKUP(LPG$11,Assumptions!$B$35:$H$35,_xlfn.XLOOKUP($C28,Assumptions!$B$36:$B$41,Assumptions!$B$36:$H$41))</f>
        <v>0</v>
      </c>
      <c r="LPH28">
        <f t="array" ref="LPH28">_xlfn.XLOOKUP(LPH$11,Assumptions!$B$35:$H$35,_xlfn.XLOOKUP($C28,Assumptions!$B$36:$B$41,Assumptions!$B$36:$H$41))</f>
        <v>0</v>
      </c>
      <c r="LPI28">
        <f t="array" ref="LPI28">_xlfn.XLOOKUP(LPI$11,Assumptions!$B$35:$H$35,_xlfn.XLOOKUP($C28,Assumptions!$B$36:$B$41,Assumptions!$B$36:$H$41))</f>
        <v>0</v>
      </c>
      <c r="LPJ28">
        <f t="array" ref="LPJ28">_xlfn.XLOOKUP(LPJ$11,Assumptions!$B$35:$H$35,_xlfn.XLOOKUP($C28,Assumptions!$B$36:$B$41,Assumptions!$B$36:$H$41))</f>
        <v>0</v>
      </c>
      <c r="LPK28">
        <f t="array" ref="LPK28">_xlfn.XLOOKUP(LPK$11,Assumptions!$B$35:$H$35,_xlfn.XLOOKUP($C28,Assumptions!$B$36:$B$41,Assumptions!$B$36:$H$41))</f>
        <v>0</v>
      </c>
      <c r="LPL28">
        <f t="array" ref="LPL28">_xlfn.XLOOKUP(LPL$11,Assumptions!$B$35:$H$35,_xlfn.XLOOKUP($C28,Assumptions!$B$36:$B$41,Assumptions!$B$36:$H$41))</f>
        <v>0</v>
      </c>
      <c r="LPM28">
        <f t="array" ref="LPM28">_xlfn.XLOOKUP(LPM$11,Assumptions!$B$35:$H$35,_xlfn.XLOOKUP($C28,Assumptions!$B$36:$B$41,Assumptions!$B$36:$H$41))</f>
        <v>0</v>
      </c>
      <c r="LPN28">
        <f t="array" ref="LPN28">_xlfn.XLOOKUP(LPN$11,Assumptions!$B$35:$H$35,_xlfn.XLOOKUP($C28,Assumptions!$B$36:$B$41,Assumptions!$B$36:$H$41))</f>
        <v>0</v>
      </c>
      <c r="LPO28">
        <f t="array" ref="LPO28">_xlfn.XLOOKUP(LPO$11,Assumptions!$B$35:$H$35,_xlfn.XLOOKUP($C28,Assumptions!$B$36:$B$41,Assumptions!$B$36:$H$41))</f>
        <v>0</v>
      </c>
      <c r="LPP28">
        <f t="array" ref="LPP28">_xlfn.XLOOKUP(LPP$11,Assumptions!$B$35:$H$35,_xlfn.XLOOKUP($C28,Assumptions!$B$36:$B$41,Assumptions!$B$36:$H$41))</f>
        <v>0</v>
      </c>
      <c r="LPQ28">
        <f t="array" ref="LPQ28">_xlfn.XLOOKUP(LPQ$11,Assumptions!$B$35:$H$35,_xlfn.XLOOKUP($C28,Assumptions!$B$36:$B$41,Assumptions!$B$36:$H$41))</f>
        <v>0</v>
      </c>
      <c r="LPR28">
        <f t="array" ref="LPR28">_xlfn.XLOOKUP(LPR$11,Assumptions!$B$35:$H$35,_xlfn.XLOOKUP($C28,Assumptions!$B$36:$B$41,Assumptions!$B$36:$H$41))</f>
        <v>0</v>
      </c>
      <c r="LPS28">
        <f t="array" ref="LPS28">_xlfn.XLOOKUP(LPS$11,Assumptions!$B$35:$H$35,_xlfn.XLOOKUP($C28,Assumptions!$B$36:$B$41,Assumptions!$B$36:$H$41))</f>
        <v>0</v>
      </c>
      <c r="LPT28">
        <f t="array" ref="LPT28">_xlfn.XLOOKUP(LPT$11,Assumptions!$B$35:$H$35,_xlfn.XLOOKUP($C28,Assumptions!$B$36:$B$41,Assumptions!$B$36:$H$41))</f>
        <v>0</v>
      </c>
      <c r="LPU28">
        <f t="array" ref="LPU28">_xlfn.XLOOKUP(LPU$11,Assumptions!$B$35:$H$35,_xlfn.XLOOKUP($C28,Assumptions!$B$36:$B$41,Assumptions!$B$36:$H$41))</f>
        <v>0</v>
      </c>
      <c r="LPV28">
        <f t="array" ref="LPV28">_xlfn.XLOOKUP(LPV$11,Assumptions!$B$35:$H$35,_xlfn.XLOOKUP($C28,Assumptions!$B$36:$B$41,Assumptions!$B$36:$H$41))</f>
        <v>0</v>
      </c>
      <c r="LPW28">
        <f t="array" ref="LPW28">_xlfn.XLOOKUP(LPW$11,Assumptions!$B$35:$H$35,_xlfn.XLOOKUP($C28,Assumptions!$B$36:$B$41,Assumptions!$B$36:$H$41))</f>
        <v>0</v>
      </c>
      <c r="LPX28">
        <f t="array" ref="LPX28">_xlfn.XLOOKUP(LPX$11,Assumptions!$B$35:$H$35,_xlfn.XLOOKUP($C28,Assumptions!$B$36:$B$41,Assumptions!$B$36:$H$41))</f>
        <v>0</v>
      </c>
      <c r="LPY28">
        <f t="array" ref="LPY28">_xlfn.XLOOKUP(LPY$11,Assumptions!$B$35:$H$35,_xlfn.XLOOKUP($C28,Assumptions!$B$36:$B$41,Assumptions!$B$36:$H$41))</f>
        <v>0</v>
      </c>
      <c r="LPZ28">
        <f t="array" ref="LPZ28">_xlfn.XLOOKUP(LPZ$11,Assumptions!$B$35:$H$35,_xlfn.XLOOKUP($C28,Assumptions!$B$36:$B$41,Assumptions!$B$36:$H$41))</f>
        <v>0</v>
      </c>
      <c r="LQA28">
        <f t="array" ref="LQA28">_xlfn.XLOOKUP(LQA$11,Assumptions!$B$35:$H$35,_xlfn.XLOOKUP($C28,Assumptions!$B$36:$B$41,Assumptions!$B$36:$H$41))</f>
        <v>0</v>
      </c>
      <c r="LQB28">
        <f t="array" ref="LQB28">_xlfn.XLOOKUP(LQB$11,Assumptions!$B$35:$H$35,_xlfn.XLOOKUP($C28,Assumptions!$B$36:$B$41,Assumptions!$B$36:$H$41))</f>
        <v>0</v>
      </c>
      <c r="LQC28">
        <f t="array" ref="LQC28">_xlfn.XLOOKUP(LQC$11,Assumptions!$B$35:$H$35,_xlfn.XLOOKUP($C28,Assumptions!$B$36:$B$41,Assumptions!$B$36:$H$41))</f>
        <v>0</v>
      </c>
      <c r="LQD28">
        <f t="array" ref="LQD28">_xlfn.XLOOKUP(LQD$11,Assumptions!$B$35:$H$35,_xlfn.XLOOKUP($C28,Assumptions!$B$36:$B$41,Assumptions!$B$36:$H$41))</f>
        <v>0</v>
      </c>
      <c r="LQE28">
        <f t="array" ref="LQE28">_xlfn.XLOOKUP(LQE$11,Assumptions!$B$35:$H$35,_xlfn.XLOOKUP($C28,Assumptions!$B$36:$B$41,Assumptions!$B$36:$H$41))</f>
        <v>0</v>
      </c>
      <c r="LQF28">
        <f t="array" ref="LQF28">_xlfn.XLOOKUP(LQF$11,Assumptions!$B$35:$H$35,_xlfn.XLOOKUP($C28,Assumptions!$B$36:$B$41,Assumptions!$B$36:$H$41))</f>
        <v>0</v>
      </c>
      <c r="LQG28">
        <f t="array" ref="LQG28">_xlfn.XLOOKUP(LQG$11,Assumptions!$B$35:$H$35,_xlfn.XLOOKUP($C28,Assumptions!$B$36:$B$41,Assumptions!$B$36:$H$41))</f>
        <v>0</v>
      </c>
      <c r="LQH28">
        <f t="array" ref="LQH28">_xlfn.XLOOKUP(LQH$11,Assumptions!$B$35:$H$35,_xlfn.XLOOKUP($C28,Assumptions!$B$36:$B$41,Assumptions!$B$36:$H$41))</f>
        <v>0</v>
      </c>
      <c r="LQI28">
        <f t="array" ref="LQI28">_xlfn.XLOOKUP(LQI$11,Assumptions!$B$35:$H$35,_xlfn.XLOOKUP($C28,Assumptions!$B$36:$B$41,Assumptions!$B$36:$H$41))</f>
        <v>0</v>
      </c>
      <c r="LQJ28">
        <f t="array" ref="LQJ28">_xlfn.XLOOKUP(LQJ$11,Assumptions!$B$35:$H$35,_xlfn.XLOOKUP($C28,Assumptions!$B$36:$B$41,Assumptions!$B$36:$H$41))</f>
        <v>0</v>
      </c>
      <c r="LQK28">
        <f t="array" ref="LQK28">_xlfn.XLOOKUP(LQK$11,Assumptions!$B$35:$H$35,_xlfn.XLOOKUP($C28,Assumptions!$B$36:$B$41,Assumptions!$B$36:$H$41))</f>
        <v>0</v>
      </c>
      <c r="LQL28">
        <f t="array" ref="LQL28">_xlfn.XLOOKUP(LQL$11,Assumptions!$B$35:$H$35,_xlfn.XLOOKUP($C28,Assumptions!$B$36:$B$41,Assumptions!$B$36:$H$41))</f>
        <v>0</v>
      </c>
      <c r="LQM28">
        <f t="array" ref="LQM28">_xlfn.XLOOKUP(LQM$11,Assumptions!$B$35:$H$35,_xlfn.XLOOKUP($C28,Assumptions!$B$36:$B$41,Assumptions!$B$36:$H$41))</f>
        <v>0</v>
      </c>
      <c r="LQN28">
        <f t="array" ref="LQN28">_xlfn.XLOOKUP(LQN$11,Assumptions!$B$35:$H$35,_xlfn.XLOOKUP($C28,Assumptions!$B$36:$B$41,Assumptions!$B$36:$H$41))</f>
        <v>0</v>
      </c>
      <c r="LQO28">
        <f t="array" ref="LQO28">_xlfn.XLOOKUP(LQO$11,Assumptions!$B$35:$H$35,_xlfn.XLOOKUP($C28,Assumptions!$B$36:$B$41,Assumptions!$B$36:$H$41))</f>
        <v>0</v>
      </c>
      <c r="LQP28">
        <f t="array" ref="LQP28">_xlfn.XLOOKUP(LQP$11,Assumptions!$B$35:$H$35,_xlfn.XLOOKUP($C28,Assumptions!$B$36:$B$41,Assumptions!$B$36:$H$41))</f>
        <v>0</v>
      </c>
      <c r="LQQ28">
        <f t="array" ref="LQQ28">_xlfn.XLOOKUP(LQQ$11,Assumptions!$B$35:$H$35,_xlfn.XLOOKUP($C28,Assumptions!$B$36:$B$41,Assumptions!$B$36:$H$41))</f>
        <v>0</v>
      </c>
      <c r="LQR28">
        <f t="array" ref="LQR28">_xlfn.XLOOKUP(LQR$11,Assumptions!$B$35:$H$35,_xlfn.XLOOKUP($C28,Assumptions!$B$36:$B$41,Assumptions!$B$36:$H$41))</f>
        <v>0</v>
      </c>
      <c r="LQS28">
        <f t="array" ref="LQS28">_xlfn.XLOOKUP(LQS$11,Assumptions!$B$35:$H$35,_xlfn.XLOOKUP($C28,Assumptions!$B$36:$B$41,Assumptions!$B$36:$H$41))</f>
        <v>0</v>
      </c>
      <c r="LQT28">
        <f t="array" ref="LQT28">_xlfn.XLOOKUP(LQT$11,Assumptions!$B$35:$H$35,_xlfn.XLOOKUP($C28,Assumptions!$B$36:$B$41,Assumptions!$B$36:$H$41))</f>
        <v>0</v>
      </c>
      <c r="LQU28">
        <f t="array" ref="LQU28">_xlfn.XLOOKUP(LQU$11,Assumptions!$B$35:$H$35,_xlfn.XLOOKUP($C28,Assumptions!$B$36:$B$41,Assumptions!$B$36:$H$41))</f>
        <v>0</v>
      </c>
      <c r="LQV28">
        <f t="array" ref="LQV28">_xlfn.XLOOKUP(LQV$11,Assumptions!$B$35:$H$35,_xlfn.XLOOKUP($C28,Assumptions!$B$36:$B$41,Assumptions!$B$36:$H$41))</f>
        <v>0</v>
      </c>
      <c r="LQW28">
        <f t="array" ref="LQW28">_xlfn.XLOOKUP(LQW$11,Assumptions!$B$35:$H$35,_xlfn.XLOOKUP($C28,Assumptions!$B$36:$B$41,Assumptions!$B$36:$H$41))</f>
        <v>0</v>
      </c>
      <c r="LQX28">
        <f t="array" ref="LQX28">_xlfn.XLOOKUP(LQX$11,Assumptions!$B$35:$H$35,_xlfn.XLOOKUP($C28,Assumptions!$B$36:$B$41,Assumptions!$B$36:$H$41))</f>
        <v>0</v>
      </c>
      <c r="LQY28">
        <f t="array" ref="LQY28">_xlfn.XLOOKUP(LQY$11,Assumptions!$B$35:$H$35,_xlfn.XLOOKUP($C28,Assumptions!$B$36:$B$41,Assumptions!$B$36:$H$41))</f>
        <v>0</v>
      </c>
      <c r="LQZ28">
        <f t="array" ref="LQZ28">_xlfn.XLOOKUP(LQZ$11,Assumptions!$B$35:$H$35,_xlfn.XLOOKUP($C28,Assumptions!$B$36:$B$41,Assumptions!$B$36:$H$41))</f>
        <v>0</v>
      </c>
      <c r="LRA28">
        <f t="array" ref="LRA28">_xlfn.XLOOKUP(LRA$11,Assumptions!$B$35:$H$35,_xlfn.XLOOKUP($C28,Assumptions!$B$36:$B$41,Assumptions!$B$36:$H$41))</f>
        <v>0</v>
      </c>
      <c r="LRB28">
        <f t="array" ref="LRB28">_xlfn.XLOOKUP(LRB$11,Assumptions!$B$35:$H$35,_xlfn.XLOOKUP($C28,Assumptions!$B$36:$B$41,Assumptions!$B$36:$H$41))</f>
        <v>0</v>
      </c>
      <c r="LRC28">
        <f t="array" ref="LRC28">_xlfn.XLOOKUP(LRC$11,Assumptions!$B$35:$H$35,_xlfn.XLOOKUP($C28,Assumptions!$B$36:$B$41,Assumptions!$B$36:$H$41))</f>
        <v>0</v>
      </c>
      <c r="LRD28">
        <f t="array" ref="LRD28">_xlfn.XLOOKUP(LRD$11,Assumptions!$B$35:$H$35,_xlfn.XLOOKUP($C28,Assumptions!$B$36:$B$41,Assumptions!$B$36:$H$41))</f>
        <v>0</v>
      </c>
      <c r="LRE28">
        <f t="array" ref="LRE28">_xlfn.XLOOKUP(LRE$11,Assumptions!$B$35:$H$35,_xlfn.XLOOKUP($C28,Assumptions!$B$36:$B$41,Assumptions!$B$36:$H$41))</f>
        <v>0</v>
      </c>
      <c r="LRF28">
        <f t="array" ref="LRF28">_xlfn.XLOOKUP(LRF$11,Assumptions!$B$35:$H$35,_xlfn.XLOOKUP($C28,Assumptions!$B$36:$B$41,Assumptions!$B$36:$H$41))</f>
        <v>0</v>
      </c>
      <c r="LRG28">
        <f t="array" ref="LRG28">_xlfn.XLOOKUP(LRG$11,Assumptions!$B$35:$H$35,_xlfn.XLOOKUP($C28,Assumptions!$B$36:$B$41,Assumptions!$B$36:$H$41))</f>
        <v>0</v>
      </c>
      <c r="LRH28">
        <f t="array" ref="LRH28">_xlfn.XLOOKUP(LRH$11,Assumptions!$B$35:$H$35,_xlfn.XLOOKUP($C28,Assumptions!$B$36:$B$41,Assumptions!$B$36:$H$41))</f>
        <v>0</v>
      </c>
      <c r="LRI28">
        <f t="array" ref="LRI28">_xlfn.XLOOKUP(LRI$11,Assumptions!$B$35:$H$35,_xlfn.XLOOKUP($C28,Assumptions!$B$36:$B$41,Assumptions!$B$36:$H$41))</f>
        <v>0</v>
      </c>
      <c r="LRJ28">
        <f t="array" ref="LRJ28">_xlfn.XLOOKUP(LRJ$11,Assumptions!$B$35:$H$35,_xlfn.XLOOKUP($C28,Assumptions!$B$36:$B$41,Assumptions!$B$36:$H$41))</f>
        <v>0</v>
      </c>
      <c r="LRK28">
        <f t="array" ref="LRK28">_xlfn.XLOOKUP(LRK$11,Assumptions!$B$35:$H$35,_xlfn.XLOOKUP($C28,Assumptions!$B$36:$B$41,Assumptions!$B$36:$H$41))</f>
        <v>0</v>
      </c>
      <c r="LRL28">
        <f t="array" ref="LRL28">_xlfn.XLOOKUP(LRL$11,Assumptions!$B$35:$H$35,_xlfn.XLOOKUP($C28,Assumptions!$B$36:$B$41,Assumptions!$B$36:$H$41))</f>
        <v>0</v>
      </c>
      <c r="LRM28">
        <f t="array" ref="LRM28">_xlfn.XLOOKUP(LRM$11,Assumptions!$B$35:$H$35,_xlfn.XLOOKUP($C28,Assumptions!$B$36:$B$41,Assumptions!$B$36:$H$41))</f>
        <v>0</v>
      </c>
      <c r="LRN28">
        <f t="array" ref="LRN28">_xlfn.XLOOKUP(LRN$11,Assumptions!$B$35:$H$35,_xlfn.XLOOKUP($C28,Assumptions!$B$36:$B$41,Assumptions!$B$36:$H$41))</f>
        <v>0</v>
      </c>
      <c r="LRO28">
        <f t="array" ref="LRO28">_xlfn.XLOOKUP(LRO$11,Assumptions!$B$35:$H$35,_xlfn.XLOOKUP($C28,Assumptions!$B$36:$B$41,Assumptions!$B$36:$H$41))</f>
        <v>0</v>
      </c>
      <c r="LRP28">
        <f t="array" ref="LRP28">_xlfn.XLOOKUP(LRP$11,Assumptions!$B$35:$H$35,_xlfn.XLOOKUP($C28,Assumptions!$B$36:$B$41,Assumptions!$B$36:$H$41))</f>
        <v>0</v>
      </c>
      <c r="LRQ28">
        <f t="array" ref="LRQ28">_xlfn.XLOOKUP(LRQ$11,Assumptions!$B$35:$H$35,_xlfn.XLOOKUP($C28,Assumptions!$B$36:$B$41,Assumptions!$B$36:$H$41))</f>
        <v>0</v>
      </c>
      <c r="LRR28">
        <f t="array" ref="LRR28">_xlfn.XLOOKUP(LRR$11,Assumptions!$B$35:$H$35,_xlfn.XLOOKUP($C28,Assumptions!$B$36:$B$41,Assumptions!$B$36:$H$41))</f>
        <v>0</v>
      </c>
      <c r="LRS28">
        <f t="array" ref="LRS28">_xlfn.XLOOKUP(LRS$11,Assumptions!$B$35:$H$35,_xlfn.XLOOKUP($C28,Assumptions!$B$36:$B$41,Assumptions!$B$36:$H$41))</f>
        <v>0</v>
      </c>
      <c r="LRT28">
        <f t="array" ref="LRT28">_xlfn.XLOOKUP(LRT$11,Assumptions!$B$35:$H$35,_xlfn.XLOOKUP($C28,Assumptions!$B$36:$B$41,Assumptions!$B$36:$H$41))</f>
        <v>0</v>
      </c>
      <c r="LRU28">
        <f t="array" ref="LRU28">_xlfn.XLOOKUP(LRU$11,Assumptions!$B$35:$H$35,_xlfn.XLOOKUP($C28,Assumptions!$B$36:$B$41,Assumptions!$B$36:$H$41))</f>
        <v>0</v>
      </c>
      <c r="LRV28">
        <f t="array" ref="LRV28">_xlfn.XLOOKUP(LRV$11,Assumptions!$B$35:$H$35,_xlfn.XLOOKUP($C28,Assumptions!$B$36:$B$41,Assumptions!$B$36:$H$41))</f>
        <v>0</v>
      </c>
      <c r="LRW28">
        <f t="array" ref="LRW28">_xlfn.XLOOKUP(LRW$11,Assumptions!$B$35:$H$35,_xlfn.XLOOKUP($C28,Assumptions!$B$36:$B$41,Assumptions!$B$36:$H$41))</f>
        <v>0</v>
      </c>
      <c r="LRX28">
        <f t="array" ref="LRX28">_xlfn.XLOOKUP(LRX$11,Assumptions!$B$35:$H$35,_xlfn.XLOOKUP($C28,Assumptions!$B$36:$B$41,Assumptions!$B$36:$H$41))</f>
        <v>0</v>
      </c>
      <c r="LRY28">
        <f t="array" ref="LRY28">_xlfn.XLOOKUP(LRY$11,Assumptions!$B$35:$H$35,_xlfn.XLOOKUP($C28,Assumptions!$B$36:$B$41,Assumptions!$B$36:$H$41))</f>
        <v>0</v>
      </c>
      <c r="LRZ28">
        <f t="array" ref="LRZ28">_xlfn.XLOOKUP(LRZ$11,Assumptions!$B$35:$H$35,_xlfn.XLOOKUP($C28,Assumptions!$B$36:$B$41,Assumptions!$B$36:$H$41))</f>
        <v>0</v>
      </c>
      <c r="LSA28">
        <f t="array" ref="LSA28">_xlfn.XLOOKUP(LSA$11,Assumptions!$B$35:$H$35,_xlfn.XLOOKUP($C28,Assumptions!$B$36:$B$41,Assumptions!$B$36:$H$41))</f>
        <v>0</v>
      </c>
      <c r="LSB28">
        <f t="array" ref="LSB28">_xlfn.XLOOKUP(LSB$11,Assumptions!$B$35:$H$35,_xlfn.XLOOKUP($C28,Assumptions!$B$36:$B$41,Assumptions!$B$36:$H$41))</f>
        <v>0</v>
      </c>
      <c r="LSC28">
        <f t="array" ref="LSC28">_xlfn.XLOOKUP(LSC$11,Assumptions!$B$35:$H$35,_xlfn.XLOOKUP($C28,Assumptions!$B$36:$B$41,Assumptions!$B$36:$H$41))</f>
        <v>0</v>
      </c>
      <c r="LSD28">
        <f t="array" ref="LSD28">_xlfn.XLOOKUP(LSD$11,Assumptions!$B$35:$H$35,_xlfn.XLOOKUP($C28,Assumptions!$B$36:$B$41,Assumptions!$B$36:$H$41))</f>
        <v>0</v>
      </c>
      <c r="LSE28">
        <f t="array" ref="LSE28">_xlfn.XLOOKUP(LSE$11,Assumptions!$B$35:$H$35,_xlfn.XLOOKUP($C28,Assumptions!$B$36:$B$41,Assumptions!$B$36:$H$41))</f>
        <v>0</v>
      </c>
      <c r="LSF28">
        <f t="array" ref="LSF28">_xlfn.XLOOKUP(LSF$11,Assumptions!$B$35:$H$35,_xlfn.XLOOKUP($C28,Assumptions!$B$36:$B$41,Assumptions!$B$36:$H$41))</f>
        <v>0</v>
      </c>
      <c r="LSG28">
        <f t="array" ref="LSG28">_xlfn.XLOOKUP(LSG$11,Assumptions!$B$35:$H$35,_xlfn.XLOOKUP($C28,Assumptions!$B$36:$B$41,Assumptions!$B$36:$H$41))</f>
        <v>0</v>
      </c>
      <c r="LSH28">
        <f t="array" ref="LSH28">_xlfn.XLOOKUP(LSH$11,Assumptions!$B$35:$H$35,_xlfn.XLOOKUP($C28,Assumptions!$B$36:$B$41,Assumptions!$B$36:$H$41))</f>
        <v>0</v>
      </c>
      <c r="LSI28">
        <f t="array" ref="LSI28">_xlfn.XLOOKUP(LSI$11,Assumptions!$B$35:$H$35,_xlfn.XLOOKUP($C28,Assumptions!$B$36:$B$41,Assumptions!$B$36:$H$41))</f>
        <v>0</v>
      </c>
      <c r="LSJ28">
        <f t="array" ref="LSJ28">_xlfn.XLOOKUP(LSJ$11,Assumptions!$B$35:$H$35,_xlfn.XLOOKUP($C28,Assumptions!$B$36:$B$41,Assumptions!$B$36:$H$41))</f>
        <v>0</v>
      </c>
      <c r="LSK28">
        <f t="array" ref="LSK28">_xlfn.XLOOKUP(LSK$11,Assumptions!$B$35:$H$35,_xlfn.XLOOKUP($C28,Assumptions!$B$36:$B$41,Assumptions!$B$36:$H$41))</f>
        <v>0</v>
      </c>
      <c r="LSL28">
        <f t="array" ref="LSL28">_xlfn.XLOOKUP(LSL$11,Assumptions!$B$35:$H$35,_xlfn.XLOOKUP($C28,Assumptions!$B$36:$B$41,Assumptions!$B$36:$H$41))</f>
        <v>0</v>
      </c>
      <c r="LSM28">
        <f t="array" ref="LSM28">_xlfn.XLOOKUP(LSM$11,Assumptions!$B$35:$H$35,_xlfn.XLOOKUP($C28,Assumptions!$B$36:$B$41,Assumptions!$B$36:$H$41))</f>
        <v>0</v>
      </c>
      <c r="LSN28">
        <f t="array" ref="LSN28">_xlfn.XLOOKUP(LSN$11,Assumptions!$B$35:$H$35,_xlfn.XLOOKUP($C28,Assumptions!$B$36:$B$41,Assumptions!$B$36:$H$41))</f>
        <v>0</v>
      </c>
      <c r="LSO28">
        <f t="array" ref="LSO28">_xlfn.XLOOKUP(LSO$11,Assumptions!$B$35:$H$35,_xlfn.XLOOKUP($C28,Assumptions!$B$36:$B$41,Assumptions!$B$36:$H$41))</f>
        <v>0</v>
      </c>
      <c r="LSP28">
        <f t="array" ref="LSP28">_xlfn.XLOOKUP(LSP$11,Assumptions!$B$35:$H$35,_xlfn.XLOOKUP($C28,Assumptions!$B$36:$B$41,Assumptions!$B$36:$H$41))</f>
        <v>0</v>
      </c>
      <c r="LSQ28">
        <f t="array" ref="LSQ28">_xlfn.XLOOKUP(LSQ$11,Assumptions!$B$35:$H$35,_xlfn.XLOOKUP($C28,Assumptions!$B$36:$B$41,Assumptions!$B$36:$H$41))</f>
        <v>0</v>
      </c>
      <c r="LSR28">
        <f t="array" ref="LSR28">_xlfn.XLOOKUP(LSR$11,Assumptions!$B$35:$H$35,_xlfn.XLOOKUP($C28,Assumptions!$B$36:$B$41,Assumptions!$B$36:$H$41))</f>
        <v>0</v>
      </c>
      <c r="LSS28">
        <f t="array" ref="LSS28">_xlfn.XLOOKUP(LSS$11,Assumptions!$B$35:$H$35,_xlfn.XLOOKUP($C28,Assumptions!$B$36:$B$41,Assumptions!$B$36:$H$41))</f>
        <v>0</v>
      </c>
      <c r="LST28">
        <f t="array" ref="LST28">_xlfn.XLOOKUP(LST$11,Assumptions!$B$35:$H$35,_xlfn.XLOOKUP($C28,Assumptions!$B$36:$B$41,Assumptions!$B$36:$H$41))</f>
        <v>0</v>
      </c>
      <c r="LSU28">
        <f t="array" ref="LSU28">_xlfn.XLOOKUP(LSU$11,Assumptions!$B$35:$H$35,_xlfn.XLOOKUP($C28,Assumptions!$B$36:$B$41,Assumptions!$B$36:$H$41))</f>
        <v>0</v>
      </c>
      <c r="LSV28">
        <f t="array" ref="LSV28">_xlfn.XLOOKUP(LSV$11,Assumptions!$B$35:$H$35,_xlfn.XLOOKUP($C28,Assumptions!$B$36:$B$41,Assumptions!$B$36:$H$41))</f>
        <v>0</v>
      </c>
      <c r="LSW28">
        <f t="array" ref="LSW28">_xlfn.XLOOKUP(LSW$11,Assumptions!$B$35:$H$35,_xlfn.XLOOKUP($C28,Assumptions!$B$36:$B$41,Assumptions!$B$36:$H$41))</f>
        <v>0</v>
      </c>
      <c r="LSX28">
        <f t="array" ref="LSX28">_xlfn.XLOOKUP(LSX$11,Assumptions!$B$35:$H$35,_xlfn.XLOOKUP($C28,Assumptions!$B$36:$B$41,Assumptions!$B$36:$H$41))</f>
        <v>0</v>
      </c>
      <c r="LSY28">
        <f t="array" ref="LSY28">_xlfn.XLOOKUP(LSY$11,Assumptions!$B$35:$H$35,_xlfn.XLOOKUP($C28,Assumptions!$B$36:$B$41,Assumptions!$B$36:$H$41))</f>
        <v>0</v>
      </c>
      <c r="LSZ28">
        <f t="array" ref="LSZ28">_xlfn.XLOOKUP(LSZ$11,Assumptions!$B$35:$H$35,_xlfn.XLOOKUP($C28,Assumptions!$B$36:$B$41,Assumptions!$B$36:$H$41))</f>
        <v>0</v>
      </c>
      <c r="LTA28">
        <f t="array" ref="LTA28">_xlfn.XLOOKUP(LTA$11,Assumptions!$B$35:$H$35,_xlfn.XLOOKUP($C28,Assumptions!$B$36:$B$41,Assumptions!$B$36:$H$41))</f>
        <v>0</v>
      </c>
      <c r="LTB28">
        <f t="array" ref="LTB28">_xlfn.XLOOKUP(LTB$11,Assumptions!$B$35:$H$35,_xlfn.XLOOKUP($C28,Assumptions!$B$36:$B$41,Assumptions!$B$36:$H$41))</f>
        <v>0</v>
      </c>
      <c r="LTC28">
        <f t="array" ref="LTC28">_xlfn.XLOOKUP(LTC$11,Assumptions!$B$35:$H$35,_xlfn.XLOOKUP($C28,Assumptions!$B$36:$B$41,Assumptions!$B$36:$H$41))</f>
        <v>0</v>
      </c>
      <c r="LTD28">
        <f t="array" ref="LTD28">_xlfn.XLOOKUP(LTD$11,Assumptions!$B$35:$H$35,_xlfn.XLOOKUP($C28,Assumptions!$B$36:$B$41,Assumptions!$B$36:$H$41))</f>
        <v>0</v>
      </c>
      <c r="LTE28">
        <f t="array" ref="LTE28">_xlfn.XLOOKUP(LTE$11,Assumptions!$B$35:$H$35,_xlfn.XLOOKUP($C28,Assumptions!$B$36:$B$41,Assumptions!$B$36:$H$41))</f>
        <v>0</v>
      </c>
      <c r="LTF28">
        <f t="array" ref="LTF28">_xlfn.XLOOKUP(LTF$11,Assumptions!$B$35:$H$35,_xlfn.XLOOKUP($C28,Assumptions!$B$36:$B$41,Assumptions!$B$36:$H$41))</f>
        <v>0</v>
      </c>
      <c r="LTG28">
        <f t="array" ref="LTG28">_xlfn.XLOOKUP(LTG$11,Assumptions!$B$35:$H$35,_xlfn.XLOOKUP($C28,Assumptions!$B$36:$B$41,Assumptions!$B$36:$H$41))</f>
        <v>0</v>
      </c>
      <c r="LTH28">
        <f t="array" ref="LTH28">_xlfn.XLOOKUP(LTH$11,Assumptions!$B$35:$H$35,_xlfn.XLOOKUP($C28,Assumptions!$B$36:$B$41,Assumptions!$B$36:$H$41))</f>
        <v>0</v>
      </c>
      <c r="LTI28">
        <f t="array" ref="LTI28">_xlfn.XLOOKUP(LTI$11,Assumptions!$B$35:$H$35,_xlfn.XLOOKUP($C28,Assumptions!$B$36:$B$41,Assumptions!$B$36:$H$41))</f>
        <v>0</v>
      </c>
      <c r="LTJ28">
        <f t="array" ref="LTJ28">_xlfn.XLOOKUP(LTJ$11,Assumptions!$B$35:$H$35,_xlfn.XLOOKUP($C28,Assumptions!$B$36:$B$41,Assumptions!$B$36:$H$41))</f>
        <v>0</v>
      </c>
      <c r="LTK28">
        <f t="array" ref="LTK28">_xlfn.XLOOKUP(LTK$11,Assumptions!$B$35:$H$35,_xlfn.XLOOKUP($C28,Assumptions!$B$36:$B$41,Assumptions!$B$36:$H$41))</f>
        <v>0</v>
      </c>
      <c r="LTL28">
        <f t="array" ref="LTL28">_xlfn.XLOOKUP(LTL$11,Assumptions!$B$35:$H$35,_xlfn.XLOOKUP($C28,Assumptions!$B$36:$B$41,Assumptions!$B$36:$H$41))</f>
        <v>0</v>
      </c>
      <c r="LTM28">
        <f t="array" ref="LTM28">_xlfn.XLOOKUP(LTM$11,Assumptions!$B$35:$H$35,_xlfn.XLOOKUP($C28,Assumptions!$B$36:$B$41,Assumptions!$B$36:$H$41))</f>
        <v>0</v>
      </c>
      <c r="LTN28">
        <f t="array" ref="LTN28">_xlfn.XLOOKUP(LTN$11,Assumptions!$B$35:$H$35,_xlfn.XLOOKUP($C28,Assumptions!$B$36:$B$41,Assumptions!$B$36:$H$41))</f>
        <v>0</v>
      </c>
      <c r="LTO28">
        <f t="array" ref="LTO28">_xlfn.XLOOKUP(LTO$11,Assumptions!$B$35:$H$35,_xlfn.XLOOKUP($C28,Assumptions!$B$36:$B$41,Assumptions!$B$36:$H$41))</f>
        <v>0</v>
      </c>
      <c r="LTP28">
        <f t="array" ref="LTP28">_xlfn.XLOOKUP(LTP$11,Assumptions!$B$35:$H$35,_xlfn.XLOOKUP($C28,Assumptions!$B$36:$B$41,Assumptions!$B$36:$H$41))</f>
        <v>0</v>
      </c>
      <c r="LTQ28">
        <f t="array" ref="LTQ28">_xlfn.XLOOKUP(LTQ$11,Assumptions!$B$35:$H$35,_xlfn.XLOOKUP($C28,Assumptions!$B$36:$B$41,Assumptions!$B$36:$H$41))</f>
        <v>0</v>
      </c>
      <c r="LTR28">
        <f t="array" ref="LTR28">_xlfn.XLOOKUP(LTR$11,Assumptions!$B$35:$H$35,_xlfn.XLOOKUP($C28,Assumptions!$B$36:$B$41,Assumptions!$B$36:$H$41))</f>
        <v>0</v>
      </c>
      <c r="LTS28">
        <f t="array" ref="LTS28">_xlfn.XLOOKUP(LTS$11,Assumptions!$B$35:$H$35,_xlfn.XLOOKUP($C28,Assumptions!$B$36:$B$41,Assumptions!$B$36:$H$41))</f>
        <v>0</v>
      </c>
      <c r="LTT28">
        <f t="array" ref="LTT28">_xlfn.XLOOKUP(LTT$11,Assumptions!$B$35:$H$35,_xlfn.XLOOKUP($C28,Assumptions!$B$36:$B$41,Assumptions!$B$36:$H$41))</f>
        <v>0</v>
      </c>
      <c r="LTU28">
        <f t="array" ref="LTU28">_xlfn.XLOOKUP(LTU$11,Assumptions!$B$35:$H$35,_xlfn.XLOOKUP($C28,Assumptions!$B$36:$B$41,Assumptions!$B$36:$H$41))</f>
        <v>0</v>
      </c>
      <c r="LTV28">
        <f t="array" ref="LTV28">_xlfn.XLOOKUP(LTV$11,Assumptions!$B$35:$H$35,_xlfn.XLOOKUP($C28,Assumptions!$B$36:$B$41,Assumptions!$B$36:$H$41))</f>
        <v>0</v>
      </c>
      <c r="LTW28">
        <f t="array" ref="LTW28">_xlfn.XLOOKUP(LTW$11,Assumptions!$B$35:$H$35,_xlfn.XLOOKUP($C28,Assumptions!$B$36:$B$41,Assumptions!$B$36:$H$41))</f>
        <v>0</v>
      </c>
      <c r="LTX28">
        <f t="array" ref="LTX28">_xlfn.XLOOKUP(LTX$11,Assumptions!$B$35:$H$35,_xlfn.XLOOKUP($C28,Assumptions!$B$36:$B$41,Assumptions!$B$36:$H$41))</f>
        <v>0</v>
      </c>
      <c r="LTY28">
        <f t="array" ref="LTY28">_xlfn.XLOOKUP(LTY$11,Assumptions!$B$35:$H$35,_xlfn.XLOOKUP($C28,Assumptions!$B$36:$B$41,Assumptions!$B$36:$H$41))</f>
        <v>0</v>
      </c>
      <c r="LTZ28">
        <f t="array" ref="LTZ28">_xlfn.XLOOKUP(LTZ$11,Assumptions!$B$35:$H$35,_xlfn.XLOOKUP($C28,Assumptions!$B$36:$B$41,Assumptions!$B$36:$H$41))</f>
        <v>0</v>
      </c>
      <c r="LUA28">
        <f t="array" ref="LUA28">_xlfn.XLOOKUP(LUA$11,Assumptions!$B$35:$H$35,_xlfn.XLOOKUP($C28,Assumptions!$B$36:$B$41,Assumptions!$B$36:$H$41))</f>
        <v>0</v>
      </c>
      <c r="LUB28">
        <f t="array" ref="LUB28">_xlfn.XLOOKUP(LUB$11,Assumptions!$B$35:$H$35,_xlfn.XLOOKUP($C28,Assumptions!$B$36:$B$41,Assumptions!$B$36:$H$41))</f>
        <v>0</v>
      </c>
      <c r="LUC28">
        <f t="array" ref="LUC28">_xlfn.XLOOKUP(LUC$11,Assumptions!$B$35:$H$35,_xlfn.XLOOKUP($C28,Assumptions!$B$36:$B$41,Assumptions!$B$36:$H$41))</f>
        <v>0</v>
      </c>
      <c r="LUD28">
        <f t="array" ref="LUD28">_xlfn.XLOOKUP(LUD$11,Assumptions!$B$35:$H$35,_xlfn.XLOOKUP($C28,Assumptions!$B$36:$B$41,Assumptions!$B$36:$H$41))</f>
        <v>0</v>
      </c>
      <c r="LUE28">
        <f t="array" ref="LUE28">_xlfn.XLOOKUP(LUE$11,Assumptions!$B$35:$H$35,_xlfn.XLOOKUP($C28,Assumptions!$B$36:$B$41,Assumptions!$B$36:$H$41))</f>
        <v>0</v>
      </c>
      <c r="LUF28">
        <f t="array" ref="LUF28">_xlfn.XLOOKUP(LUF$11,Assumptions!$B$35:$H$35,_xlfn.XLOOKUP($C28,Assumptions!$B$36:$B$41,Assumptions!$B$36:$H$41))</f>
        <v>0</v>
      </c>
      <c r="LUG28">
        <f t="array" ref="LUG28">_xlfn.XLOOKUP(LUG$11,Assumptions!$B$35:$H$35,_xlfn.XLOOKUP($C28,Assumptions!$B$36:$B$41,Assumptions!$B$36:$H$41))</f>
        <v>0</v>
      </c>
      <c r="LUH28">
        <f t="array" ref="LUH28">_xlfn.XLOOKUP(LUH$11,Assumptions!$B$35:$H$35,_xlfn.XLOOKUP($C28,Assumptions!$B$36:$B$41,Assumptions!$B$36:$H$41))</f>
        <v>0</v>
      </c>
      <c r="LUI28">
        <f t="array" ref="LUI28">_xlfn.XLOOKUP(LUI$11,Assumptions!$B$35:$H$35,_xlfn.XLOOKUP($C28,Assumptions!$B$36:$B$41,Assumptions!$B$36:$H$41))</f>
        <v>0</v>
      </c>
      <c r="LUJ28">
        <f t="array" ref="LUJ28">_xlfn.XLOOKUP(LUJ$11,Assumptions!$B$35:$H$35,_xlfn.XLOOKUP($C28,Assumptions!$B$36:$B$41,Assumptions!$B$36:$H$41))</f>
        <v>0</v>
      </c>
      <c r="LUK28">
        <f t="array" ref="LUK28">_xlfn.XLOOKUP(LUK$11,Assumptions!$B$35:$H$35,_xlfn.XLOOKUP($C28,Assumptions!$B$36:$B$41,Assumptions!$B$36:$H$41))</f>
        <v>0</v>
      </c>
      <c r="LUL28">
        <f t="array" ref="LUL28">_xlfn.XLOOKUP(LUL$11,Assumptions!$B$35:$H$35,_xlfn.XLOOKUP($C28,Assumptions!$B$36:$B$41,Assumptions!$B$36:$H$41))</f>
        <v>0</v>
      </c>
      <c r="LUM28">
        <f t="array" ref="LUM28">_xlfn.XLOOKUP(LUM$11,Assumptions!$B$35:$H$35,_xlfn.XLOOKUP($C28,Assumptions!$B$36:$B$41,Assumptions!$B$36:$H$41))</f>
        <v>0</v>
      </c>
      <c r="LUN28">
        <f t="array" ref="LUN28">_xlfn.XLOOKUP(LUN$11,Assumptions!$B$35:$H$35,_xlfn.XLOOKUP($C28,Assumptions!$B$36:$B$41,Assumptions!$B$36:$H$41))</f>
        <v>0</v>
      </c>
      <c r="LUO28">
        <f t="array" ref="LUO28">_xlfn.XLOOKUP(LUO$11,Assumptions!$B$35:$H$35,_xlfn.XLOOKUP($C28,Assumptions!$B$36:$B$41,Assumptions!$B$36:$H$41))</f>
        <v>0</v>
      </c>
      <c r="LUP28">
        <f t="array" ref="LUP28">_xlfn.XLOOKUP(LUP$11,Assumptions!$B$35:$H$35,_xlfn.XLOOKUP($C28,Assumptions!$B$36:$B$41,Assumptions!$B$36:$H$41))</f>
        <v>0</v>
      </c>
      <c r="LUQ28">
        <f t="array" ref="LUQ28">_xlfn.XLOOKUP(LUQ$11,Assumptions!$B$35:$H$35,_xlfn.XLOOKUP($C28,Assumptions!$B$36:$B$41,Assumptions!$B$36:$H$41))</f>
        <v>0</v>
      </c>
      <c r="LUR28">
        <f t="array" ref="LUR28">_xlfn.XLOOKUP(LUR$11,Assumptions!$B$35:$H$35,_xlfn.XLOOKUP($C28,Assumptions!$B$36:$B$41,Assumptions!$B$36:$H$41))</f>
        <v>0</v>
      </c>
      <c r="LUS28">
        <f t="array" ref="LUS28">_xlfn.XLOOKUP(LUS$11,Assumptions!$B$35:$H$35,_xlfn.XLOOKUP($C28,Assumptions!$B$36:$B$41,Assumptions!$B$36:$H$41))</f>
        <v>0</v>
      </c>
      <c r="LUT28">
        <f t="array" ref="LUT28">_xlfn.XLOOKUP(LUT$11,Assumptions!$B$35:$H$35,_xlfn.XLOOKUP($C28,Assumptions!$B$36:$B$41,Assumptions!$B$36:$H$41))</f>
        <v>0</v>
      </c>
      <c r="LUU28">
        <f t="array" ref="LUU28">_xlfn.XLOOKUP(LUU$11,Assumptions!$B$35:$H$35,_xlfn.XLOOKUP($C28,Assumptions!$B$36:$B$41,Assumptions!$B$36:$H$41))</f>
        <v>0</v>
      </c>
      <c r="LUV28">
        <f t="array" ref="LUV28">_xlfn.XLOOKUP(LUV$11,Assumptions!$B$35:$H$35,_xlfn.XLOOKUP($C28,Assumptions!$B$36:$B$41,Assumptions!$B$36:$H$41))</f>
        <v>0</v>
      </c>
      <c r="LUW28">
        <f t="array" ref="LUW28">_xlfn.XLOOKUP(LUW$11,Assumptions!$B$35:$H$35,_xlfn.XLOOKUP($C28,Assumptions!$B$36:$B$41,Assumptions!$B$36:$H$41))</f>
        <v>0</v>
      </c>
      <c r="LUX28">
        <f t="array" ref="LUX28">_xlfn.XLOOKUP(LUX$11,Assumptions!$B$35:$H$35,_xlfn.XLOOKUP($C28,Assumptions!$B$36:$B$41,Assumptions!$B$36:$H$41))</f>
        <v>0</v>
      </c>
      <c r="LUY28">
        <f t="array" ref="LUY28">_xlfn.XLOOKUP(LUY$11,Assumptions!$B$35:$H$35,_xlfn.XLOOKUP($C28,Assumptions!$B$36:$B$41,Assumptions!$B$36:$H$41))</f>
        <v>0</v>
      </c>
      <c r="LUZ28">
        <f t="array" ref="LUZ28">_xlfn.XLOOKUP(LUZ$11,Assumptions!$B$35:$H$35,_xlfn.XLOOKUP($C28,Assumptions!$B$36:$B$41,Assumptions!$B$36:$H$41))</f>
        <v>0</v>
      </c>
      <c r="LVA28">
        <f t="array" ref="LVA28">_xlfn.XLOOKUP(LVA$11,Assumptions!$B$35:$H$35,_xlfn.XLOOKUP($C28,Assumptions!$B$36:$B$41,Assumptions!$B$36:$H$41))</f>
        <v>0</v>
      </c>
      <c r="LVB28">
        <f t="array" ref="LVB28">_xlfn.XLOOKUP(LVB$11,Assumptions!$B$35:$H$35,_xlfn.XLOOKUP($C28,Assumptions!$B$36:$B$41,Assumptions!$B$36:$H$41))</f>
        <v>0</v>
      </c>
      <c r="LVC28">
        <f t="array" ref="LVC28">_xlfn.XLOOKUP(LVC$11,Assumptions!$B$35:$H$35,_xlfn.XLOOKUP($C28,Assumptions!$B$36:$B$41,Assumptions!$B$36:$H$41))</f>
        <v>0</v>
      </c>
      <c r="LVD28">
        <f t="array" ref="LVD28">_xlfn.XLOOKUP(LVD$11,Assumptions!$B$35:$H$35,_xlfn.XLOOKUP($C28,Assumptions!$B$36:$B$41,Assumptions!$B$36:$H$41))</f>
        <v>0</v>
      </c>
      <c r="LVE28">
        <f t="array" ref="LVE28">_xlfn.XLOOKUP(LVE$11,Assumptions!$B$35:$H$35,_xlfn.XLOOKUP($C28,Assumptions!$B$36:$B$41,Assumptions!$B$36:$H$41))</f>
        <v>0</v>
      </c>
      <c r="LVF28">
        <f t="array" ref="LVF28">_xlfn.XLOOKUP(LVF$11,Assumptions!$B$35:$H$35,_xlfn.XLOOKUP($C28,Assumptions!$B$36:$B$41,Assumptions!$B$36:$H$41))</f>
        <v>0</v>
      </c>
      <c r="LVG28">
        <f t="array" ref="LVG28">_xlfn.XLOOKUP(LVG$11,Assumptions!$B$35:$H$35,_xlfn.XLOOKUP($C28,Assumptions!$B$36:$B$41,Assumptions!$B$36:$H$41))</f>
        <v>0</v>
      </c>
      <c r="LVH28">
        <f t="array" ref="LVH28">_xlfn.XLOOKUP(LVH$11,Assumptions!$B$35:$H$35,_xlfn.XLOOKUP($C28,Assumptions!$B$36:$B$41,Assumptions!$B$36:$H$41))</f>
        <v>0</v>
      </c>
      <c r="LVI28">
        <f t="array" ref="LVI28">_xlfn.XLOOKUP(LVI$11,Assumptions!$B$35:$H$35,_xlfn.XLOOKUP($C28,Assumptions!$B$36:$B$41,Assumptions!$B$36:$H$41))</f>
        <v>0</v>
      </c>
      <c r="LVJ28">
        <f t="array" ref="LVJ28">_xlfn.XLOOKUP(LVJ$11,Assumptions!$B$35:$H$35,_xlfn.XLOOKUP($C28,Assumptions!$B$36:$B$41,Assumptions!$B$36:$H$41))</f>
        <v>0</v>
      </c>
      <c r="LVK28">
        <f t="array" ref="LVK28">_xlfn.XLOOKUP(LVK$11,Assumptions!$B$35:$H$35,_xlfn.XLOOKUP($C28,Assumptions!$B$36:$B$41,Assumptions!$B$36:$H$41))</f>
        <v>0</v>
      </c>
      <c r="LVL28">
        <f t="array" ref="LVL28">_xlfn.XLOOKUP(LVL$11,Assumptions!$B$35:$H$35,_xlfn.XLOOKUP($C28,Assumptions!$B$36:$B$41,Assumptions!$B$36:$H$41))</f>
        <v>0</v>
      </c>
      <c r="LVM28">
        <f t="array" ref="LVM28">_xlfn.XLOOKUP(LVM$11,Assumptions!$B$35:$H$35,_xlfn.XLOOKUP($C28,Assumptions!$B$36:$B$41,Assumptions!$B$36:$H$41))</f>
        <v>0</v>
      </c>
      <c r="LVN28">
        <f t="array" ref="LVN28">_xlfn.XLOOKUP(LVN$11,Assumptions!$B$35:$H$35,_xlfn.XLOOKUP($C28,Assumptions!$B$36:$B$41,Assumptions!$B$36:$H$41))</f>
        <v>0</v>
      </c>
      <c r="LVO28">
        <f t="array" ref="LVO28">_xlfn.XLOOKUP(LVO$11,Assumptions!$B$35:$H$35,_xlfn.XLOOKUP($C28,Assumptions!$B$36:$B$41,Assumptions!$B$36:$H$41))</f>
        <v>0</v>
      </c>
      <c r="LVP28">
        <f t="array" ref="LVP28">_xlfn.XLOOKUP(LVP$11,Assumptions!$B$35:$H$35,_xlfn.XLOOKUP($C28,Assumptions!$B$36:$B$41,Assumptions!$B$36:$H$41))</f>
        <v>0</v>
      </c>
      <c r="LVQ28">
        <f t="array" ref="LVQ28">_xlfn.XLOOKUP(LVQ$11,Assumptions!$B$35:$H$35,_xlfn.XLOOKUP($C28,Assumptions!$B$36:$B$41,Assumptions!$B$36:$H$41))</f>
        <v>0</v>
      </c>
      <c r="LVR28">
        <f t="array" ref="LVR28">_xlfn.XLOOKUP(LVR$11,Assumptions!$B$35:$H$35,_xlfn.XLOOKUP($C28,Assumptions!$B$36:$B$41,Assumptions!$B$36:$H$41))</f>
        <v>0</v>
      </c>
      <c r="LVS28">
        <f t="array" ref="LVS28">_xlfn.XLOOKUP(LVS$11,Assumptions!$B$35:$H$35,_xlfn.XLOOKUP($C28,Assumptions!$B$36:$B$41,Assumptions!$B$36:$H$41))</f>
        <v>0</v>
      </c>
      <c r="LVT28">
        <f t="array" ref="LVT28">_xlfn.XLOOKUP(LVT$11,Assumptions!$B$35:$H$35,_xlfn.XLOOKUP($C28,Assumptions!$B$36:$B$41,Assumptions!$B$36:$H$41))</f>
        <v>0</v>
      </c>
      <c r="LVU28">
        <f t="array" ref="LVU28">_xlfn.XLOOKUP(LVU$11,Assumptions!$B$35:$H$35,_xlfn.XLOOKUP($C28,Assumptions!$B$36:$B$41,Assumptions!$B$36:$H$41))</f>
        <v>0</v>
      </c>
      <c r="LVV28">
        <f t="array" ref="LVV28">_xlfn.XLOOKUP(LVV$11,Assumptions!$B$35:$H$35,_xlfn.XLOOKUP($C28,Assumptions!$B$36:$B$41,Assumptions!$B$36:$H$41))</f>
        <v>0</v>
      </c>
      <c r="LVW28">
        <f t="array" ref="LVW28">_xlfn.XLOOKUP(LVW$11,Assumptions!$B$35:$H$35,_xlfn.XLOOKUP($C28,Assumptions!$B$36:$B$41,Assumptions!$B$36:$H$41))</f>
        <v>0</v>
      </c>
      <c r="LVX28">
        <f t="array" ref="LVX28">_xlfn.XLOOKUP(LVX$11,Assumptions!$B$35:$H$35,_xlfn.XLOOKUP($C28,Assumptions!$B$36:$B$41,Assumptions!$B$36:$H$41))</f>
        <v>0</v>
      </c>
      <c r="LVY28">
        <f t="array" ref="LVY28">_xlfn.XLOOKUP(LVY$11,Assumptions!$B$35:$H$35,_xlfn.XLOOKUP($C28,Assumptions!$B$36:$B$41,Assumptions!$B$36:$H$41))</f>
        <v>0</v>
      </c>
      <c r="LVZ28">
        <f t="array" ref="LVZ28">_xlfn.XLOOKUP(LVZ$11,Assumptions!$B$35:$H$35,_xlfn.XLOOKUP($C28,Assumptions!$B$36:$B$41,Assumptions!$B$36:$H$41))</f>
        <v>0</v>
      </c>
      <c r="LWA28">
        <f t="array" ref="LWA28">_xlfn.XLOOKUP(LWA$11,Assumptions!$B$35:$H$35,_xlfn.XLOOKUP($C28,Assumptions!$B$36:$B$41,Assumptions!$B$36:$H$41))</f>
        <v>0</v>
      </c>
      <c r="LWB28">
        <f t="array" ref="LWB28">_xlfn.XLOOKUP(LWB$11,Assumptions!$B$35:$H$35,_xlfn.XLOOKUP($C28,Assumptions!$B$36:$B$41,Assumptions!$B$36:$H$41))</f>
        <v>0</v>
      </c>
      <c r="LWC28">
        <f t="array" ref="LWC28">_xlfn.XLOOKUP(LWC$11,Assumptions!$B$35:$H$35,_xlfn.XLOOKUP($C28,Assumptions!$B$36:$B$41,Assumptions!$B$36:$H$41))</f>
        <v>0</v>
      </c>
      <c r="LWD28">
        <f t="array" ref="LWD28">_xlfn.XLOOKUP(LWD$11,Assumptions!$B$35:$H$35,_xlfn.XLOOKUP($C28,Assumptions!$B$36:$B$41,Assumptions!$B$36:$H$41))</f>
        <v>0</v>
      </c>
      <c r="LWE28">
        <f t="array" ref="LWE28">_xlfn.XLOOKUP(LWE$11,Assumptions!$B$35:$H$35,_xlfn.XLOOKUP($C28,Assumptions!$B$36:$B$41,Assumptions!$B$36:$H$41))</f>
        <v>0</v>
      </c>
      <c r="LWF28">
        <f t="array" ref="LWF28">_xlfn.XLOOKUP(LWF$11,Assumptions!$B$35:$H$35,_xlfn.XLOOKUP($C28,Assumptions!$B$36:$B$41,Assumptions!$B$36:$H$41))</f>
        <v>0</v>
      </c>
      <c r="LWG28">
        <f t="array" ref="LWG28">_xlfn.XLOOKUP(LWG$11,Assumptions!$B$35:$H$35,_xlfn.XLOOKUP($C28,Assumptions!$B$36:$B$41,Assumptions!$B$36:$H$41))</f>
        <v>0</v>
      </c>
      <c r="LWH28">
        <f t="array" ref="LWH28">_xlfn.XLOOKUP(LWH$11,Assumptions!$B$35:$H$35,_xlfn.XLOOKUP($C28,Assumptions!$B$36:$B$41,Assumptions!$B$36:$H$41))</f>
        <v>0</v>
      </c>
      <c r="LWI28">
        <f t="array" ref="LWI28">_xlfn.XLOOKUP(LWI$11,Assumptions!$B$35:$H$35,_xlfn.XLOOKUP($C28,Assumptions!$B$36:$B$41,Assumptions!$B$36:$H$41))</f>
        <v>0</v>
      </c>
      <c r="LWJ28">
        <f t="array" ref="LWJ28">_xlfn.XLOOKUP(LWJ$11,Assumptions!$B$35:$H$35,_xlfn.XLOOKUP($C28,Assumptions!$B$36:$B$41,Assumptions!$B$36:$H$41))</f>
        <v>0</v>
      </c>
      <c r="LWK28">
        <f t="array" ref="LWK28">_xlfn.XLOOKUP(LWK$11,Assumptions!$B$35:$H$35,_xlfn.XLOOKUP($C28,Assumptions!$B$36:$B$41,Assumptions!$B$36:$H$41))</f>
        <v>0</v>
      </c>
      <c r="LWL28">
        <f t="array" ref="LWL28">_xlfn.XLOOKUP(LWL$11,Assumptions!$B$35:$H$35,_xlfn.XLOOKUP($C28,Assumptions!$B$36:$B$41,Assumptions!$B$36:$H$41))</f>
        <v>0</v>
      </c>
      <c r="LWM28">
        <f t="array" ref="LWM28">_xlfn.XLOOKUP(LWM$11,Assumptions!$B$35:$H$35,_xlfn.XLOOKUP($C28,Assumptions!$B$36:$B$41,Assumptions!$B$36:$H$41))</f>
        <v>0</v>
      </c>
      <c r="LWN28">
        <f t="array" ref="LWN28">_xlfn.XLOOKUP(LWN$11,Assumptions!$B$35:$H$35,_xlfn.XLOOKUP($C28,Assumptions!$B$36:$B$41,Assumptions!$B$36:$H$41))</f>
        <v>0</v>
      </c>
      <c r="LWO28">
        <f t="array" ref="LWO28">_xlfn.XLOOKUP(LWO$11,Assumptions!$B$35:$H$35,_xlfn.XLOOKUP($C28,Assumptions!$B$36:$B$41,Assumptions!$B$36:$H$41))</f>
        <v>0</v>
      </c>
      <c r="LWP28">
        <f t="array" ref="LWP28">_xlfn.XLOOKUP(LWP$11,Assumptions!$B$35:$H$35,_xlfn.XLOOKUP($C28,Assumptions!$B$36:$B$41,Assumptions!$B$36:$H$41))</f>
        <v>0</v>
      </c>
      <c r="LWQ28">
        <f t="array" ref="LWQ28">_xlfn.XLOOKUP(LWQ$11,Assumptions!$B$35:$H$35,_xlfn.XLOOKUP($C28,Assumptions!$B$36:$B$41,Assumptions!$B$36:$H$41))</f>
        <v>0</v>
      </c>
      <c r="LWR28">
        <f t="array" ref="LWR28">_xlfn.XLOOKUP(LWR$11,Assumptions!$B$35:$H$35,_xlfn.XLOOKUP($C28,Assumptions!$B$36:$B$41,Assumptions!$B$36:$H$41))</f>
        <v>0</v>
      </c>
      <c r="LWS28">
        <f t="array" ref="LWS28">_xlfn.XLOOKUP(LWS$11,Assumptions!$B$35:$H$35,_xlfn.XLOOKUP($C28,Assumptions!$B$36:$B$41,Assumptions!$B$36:$H$41))</f>
        <v>0</v>
      </c>
      <c r="LWT28">
        <f t="array" ref="LWT28">_xlfn.XLOOKUP(LWT$11,Assumptions!$B$35:$H$35,_xlfn.XLOOKUP($C28,Assumptions!$B$36:$B$41,Assumptions!$B$36:$H$41))</f>
        <v>0</v>
      </c>
      <c r="LWU28">
        <f t="array" ref="LWU28">_xlfn.XLOOKUP(LWU$11,Assumptions!$B$35:$H$35,_xlfn.XLOOKUP($C28,Assumptions!$B$36:$B$41,Assumptions!$B$36:$H$41))</f>
        <v>0</v>
      </c>
      <c r="LWV28">
        <f t="array" ref="LWV28">_xlfn.XLOOKUP(LWV$11,Assumptions!$B$35:$H$35,_xlfn.XLOOKUP($C28,Assumptions!$B$36:$B$41,Assumptions!$B$36:$H$41))</f>
        <v>0</v>
      </c>
      <c r="LWW28">
        <f t="array" ref="LWW28">_xlfn.XLOOKUP(LWW$11,Assumptions!$B$35:$H$35,_xlfn.XLOOKUP($C28,Assumptions!$B$36:$B$41,Assumptions!$B$36:$H$41))</f>
        <v>0</v>
      </c>
      <c r="LWX28">
        <f t="array" ref="LWX28">_xlfn.XLOOKUP(LWX$11,Assumptions!$B$35:$H$35,_xlfn.XLOOKUP($C28,Assumptions!$B$36:$B$41,Assumptions!$B$36:$H$41))</f>
        <v>0</v>
      </c>
      <c r="LWY28">
        <f t="array" ref="LWY28">_xlfn.XLOOKUP(LWY$11,Assumptions!$B$35:$H$35,_xlfn.XLOOKUP($C28,Assumptions!$B$36:$B$41,Assumptions!$B$36:$H$41))</f>
        <v>0</v>
      </c>
      <c r="LWZ28">
        <f t="array" ref="LWZ28">_xlfn.XLOOKUP(LWZ$11,Assumptions!$B$35:$H$35,_xlfn.XLOOKUP($C28,Assumptions!$B$36:$B$41,Assumptions!$B$36:$H$41))</f>
        <v>0</v>
      </c>
      <c r="LXA28">
        <f t="array" ref="LXA28">_xlfn.XLOOKUP(LXA$11,Assumptions!$B$35:$H$35,_xlfn.XLOOKUP($C28,Assumptions!$B$36:$B$41,Assumptions!$B$36:$H$41))</f>
        <v>0</v>
      </c>
      <c r="LXB28">
        <f t="array" ref="LXB28">_xlfn.XLOOKUP(LXB$11,Assumptions!$B$35:$H$35,_xlfn.XLOOKUP($C28,Assumptions!$B$36:$B$41,Assumptions!$B$36:$H$41))</f>
        <v>0</v>
      </c>
      <c r="LXC28">
        <f t="array" ref="LXC28">_xlfn.XLOOKUP(LXC$11,Assumptions!$B$35:$H$35,_xlfn.XLOOKUP($C28,Assumptions!$B$36:$B$41,Assumptions!$B$36:$H$41))</f>
        <v>0</v>
      </c>
      <c r="LXD28">
        <f t="array" ref="LXD28">_xlfn.XLOOKUP(LXD$11,Assumptions!$B$35:$H$35,_xlfn.XLOOKUP($C28,Assumptions!$B$36:$B$41,Assumptions!$B$36:$H$41))</f>
        <v>0</v>
      </c>
      <c r="LXE28">
        <f t="array" ref="LXE28">_xlfn.XLOOKUP(LXE$11,Assumptions!$B$35:$H$35,_xlfn.XLOOKUP($C28,Assumptions!$B$36:$B$41,Assumptions!$B$36:$H$41))</f>
        <v>0</v>
      </c>
      <c r="LXF28">
        <f t="array" ref="LXF28">_xlfn.XLOOKUP(LXF$11,Assumptions!$B$35:$H$35,_xlfn.XLOOKUP($C28,Assumptions!$B$36:$B$41,Assumptions!$B$36:$H$41))</f>
        <v>0</v>
      </c>
      <c r="LXG28">
        <f t="array" ref="LXG28">_xlfn.XLOOKUP(LXG$11,Assumptions!$B$35:$H$35,_xlfn.XLOOKUP($C28,Assumptions!$B$36:$B$41,Assumptions!$B$36:$H$41))</f>
        <v>0</v>
      </c>
      <c r="LXH28">
        <f t="array" ref="LXH28">_xlfn.XLOOKUP(LXH$11,Assumptions!$B$35:$H$35,_xlfn.XLOOKUP($C28,Assumptions!$B$36:$B$41,Assumptions!$B$36:$H$41))</f>
        <v>0</v>
      </c>
      <c r="LXI28">
        <f t="array" ref="LXI28">_xlfn.XLOOKUP(LXI$11,Assumptions!$B$35:$H$35,_xlfn.XLOOKUP($C28,Assumptions!$B$36:$B$41,Assumptions!$B$36:$H$41))</f>
        <v>0</v>
      </c>
      <c r="LXJ28">
        <f t="array" ref="LXJ28">_xlfn.XLOOKUP(LXJ$11,Assumptions!$B$35:$H$35,_xlfn.XLOOKUP($C28,Assumptions!$B$36:$B$41,Assumptions!$B$36:$H$41))</f>
        <v>0</v>
      </c>
      <c r="LXK28">
        <f t="array" ref="LXK28">_xlfn.XLOOKUP(LXK$11,Assumptions!$B$35:$H$35,_xlfn.XLOOKUP($C28,Assumptions!$B$36:$B$41,Assumptions!$B$36:$H$41))</f>
        <v>0</v>
      </c>
      <c r="LXL28">
        <f t="array" ref="LXL28">_xlfn.XLOOKUP(LXL$11,Assumptions!$B$35:$H$35,_xlfn.XLOOKUP($C28,Assumptions!$B$36:$B$41,Assumptions!$B$36:$H$41))</f>
        <v>0</v>
      </c>
      <c r="LXM28">
        <f t="array" ref="LXM28">_xlfn.XLOOKUP(LXM$11,Assumptions!$B$35:$H$35,_xlfn.XLOOKUP($C28,Assumptions!$B$36:$B$41,Assumptions!$B$36:$H$41))</f>
        <v>0</v>
      </c>
      <c r="LXN28">
        <f t="array" ref="LXN28">_xlfn.XLOOKUP(LXN$11,Assumptions!$B$35:$H$35,_xlfn.XLOOKUP($C28,Assumptions!$B$36:$B$41,Assumptions!$B$36:$H$41))</f>
        <v>0</v>
      </c>
      <c r="LXO28">
        <f t="array" ref="LXO28">_xlfn.XLOOKUP(LXO$11,Assumptions!$B$35:$H$35,_xlfn.XLOOKUP($C28,Assumptions!$B$36:$B$41,Assumptions!$B$36:$H$41))</f>
        <v>0</v>
      </c>
      <c r="LXP28">
        <f t="array" ref="LXP28">_xlfn.XLOOKUP(LXP$11,Assumptions!$B$35:$H$35,_xlfn.XLOOKUP($C28,Assumptions!$B$36:$B$41,Assumptions!$B$36:$H$41))</f>
        <v>0</v>
      </c>
      <c r="LXQ28">
        <f t="array" ref="LXQ28">_xlfn.XLOOKUP(LXQ$11,Assumptions!$B$35:$H$35,_xlfn.XLOOKUP($C28,Assumptions!$B$36:$B$41,Assumptions!$B$36:$H$41))</f>
        <v>0</v>
      </c>
      <c r="LXR28">
        <f t="array" ref="LXR28">_xlfn.XLOOKUP(LXR$11,Assumptions!$B$35:$H$35,_xlfn.XLOOKUP($C28,Assumptions!$B$36:$B$41,Assumptions!$B$36:$H$41))</f>
        <v>0</v>
      </c>
      <c r="LXS28">
        <f t="array" ref="LXS28">_xlfn.XLOOKUP(LXS$11,Assumptions!$B$35:$H$35,_xlfn.XLOOKUP($C28,Assumptions!$B$36:$B$41,Assumptions!$B$36:$H$41))</f>
        <v>0</v>
      </c>
      <c r="LXT28">
        <f t="array" ref="LXT28">_xlfn.XLOOKUP(LXT$11,Assumptions!$B$35:$H$35,_xlfn.XLOOKUP($C28,Assumptions!$B$36:$B$41,Assumptions!$B$36:$H$41))</f>
        <v>0</v>
      </c>
      <c r="LXU28">
        <f t="array" ref="LXU28">_xlfn.XLOOKUP(LXU$11,Assumptions!$B$35:$H$35,_xlfn.XLOOKUP($C28,Assumptions!$B$36:$B$41,Assumptions!$B$36:$H$41))</f>
        <v>0</v>
      </c>
      <c r="LXV28">
        <f t="array" ref="LXV28">_xlfn.XLOOKUP(LXV$11,Assumptions!$B$35:$H$35,_xlfn.XLOOKUP($C28,Assumptions!$B$36:$B$41,Assumptions!$B$36:$H$41))</f>
        <v>0</v>
      </c>
      <c r="LXW28">
        <f t="array" ref="LXW28">_xlfn.XLOOKUP(LXW$11,Assumptions!$B$35:$H$35,_xlfn.XLOOKUP($C28,Assumptions!$B$36:$B$41,Assumptions!$B$36:$H$41))</f>
        <v>0</v>
      </c>
      <c r="LXX28">
        <f t="array" ref="LXX28">_xlfn.XLOOKUP(LXX$11,Assumptions!$B$35:$H$35,_xlfn.XLOOKUP($C28,Assumptions!$B$36:$B$41,Assumptions!$B$36:$H$41))</f>
        <v>0</v>
      </c>
      <c r="LXY28">
        <f t="array" ref="LXY28">_xlfn.XLOOKUP(LXY$11,Assumptions!$B$35:$H$35,_xlfn.XLOOKUP($C28,Assumptions!$B$36:$B$41,Assumptions!$B$36:$H$41))</f>
        <v>0</v>
      </c>
      <c r="LXZ28">
        <f t="array" ref="LXZ28">_xlfn.XLOOKUP(LXZ$11,Assumptions!$B$35:$H$35,_xlfn.XLOOKUP($C28,Assumptions!$B$36:$B$41,Assumptions!$B$36:$H$41))</f>
        <v>0</v>
      </c>
      <c r="LYA28">
        <f t="array" ref="LYA28">_xlfn.XLOOKUP(LYA$11,Assumptions!$B$35:$H$35,_xlfn.XLOOKUP($C28,Assumptions!$B$36:$B$41,Assumptions!$B$36:$H$41))</f>
        <v>0</v>
      </c>
      <c r="LYB28">
        <f t="array" ref="LYB28">_xlfn.XLOOKUP(LYB$11,Assumptions!$B$35:$H$35,_xlfn.XLOOKUP($C28,Assumptions!$B$36:$B$41,Assumptions!$B$36:$H$41))</f>
        <v>0</v>
      </c>
      <c r="LYC28">
        <f t="array" ref="LYC28">_xlfn.XLOOKUP(LYC$11,Assumptions!$B$35:$H$35,_xlfn.XLOOKUP($C28,Assumptions!$B$36:$B$41,Assumptions!$B$36:$H$41))</f>
        <v>0</v>
      </c>
      <c r="LYD28">
        <f t="array" ref="LYD28">_xlfn.XLOOKUP(LYD$11,Assumptions!$B$35:$H$35,_xlfn.XLOOKUP($C28,Assumptions!$B$36:$B$41,Assumptions!$B$36:$H$41))</f>
        <v>0</v>
      </c>
      <c r="LYE28">
        <f t="array" ref="LYE28">_xlfn.XLOOKUP(LYE$11,Assumptions!$B$35:$H$35,_xlfn.XLOOKUP($C28,Assumptions!$B$36:$B$41,Assumptions!$B$36:$H$41))</f>
        <v>0</v>
      </c>
      <c r="LYF28">
        <f t="array" ref="LYF28">_xlfn.XLOOKUP(LYF$11,Assumptions!$B$35:$H$35,_xlfn.XLOOKUP($C28,Assumptions!$B$36:$B$41,Assumptions!$B$36:$H$41))</f>
        <v>0</v>
      </c>
      <c r="LYG28">
        <f t="array" ref="LYG28">_xlfn.XLOOKUP(LYG$11,Assumptions!$B$35:$H$35,_xlfn.XLOOKUP($C28,Assumptions!$B$36:$B$41,Assumptions!$B$36:$H$41))</f>
        <v>0</v>
      </c>
      <c r="LYH28">
        <f t="array" ref="LYH28">_xlfn.XLOOKUP(LYH$11,Assumptions!$B$35:$H$35,_xlfn.XLOOKUP($C28,Assumptions!$B$36:$B$41,Assumptions!$B$36:$H$41))</f>
        <v>0</v>
      </c>
      <c r="LYI28">
        <f t="array" ref="LYI28">_xlfn.XLOOKUP(LYI$11,Assumptions!$B$35:$H$35,_xlfn.XLOOKUP($C28,Assumptions!$B$36:$B$41,Assumptions!$B$36:$H$41))</f>
        <v>0</v>
      </c>
      <c r="LYJ28">
        <f t="array" ref="LYJ28">_xlfn.XLOOKUP(LYJ$11,Assumptions!$B$35:$H$35,_xlfn.XLOOKUP($C28,Assumptions!$B$36:$B$41,Assumptions!$B$36:$H$41))</f>
        <v>0</v>
      </c>
      <c r="LYK28">
        <f t="array" ref="LYK28">_xlfn.XLOOKUP(LYK$11,Assumptions!$B$35:$H$35,_xlfn.XLOOKUP($C28,Assumptions!$B$36:$B$41,Assumptions!$B$36:$H$41))</f>
        <v>0</v>
      </c>
      <c r="LYL28">
        <f t="array" ref="LYL28">_xlfn.XLOOKUP(LYL$11,Assumptions!$B$35:$H$35,_xlfn.XLOOKUP($C28,Assumptions!$B$36:$B$41,Assumptions!$B$36:$H$41))</f>
        <v>0</v>
      </c>
      <c r="LYM28">
        <f t="array" ref="LYM28">_xlfn.XLOOKUP(LYM$11,Assumptions!$B$35:$H$35,_xlfn.XLOOKUP($C28,Assumptions!$B$36:$B$41,Assumptions!$B$36:$H$41))</f>
        <v>0</v>
      </c>
      <c r="LYN28">
        <f t="array" ref="LYN28">_xlfn.XLOOKUP(LYN$11,Assumptions!$B$35:$H$35,_xlfn.XLOOKUP($C28,Assumptions!$B$36:$B$41,Assumptions!$B$36:$H$41))</f>
        <v>0</v>
      </c>
      <c r="LYO28">
        <f t="array" ref="LYO28">_xlfn.XLOOKUP(LYO$11,Assumptions!$B$35:$H$35,_xlfn.XLOOKUP($C28,Assumptions!$B$36:$B$41,Assumptions!$B$36:$H$41))</f>
        <v>0</v>
      </c>
      <c r="LYP28">
        <f t="array" ref="LYP28">_xlfn.XLOOKUP(LYP$11,Assumptions!$B$35:$H$35,_xlfn.XLOOKUP($C28,Assumptions!$B$36:$B$41,Assumptions!$B$36:$H$41))</f>
        <v>0</v>
      </c>
      <c r="LYQ28">
        <f t="array" ref="LYQ28">_xlfn.XLOOKUP(LYQ$11,Assumptions!$B$35:$H$35,_xlfn.XLOOKUP($C28,Assumptions!$B$36:$B$41,Assumptions!$B$36:$H$41))</f>
        <v>0</v>
      </c>
      <c r="LYR28">
        <f t="array" ref="LYR28">_xlfn.XLOOKUP(LYR$11,Assumptions!$B$35:$H$35,_xlfn.XLOOKUP($C28,Assumptions!$B$36:$B$41,Assumptions!$B$36:$H$41))</f>
        <v>0</v>
      </c>
      <c r="LYS28">
        <f t="array" ref="LYS28">_xlfn.XLOOKUP(LYS$11,Assumptions!$B$35:$H$35,_xlfn.XLOOKUP($C28,Assumptions!$B$36:$B$41,Assumptions!$B$36:$H$41))</f>
        <v>0</v>
      </c>
      <c r="LYT28">
        <f t="array" ref="LYT28">_xlfn.XLOOKUP(LYT$11,Assumptions!$B$35:$H$35,_xlfn.XLOOKUP($C28,Assumptions!$B$36:$B$41,Assumptions!$B$36:$H$41))</f>
        <v>0</v>
      </c>
      <c r="LYU28">
        <f t="array" ref="LYU28">_xlfn.XLOOKUP(LYU$11,Assumptions!$B$35:$H$35,_xlfn.XLOOKUP($C28,Assumptions!$B$36:$B$41,Assumptions!$B$36:$H$41))</f>
        <v>0</v>
      </c>
      <c r="LYV28">
        <f t="array" ref="LYV28">_xlfn.XLOOKUP(LYV$11,Assumptions!$B$35:$H$35,_xlfn.XLOOKUP($C28,Assumptions!$B$36:$B$41,Assumptions!$B$36:$H$41))</f>
        <v>0</v>
      </c>
      <c r="LYW28">
        <f t="array" ref="LYW28">_xlfn.XLOOKUP(LYW$11,Assumptions!$B$35:$H$35,_xlfn.XLOOKUP($C28,Assumptions!$B$36:$B$41,Assumptions!$B$36:$H$41))</f>
        <v>0</v>
      </c>
      <c r="LYX28">
        <f t="array" ref="LYX28">_xlfn.XLOOKUP(LYX$11,Assumptions!$B$35:$H$35,_xlfn.XLOOKUP($C28,Assumptions!$B$36:$B$41,Assumptions!$B$36:$H$41))</f>
        <v>0</v>
      </c>
      <c r="LYY28">
        <f t="array" ref="LYY28">_xlfn.XLOOKUP(LYY$11,Assumptions!$B$35:$H$35,_xlfn.XLOOKUP($C28,Assumptions!$B$36:$B$41,Assumptions!$B$36:$H$41))</f>
        <v>0</v>
      </c>
      <c r="LYZ28">
        <f t="array" ref="LYZ28">_xlfn.XLOOKUP(LYZ$11,Assumptions!$B$35:$H$35,_xlfn.XLOOKUP($C28,Assumptions!$B$36:$B$41,Assumptions!$B$36:$H$41))</f>
        <v>0</v>
      </c>
      <c r="LZA28">
        <f t="array" ref="LZA28">_xlfn.XLOOKUP(LZA$11,Assumptions!$B$35:$H$35,_xlfn.XLOOKUP($C28,Assumptions!$B$36:$B$41,Assumptions!$B$36:$H$41))</f>
        <v>0</v>
      </c>
      <c r="LZB28">
        <f t="array" ref="LZB28">_xlfn.XLOOKUP(LZB$11,Assumptions!$B$35:$H$35,_xlfn.XLOOKUP($C28,Assumptions!$B$36:$B$41,Assumptions!$B$36:$H$41))</f>
        <v>0</v>
      </c>
      <c r="LZC28">
        <f t="array" ref="LZC28">_xlfn.XLOOKUP(LZC$11,Assumptions!$B$35:$H$35,_xlfn.XLOOKUP($C28,Assumptions!$B$36:$B$41,Assumptions!$B$36:$H$41))</f>
        <v>0</v>
      </c>
      <c r="LZD28">
        <f t="array" ref="LZD28">_xlfn.XLOOKUP(LZD$11,Assumptions!$B$35:$H$35,_xlfn.XLOOKUP($C28,Assumptions!$B$36:$B$41,Assumptions!$B$36:$H$41))</f>
        <v>0</v>
      </c>
      <c r="LZE28">
        <f t="array" ref="LZE28">_xlfn.XLOOKUP(LZE$11,Assumptions!$B$35:$H$35,_xlfn.XLOOKUP($C28,Assumptions!$B$36:$B$41,Assumptions!$B$36:$H$41))</f>
        <v>0</v>
      </c>
      <c r="LZF28">
        <f t="array" ref="LZF28">_xlfn.XLOOKUP(LZF$11,Assumptions!$B$35:$H$35,_xlfn.XLOOKUP($C28,Assumptions!$B$36:$B$41,Assumptions!$B$36:$H$41))</f>
        <v>0</v>
      </c>
      <c r="LZG28">
        <f t="array" ref="LZG28">_xlfn.XLOOKUP(LZG$11,Assumptions!$B$35:$H$35,_xlfn.XLOOKUP($C28,Assumptions!$B$36:$B$41,Assumptions!$B$36:$H$41))</f>
        <v>0</v>
      </c>
      <c r="LZH28">
        <f t="array" ref="LZH28">_xlfn.XLOOKUP(LZH$11,Assumptions!$B$35:$H$35,_xlfn.XLOOKUP($C28,Assumptions!$B$36:$B$41,Assumptions!$B$36:$H$41))</f>
        <v>0</v>
      </c>
      <c r="LZI28">
        <f t="array" ref="LZI28">_xlfn.XLOOKUP(LZI$11,Assumptions!$B$35:$H$35,_xlfn.XLOOKUP($C28,Assumptions!$B$36:$B$41,Assumptions!$B$36:$H$41))</f>
        <v>0</v>
      </c>
      <c r="LZJ28">
        <f t="array" ref="LZJ28">_xlfn.XLOOKUP(LZJ$11,Assumptions!$B$35:$H$35,_xlfn.XLOOKUP($C28,Assumptions!$B$36:$B$41,Assumptions!$B$36:$H$41))</f>
        <v>0</v>
      </c>
      <c r="LZK28">
        <f t="array" ref="LZK28">_xlfn.XLOOKUP(LZK$11,Assumptions!$B$35:$H$35,_xlfn.XLOOKUP($C28,Assumptions!$B$36:$B$41,Assumptions!$B$36:$H$41))</f>
        <v>0</v>
      </c>
      <c r="LZL28">
        <f t="array" ref="LZL28">_xlfn.XLOOKUP(LZL$11,Assumptions!$B$35:$H$35,_xlfn.XLOOKUP($C28,Assumptions!$B$36:$B$41,Assumptions!$B$36:$H$41))</f>
        <v>0</v>
      </c>
      <c r="LZM28">
        <f t="array" ref="LZM28">_xlfn.XLOOKUP(LZM$11,Assumptions!$B$35:$H$35,_xlfn.XLOOKUP($C28,Assumptions!$B$36:$B$41,Assumptions!$B$36:$H$41))</f>
        <v>0</v>
      </c>
      <c r="LZN28">
        <f t="array" ref="LZN28">_xlfn.XLOOKUP(LZN$11,Assumptions!$B$35:$H$35,_xlfn.XLOOKUP($C28,Assumptions!$B$36:$B$41,Assumptions!$B$36:$H$41))</f>
        <v>0</v>
      </c>
      <c r="LZO28">
        <f t="array" ref="LZO28">_xlfn.XLOOKUP(LZO$11,Assumptions!$B$35:$H$35,_xlfn.XLOOKUP($C28,Assumptions!$B$36:$B$41,Assumptions!$B$36:$H$41))</f>
        <v>0</v>
      </c>
      <c r="LZP28">
        <f t="array" ref="LZP28">_xlfn.XLOOKUP(LZP$11,Assumptions!$B$35:$H$35,_xlfn.XLOOKUP($C28,Assumptions!$B$36:$B$41,Assumptions!$B$36:$H$41))</f>
        <v>0</v>
      </c>
      <c r="LZQ28">
        <f t="array" ref="LZQ28">_xlfn.XLOOKUP(LZQ$11,Assumptions!$B$35:$H$35,_xlfn.XLOOKUP($C28,Assumptions!$B$36:$B$41,Assumptions!$B$36:$H$41))</f>
        <v>0</v>
      </c>
      <c r="LZR28">
        <f t="array" ref="LZR28">_xlfn.XLOOKUP(LZR$11,Assumptions!$B$35:$H$35,_xlfn.XLOOKUP($C28,Assumptions!$B$36:$B$41,Assumptions!$B$36:$H$41))</f>
        <v>0</v>
      </c>
      <c r="LZS28">
        <f t="array" ref="LZS28">_xlfn.XLOOKUP(LZS$11,Assumptions!$B$35:$H$35,_xlfn.XLOOKUP($C28,Assumptions!$B$36:$B$41,Assumptions!$B$36:$H$41))</f>
        <v>0</v>
      </c>
      <c r="LZT28">
        <f t="array" ref="LZT28">_xlfn.XLOOKUP(LZT$11,Assumptions!$B$35:$H$35,_xlfn.XLOOKUP($C28,Assumptions!$B$36:$B$41,Assumptions!$B$36:$H$41))</f>
        <v>0</v>
      </c>
      <c r="LZU28">
        <f t="array" ref="LZU28">_xlfn.XLOOKUP(LZU$11,Assumptions!$B$35:$H$35,_xlfn.XLOOKUP($C28,Assumptions!$B$36:$B$41,Assumptions!$B$36:$H$41))</f>
        <v>0</v>
      </c>
      <c r="LZV28">
        <f t="array" ref="LZV28">_xlfn.XLOOKUP(LZV$11,Assumptions!$B$35:$H$35,_xlfn.XLOOKUP($C28,Assumptions!$B$36:$B$41,Assumptions!$B$36:$H$41))</f>
        <v>0</v>
      </c>
      <c r="LZW28">
        <f t="array" ref="LZW28">_xlfn.XLOOKUP(LZW$11,Assumptions!$B$35:$H$35,_xlfn.XLOOKUP($C28,Assumptions!$B$36:$B$41,Assumptions!$B$36:$H$41))</f>
        <v>0</v>
      </c>
      <c r="LZX28">
        <f t="array" ref="LZX28">_xlfn.XLOOKUP(LZX$11,Assumptions!$B$35:$H$35,_xlfn.XLOOKUP($C28,Assumptions!$B$36:$B$41,Assumptions!$B$36:$H$41))</f>
        <v>0</v>
      </c>
      <c r="LZY28">
        <f t="array" ref="LZY28">_xlfn.XLOOKUP(LZY$11,Assumptions!$B$35:$H$35,_xlfn.XLOOKUP($C28,Assumptions!$B$36:$B$41,Assumptions!$B$36:$H$41))</f>
        <v>0</v>
      </c>
      <c r="LZZ28">
        <f t="array" ref="LZZ28">_xlfn.XLOOKUP(LZZ$11,Assumptions!$B$35:$H$35,_xlfn.XLOOKUP($C28,Assumptions!$B$36:$B$41,Assumptions!$B$36:$H$41))</f>
        <v>0</v>
      </c>
      <c r="MAA28">
        <f t="array" ref="MAA28">_xlfn.XLOOKUP(MAA$11,Assumptions!$B$35:$H$35,_xlfn.XLOOKUP($C28,Assumptions!$B$36:$B$41,Assumptions!$B$36:$H$41))</f>
        <v>0</v>
      </c>
      <c r="MAB28">
        <f t="array" ref="MAB28">_xlfn.XLOOKUP(MAB$11,Assumptions!$B$35:$H$35,_xlfn.XLOOKUP($C28,Assumptions!$B$36:$B$41,Assumptions!$B$36:$H$41))</f>
        <v>0</v>
      </c>
      <c r="MAC28">
        <f t="array" ref="MAC28">_xlfn.XLOOKUP(MAC$11,Assumptions!$B$35:$H$35,_xlfn.XLOOKUP($C28,Assumptions!$B$36:$B$41,Assumptions!$B$36:$H$41))</f>
        <v>0</v>
      </c>
      <c r="MAD28">
        <f t="array" ref="MAD28">_xlfn.XLOOKUP(MAD$11,Assumptions!$B$35:$H$35,_xlfn.XLOOKUP($C28,Assumptions!$B$36:$B$41,Assumptions!$B$36:$H$41))</f>
        <v>0</v>
      </c>
      <c r="MAE28">
        <f t="array" ref="MAE28">_xlfn.XLOOKUP(MAE$11,Assumptions!$B$35:$H$35,_xlfn.XLOOKUP($C28,Assumptions!$B$36:$B$41,Assumptions!$B$36:$H$41))</f>
        <v>0</v>
      </c>
      <c r="MAF28">
        <f t="array" ref="MAF28">_xlfn.XLOOKUP(MAF$11,Assumptions!$B$35:$H$35,_xlfn.XLOOKUP($C28,Assumptions!$B$36:$B$41,Assumptions!$B$36:$H$41))</f>
        <v>0</v>
      </c>
      <c r="MAG28">
        <f t="array" ref="MAG28">_xlfn.XLOOKUP(MAG$11,Assumptions!$B$35:$H$35,_xlfn.XLOOKUP($C28,Assumptions!$B$36:$B$41,Assumptions!$B$36:$H$41))</f>
        <v>0</v>
      </c>
      <c r="MAH28">
        <f t="array" ref="MAH28">_xlfn.XLOOKUP(MAH$11,Assumptions!$B$35:$H$35,_xlfn.XLOOKUP($C28,Assumptions!$B$36:$B$41,Assumptions!$B$36:$H$41))</f>
        <v>0</v>
      </c>
      <c r="MAI28">
        <f t="array" ref="MAI28">_xlfn.XLOOKUP(MAI$11,Assumptions!$B$35:$H$35,_xlfn.XLOOKUP($C28,Assumptions!$B$36:$B$41,Assumptions!$B$36:$H$41))</f>
        <v>0</v>
      </c>
      <c r="MAJ28">
        <f t="array" ref="MAJ28">_xlfn.XLOOKUP(MAJ$11,Assumptions!$B$35:$H$35,_xlfn.XLOOKUP($C28,Assumptions!$B$36:$B$41,Assumptions!$B$36:$H$41))</f>
        <v>0</v>
      </c>
      <c r="MAK28">
        <f t="array" ref="MAK28">_xlfn.XLOOKUP(MAK$11,Assumptions!$B$35:$H$35,_xlfn.XLOOKUP($C28,Assumptions!$B$36:$B$41,Assumptions!$B$36:$H$41))</f>
        <v>0</v>
      </c>
      <c r="MAL28">
        <f t="array" ref="MAL28">_xlfn.XLOOKUP(MAL$11,Assumptions!$B$35:$H$35,_xlfn.XLOOKUP($C28,Assumptions!$B$36:$B$41,Assumptions!$B$36:$H$41))</f>
        <v>0</v>
      </c>
      <c r="MAM28">
        <f t="array" ref="MAM28">_xlfn.XLOOKUP(MAM$11,Assumptions!$B$35:$H$35,_xlfn.XLOOKUP($C28,Assumptions!$B$36:$B$41,Assumptions!$B$36:$H$41))</f>
        <v>0</v>
      </c>
      <c r="MAN28">
        <f t="array" ref="MAN28">_xlfn.XLOOKUP(MAN$11,Assumptions!$B$35:$H$35,_xlfn.XLOOKUP($C28,Assumptions!$B$36:$B$41,Assumptions!$B$36:$H$41))</f>
        <v>0</v>
      </c>
      <c r="MAO28">
        <f t="array" ref="MAO28">_xlfn.XLOOKUP(MAO$11,Assumptions!$B$35:$H$35,_xlfn.XLOOKUP($C28,Assumptions!$B$36:$B$41,Assumptions!$B$36:$H$41))</f>
        <v>0</v>
      </c>
      <c r="MAP28">
        <f t="array" ref="MAP28">_xlfn.XLOOKUP(MAP$11,Assumptions!$B$35:$H$35,_xlfn.XLOOKUP($C28,Assumptions!$B$36:$B$41,Assumptions!$B$36:$H$41))</f>
        <v>0</v>
      </c>
      <c r="MAQ28">
        <f t="array" ref="MAQ28">_xlfn.XLOOKUP(MAQ$11,Assumptions!$B$35:$H$35,_xlfn.XLOOKUP($C28,Assumptions!$B$36:$B$41,Assumptions!$B$36:$H$41))</f>
        <v>0</v>
      </c>
      <c r="MAR28">
        <f t="array" ref="MAR28">_xlfn.XLOOKUP(MAR$11,Assumptions!$B$35:$H$35,_xlfn.XLOOKUP($C28,Assumptions!$B$36:$B$41,Assumptions!$B$36:$H$41))</f>
        <v>0</v>
      </c>
      <c r="MAS28">
        <f t="array" ref="MAS28">_xlfn.XLOOKUP(MAS$11,Assumptions!$B$35:$H$35,_xlfn.XLOOKUP($C28,Assumptions!$B$36:$B$41,Assumptions!$B$36:$H$41))</f>
        <v>0</v>
      </c>
      <c r="MAT28">
        <f t="array" ref="MAT28">_xlfn.XLOOKUP(MAT$11,Assumptions!$B$35:$H$35,_xlfn.XLOOKUP($C28,Assumptions!$B$36:$B$41,Assumptions!$B$36:$H$41))</f>
        <v>0</v>
      </c>
      <c r="MAU28">
        <f t="array" ref="MAU28">_xlfn.XLOOKUP(MAU$11,Assumptions!$B$35:$H$35,_xlfn.XLOOKUP($C28,Assumptions!$B$36:$B$41,Assumptions!$B$36:$H$41))</f>
        <v>0</v>
      </c>
      <c r="MAV28">
        <f t="array" ref="MAV28">_xlfn.XLOOKUP(MAV$11,Assumptions!$B$35:$H$35,_xlfn.XLOOKUP($C28,Assumptions!$B$36:$B$41,Assumptions!$B$36:$H$41))</f>
        <v>0</v>
      </c>
      <c r="MAW28">
        <f t="array" ref="MAW28">_xlfn.XLOOKUP(MAW$11,Assumptions!$B$35:$H$35,_xlfn.XLOOKUP($C28,Assumptions!$B$36:$B$41,Assumptions!$B$36:$H$41))</f>
        <v>0</v>
      </c>
      <c r="MAX28">
        <f t="array" ref="MAX28">_xlfn.XLOOKUP(MAX$11,Assumptions!$B$35:$H$35,_xlfn.XLOOKUP($C28,Assumptions!$B$36:$B$41,Assumptions!$B$36:$H$41))</f>
        <v>0</v>
      </c>
      <c r="MAY28">
        <f t="array" ref="MAY28">_xlfn.XLOOKUP(MAY$11,Assumptions!$B$35:$H$35,_xlfn.XLOOKUP($C28,Assumptions!$B$36:$B$41,Assumptions!$B$36:$H$41))</f>
        <v>0</v>
      </c>
      <c r="MAZ28">
        <f t="array" ref="MAZ28">_xlfn.XLOOKUP(MAZ$11,Assumptions!$B$35:$H$35,_xlfn.XLOOKUP($C28,Assumptions!$B$36:$B$41,Assumptions!$B$36:$H$41))</f>
        <v>0</v>
      </c>
      <c r="MBA28">
        <f t="array" ref="MBA28">_xlfn.XLOOKUP(MBA$11,Assumptions!$B$35:$H$35,_xlfn.XLOOKUP($C28,Assumptions!$B$36:$B$41,Assumptions!$B$36:$H$41))</f>
        <v>0</v>
      </c>
      <c r="MBB28">
        <f t="array" ref="MBB28">_xlfn.XLOOKUP(MBB$11,Assumptions!$B$35:$H$35,_xlfn.XLOOKUP($C28,Assumptions!$B$36:$B$41,Assumptions!$B$36:$H$41))</f>
        <v>0</v>
      </c>
      <c r="MBC28">
        <f t="array" ref="MBC28">_xlfn.XLOOKUP(MBC$11,Assumptions!$B$35:$H$35,_xlfn.XLOOKUP($C28,Assumptions!$B$36:$B$41,Assumptions!$B$36:$H$41))</f>
        <v>0</v>
      </c>
      <c r="MBD28">
        <f t="array" ref="MBD28">_xlfn.XLOOKUP(MBD$11,Assumptions!$B$35:$H$35,_xlfn.XLOOKUP($C28,Assumptions!$B$36:$B$41,Assumptions!$B$36:$H$41))</f>
        <v>0</v>
      </c>
      <c r="MBE28">
        <f t="array" ref="MBE28">_xlfn.XLOOKUP(MBE$11,Assumptions!$B$35:$H$35,_xlfn.XLOOKUP($C28,Assumptions!$B$36:$B$41,Assumptions!$B$36:$H$41))</f>
        <v>0</v>
      </c>
      <c r="MBF28">
        <f t="array" ref="MBF28">_xlfn.XLOOKUP(MBF$11,Assumptions!$B$35:$H$35,_xlfn.XLOOKUP($C28,Assumptions!$B$36:$B$41,Assumptions!$B$36:$H$41))</f>
        <v>0</v>
      </c>
      <c r="MBG28">
        <f t="array" ref="MBG28">_xlfn.XLOOKUP(MBG$11,Assumptions!$B$35:$H$35,_xlfn.XLOOKUP($C28,Assumptions!$B$36:$B$41,Assumptions!$B$36:$H$41))</f>
        <v>0</v>
      </c>
      <c r="MBH28">
        <f t="array" ref="MBH28">_xlfn.XLOOKUP(MBH$11,Assumptions!$B$35:$H$35,_xlfn.XLOOKUP($C28,Assumptions!$B$36:$B$41,Assumptions!$B$36:$H$41))</f>
        <v>0</v>
      </c>
      <c r="MBI28">
        <f t="array" ref="MBI28">_xlfn.XLOOKUP(MBI$11,Assumptions!$B$35:$H$35,_xlfn.XLOOKUP($C28,Assumptions!$B$36:$B$41,Assumptions!$B$36:$H$41))</f>
        <v>0</v>
      </c>
      <c r="MBJ28">
        <f t="array" ref="MBJ28">_xlfn.XLOOKUP(MBJ$11,Assumptions!$B$35:$H$35,_xlfn.XLOOKUP($C28,Assumptions!$B$36:$B$41,Assumptions!$B$36:$H$41))</f>
        <v>0</v>
      </c>
      <c r="MBK28">
        <f t="array" ref="MBK28">_xlfn.XLOOKUP(MBK$11,Assumptions!$B$35:$H$35,_xlfn.XLOOKUP($C28,Assumptions!$B$36:$B$41,Assumptions!$B$36:$H$41))</f>
        <v>0</v>
      </c>
      <c r="MBL28">
        <f t="array" ref="MBL28">_xlfn.XLOOKUP(MBL$11,Assumptions!$B$35:$H$35,_xlfn.XLOOKUP($C28,Assumptions!$B$36:$B$41,Assumptions!$B$36:$H$41))</f>
        <v>0</v>
      </c>
      <c r="MBM28">
        <f t="array" ref="MBM28">_xlfn.XLOOKUP(MBM$11,Assumptions!$B$35:$H$35,_xlfn.XLOOKUP($C28,Assumptions!$B$36:$B$41,Assumptions!$B$36:$H$41))</f>
        <v>0</v>
      </c>
      <c r="MBN28">
        <f t="array" ref="MBN28">_xlfn.XLOOKUP(MBN$11,Assumptions!$B$35:$H$35,_xlfn.XLOOKUP($C28,Assumptions!$B$36:$B$41,Assumptions!$B$36:$H$41))</f>
        <v>0</v>
      </c>
      <c r="MBO28">
        <f t="array" ref="MBO28">_xlfn.XLOOKUP(MBO$11,Assumptions!$B$35:$H$35,_xlfn.XLOOKUP($C28,Assumptions!$B$36:$B$41,Assumptions!$B$36:$H$41))</f>
        <v>0</v>
      </c>
      <c r="MBP28">
        <f t="array" ref="MBP28">_xlfn.XLOOKUP(MBP$11,Assumptions!$B$35:$H$35,_xlfn.XLOOKUP($C28,Assumptions!$B$36:$B$41,Assumptions!$B$36:$H$41))</f>
        <v>0</v>
      </c>
      <c r="MBQ28">
        <f t="array" ref="MBQ28">_xlfn.XLOOKUP(MBQ$11,Assumptions!$B$35:$H$35,_xlfn.XLOOKUP($C28,Assumptions!$B$36:$B$41,Assumptions!$B$36:$H$41))</f>
        <v>0</v>
      </c>
      <c r="MBR28">
        <f t="array" ref="MBR28">_xlfn.XLOOKUP(MBR$11,Assumptions!$B$35:$H$35,_xlfn.XLOOKUP($C28,Assumptions!$B$36:$B$41,Assumptions!$B$36:$H$41))</f>
        <v>0</v>
      </c>
      <c r="MBS28">
        <f t="array" ref="MBS28">_xlfn.XLOOKUP(MBS$11,Assumptions!$B$35:$H$35,_xlfn.XLOOKUP($C28,Assumptions!$B$36:$B$41,Assumptions!$B$36:$H$41))</f>
        <v>0</v>
      </c>
      <c r="MBT28">
        <f t="array" ref="MBT28">_xlfn.XLOOKUP(MBT$11,Assumptions!$B$35:$H$35,_xlfn.XLOOKUP($C28,Assumptions!$B$36:$B$41,Assumptions!$B$36:$H$41))</f>
        <v>0</v>
      </c>
      <c r="MBU28">
        <f t="array" ref="MBU28">_xlfn.XLOOKUP(MBU$11,Assumptions!$B$35:$H$35,_xlfn.XLOOKUP($C28,Assumptions!$B$36:$B$41,Assumptions!$B$36:$H$41))</f>
        <v>0</v>
      </c>
      <c r="MBV28">
        <f t="array" ref="MBV28">_xlfn.XLOOKUP(MBV$11,Assumptions!$B$35:$H$35,_xlfn.XLOOKUP($C28,Assumptions!$B$36:$B$41,Assumptions!$B$36:$H$41))</f>
        <v>0</v>
      </c>
      <c r="MBW28">
        <f t="array" ref="MBW28">_xlfn.XLOOKUP(MBW$11,Assumptions!$B$35:$H$35,_xlfn.XLOOKUP($C28,Assumptions!$B$36:$B$41,Assumptions!$B$36:$H$41))</f>
        <v>0</v>
      </c>
      <c r="MBX28">
        <f t="array" ref="MBX28">_xlfn.XLOOKUP(MBX$11,Assumptions!$B$35:$H$35,_xlfn.XLOOKUP($C28,Assumptions!$B$36:$B$41,Assumptions!$B$36:$H$41))</f>
        <v>0</v>
      </c>
      <c r="MBY28">
        <f t="array" ref="MBY28">_xlfn.XLOOKUP(MBY$11,Assumptions!$B$35:$H$35,_xlfn.XLOOKUP($C28,Assumptions!$B$36:$B$41,Assumptions!$B$36:$H$41))</f>
        <v>0</v>
      </c>
      <c r="MBZ28">
        <f t="array" ref="MBZ28">_xlfn.XLOOKUP(MBZ$11,Assumptions!$B$35:$H$35,_xlfn.XLOOKUP($C28,Assumptions!$B$36:$B$41,Assumptions!$B$36:$H$41))</f>
        <v>0</v>
      </c>
      <c r="MCA28">
        <f t="array" ref="MCA28">_xlfn.XLOOKUP(MCA$11,Assumptions!$B$35:$H$35,_xlfn.XLOOKUP($C28,Assumptions!$B$36:$B$41,Assumptions!$B$36:$H$41))</f>
        <v>0</v>
      </c>
      <c r="MCB28">
        <f t="array" ref="MCB28">_xlfn.XLOOKUP(MCB$11,Assumptions!$B$35:$H$35,_xlfn.XLOOKUP($C28,Assumptions!$B$36:$B$41,Assumptions!$B$36:$H$41))</f>
        <v>0</v>
      </c>
      <c r="MCC28">
        <f t="array" ref="MCC28">_xlfn.XLOOKUP(MCC$11,Assumptions!$B$35:$H$35,_xlfn.XLOOKUP($C28,Assumptions!$B$36:$B$41,Assumptions!$B$36:$H$41))</f>
        <v>0</v>
      </c>
      <c r="MCD28">
        <f t="array" ref="MCD28">_xlfn.XLOOKUP(MCD$11,Assumptions!$B$35:$H$35,_xlfn.XLOOKUP($C28,Assumptions!$B$36:$B$41,Assumptions!$B$36:$H$41))</f>
        <v>0</v>
      </c>
      <c r="MCE28">
        <f t="array" ref="MCE28">_xlfn.XLOOKUP(MCE$11,Assumptions!$B$35:$H$35,_xlfn.XLOOKUP($C28,Assumptions!$B$36:$B$41,Assumptions!$B$36:$H$41))</f>
        <v>0</v>
      </c>
      <c r="MCF28">
        <f t="array" ref="MCF28">_xlfn.XLOOKUP(MCF$11,Assumptions!$B$35:$H$35,_xlfn.XLOOKUP($C28,Assumptions!$B$36:$B$41,Assumptions!$B$36:$H$41))</f>
        <v>0</v>
      </c>
      <c r="MCG28">
        <f t="array" ref="MCG28">_xlfn.XLOOKUP(MCG$11,Assumptions!$B$35:$H$35,_xlfn.XLOOKUP($C28,Assumptions!$B$36:$B$41,Assumptions!$B$36:$H$41))</f>
        <v>0</v>
      </c>
      <c r="MCH28">
        <f t="array" ref="MCH28">_xlfn.XLOOKUP(MCH$11,Assumptions!$B$35:$H$35,_xlfn.XLOOKUP($C28,Assumptions!$B$36:$B$41,Assumptions!$B$36:$H$41))</f>
        <v>0</v>
      </c>
      <c r="MCI28">
        <f t="array" ref="MCI28">_xlfn.XLOOKUP(MCI$11,Assumptions!$B$35:$H$35,_xlfn.XLOOKUP($C28,Assumptions!$B$36:$B$41,Assumptions!$B$36:$H$41))</f>
        <v>0</v>
      </c>
      <c r="MCJ28">
        <f t="array" ref="MCJ28">_xlfn.XLOOKUP(MCJ$11,Assumptions!$B$35:$H$35,_xlfn.XLOOKUP($C28,Assumptions!$B$36:$B$41,Assumptions!$B$36:$H$41))</f>
        <v>0</v>
      </c>
      <c r="MCK28">
        <f t="array" ref="MCK28">_xlfn.XLOOKUP(MCK$11,Assumptions!$B$35:$H$35,_xlfn.XLOOKUP($C28,Assumptions!$B$36:$B$41,Assumptions!$B$36:$H$41))</f>
        <v>0</v>
      </c>
      <c r="MCL28">
        <f t="array" ref="MCL28">_xlfn.XLOOKUP(MCL$11,Assumptions!$B$35:$H$35,_xlfn.XLOOKUP($C28,Assumptions!$B$36:$B$41,Assumptions!$B$36:$H$41))</f>
        <v>0</v>
      </c>
      <c r="MCM28">
        <f t="array" ref="MCM28">_xlfn.XLOOKUP(MCM$11,Assumptions!$B$35:$H$35,_xlfn.XLOOKUP($C28,Assumptions!$B$36:$B$41,Assumptions!$B$36:$H$41))</f>
        <v>0</v>
      </c>
      <c r="MCN28">
        <f t="array" ref="MCN28">_xlfn.XLOOKUP(MCN$11,Assumptions!$B$35:$H$35,_xlfn.XLOOKUP($C28,Assumptions!$B$36:$B$41,Assumptions!$B$36:$H$41))</f>
        <v>0</v>
      </c>
      <c r="MCO28">
        <f t="array" ref="MCO28">_xlfn.XLOOKUP(MCO$11,Assumptions!$B$35:$H$35,_xlfn.XLOOKUP($C28,Assumptions!$B$36:$B$41,Assumptions!$B$36:$H$41))</f>
        <v>0</v>
      </c>
      <c r="MCP28">
        <f t="array" ref="MCP28">_xlfn.XLOOKUP(MCP$11,Assumptions!$B$35:$H$35,_xlfn.XLOOKUP($C28,Assumptions!$B$36:$B$41,Assumptions!$B$36:$H$41))</f>
        <v>0</v>
      </c>
      <c r="MCQ28">
        <f t="array" ref="MCQ28">_xlfn.XLOOKUP(MCQ$11,Assumptions!$B$35:$H$35,_xlfn.XLOOKUP($C28,Assumptions!$B$36:$B$41,Assumptions!$B$36:$H$41))</f>
        <v>0</v>
      </c>
      <c r="MCR28">
        <f t="array" ref="MCR28">_xlfn.XLOOKUP(MCR$11,Assumptions!$B$35:$H$35,_xlfn.XLOOKUP($C28,Assumptions!$B$36:$B$41,Assumptions!$B$36:$H$41))</f>
        <v>0</v>
      </c>
      <c r="MCS28">
        <f t="array" ref="MCS28">_xlfn.XLOOKUP(MCS$11,Assumptions!$B$35:$H$35,_xlfn.XLOOKUP($C28,Assumptions!$B$36:$B$41,Assumptions!$B$36:$H$41))</f>
        <v>0</v>
      </c>
      <c r="MCT28">
        <f t="array" ref="MCT28">_xlfn.XLOOKUP(MCT$11,Assumptions!$B$35:$H$35,_xlfn.XLOOKUP($C28,Assumptions!$B$36:$B$41,Assumptions!$B$36:$H$41))</f>
        <v>0</v>
      </c>
      <c r="MCU28">
        <f t="array" ref="MCU28">_xlfn.XLOOKUP(MCU$11,Assumptions!$B$35:$H$35,_xlfn.XLOOKUP($C28,Assumptions!$B$36:$B$41,Assumptions!$B$36:$H$41))</f>
        <v>0</v>
      </c>
      <c r="MCV28">
        <f t="array" ref="MCV28">_xlfn.XLOOKUP(MCV$11,Assumptions!$B$35:$H$35,_xlfn.XLOOKUP($C28,Assumptions!$B$36:$B$41,Assumptions!$B$36:$H$41))</f>
        <v>0</v>
      </c>
      <c r="MCW28">
        <f t="array" ref="MCW28">_xlfn.XLOOKUP(MCW$11,Assumptions!$B$35:$H$35,_xlfn.XLOOKUP($C28,Assumptions!$B$36:$B$41,Assumptions!$B$36:$H$41))</f>
        <v>0</v>
      </c>
      <c r="MCX28">
        <f t="array" ref="MCX28">_xlfn.XLOOKUP(MCX$11,Assumptions!$B$35:$H$35,_xlfn.XLOOKUP($C28,Assumptions!$B$36:$B$41,Assumptions!$B$36:$H$41))</f>
        <v>0</v>
      </c>
      <c r="MCY28">
        <f t="array" ref="MCY28">_xlfn.XLOOKUP(MCY$11,Assumptions!$B$35:$H$35,_xlfn.XLOOKUP($C28,Assumptions!$B$36:$B$41,Assumptions!$B$36:$H$41))</f>
        <v>0</v>
      </c>
      <c r="MCZ28">
        <f t="array" ref="MCZ28">_xlfn.XLOOKUP(MCZ$11,Assumptions!$B$35:$H$35,_xlfn.XLOOKUP($C28,Assumptions!$B$36:$B$41,Assumptions!$B$36:$H$41))</f>
        <v>0</v>
      </c>
      <c r="MDA28">
        <f t="array" ref="MDA28">_xlfn.XLOOKUP(MDA$11,Assumptions!$B$35:$H$35,_xlfn.XLOOKUP($C28,Assumptions!$B$36:$B$41,Assumptions!$B$36:$H$41))</f>
        <v>0</v>
      </c>
      <c r="MDB28">
        <f t="array" ref="MDB28">_xlfn.XLOOKUP(MDB$11,Assumptions!$B$35:$H$35,_xlfn.XLOOKUP($C28,Assumptions!$B$36:$B$41,Assumptions!$B$36:$H$41))</f>
        <v>0</v>
      </c>
      <c r="MDC28">
        <f t="array" ref="MDC28">_xlfn.XLOOKUP(MDC$11,Assumptions!$B$35:$H$35,_xlfn.XLOOKUP($C28,Assumptions!$B$36:$B$41,Assumptions!$B$36:$H$41))</f>
        <v>0</v>
      </c>
      <c r="MDD28">
        <f t="array" ref="MDD28">_xlfn.XLOOKUP(MDD$11,Assumptions!$B$35:$H$35,_xlfn.XLOOKUP($C28,Assumptions!$B$36:$B$41,Assumptions!$B$36:$H$41))</f>
        <v>0</v>
      </c>
      <c r="MDE28">
        <f t="array" ref="MDE28">_xlfn.XLOOKUP(MDE$11,Assumptions!$B$35:$H$35,_xlfn.XLOOKUP($C28,Assumptions!$B$36:$B$41,Assumptions!$B$36:$H$41))</f>
        <v>0</v>
      </c>
      <c r="MDF28">
        <f t="array" ref="MDF28">_xlfn.XLOOKUP(MDF$11,Assumptions!$B$35:$H$35,_xlfn.XLOOKUP($C28,Assumptions!$B$36:$B$41,Assumptions!$B$36:$H$41))</f>
        <v>0</v>
      </c>
      <c r="MDG28">
        <f t="array" ref="MDG28">_xlfn.XLOOKUP(MDG$11,Assumptions!$B$35:$H$35,_xlfn.XLOOKUP($C28,Assumptions!$B$36:$B$41,Assumptions!$B$36:$H$41))</f>
        <v>0</v>
      </c>
      <c r="MDH28">
        <f t="array" ref="MDH28">_xlfn.XLOOKUP(MDH$11,Assumptions!$B$35:$H$35,_xlfn.XLOOKUP($C28,Assumptions!$B$36:$B$41,Assumptions!$B$36:$H$41))</f>
        <v>0</v>
      </c>
      <c r="MDI28">
        <f t="array" ref="MDI28">_xlfn.XLOOKUP(MDI$11,Assumptions!$B$35:$H$35,_xlfn.XLOOKUP($C28,Assumptions!$B$36:$B$41,Assumptions!$B$36:$H$41))</f>
        <v>0</v>
      </c>
      <c r="MDJ28">
        <f t="array" ref="MDJ28">_xlfn.XLOOKUP(MDJ$11,Assumptions!$B$35:$H$35,_xlfn.XLOOKUP($C28,Assumptions!$B$36:$B$41,Assumptions!$B$36:$H$41))</f>
        <v>0</v>
      </c>
      <c r="MDK28">
        <f t="array" ref="MDK28">_xlfn.XLOOKUP(MDK$11,Assumptions!$B$35:$H$35,_xlfn.XLOOKUP($C28,Assumptions!$B$36:$B$41,Assumptions!$B$36:$H$41))</f>
        <v>0</v>
      </c>
      <c r="MDL28">
        <f t="array" ref="MDL28">_xlfn.XLOOKUP(MDL$11,Assumptions!$B$35:$H$35,_xlfn.XLOOKUP($C28,Assumptions!$B$36:$B$41,Assumptions!$B$36:$H$41))</f>
        <v>0</v>
      </c>
      <c r="MDM28">
        <f t="array" ref="MDM28">_xlfn.XLOOKUP(MDM$11,Assumptions!$B$35:$H$35,_xlfn.XLOOKUP($C28,Assumptions!$B$36:$B$41,Assumptions!$B$36:$H$41))</f>
        <v>0</v>
      </c>
      <c r="MDN28">
        <f t="array" ref="MDN28">_xlfn.XLOOKUP(MDN$11,Assumptions!$B$35:$H$35,_xlfn.XLOOKUP($C28,Assumptions!$B$36:$B$41,Assumptions!$B$36:$H$41))</f>
        <v>0</v>
      </c>
      <c r="MDO28">
        <f t="array" ref="MDO28">_xlfn.XLOOKUP(MDO$11,Assumptions!$B$35:$H$35,_xlfn.XLOOKUP($C28,Assumptions!$B$36:$B$41,Assumptions!$B$36:$H$41))</f>
        <v>0</v>
      </c>
      <c r="MDP28">
        <f t="array" ref="MDP28">_xlfn.XLOOKUP(MDP$11,Assumptions!$B$35:$H$35,_xlfn.XLOOKUP($C28,Assumptions!$B$36:$B$41,Assumptions!$B$36:$H$41))</f>
        <v>0</v>
      </c>
      <c r="MDQ28">
        <f t="array" ref="MDQ28">_xlfn.XLOOKUP(MDQ$11,Assumptions!$B$35:$H$35,_xlfn.XLOOKUP($C28,Assumptions!$B$36:$B$41,Assumptions!$B$36:$H$41))</f>
        <v>0</v>
      </c>
      <c r="MDR28">
        <f t="array" ref="MDR28">_xlfn.XLOOKUP(MDR$11,Assumptions!$B$35:$H$35,_xlfn.XLOOKUP($C28,Assumptions!$B$36:$B$41,Assumptions!$B$36:$H$41))</f>
        <v>0</v>
      </c>
      <c r="MDS28">
        <f t="array" ref="MDS28">_xlfn.XLOOKUP(MDS$11,Assumptions!$B$35:$H$35,_xlfn.XLOOKUP($C28,Assumptions!$B$36:$B$41,Assumptions!$B$36:$H$41))</f>
        <v>0</v>
      </c>
      <c r="MDT28">
        <f t="array" ref="MDT28">_xlfn.XLOOKUP(MDT$11,Assumptions!$B$35:$H$35,_xlfn.XLOOKUP($C28,Assumptions!$B$36:$B$41,Assumptions!$B$36:$H$41))</f>
        <v>0</v>
      </c>
      <c r="MDU28">
        <f t="array" ref="MDU28">_xlfn.XLOOKUP(MDU$11,Assumptions!$B$35:$H$35,_xlfn.XLOOKUP($C28,Assumptions!$B$36:$B$41,Assumptions!$B$36:$H$41))</f>
        <v>0</v>
      </c>
      <c r="MDV28">
        <f t="array" ref="MDV28">_xlfn.XLOOKUP(MDV$11,Assumptions!$B$35:$H$35,_xlfn.XLOOKUP($C28,Assumptions!$B$36:$B$41,Assumptions!$B$36:$H$41))</f>
        <v>0</v>
      </c>
      <c r="MDW28">
        <f t="array" ref="MDW28">_xlfn.XLOOKUP(MDW$11,Assumptions!$B$35:$H$35,_xlfn.XLOOKUP($C28,Assumptions!$B$36:$B$41,Assumptions!$B$36:$H$41))</f>
        <v>0</v>
      </c>
      <c r="MDX28">
        <f t="array" ref="MDX28">_xlfn.XLOOKUP(MDX$11,Assumptions!$B$35:$H$35,_xlfn.XLOOKUP($C28,Assumptions!$B$36:$B$41,Assumptions!$B$36:$H$41))</f>
        <v>0</v>
      </c>
      <c r="MDY28">
        <f t="array" ref="MDY28">_xlfn.XLOOKUP(MDY$11,Assumptions!$B$35:$H$35,_xlfn.XLOOKUP($C28,Assumptions!$B$36:$B$41,Assumptions!$B$36:$H$41))</f>
        <v>0</v>
      </c>
      <c r="MDZ28">
        <f t="array" ref="MDZ28">_xlfn.XLOOKUP(MDZ$11,Assumptions!$B$35:$H$35,_xlfn.XLOOKUP($C28,Assumptions!$B$36:$B$41,Assumptions!$B$36:$H$41))</f>
        <v>0</v>
      </c>
      <c r="MEA28">
        <f t="array" ref="MEA28">_xlfn.XLOOKUP(MEA$11,Assumptions!$B$35:$H$35,_xlfn.XLOOKUP($C28,Assumptions!$B$36:$B$41,Assumptions!$B$36:$H$41))</f>
        <v>0</v>
      </c>
      <c r="MEB28">
        <f t="array" ref="MEB28">_xlfn.XLOOKUP(MEB$11,Assumptions!$B$35:$H$35,_xlfn.XLOOKUP($C28,Assumptions!$B$36:$B$41,Assumptions!$B$36:$H$41))</f>
        <v>0</v>
      </c>
      <c r="MEC28">
        <f t="array" ref="MEC28">_xlfn.XLOOKUP(MEC$11,Assumptions!$B$35:$H$35,_xlfn.XLOOKUP($C28,Assumptions!$B$36:$B$41,Assumptions!$B$36:$H$41))</f>
        <v>0</v>
      </c>
      <c r="MED28">
        <f t="array" ref="MED28">_xlfn.XLOOKUP(MED$11,Assumptions!$B$35:$H$35,_xlfn.XLOOKUP($C28,Assumptions!$B$36:$B$41,Assumptions!$B$36:$H$41))</f>
        <v>0</v>
      </c>
      <c r="MEE28">
        <f t="array" ref="MEE28">_xlfn.XLOOKUP(MEE$11,Assumptions!$B$35:$H$35,_xlfn.XLOOKUP($C28,Assumptions!$B$36:$B$41,Assumptions!$B$36:$H$41))</f>
        <v>0</v>
      </c>
      <c r="MEF28">
        <f t="array" ref="MEF28">_xlfn.XLOOKUP(MEF$11,Assumptions!$B$35:$H$35,_xlfn.XLOOKUP($C28,Assumptions!$B$36:$B$41,Assumptions!$B$36:$H$41))</f>
        <v>0</v>
      </c>
      <c r="MEG28">
        <f t="array" ref="MEG28">_xlfn.XLOOKUP(MEG$11,Assumptions!$B$35:$H$35,_xlfn.XLOOKUP($C28,Assumptions!$B$36:$B$41,Assumptions!$B$36:$H$41))</f>
        <v>0</v>
      </c>
      <c r="MEH28">
        <f t="array" ref="MEH28">_xlfn.XLOOKUP(MEH$11,Assumptions!$B$35:$H$35,_xlfn.XLOOKUP($C28,Assumptions!$B$36:$B$41,Assumptions!$B$36:$H$41))</f>
        <v>0</v>
      </c>
      <c r="MEI28">
        <f t="array" ref="MEI28">_xlfn.XLOOKUP(MEI$11,Assumptions!$B$35:$H$35,_xlfn.XLOOKUP($C28,Assumptions!$B$36:$B$41,Assumptions!$B$36:$H$41))</f>
        <v>0</v>
      </c>
      <c r="MEJ28">
        <f t="array" ref="MEJ28">_xlfn.XLOOKUP(MEJ$11,Assumptions!$B$35:$H$35,_xlfn.XLOOKUP($C28,Assumptions!$B$36:$B$41,Assumptions!$B$36:$H$41))</f>
        <v>0</v>
      </c>
      <c r="MEK28">
        <f t="array" ref="MEK28">_xlfn.XLOOKUP(MEK$11,Assumptions!$B$35:$H$35,_xlfn.XLOOKUP($C28,Assumptions!$B$36:$B$41,Assumptions!$B$36:$H$41))</f>
        <v>0</v>
      </c>
      <c r="MEL28">
        <f t="array" ref="MEL28">_xlfn.XLOOKUP(MEL$11,Assumptions!$B$35:$H$35,_xlfn.XLOOKUP($C28,Assumptions!$B$36:$B$41,Assumptions!$B$36:$H$41))</f>
        <v>0</v>
      </c>
      <c r="MEM28">
        <f t="array" ref="MEM28">_xlfn.XLOOKUP(MEM$11,Assumptions!$B$35:$H$35,_xlfn.XLOOKUP($C28,Assumptions!$B$36:$B$41,Assumptions!$B$36:$H$41))</f>
        <v>0</v>
      </c>
      <c r="MEN28">
        <f t="array" ref="MEN28">_xlfn.XLOOKUP(MEN$11,Assumptions!$B$35:$H$35,_xlfn.XLOOKUP($C28,Assumptions!$B$36:$B$41,Assumptions!$B$36:$H$41))</f>
        <v>0</v>
      </c>
      <c r="MEO28">
        <f t="array" ref="MEO28">_xlfn.XLOOKUP(MEO$11,Assumptions!$B$35:$H$35,_xlfn.XLOOKUP($C28,Assumptions!$B$36:$B$41,Assumptions!$B$36:$H$41))</f>
        <v>0</v>
      </c>
      <c r="MEP28">
        <f t="array" ref="MEP28">_xlfn.XLOOKUP(MEP$11,Assumptions!$B$35:$H$35,_xlfn.XLOOKUP($C28,Assumptions!$B$36:$B$41,Assumptions!$B$36:$H$41))</f>
        <v>0</v>
      </c>
      <c r="MEQ28">
        <f t="array" ref="MEQ28">_xlfn.XLOOKUP(MEQ$11,Assumptions!$B$35:$H$35,_xlfn.XLOOKUP($C28,Assumptions!$B$36:$B$41,Assumptions!$B$36:$H$41))</f>
        <v>0</v>
      </c>
      <c r="MER28">
        <f t="array" ref="MER28">_xlfn.XLOOKUP(MER$11,Assumptions!$B$35:$H$35,_xlfn.XLOOKUP($C28,Assumptions!$B$36:$B$41,Assumptions!$B$36:$H$41))</f>
        <v>0</v>
      </c>
      <c r="MES28">
        <f t="array" ref="MES28">_xlfn.XLOOKUP(MES$11,Assumptions!$B$35:$H$35,_xlfn.XLOOKUP($C28,Assumptions!$B$36:$B$41,Assumptions!$B$36:$H$41))</f>
        <v>0</v>
      </c>
      <c r="MET28">
        <f t="array" ref="MET28">_xlfn.XLOOKUP(MET$11,Assumptions!$B$35:$H$35,_xlfn.XLOOKUP($C28,Assumptions!$B$36:$B$41,Assumptions!$B$36:$H$41))</f>
        <v>0</v>
      </c>
      <c r="MEU28">
        <f t="array" ref="MEU28">_xlfn.XLOOKUP(MEU$11,Assumptions!$B$35:$H$35,_xlfn.XLOOKUP($C28,Assumptions!$B$36:$B$41,Assumptions!$B$36:$H$41))</f>
        <v>0</v>
      </c>
      <c r="MEV28">
        <f t="array" ref="MEV28">_xlfn.XLOOKUP(MEV$11,Assumptions!$B$35:$H$35,_xlfn.XLOOKUP($C28,Assumptions!$B$36:$B$41,Assumptions!$B$36:$H$41))</f>
        <v>0</v>
      </c>
      <c r="MEW28">
        <f t="array" ref="MEW28">_xlfn.XLOOKUP(MEW$11,Assumptions!$B$35:$H$35,_xlfn.XLOOKUP($C28,Assumptions!$B$36:$B$41,Assumptions!$B$36:$H$41))</f>
        <v>0</v>
      </c>
      <c r="MEX28">
        <f t="array" ref="MEX28">_xlfn.XLOOKUP(MEX$11,Assumptions!$B$35:$H$35,_xlfn.XLOOKUP($C28,Assumptions!$B$36:$B$41,Assumptions!$B$36:$H$41))</f>
        <v>0</v>
      </c>
      <c r="MEY28">
        <f t="array" ref="MEY28">_xlfn.XLOOKUP(MEY$11,Assumptions!$B$35:$H$35,_xlfn.XLOOKUP($C28,Assumptions!$B$36:$B$41,Assumptions!$B$36:$H$41))</f>
        <v>0</v>
      </c>
      <c r="MEZ28">
        <f t="array" ref="MEZ28">_xlfn.XLOOKUP(MEZ$11,Assumptions!$B$35:$H$35,_xlfn.XLOOKUP($C28,Assumptions!$B$36:$B$41,Assumptions!$B$36:$H$41))</f>
        <v>0</v>
      </c>
      <c r="MFA28">
        <f t="array" ref="MFA28">_xlfn.XLOOKUP(MFA$11,Assumptions!$B$35:$H$35,_xlfn.XLOOKUP($C28,Assumptions!$B$36:$B$41,Assumptions!$B$36:$H$41))</f>
        <v>0</v>
      </c>
      <c r="MFB28">
        <f t="array" ref="MFB28">_xlfn.XLOOKUP(MFB$11,Assumptions!$B$35:$H$35,_xlfn.XLOOKUP($C28,Assumptions!$B$36:$B$41,Assumptions!$B$36:$H$41))</f>
        <v>0</v>
      </c>
      <c r="MFC28">
        <f t="array" ref="MFC28">_xlfn.XLOOKUP(MFC$11,Assumptions!$B$35:$H$35,_xlfn.XLOOKUP($C28,Assumptions!$B$36:$B$41,Assumptions!$B$36:$H$41))</f>
        <v>0</v>
      </c>
      <c r="MFD28">
        <f t="array" ref="MFD28">_xlfn.XLOOKUP(MFD$11,Assumptions!$B$35:$H$35,_xlfn.XLOOKUP($C28,Assumptions!$B$36:$B$41,Assumptions!$B$36:$H$41))</f>
        <v>0</v>
      </c>
      <c r="MFE28">
        <f t="array" ref="MFE28">_xlfn.XLOOKUP(MFE$11,Assumptions!$B$35:$H$35,_xlfn.XLOOKUP($C28,Assumptions!$B$36:$B$41,Assumptions!$B$36:$H$41))</f>
        <v>0</v>
      </c>
      <c r="MFF28">
        <f t="array" ref="MFF28">_xlfn.XLOOKUP(MFF$11,Assumptions!$B$35:$H$35,_xlfn.XLOOKUP($C28,Assumptions!$B$36:$B$41,Assumptions!$B$36:$H$41))</f>
        <v>0</v>
      </c>
      <c r="MFG28">
        <f t="array" ref="MFG28">_xlfn.XLOOKUP(MFG$11,Assumptions!$B$35:$H$35,_xlfn.XLOOKUP($C28,Assumptions!$B$36:$B$41,Assumptions!$B$36:$H$41))</f>
        <v>0</v>
      </c>
      <c r="MFH28">
        <f t="array" ref="MFH28">_xlfn.XLOOKUP(MFH$11,Assumptions!$B$35:$H$35,_xlfn.XLOOKUP($C28,Assumptions!$B$36:$B$41,Assumptions!$B$36:$H$41))</f>
        <v>0</v>
      </c>
      <c r="MFI28">
        <f t="array" ref="MFI28">_xlfn.XLOOKUP(MFI$11,Assumptions!$B$35:$H$35,_xlfn.XLOOKUP($C28,Assumptions!$B$36:$B$41,Assumptions!$B$36:$H$41))</f>
        <v>0</v>
      </c>
      <c r="MFJ28">
        <f t="array" ref="MFJ28">_xlfn.XLOOKUP(MFJ$11,Assumptions!$B$35:$H$35,_xlfn.XLOOKUP($C28,Assumptions!$B$36:$B$41,Assumptions!$B$36:$H$41))</f>
        <v>0</v>
      </c>
      <c r="MFK28">
        <f t="array" ref="MFK28">_xlfn.XLOOKUP(MFK$11,Assumptions!$B$35:$H$35,_xlfn.XLOOKUP($C28,Assumptions!$B$36:$B$41,Assumptions!$B$36:$H$41))</f>
        <v>0</v>
      </c>
      <c r="MFL28">
        <f t="array" ref="MFL28">_xlfn.XLOOKUP(MFL$11,Assumptions!$B$35:$H$35,_xlfn.XLOOKUP($C28,Assumptions!$B$36:$B$41,Assumptions!$B$36:$H$41))</f>
        <v>0</v>
      </c>
      <c r="MFM28">
        <f t="array" ref="MFM28">_xlfn.XLOOKUP(MFM$11,Assumptions!$B$35:$H$35,_xlfn.XLOOKUP($C28,Assumptions!$B$36:$B$41,Assumptions!$B$36:$H$41))</f>
        <v>0</v>
      </c>
      <c r="MFN28">
        <f t="array" ref="MFN28">_xlfn.XLOOKUP(MFN$11,Assumptions!$B$35:$H$35,_xlfn.XLOOKUP($C28,Assumptions!$B$36:$B$41,Assumptions!$B$36:$H$41))</f>
        <v>0</v>
      </c>
      <c r="MFO28">
        <f t="array" ref="MFO28">_xlfn.XLOOKUP(MFO$11,Assumptions!$B$35:$H$35,_xlfn.XLOOKUP($C28,Assumptions!$B$36:$B$41,Assumptions!$B$36:$H$41))</f>
        <v>0</v>
      </c>
      <c r="MFP28">
        <f t="array" ref="MFP28">_xlfn.XLOOKUP(MFP$11,Assumptions!$B$35:$H$35,_xlfn.XLOOKUP($C28,Assumptions!$B$36:$B$41,Assumptions!$B$36:$H$41))</f>
        <v>0</v>
      </c>
      <c r="MFQ28">
        <f t="array" ref="MFQ28">_xlfn.XLOOKUP(MFQ$11,Assumptions!$B$35:$H$35,_xlfn.XLOOKUP($C28,Assumptions!$B$36:$B$41,Assumptions!$B$36:$H$41))</f>
        <v>0</v>
      </c>
      <c r="MFR28">
        <f t="array" ref="MFR28">_xlfn.XLOOKUP(MFR$11,Assumptions!$B$35:$H$35,_xlfn.XLOOKUP($C28,Assumptions!$B$36:$B$41,Assumptions!$B$36:$H$41))</f>
        <v>0</v>
      </c>
      <c r="MFS28">
        <f t="array" ref="MFS28">_xlfn.XLOOKUP(MFS$11,Assumptions!$B$35:$H$35,_xlfn.XLOOKUP($C28,Assumptions!$B$36:$B$41,Assumptions!$B$36:$H$41))</f>
        <v>0</v>
      </c>
      <c r="MFT28">
        <f t="array" ref="MFT28">_xlfn.XLOOKUP(MFT$11,Assumptions!$B$35:$H$35,_xlfn.XLOOKUP($C28,Assumptions!$B$36:$B$41,Assumptions!$B$36:$H$41))</f>
        <v>0</v>
      </c>
      <c r="MFU28">
        <f t="array" ref="MFU28">_xlfn.XLOOKUP(MFU$11,Assumptions!$B$35:$H$35,_xlfn.XLOOKUP($C28,Assumptions!$B$36:$B$41,Assumptions!$B$36:$H$41))</f>
        <v>0</v>
      </c>
      <c r="MFV28">
        <f t="array" ref="MFV28">_xlfn.XLOOKUP(MFV$11,Assumptions!$B$35:$H$35,_xlfn.XLOOKUP($C28,Assumptions!$B$36:$B$41,Assumptions!$B$36:$H$41))</f>
        <v>0</v>
      </c>
      <c r="MFW28">
        <f t="array" ref="MFW28">_xlfn.XLOOKUP(MFW$11,Assumptions!$B$35:$H$35,_xlfn.XLOOKUP($C28,Assumptions!$B$36:$B$41,Assumptions!$B$36:$H$41))</f>
        <v>0</v>
      </c>
      <c r="MFX28">
        <f t="array" ref="MFX28">_xlfn.XLOOKUP(MFX$11,Assumptions!$B$35:$H$35,_xlfn.XLOOKUP($C28,Assumptions!$B$36:$B$41,Assumptions!$B$36:$H$41))</f>
        <v>0</v>
      </c>
      <c r="MFY28">
        <f t="array" ref="MFY28">_xlfn.XLOOKUP(MFY$11,Assumptions!$B$35:$H$35,_xlfn.XLOOKUP($C28,Assumptions!$B$36:$B$41,Assumptions!$B$36:$H$41))</f>
        <v>0</v>
      </c>
      <c r="MFZ28">
        <f t="array" ref="MFZ28">_xlfn.XLOOKUP(MFZ$11,Assumptions!$B$35:$H$35,_xlfn.XLOOKUP($C28,Assumptions!$B$36:$B$41,Assumptions!$B$36:$H$41))</f>
        <v>0</v>
      </c>
      <c r="MGA28">
        <f t="array" ref="MGA28">_xlfn.XLOOKUP(MGA$11,Assumptions!$B$35:$H$35,_xlfn.XLOOKUP($C28,Assumptions!$B$36:$B$41,Assumptions!$B$36:$H$41))</f>
        <v>0</v>
      </c>
      <c r="MGB28">
        <f t="array" ref="MGB28">_xlfn.XLOOKUP(MGB$11,Assumptions!$B$35:$H$35,_xlfn.XLOOKUP($C28,Assumptions!$B$36:$B$41,Assumptions!$B$36:$H$41))</f>
        <v>0</v>
      </c>
      <c r="MGC28">
        <f t="array" ref="MGC28">_xlfn.XLOOKUP(MGC$11,Assumptions!$B$35:$H$35,_xlfn.XLOOKUP($C28,Assumptions!$B$36:$B$41,Assumptions!$B$36:$H$41))</f>
        <v>0</v>
      </c>
      <c r="MGD28">
        <f t="array" ref="MGD28">_xlfn.XLOOKUP(MGD$11,Assumptions!$B$35:$H$35,_xlfn.XLOOKUP($C28,Assumptions!$B$36:$B$41,Assumptions!$B$36:$H$41))</f>
        <v>0</v>
      </c>
      <c r="MGE28">
        <f t="array" ref="MGE28">_xlfn.XLOOKUP(MGE$11,Assumptions!$B$35:$H$35,_xlfn.XLOOKUP($C28,Assumptions!$B$36:$B$41,Assumptions!$B$36:$H$41))</f>
        <v>0</v>
      </c>
      <c r="MGF28">
        <f t="array" ref="MGF28">_xlfn.XLOOKUP(MGF$11,Assumptions!$B$35:$H$35,_xlfn.XLOOKUP($C28,Assumptions!$B$36:$B$41,Assumptions!$B$36:$H$41))</f>
        <v>0</v>
      </c>
      <c r="MGG28">
        <f t="array" ref="MGG28">_xlfn.XLOOKUP(MGG$11,Assumptions!$B$35:$H$35,_xlfn.XLOOKUP($C28,Assumptions!$B$36:$B$41,Assumptions!$B$36:$H$41))</f>
        <v>0</v>
      </c>
      <c r="MGH28">
        <f t="array" ref="MGH28">_xlfn.XLOOKUP(MGH$11,Assumptions!$B$35:$H$35,_xlfn.XLOOKUP($C28,Assumptions!$B$36:$B$41,Assumptions!$B$36:$H$41))</f>
        <v>0</v>
      </c>
      <c r="MGI28">
        <f t="array" ref="MGI28">_xlfn.XLOOKUP(MGI$11,Assumptions!$B$35:$H$35,_xlfn.XLOOKUP($C28,Assumptions!$B$36:$B$41,Assumptions!$B$36:$H$41))</f>
        <v>0</v>
      </c>
      <c r="MGJ28">
        <f t="array" ref="MGJ28">_xlfn.XLOOKUP(MGJ$11,Assumptions!$B$35:$H$35,_xlfn.XLOOKUP($C28,Assumptions!$B$36:$B$41,Assumptions!$B$36:$H$41))</f>
        <v>0</v>
      </c>
      <c r="MGK28">
        <f t="array" ref="MGK28">_xlfn.XLOOKUP(MGK$11,Assumptions!$B$35:$H$35,_xlfn.XLOOKUP($C28,Assumptions!$B$36:$B$41,Assumptions!$B$36:$H$41))</f>
        <v>0</v>
      </c>
      <c r="MGL28">
        <f t="array" ref="MGL28">_xlfn.XLOOKUP(MGL$11,Assumptions!$B$35:$H$35,_xlfn.XLOOKUP($C28,Assumptions!$B$36:$B$41,Assumptions!$B$36:$H$41))</f>
        <v>0</v>
      </c>
      <c r="MGM28">
        <f t="array" ref="MGM28">_xlfn.XLOOKUP(MGM$11,Assumptions!$B$35:$H$35,_xlfn.XLOOKUP($C28,Assumptions!$B$36:$B$41,Assumptions!$B$36:$H$41))</f>
        <v>0</v>
      </c>
      <c r="MGN28">
        <f t="array" ref="MGN28">_xlfn.XLOOKUP(MGN$11,Assumptions!$B$35:$H$35,_xlfn.XLOOKUP($C28,Assumptions!$B$36:$B$41,Assumptions!$B$36:$H$41))</f>
        <v>0</v>
      </c>
      <c r="MGO28">
        <f t="array" ref="MGO28">_xlfn.XLOOKUP(MGO$11,Assumptions!$B$35:$H$35,_xlfn.XLOOKUP($C28,Assumptions!$B$36:$B$41,Assumptions!$B$36:$H$41))</f>
        <v>0</v>
      </c>
      <c r="MGP28">
        <f t="array" ref="MGP28">_xlfn.XLOOKUP(MGP$11,Assumptions!$B$35:$H$35,_xlfn.XLOOKUP($C28,Assumptions!$B$36:$B$41,Assumptions!$B$36:$H$41))</f>
        <v>0</v>
      </c>
      <c r="MGQ28">
        <f t="array" ref="MGQ28">_xlfn.XLOOKUP(MGQ$11,Assumptions!$B$35:$H$35,_xlfn.XLOOKUP($C28,Assumptions!$B$36:$B$41,Assumptions!$B$36:$H$41))</f>
        <v>0</v>
      </c>
      <c r="MGR28">
        <f t="array" ref="MGR28">_xlfn.XLOOKUP(MGR$11,Assumptions!$B$35:$H$35,_xlfn.XLOOKUP($C28,Assumptions!$B$36:$B$41,Assumptions!$B$36:$H$41))</f>
        <v>0</v>
      </c>
      <c r="MGS28">
        <f t="array" ref="MGS28">_xlfn.XLOOKUP(MGS$11,Assumptions!$B$35:$H$35,_xlfn.XLOOKUP($C28,Assumptions!$B$36:$B$41,Assumptions!$B$36:$H$41))</f>
        <v>0</v>
      </c>
      <c r="MGT28">
        <f t="array" ref="MGT28">_xlfn.XLOOKUP(MGT$11,Assumptions!$B$35:$H$35,_xlfn.XLOOKUP($C28,Assumptions!$B$36:$B$41,Assumptions!$B$36:$H$41))</f>
        <v>0</v>
      </c>
      <c r="MGU28">
        <f t="array" ref="MGU28">_xlfn.XLOOKUP(MGU$11,Assumptions!$B$35:$H$35,_xlfn.XLOOKUP($C28,Assumptions!$B$36:$B$41,Assumptions!$B$36:$H$41))</f>
        <v>0</v>
      </c>
      <c r="MGV28">
        <f t="array" ref="MGV28">_xlfn.XLOOKUP(MGV$11,Assumptions!$B$35:$H$35,_xlfn.XLOOKUP($C28,Assumptions!$B$36:$B$41,Assumptions!$B$36:$H$41))</f>
        <v>0</v>
      </c>
      <c r="MGW28">
        <f t="array" ref="MGW28">_xlfn.XLOOKUP(MGW$11,Assumptions!$B$35:$H$35,_xlfn.XLOOKUP($C28,Assumptions!$B$36:$B$41,Assumptions!$B$36:$H$41))</f>
        <v>0</v>
      </c>
      <c r="MGX28">
        <f t="array" ref="MGX28">_xlfn.XLOOKUP(MGX$11,Assumptions!$B$35:$H$35,_xlfn.XLOOKUP($C28,Assumptions!$B$36:$B$41,Assumptions!$B$36:$H$41))</f>
        <v>0</v>
      </c>
      <c r="MGY28">
        <f t="array" ref="MGY28">_xlfn.XLOOKUP(MGY$11,Assumptions!$B$35:$H$35,_xlfn.XLOOKUP($C28,Assumptions!$B$36:$B$41,Assumptions!$B$36:$H$41))</f>
        <v>0</v>
      </c>
      <c r="MGZ28">
        <f t="array" ref="MGZ28">_xlfn.XLOOKUP(MGZ$11,Assumptions!$B$35:$H$35,_xlfn.XLOOKUP($C28,Assumptions!$B$36:$B$41,Assumptions!$B$36:$H$41))</f>
        <v>0</v>
      </c>
      <c r="MHA28">
        <f t="array" ref="MHA28">_xlfn.XLOOKUP(MHA$11,Assumptions!$B$35:$H$35,_xlfn.XLOOKUP($C28,Assumptions!$B$36:$B$41,Assumptions!$B$36:$H$41))</f>
        <v>0</v>
      </c>
      <c r="MHB28">
        <f t="array" ref="MHB28">_xlfn.XLOOKUP(MHB$11,Assumptions!$B$35:$H$35,_xlfn.XLOOKUP($C28,Assumptions!$B$36:$B$41,Assumptions!$B$36:$H$41))</f>
        <v>0</v>
      </c>
      <c r="MHC28">
        <f t="array" ref="MHC28">_xlfn.XLOOKUP(MHC$11,Assumptions!$B$35:$H$35,_xlfn.XLOOKUP($C28,Assumptions!$B$36:$B$41,Assumptions!$B$36:$H$41))</f>
        <v>0</v>
      </c>
      <c r="MHD28">
        <f t="array" ref="MHD28">_xlfn.XLOOKUP(MHD$11,Assumptions!$B$35:$H$35,_xlfn.XLOOKUP($C28,Assumptions!$B$36:$B$41,Assumptions!$B$36:$H$41))</f>
        <v>0</v>
      </c>
      <c r="MHE28">
        <f t="array" ref="MHE28">_xlfn.XLOOKUP(MHE$11,Assumptions!$B$35:$H$35,_xlfn.XLOOKUP($C28,Assumptions!$B$36:$B$41,Assumptions!$B$36:$H$41))</f>
        <v>0</v>
      </c>
      <c r="MHF28">
        <f t="array" ref="MHF28">_xlfn.XLOOKUP(MHF$11,Assumptions!$B$35:$H$35,_xlfn.XLOOKUP($C28,Assumptions!$B$36:$B$41,Assumptions!$B$36:$H$41))</f>
        <v>0</v>
      </c>
      <c r="MHG28">
        <f t="array" ref="MHG28">_xlfn.XLOOKUP(MHG$11,Assumptions!$B$35:$H$35,_xlfn.XLOOKUP($C28,Assumptions!$B$36:$B$41,Assumptions!$B$36:$H$41))</f>
        <v>0</v>
      </c>
      <c r="MHH28">
        <f t="array" ref="MHH28">_xlfn.XLOOKUP(MHH$11,Assumptions!$B$35:$H$35,_xlfn.XLOOKUP($C28,Assumptions!$B$36:$B$41,Assumptions!$B$36:$H$41))</f>
        <v>0</v>
      </c>
      <c r="MHI28">
        <f t="array" ref="MHI28">_xlfn.XLOOKUP(MHI$11,Assumptions!$B$35:$H$35,_xlfn.XLOOKUP($C28,Assumptions!$B$36:$B$41,Assumptions!$B$36:$H$41))</f>
        <v>0</v>
      </c>
      <c r="MHJ28">
        <f t="array" ref="MHJ28">_xlfn.XLOOKUP(MHJ$11,Assumptions!$B$35:$H$35,_xlfn.XLOOKUP($C28,Assumptions!$B$36:$B$41,Assumptions!$B$36:$H$41))</f>
        <v>0</v>
      </c>
      <c r="MHK28">
        <f t="array" ref="MHK28">_xlfn.XLOOKUP(MHK$11,Assumptions!$B$35:$H$35,_xlfn.XLOOKUP($C28,Assumptions!$B$36:$B$41,Assumptions!$B$36:$H$41))</f>
        <v>0</v>
      </c>
      <c r="MHL28">
        <f t="array" ref="MHL28">_xlfn.XLOOKUP(MHL$11,Assumptions!$B$35:$H$35,_xlfn.XLOOKUP($C28,Assumptions!$B$36:$B$41,Assumptions!$B$36:$H$41))</f>
        <v>0</v>
      </c>
      <c r="MHM28">
        <f t="array" ref="MHM28">_xlfn.XLOOKUP(MHM$11,Assumptions!$B$35:$H$35,_xlfn.XLOOKUP($C28,Assumptions!$B$36:$B$41,Assumptions!$B$36:$H$41))</f>
        <v>0</v>
      </c>
      <c r="MHN28">
        <f t="array" ref="MHN28">_xlfn.XLOOKUP(MHN$11,Assumptions!$B$35:$H$35,_xlfn.XLOOKUP($C28,Assumptions!$B$36:$B$41,Assumptions!$B$36:$H$41))</f>
        <v>0</v>
      </c>
      <c r="MHO28">
        <f t="array" ref="MHO28">_xlfn.XLOOKUP(MHO$11,Assumptions!$B$35:$H$35,_xlfn.XLOOKUP($C28,Assumptions!$B$36:$B$41,Assumptions!$B$36:$H$41))</f>
        <v>0</v>
      </c>
      <c r="MHP28">
        <f t="array" ref="MHP28">_xlfn.XLOOKUP(MHP$11,Assumptions!$B$35:$H$35,_xlfn.XLOOKUP($C28,Assumptions!$B$36:$B$41,Assumptions!$B$36:$H$41))</f>
        <v>0</v>
      </c>
      <c r="MHQ28">
        <f t="array" ref="MHQ28">_xlfn.XLOOKUP(MHQ$11,Assumptions!$B$35:$H$35,_xlfn.XLOOKUP($C28,Assumptions!$B$36:$B$41,Assumptions!$B$36:$H$41))</f>
        <v>0</v>
      </c>
      <c r="MHR28">
        <f t="array" ref="MHR28">_xlfn.XLOOKUP(MHR$11,Assumptions!$B$35:$H$35,_xlfn.XLOOKUP($C28,Assumptions!$B$36:$B$41,Assumptions!$B$36:$H$41))</f>
        <v>0</v>
      </c>
      <c r="MHS28">
        <f t="array" ref="MHS28">_xlfn.XLOOKUP(MHS$11,Assumptions!$B$35:$H$35,_xlfn.XLOOKUP($C28,Assumptions!$B$36:$B$41,Assumptions!$B$36:$H$41))</f>
        <v>0</v>
      </c>
      <c r="MHT28">
        <f t="array" ref="MHT28">_xlfn.XLOOKUP(MHT$11,Assumptions!$B$35:$H$35,_xlfn.XLOOKUP($C28,Assumptions!$B$36:$B$41,Assumptions!$B$36:$H$41))</f>
        <v>0</v>
      </c>
      <c r="MHU28">
        <f t="array" ref="MHU28">_xlfn.XLOOKUP(MHU$11,Assumptions!$B$35:$H$35,_xlfn.XLOOKUP($C28,Assumptions!$B$36:$B$41,Assumptions!$B$36:$H$41))</f>
        <v>0</v>
      </c>
      <c r="MHV28">
        <f t="array" ref="MHV28">_xlfn.XLOOKUP(MHV$11,Assumptions!$B$35:$H$35,_xlfn.XLOOKUP($C28,Assumptions!$B$36:$B$41,Assumptions!$B$36:$H$41))</f>
        <v>0</v>
      </c>
      <c r="MHW28">
        <f t="array" ref="MHW28">_xlfn.XLOOKUP(MHW$11,Assumptions!$B$35:$H$35,_xlfn.XLOOKUP($C28,Assumptions!$B$36:$B$41,Assumptions!$B$36:$H$41))</f>
        <v>0</v>
      </c>
      <c r="MHX28">
        <f t="array" ref="MHX28">_xlfn.XLOOKUP(MHX$11,Assumptions!$B$35:$H$35,_xlfn.XLOOKUP($C28,Assumptions!$B$36:$B$41,Assumptions!$B$36:$H$41))</f>
        <v>0</v>
      </c>
      <c r="MHY28">
        <f t="array" ref="MHY28">_xlfn.XLOOKUP(MHY$11,Assumptions!$B$35:$H$35,_xlfn.XLOOKUP($C28,Assumptions!$B$36:$B$41,Assumptions!$B$36:$H$41))</f>
        <v>0</v>
      </c>
      <c r="MHZ28">
        <f t="array" ref="MHZ28">_xlfn.XLOOKUP(MHZ$11,Assumptions!$B$35:$H$35,_xlfn.XLOOKUP($C28,Assumptions!$B$36:$B$41,Assumptions!$B$36:$H$41))</f>
        <v>0</v>
      </c>
      <c r="MIA28">
        <f t="array" ref="MIA28">_xlfn.XLOOKUP(MIA$11,Assumptions!$B$35:$H$35,_xlfn.XLOOKUP($C28,Assumptions!$B$36:$B$41,Assumptions!$B$36:$H$41))</f>
        <v>0</v>
      </c>
      <c r="MIB28">
        <f t="array" ref="MIB28">_xlfn.XLOOKUP(MIB$11,Assumptions!$B$35:$H$35,_xlfn.XLOOKUP($C28,Assumptions!$B$36:$B$41,Assumptions!$B$36:$H$41))</f>
        <v>0</v>
      </c>
      <c r="MIC28">
        <f t="array" ref="MIC28">_xlfn.XLOOKUP(MIC$11,Assumptions!$B$35:$H$35,_xlfn.XLOOKUP($C28,Assumptions!$B$36:$B$41,Assumptions!$B$36:$H$41))</f>
        <v>0</v>
      </c>
      <c r="MID28">
        <f t="array" ref="MID28">_xlfn.XLOOKUP(MID$11,Assumptions!$B$35:$H$35,_xlfn.XLOOKUP($C28,Assumptions!$B$36:$B$41,Assumptions!$B$36:$H$41))</f>
        <v>0</v>
      </c>
      <c r="MIE28">
        <f t="array" ref="MIE28">_xlfn.XLOOKUP(MIE$11,Assumptions!$B$35:$H$35,_xlfn.XLOOKUP($C28,Assumptions!$B$36:$B$41,Assumptions!$B$36:$H$41))</f>
        <v>0</v>
      </c>
      <c r="MIF28">
        <f t="array" ref="MIF28">_xlfn.XLOOKUP(MIF$11,Assumptions!$B$35:$H$35,_xlfn.XLOOKUP($C28,Assumptions!$B$36:$B$41,Assumptions!$B$36:$H$41))</f>
        <v>0</v>
      </c>
      <c r="MIG28">
        <f t="array" ref="MIG28">_xlfn.XLOOKUP(MIG$11,Assumptions!$B$35:$H$35,_xlfn.XLOOKUP($C28,Assumptions!$B$36:$B$41,Assumptions!$B$36:$H$41))</f>
        <v>0</v>
      </c>
      <c r="MIH28">
        <f t="array" ref="MIH28">_xlfn.XLOOKUP(MIH$11,Assumptions!$B$35:$H$35,_xlfn.XLOOKUP($C28,Assumptions!$B$36:$B$41,Assumptions!$B$36:$H$41))</f>
        <v>0</v>
      </c>
      <c r="MII28">
        <f t="array" ref="MII28">_xlfn.XLOOKUP(MII$11,Assumptions!$B$35:$H$35,_xlfn.XLOOKUP($C28,Assumptions!$B$36:$B$41,Assumptions!$B$36:$H$41))</f>
        <v>0</v>
      </c>
      <c r="MIJ28">
        <f t="array" ref="MIJ28">_xlfn.XLOOKUP(MIJ$11,Assumptions!$B$35:$H$35,_xlfn.XLOOKUP($C28,Assumptions!$B$36:$B$41,Assumptions!$B$36:$H$41))</f>
        <v>0</v>
      </c>
      <c r="MIK28">
        <f t="array" ref="MIK28">_xlfn.XLOOKUP(MIK$11,Assumptions!$B$35:$H$35,_xlfn.XLOOKUP($C28,Assumptions!$B$36:$B$41,Assumptions!$B$36:$H$41))</f>
        <v>0</v>
      </c>
      <c r="MIL28">
        <f t="array" ref="MIL28">_xlfn.XLOOKUP(MIL$11,Assumptions!$B$35:$H$35,_xlfn.XLOOKUP($C28,Assumptions!$B$36:$B$41,Assumptions!$B$36:$H$41))</f>
        <v>0</v>
      </c>
      <c r="MIM28">
        <f t="array" ref="MIM28">_xlfn.XLOOKUP(MIM$11,Assumptions!$B$35:$H$35,_xlfn.XLOOKUP($C28,Assumptions!$B$36:$B$41,Assumptions!$B$36:$H$41))</f>
        <v>0</v>
      </c>
      <c r="MIN28">
        <f t="array" ref="MIN28">_xlfn.XLOOKUP(MIN$11,Assumptions!$B$35:$H$35,_xlfn.XLOOKUP($C28,Assumptions!$B$36:$B$41,Assumptions!$B$36:$H$41))</f>
        <v>0</v>
      </c>
      <c r="MIO28">
        <f t="array" ref="MIO28">_xlfn.XLOOKUP(MIO$11,Assumptions!$B$35:$H$35,_xlfn.XLOOKUP($C28,Assumptions!$B$36:$B$41,Assumptions!$B$36:$H$41))</f>
        <v>0</v>
      </c>
      <c r="MIP28">
        <f t="array" ref="MIP28">_xlfn.XLOOKUP(MIP$11,Assumptions!$B$35:$H$35,_xlfn.XLOOKUP($C28,Assumptions!$B$36:$B$41,Assumptions!$B$36:$H$41))</f>
        <v>0</v>
      </c>
      <c r="MIQ28">
        <f t="array" ref="MIQ28">_xlfn.XLOOKUP(MIQ$11,Assumptions!$B$35:$H$35,_xlfn.XLOOKUP($C28,Assumptions!$B$36:$B$41,Assumptions!$B$36:$H$41))</f>
        <v>0</v>
      </c>
      <c r="MIR28">
        <f t="array" ref="MIR28">_xlfn.XLOOKUP(MIR$11,Assumptions!$B$35:$H$35,_xlfn.XLOOKUP($C28,Assumptions!$B$36:$B$41,Assumptions!$B$36:$H$41))</f>
        <v>0</v>
      </c>
      <c r="MIS28">
        <f t="array" ref="MIS28">_xlfn.XLOOKUP(MIS$11,Assumptions!$B$35:$H$35,_xlfn.XLOOKUP($C28,Assumptions!$B$36:$B$41,Assumptions!$B$36:$H$41))</f>
        <v>0</v>
      </c>
      <c r="MIT28">
        <f t="array" ref="MIT28">_xlfn.XLOOKUP(MIT$11,Assumptions!$B$35:$H$35,_xlfn.XLOOKUP($C28,Assumptions!$B$36:$B$41,Assumptions!$B$36:$H$41))</f>
        <v>0</v>
      </c>
      <c r="MIU28">
        <f t="array" ref="MIU28">_xlfn.XLOOKUP(MIU$11,Assumptions!$B$35:$H$35,_xlfn.XLOOKUP($C28,Assumptions!$B$36:$B$41,Assumptions!$B$36:$H$41))</f>
        <v>0</v>
      </c>
      <c r="MIV28">
        <f t="array" ref="MIV28">_xlfn.XLOOKUP(MIV$11,Assumptions!$B$35:$H$35,_xlfn.XLOOKUP($C28,Assumptions!$B$36:$B$41,Assumptions!$B$36:$H$41))</f>
        <v>0</v>
      </c>
      <c r="MIW28">
        <f t="array" ref="MIW28">_xlfn.XLOOKUP(MIW$11,Assumptions!$B$35:$H$35,_xlfn.XLOOKUP($C28,Assumptions!$B$36:$B$41,Assumptions!$B$36:$H$41))</f>
        <v>0</v>
      </c>
      <c r="MIX28">
        <f t="array" ref="MIX28">_xlfn.XLOOKUP(MIX$11,Assumptions!$B$35:$H$35,_xlfn.XLOOKUP($C28,Assumptions!$B$36:$B$41,Assumptions!$B$36:$H$41))</f>
        <v>0</v>
      </c>
      <c r="MIY28">
        <f t="array" ref="MIY28">_xlfn.XLOOKUP(MIY$11,Assumptions!$B$35:$H$35,_xlfn.XLOOKUP($C28,Assumptions!$B$36:$B$41,Assumptions!$B$36:$H$41))</f>
        <v>0</v>
      </c>
      <c r="MIZ28">
        <f t="array" ref="MIZ28">_xlfn.XLOOKUP(MIZ$11,Assumptions!$B$35:$H$35,_xlfn.XLOOKUP($C28,Assumptions!$B$36:$B$41,Assumptions!$B$36:$H$41))</f>
        <v>0</v>
      </c>
      <c r="MJA28">
        <f t="array" ref="MJA28">_xlfn.XLOOKUP(MJA$11,Assumptions!$B$35:$H$35,_xlfn.XLOOKUP($C28,Assumptions!$B$36:$B$41,Assumptions!$B$36:$H$41))</f>
        <v>0</v>
      </c>
      <c r="MJB28">
        <f t="array" ref="MJB28">_xlfn.XLOOKUP(MJB$11,Assumptions!$B$35:$H$35,_xlfn.XLOOKUP($C28,Assumptions!$B$36:$B$41,Assumptions!$B$36:$H$41))</f>
        <v>0</v>
      </c>
      <c r="MJC28">
        <f t="array" ref="MJC28">_xlfn.XLOOKUP(MJC$11,Assumptions!$B$35:$H$35,_xlfn.XLOOKUP($C28,Assumptions!$B$36:$B$41,Assumptions!$B$36:$H$41))</f>
        <v>0</v>
      </c>
      <c r="MJD28">
        <f t="array" ref="MJD28">_xlfn.XLOOKUP(MJD$11,Assumptions!$B$35:$H$35,_xlfn.XLOOKUP($C28,Assumptions!$B$36:$B$41,Assumptions!$B$36:$H$41))</f>
        <v>0</v>
      </c>
      <c r="MJE28">
        <f t="array" ref="MJE28">_xlfn.XLOOKUP(MJE$11,Assumptions!$B$35:$H$35,_xlfn.XLOOKUP($C28,Assumptions!$B$36:$B$41,Assumptions!$B$36:$H$41))</f>
        <v>0</v>
      </c>
      <c r="MJF28">
        <f t="array" ref="MJF28">_xlfn.XLOOKUP(MJF$11,Assumptions!$B$35:$H$35,_xlfn.XLOOKUP($C28,Assumptions!$B$36:$B$41,Assumptions!$B$36:$H$41))</f>
        <v>0</v>
      </c>
      <c r="MJG28">
        <f t="array" ref="MJG28">_xlfn.XLOOKUP(MJG$11,Assumptions!$B$35:$H$35,_xlfn.XLOOKUP($C28,Assumptions!$B$36:$B$41,Assumptions!$B$36:$H$41))</f>
        <v>0</v>
      </c>
      <c r="MJH28">
        <f t="array" ref="MJH28">_xlfn.XLOOKUP(MJH$11,Assumptions!$B$35:$H$35,_xlfn.XLOOKUP($C28,Assumptions!$B$36:$B$41,Assumptions!$B$36:$H$41))</f>
        <v>0</v>
      </c>
      <c r="MJI28">
        <f t="array" ref="MJI28">_xlfn.XLOOKUP(MJI$11,Assumptions!$B$35:$H$35,_xlfn.XLOOKUP($C28,Assumptions!$B$36:$B$41,Assumptions!$B$36:$H$41))</f>
        <v>0</v>
      </c>
      <c r="MJJ28">
        <f t="array" ref="MJJ28">_xlfn.XLOOKUP(MJJ$11,Assumptions!$B$35:$H$35,_xlfn.XLOOKUP($C28,Assumptions!$B$36:$B$41,Assumptions!$B$36:$H$41))</f>
        <v>0</v>
      </c>
      <c r="MJK28">
        <f t="array" ref="MJK28">_xlfn.XLOOKUP(MJK$11,Assumptions!$B$35:$H$35,_xlfn.XLOOKUP($C28,Assumptions!$B$36:$B$41,Assumptions!$B$36:$H$41))</f>
        <v>0</v>
      </c>
      <c r="MJL28">
        <f t="array" ref="MJL28">_xlfn.XLOOKUP(MJL$11,Assumptions!$B$35:$H$35,_xlfn.XLOOKUP($C28,Assumptions!$B$36:$B$41,Assumptions!$B$36:$H$41))</f>
        <v>0</v>
      </c>
      <c r="MJM28">
        <f t="array" ref="MJM28">_xlfn.XLOOKUP(MJM$11,Assumptions!$B$35:$H$35,_xlfn.XLOOKUP($C28,Assumptions!$B$36:$B$41,Assumptions!$B$36:$H$41))</f>
        <v>0</v>
      </c>
      <c r="MJN28">
        <f t="array" ref="MJN28">_xlfn.XLOOKUP(MJN$11,Assumptions!$B$35:$H$35,_xlfn.XLOOKUP($C28,Assumptions!$B$36:$B$41,Assumptions!$B$36:$H$41))</f>
        <v>0</v>
      </c>
      <c r="MJO28">
        <f t="array" ref="MJO28">_xlfn.XLOOKUP(MJO$11,Assumptions!$B$35:$H$35,_xlfn.XLOOKUP($C28,Assumptions!$B$36:$B$41,Assumptions!$B$36:$H$41))</f>
        <v>0</v>
      </c>
      <c r="MJP28">
        <f t="array" ref="MJP28">_xlfn.XLOOKUP(MJP$11,Assumptions!$B$35:$H$35,_xlfn.XLOOKUP($C28,Assumptions!$B$36:$B$41,Assumptions!$B$36:$H$41))</f>
        <v>0</v>
      </c>
      <c r="MJQ28">
        <f t="array" ref="MJQ28">_xlfn.XLOOKUP(MJQ$11,Assumptions!$B$35:$H$35,_xlfn.XLOOKUP($C28,Assumptions!$B$36:$B$41,Assumptions!$B$36:$H$41))</f>
        <v>0</v>
      </c>
      <c r="MJR28">
        <f t="array" ref="MJR28">_xlfn.XLOOKUP(MJR$11,Assumptions!$B$35:$H$35,_xlfn.XLOOKUP($C28,Assumptions!$B$36:$B$41,Assumptions!$B$36:$H$41))</f>
        <v>0</v>
      </c>
      <c r="MJS28">
        <f t="array" ref="MJS28">_xlfn.XLOOKUP(MJS$11,Assumptions!$B$35:$H$35,_xlfn.XLOOKUP($C28,Assumptions!$B$36:$B$41,Assumptions!$B$36:$H$41))</f>
        <v>0</v>
      </c>
      <c r="MJT28">
        <f t="array" ref="MJT28">_xlfn.XLOOKUP(MJT$11,Assumptions!$B$35:$H$35,_xlfn.XLOOKUP($C28,Assumptions!$B$36:$B$41,Assumptions!$B$36:$H$41))</f>
        <v>0</v>
      </c>
      <c r="MJU28">
        <f t="array" ref="MJU28">_xlfn.XLOOKUP(MJU$11,Assumptions!$B$35:$H$35,_xlfn.XLOOKUP($C28,Assumptions!$B$36:$B$41,Assumptions!$B$36:$H$41))</f>
        <v>0</v>
      </c>
      <c r="MJV28">
        <f t="array" ref="MJV28">_xlfn.XLOOKUP(MJV$11,Assumptions!$B$35:$H$35,_xlfn.XLOOKUP($C28,Assumptions!$B$36:$B$41,Assumptions!$B$36:$H$41))</f>
        <v>0</v>
      </c>
      <c r="MJW28">
        <f t="array" ref="MJW28">_xlfn.XLOOKUP(MJW$11,Assumptions!$B$35:$H$35,_xlfn.XLOOKUP($C28,Assumptions!$B$36:$B$41,Assumptions!$B$36:$H$41))</f>
        <v>0</v>
      </c>
      <c r="MJX28">
        <f t="array" ref="MJX28">_xlfn.XLOOKUP(MJX$11,Assumptions!$B$35:$H$35,_xlfn.XLOOKUP($C28,Assumptions!$B$36:$B$41,Assumptions!$B$36:$H$41))</f>
        <v>0</v>
      </c>
      <c r="MJY28">
        <f t="array" ref="MJY28">_xlfn.XLOOKUP(MJY$11,Assumptions!$B$35:$H$35,_xlfn.XLOOKUP($C28,Assumptions!$B$36:$B$41,Assumptions!$B$36:$H$41))</f>
        <v>0</v>
      </c>
      <c r="MJZ28">
        <f t="array" ref="MJZ28">_xlfn.XLOOKUP(MJZ$11,Assumptions!$B$35:$H$35,_xlfn.XLOOKUP($C28,Assumptions!$B$36:$B$41,Assumptions!$B$36:$H$41))</f>
        <v>0</v>
      </c>
      <c r="MKA28">
        <f t="array" ref="MKA28">_xlfn.XLOOKUP(MKA$11,Assumptions!$B$35:$H$35,_xlfn.XLOOKUP($C28,Assumptions!$B$36:$B$41,Assumptions!$B$36:$H$41))</f>
        <v>0</v>
      </c>
      <c r="MKB28">
        <f t="array" ref="MKB28">_xlfn.XLOOKUP(MKB$11,Assumptions!$B$35:$H$35,_xlfn.XLOOKUP($C28,Assumptions!$B$36:$B$41,Assumptions!$B$36:$H$41))</f>
        <v>0</v>
      </c>
      <c r="MKC28">
        <f t="array" ref="MKC28">_xlfn.XLOOKUP(MKC$11,Assumptions!$B$35:$H$35,_xlfn.XLOOKUP($C28,Assumptions!$B$36:$B$41,Assumptions!$B$36:$H$41))</f>
        <v>0</v>
      </c>
      <c r="MKD28">
        <f t="array" ref="MKD28">_xlfn.XLOOKUP(MKD$11,Assumptions!$B$35:$H$35,_xlfn.XLOOKUP($C28,Assumptions!$B$36:$B$41,Assumptions!$B$36:$H$41))</f>
        <v>0</v>
      </c>
      <c r="MKE28">
        <f t="array" ref="MKE28">_xlfn.XLOOKUP(MKE$11,Assumptions!$B$35:$H$35,_xlfn.XLOOKUP($C28,Assumptions!$B$36:$B$41,Assumptions!$B$36:$H$41))</f>
        <v>0</v>
      </c>
      <c r="MKF28">
        <f t="array" ref="MKF28">_xlfn.XLOOKUP(MKF$11,Assumptions!$B$35:$H$35,_xlfn.XLOOKUP($C28,Assumptions!$B$36:$B$41,Assumptions!$B$36:$H$41))</f>
        <v>0</v>
      </c>
      <c r="MKG28">
        <f t="array" ref="MKG28">_xlfn.XLOOKUP(MKG$11,Assumptions!$B$35:$H$35,_xlfn.XLOOKUP($C28,Assumptions!$B$36:$B$41,Assumptions!$B$36:$H$41))</f>
        <v>0</v>
      </c>
      <c r="MKH28">
        <f t="array" ref="MKH28">_xlfn.XLOOKUP(MKH$11,Assumptions!$B$35:$H$35,_xlfn.XLOOKUP($C28,Assumptions!$B$36:$B$41,Assumptions!$B$36:$H$41))</f>
        <v>0</v>
      </c>
      <c r="MKI28">
        <f t="array" ref="MKI28">_xlfn.XLOOKUP(MKI$11,Assumptions!$B$35:$H$35,_xlfn.XLOOKUP($C28,Assumptions!$B$36:$B$41,Assumptions!$B$36:$H$41))</f>
        <v>0</v>
      </c>
      <c r="MKJ28">
        <f t="array" ref="MKJ28">_xlfn.XLOOKUP(MKJ$11,Assumptions!$B$35:$H$35,_xlfn.XLOOKUP($C28,Assumptions!$B$36:$B$41,Assumptions!$B$36:$H$41))</f>
        <v>0</v>
      </c>
      <c r="MKK28">
        <f t="array" ref="MKK28">_xlfn.XLOOKUP(MKK$11,Assumptions!$B$35:$H$35,_xlfn.XLOOKUP($C28,Assumptions!$B$36:$B$41,Assumptions!$B$36:$H$41))</f>
        <v>0</v>
      </c>
      <c r="MKL28">
        <f t="array" ref="MKL28">_xlfn.XLOOKUP(MKL$11,Assumptions!$B$35:$H$35,_xlfn.XLOOKUP($C28,Assumptions!$B$36:$B$41,Assumptions!$B$36:$H$41))</f>
        <v>0</v>
      </c>
      <c r="MKM28">
        <f t="array" ref="MKM28">_xlfn.XLOOKUP(MKM$11,Assumptions!$B$35:$H$35,_xlfn.XLOOKUP($C28,Assumptions!$B$36:$B$41,Assumptions!$B$36:$H$41))</f>
        <v>0</v>
      </c>
      <c r="MKN28">
        <f t="array" ref="MKN28">_xlfn.XLOOKUP(MKN$11,Assumptions!$B$35:$H$35,_xlfn.XLOOKUP($C28,Assumptions!$B$36:$B$41,Assumptions!$B$36:$H$41))</f>
        <v>0</v>
      </c>
      <c r="MKO28">
        <f t="array" ref="MKO28">_xlfn.XLOOKUP(MKO$11,Assumptions!$B$35:$H$35,_xlfn.XLOOKUP($C28,Assumptions!$B$36:$B$41,Assumptions!$B$36:$H$41))</f>
        <v>0</v>
      </c>
      <c r="MKP28">
        <f t="array" ref="MKP28">_xlfn.XLOOKUP(MKP$11,Assumptions!$B$35:$H$35,_xlfn.XLOOKUP($C28,Assumptions!$B$36:$B$41,Assumptions!$B$36:$H$41))</f>
        <v>0</v>
      </c>
      <c r="MKQ28">
        <f t="array" ref="MKQ28">_xlfn.XLOOKUP(MKQ$11,Assumptions!$B$35:$H$35,_xlfn.XLOOKUP($C28,Assumptions!$B$36:$B$41,Assumptions!$B$36:$H$41))</f>
        <v>0</v>
      </c>
      <c r="MKR28">
        <f t="array" ref="MKR28">_xlfn.XLOOKUP(MKR$11,Assumptions!$B$35:$H$35,_xlfn.XLOOKUP($C28,Assumptions!$B$36:$B$41,Assumptions!$B$36:$H$41))</f>
        <v>0</v>
      </c>
      <c r="MKS28">
        <f t="array" ref="MKS28">_xlfn.XLOOKUP(MKS$11,Assumptions!$B$35:$H$35,_xlfn.XLOOKUP($C28,Assumptions!$B$36:$B$41,Assumptions!$B$36:$H$41))</f>
        <v>0</v>
      </c>
      <c r="MKT28">
        <f t="array" ref="MKT28">_xlfn.XLOOKUP(MKT$11,Assumptions!$B$35:$H$35,_xlfn.XLOOKUP($C28,Assumptions!$B$36:$B$41,Assumptions!$B$36:$H$41))</f>
        <v>0</v>
      </c>
      <c r="MKU28">
        <f t="array" ref="MKU28">_xlfn.XLOOKUP(MKU$11,Assumptions!$B$35:$H$35,_xlfn.XLOOKUP($C28,Assumptions!$B$36:$B$41,Assumptions!$B$36:$H$41))</f>
        <v>0</v>
      </c>
      <c r="MKV28">
        <f t="array" ref="MKV28">_xlfn.XLOOKUP(MKV$11,Assumptions!$B$35:$H$35,_xlfn.XLOOKUP($C28,Assumptions!$B$36:$B$41,Assumptions!$B$36:$H$41))</f>
        <v>0</v>
      </c>
      <c r="MKW28">
        <f t="array" ref="MKW28">_xlfn.XLOOKUP(MKW$11,Assumptions!$B$35:$H$35,_xlfn.XLOOKUP($C28,Assumptions!$B$36:$B$41,Assumptions!$B$36:$H$41))</f>
        <v>0</v>
      </c>
      <c r="MKX28">
        <f t="array" ref="MKX28">_xlfn.XLOOKUP(MKX$11,Assumptions!$B$35:$H$35,_xlfn.XLOOKUP($C28,Assumptions!$B$36:$B$41,Assumptions!$B$36:$H$41))</f>
        <v>0</v>
      </c>
      <c r="MKY28">
        <f t="array" ref="MKY28">_xlfn.XLOOKUP(MKY$11,Assumptions!$B$35:$H$35,_xlfn.XLOOKUP($C28,Assumptions!$B$36:$B$41,Assumptions!$B$36:$H$41))</f>
        <v>0</v>
      </c>
      <c r="MKZ28">
        <f t="array" ref="MKZ28">_xlfn.XLOOKUP(MKZ$11,Assumptions!$B$35:$H$35,_xlfn.XLOOKUP($C28,Assumptions!$B$36:$B$41,Assumptions!$B$36:$H$41))</f>
        <v>0</v>
      </c>
      <c r="MLA28">
        <f t="array" ref="MLA28">_xlfn.XLOOKUP(MLA$11,Assumptions!$B$35:$H$35,_xlfn.XLOOKUP($C28,Assumptions!$B$36:$B$41,Assumptions!$B$36:$H$41))</f>
        <v>0</v>
      </c>
      <c r="MLB28">
        <f t="array" ref="MLB28">_xlfn.XLOOKUP(MLB$11,Assumptions!$B$35:$H$35,_xlfn.XLOOKUP($C28,Assumptions!$B$36:$B$41,Assumptions!$B$36:$H$41))</f>
        <v>0</v>
      </c>
      <c r="MLC28">
        <f t="array" ref="MLC28">_xlfn.XLOOKUP(MLC$11,Assumptions!$B$35:$H$35,_xlfn.XLOOKUP($C28,Assumptions!$B$36:$B$41,Assumptions!$B$36:$H$41))</f>
        <v>0</v>
      </c>
      <c r="MLD28">
        <f t="array" ref="MLD28">_xlfn.XLOOKUP(MLD$11,Assumptions!$B$35:$H$35,_xlfn.XLOOKUP($C28,Assumptions!$B$36:$B$41,Assumptions!$B$36:$H$41))</f>
        <v>0</v>
      </c>
      <c r="MLE28">
        <f t="array" ref="MLE28">_xlfn.XLOOKUP(MLE$11,Assumptions!$B$35:$H$35,_xlfn.XLOOKUP($C28,Assumptions!$B$36:$B$41,Assumptions!$B$36:$H$41))</f>
        <v>0</v>
      </c>
      <c r="MLF28">
        <f t="array" ref="MLF28">_xlfn.XLOOKUP(MLF$11,Assumptions!$B$35:$H$35,_xlfn.XLOOKUP($C28,Assumptions!$B$36:$B$41,Assumptions!$B$36:$H$41))</f>
        <v>0</v>
      </c>
      <c r="MLG28">
        <f t="array" ref="MLG28">_xlfn.XLOOKUP(MLG$11,Assumptions!$B$35:$H$35,_xlfn.XLOOKUP($C28,Assumptions!$B$36:$B$41,Assumptions!$B$36:$H$41))</f>
        <v>0</v>
      </c>
      <c r="MLH28">
        <f t="array" ref="MLH28">_xlfn.XLOOKUP(MLH$11,Assumptions!$B$35:$H$35,_xlfn.XLOOKUP($C28,Assumptions!$B$36:$B$41,Assumptions!$B$36:$H$41))</f>
        <v>0</v>
      </c>
      <c r="MLI28">
        <f t="array" ref="MLI28">_xlfn.XLOOKUP(MLI$11,Assumptions!$B$35:$H$35,_xlfn.XLOOKUP($C28,Assumptions!$B$36:$B$41,Assumptions!$B$36:$H$41))</f>
        <v>0</v>
      </c>
      <c r="MLJ28">
        <f t="array" ref="MLJ28">_xlfn.XLOOKUP(MLJ$11,Assumptions!$B$35:$H$35,_xlfn.XLOOKUP($C28,Assumptions!$B$36:$B$41,Assumptions!$B$36:$H$41))</f>
        <v>0</v>
      </c>
      <c r="MLK28">
        <f t="array" ref="MLK28">_xlfn.XLOOKUP(MLK$11,Assumptions!$B$35:$H$35,_xlfn.XLOOKUP($C28,Assumptions!$B$36:$B$41,Assumptions!$B$36:$H$41))</f>
        <v>0</v>
      </c>
      <c r="MLL28">
        <f t="array" ref="MLL28">_xlfn.XLOOKUP(MLL$11,Assumptions!$B$35:$H$35,_xlfn.XLOOKUP($C28,Assumptions!$B$36:$B$41,Assumptions!$B$36:$H$41))</f>
        <v>0</v>
      </c>
      <c r="MLM28">
        <f t="array" ref="MLM28">_xlfn.XLOOKUP(MLM$11,Assumptions!$B$35:$H$35,_xlfn.XLOOKUP($C28,Assumptions!$B$36:$B$41,Assumptions!$B$36:$H$41))</f>
        <v>0</v>
      </c>
      <c r="MLN28">
        <f t="array" ref="MLN28">_xlfn.XLOOKUP(MLN$11,Assumptions!$B$35:$H$35,_xlfn.XLOOKUP($C28,Assumptions!$B$36:$B$41,Assumptions!$B$36:$H$41))</f>
        <v>0</v>
      </c>
      <c r="MLO28">
        <f t="array" ref="MLO28">_xlfn.XLOOKUP(MLO$11,Assumptions!$B$35:$H$35,_xlfn.XLOOKUP($C28,Assumptions!$B$36:$B$41,Assumptions!$B$36:$H$41))</f>
        <v>0</v>
      </c>
      <c r="MLP28">
        <f t="array" ref="MLP28">_xlfn.XLOOKUP(MLP$11,Assumptions!$B$35:$H$35,_xlfn.XLOOKUP($C28,Assumptions!$B$36:$B$41,Assumptions!$B$36:$H$41))</f>
        <v>0</v>
      </c>
      <c r="MLQ28">
        <f t="array" ref="MLQ28">_xlfn.XLOOKUP(MLQ$11,Assumptions!$B$35:$H$35,_xlfn.XLOOKUP($C28,Assumptions!$B$36:$B$41,Assumptions!$B$36:$H$41))</f>
        <v>0</v>
      </c>
      <c r="MLR28">
        <f t="array" ref="MLR28">_xlfn.XLOOKUP(MLR$11,Assumptions!$B$35:$H$35,_xlfn.XLOOKUP($C28,Assumptions!$B$36:$B$41,Assumptions!$B$36:$H$41))</f>
        <v>0</v>
      </c>
      <c r="MLS28">
        <f t="array" ref="MLS28">_xlfn.XLOOKUP(MLS$11,Assumptions!$B$35:$H$35,_xlfn.XLOOKUP($C28,Assumptions!$B$36:$B$41,Assumptions!$B$36:$H$41))</f>
        <v>0</v>
      </c>
      <c r="MLT28">
        <f t="array" ref="MLT28">_xlfn.XLOOKUP(MLT$11,Assumptions!$B$35:$H$35,_xlfn.XLOOKUP($C28,Assumptions!$B$36:$B$41,Assumptions!$B$36:$H$41))</f>
        <v>0</v>
      </c>
      <c r="MLU28">
        <f t="array" ref="MLU28">_xlfn.XLOOKUP(MLU$11,Assumptions!$B$35:$H$35,_xlfn.XLOOKUP($C28,Assumptions!$B$36:$B$41,Assumptions!$B$36:$H$41))</f>
        <v>0</v>
      </c>
      <c r="MLV28">
        <f t="array" ref="MLV28">_xlfn.XLOOKUP(MLV$11,Assumptions!$B$35:$H$35,_xlfn.XLOOKUP($C28,Assumptions!$B$36:$B$41,Assumptions!$B$36:$H$41))</f>
        <v>0</v>
      </c>
      <c r="MLW28">
        <f t="array" ref="MLW28">_xlfn.XLOOKUP(MLW$11,Assumptions!$B$35:$H$35,_xlfn.XLOOKUP($C28,Assumptions!$B$36:$B$41,Assumptions!$B$36:$H$41))</f>
        <v>0</v>
      </c>
      <c r="MLX28">
        <f t="array" ref="MLX28">_xlfn.XLOOKUP(MLX$11,Assumptions!$B$35:$H$35,_xlfn.XLOOKUP($C28,Assumptions!$B$36:$B$41,Assumptions!$B$36:$H$41))</f>
        <v>0</v>
      </c>
      <c r="MLY28">
        <f t="array" ref="MLY28">_xlfn.XLOOKUP(MLY$11,Assumptions!$B$35:$H$35,_xlfn.XLOOKUP($C28,Assumptions!$B$36:$B$41,Assumptions!$B$36:$H$41))</f>
        <v>0</v>
      </c>
      <c r="MLZ28">
        <f t="array" ref="MLZ28">_xlfn.XLOOKUP(MLZ$11,Assumptions!$B$35:$H$35,_xlfn.XLOOKUP($C28,Assumptions!$B$36:$B$41,Assumptions!$B$36:$H$41))</f>
        <v>0</v>
      </c>
      <c r="MMA28">
        <f t="array" ref="MMA28">_xlfn.XLOOKUP(MMA$11,Assumptions!$B$35:$H$35,_xlfn.XLOOKUP($C28,Assumptions!$B$36:$B$41,Assumptions!$B$36:$H$41))</f>
        <v>0</v>
      </c>
      <c r="MMB28">
        <f t="array" ref="MMB28">_xlfn.XLOOKUP(MMB$11,Assumptions!$B$35:$H$35,_xlfn.XLOOKUP($C28,Assumptions!$B$36:$B$41,Assumptions!$B$36:$H$41))</f>
        <v>0</v>
      </c>
      <c r="MMC28">
        <f t="array" ref="MMC28">_xlfn.XLOOKUP(MMC$11,Assumptions!$B$35:$H$35,_xlfn.XLOOKUP($C28,Assumptions!$B$36:$B$41,Assumptions!$B$36:$H$41))</f>
        <v>0</v>
      </c>
      <c r="MMD28">
        <f t="array" ref="MMD28">_xlfn.XLOOKUP(MMD$11,Assumptions!$B$35:$H$35,_xlfn.XLOOKUP($C28,Assumptions!$B$36:$B$41,Assumptions!$B$36:$H$41))</f>
        <v>0</v>
      </c>
      <c r="MME28">
        <f t="array" ref="MME28">_xlfn.XLOOKUP(MME$11,Assumptions!$B$35:$H$35,_xlfn.XLOOKUP($C28,Assumptions!$B$36:$B$41,Assumptions!$B$36:$H$41))</f>
        <v>0</v>
      </c>
      <c r="MMF28">
        <f t="array" ref="MMF28">_xlfn.XLOOKUP(MMF$11,Assumptions!$B$35:$H$35,_xlfn.XLOOKUP($C28,Assumptions!$B$36:$B$41,Assumptions!$B$36:$H$41))</f>
        <v>0</v>
      </c>
      <c r="MMG28">
        <f t="array" ref="MMG28">_xlfn.XLOOKUP(MMG$11,Assumptions!$B$35:$H$35,_xlfn.XLOOKUP($C28,Assumptions!$B$36:$B$41,Assumptions!$B$36:$H$41))</f>
        <v>0</v>
      </c>
      <c r="MMH28">
        <f t="array" ref="MMH28">_xlfn.XLOOKUP(MMH$11,Assumptions!$B$35:$H$35,_xlfn.XLOOKUP($C28,Assumptions!$B$36:$B$41,Assumptions!$B$36:$H$41))</f>
        <v>0</v>
      </c>
      <c r="MMI28">
        <f t="array" ref="MMI28">_xlfn.XLOOKUP(MMI$11,Assumptions!$B$35:$H$35,_xlfn.XLOOKUP($C28,Assumptions!$B$36:$B$41,Assumptions!$B$36:$H$41))</f>
        <v>0</v>
      </c>
      <c r="MMJ28">
        <f t="array" ref="MMJ28">_xlfn.XLOOKUP(MMJ$11,Assumptions!$B$35:$H$35,_xlfn.XLOOKUP($C28,Assumptions!$B$36:$B$41,Assumptions!$B$36:$H$41))</f>
        <v>0</v>
      </c>
      <c r="MMK28">
        <f t="array" ref="MMK28">_xlfn.XLOOKUP(MMK$11,Assumptions!$B$35:$H$35,_xlfn.XLOOKUP($C28,Assumptions!$B$36:$B$41,Assumptions!$B$36:$H$41))</f>
        <v>0</v>
      </c>
      <c r="MML28">
        <f t="array" ref="MML28">_xlfn.XLOOKUP(MML$11,Assumptions!$B$35:$H$35,_xlfn.XLOOKUP($C28,Assumptions!$B$36:$B$41,Assumptions!$B$36:$H$41))</f>
        <v>0</v>
      </c>
      <c r="MMM28">
        <f t="array" ref="MMM28">_xlfn.XLOOKUP(MMM$11,Assumptions!$B$35:$H$35,_xlfn.XLOOKUP($C28,Assumptions!$B$36:$B$41,Assumptions!$B$36:$H$41))</f>
        <v>0</v>
      </c>
      <c r="MMN28">
        <f t="array" ref="MMN28">_xlfn.XLOOKUP(MMN$11,Assumptions!$B$35:$H$35,_xlfn.XLOOKUP($C28,Assumptions!$B$36:$B$41,Assumptions!$B$36:$H$41))</f>
        <v>0</v>
      </c>
      <c r="MMO28">
        <f t="array" ref="MMO28">_xlfn.XLOOKUP(MMO$11,Assumptions!$B$35:$H$35,_xlfn.XLOOKUP($C28,Assumptions!$B$36:$B$41,Assumptions!$B$36:$H$41))</f>
        <v>0</v>
      </c>
      <c r="MMP28">
        <f t="array" ref="MMP28">_xlfn.XLOOKUP(MMP$11,Assumptions!$B$35:$H$35,_xlfn.XLOOKUP($C28,Assumptions!$B$36:$B$41,Assumptions!$B$36:$H$41))</f>
        <v>0</v>
      </c>
      <c r="MMQ28">
        <f t="array" ref="MMQ28">_xlfn.XLOOKUP(MMQ$11,Assumptions!$B$35:$H$35,_xlfn.XLOOKUP($C28,Assumptions!$B$36:$B$41,Assumptions!$B$36:$H$41))</f>
        <v>0</v>
      </c>
      <c r="MMR28">
        <f t="array" ref="MMR28">_xlfn.XLOOKUP(MMR$11,Assumptions!$B$35:$H$35,_xlfn.XLOOKUP($C28,Assumptions!$B$36:$B$41,Assumptions!$B$36:$H$41))</f>
        <v>0</v>
      </c>
      <c r="MMS28">
        <f t="array" ref="MMS28">_xlfn.XLOOKUP(MMS$11,Assumptions!$B$35:$H$35,_xlfn.XLOOKUP($C28,Assumptions!$B$36:$B$41,Assumptions!$B$36:$H$41))</f>
        <v>0</v>
      </c>
      <c r="MMT28">
        <f t="array" ref="MMT28">_xlfn.XLOOKUP(MMT$11,Assumptions!$B$35:$H$35,_xlfn.XLOOKUP($C28,Assumptions!$B$36:$B$41,Assumptions!$B$36:$H$41))</f>
        <v>0</v>
      </c>
      <c r="MMU28">
        <f t="array" ref="MMU28">_xlfn.XLOOKUP(MMU$11,Assumptions!$B$35:$H$35,_xlfn.XLOOKUP($C28,Assumptions!$B$36:$B$41,Assumptions!$B$36:$H$41))</f>
        <v>0</v>
      </c>
      <c r="MMV28">
        <f t="array" ref="MMV28">_xlfn.XLOOKUP(MMV$11,Assumptions!$B$35:$H$35,_xlfn.XLOOKUP($C28,Assumptions!$B$36:$B$41,Assumptions!$B$36:$H$41))</f>
        <v>0</v>
      </c>
      <c r="MMW28">
        <f t="array" ref="MMW28">_xlfn.XLOOKUP(MMW$11,Assumptions!$B$35:$H$35,_xlfn.XLOOKUP($C28,Assumptions!$B$36:$B$41,Assumptions!$B$36:$H$41))</f>
        <v>0</v>
      </c>
      <c r="MMX28">
        <f t="array" ref="MMX28">_xlfn.XLOOKUP(MMX$11,Assumptions!$B$35:$H$35,_xlfn.XLOOKUP($C28,Assumptions!$B$36:$B$41,Assumptions!$B$36:$H$41))</f>
        <v>0</v>
      </c>
      <c r="MMY28">
        <f t="array" ref="MMY28">_xlfn.XLOOKUP(MMY$11,Assumptions!$B$35:$H$35,_xlfn.XLOOKUP($C28,Assumptions!$B$36:$B$41,Assumptions!$B$36:$H$41))</f>
        <v>0</v>
      </c>
      <c r="MMZ28">
        <f t="array" ref="MMZ28">_xlfn.XLOOKUP(MMZ$11,Assumptions!$B$35:$H$35,_xlfn.XLOOKUP($C28,Assumptions!$B$36:$B$41,Assumptions!$B$36:$H$41))</f>
        <v>0</v>
      </c>
      <c r="MNA28">
        <f t="array" ref="MNA28">_xlfn.XLOOKUP(MNA$11,Assumptions!$B$35:$H$35,_xlfn.XLOOKUP($C28,Assumptions!$B$36:$B$41,Assumptions!$B$36:$H$41))</f>
        <v>0</v>
      </c>
      <c r="MNB28">
        <f t="array" ref="MNB28">_xlfn.XLOOKUP(MNB$11,Assumptions!$B$35:$H$35,_xlfn.XLOOKUP($C28,Assumptions!$B$36:$B$41,Assumptions!$B$36:$H$41))</f>
        <v>0</v>
      </c>
      <c r="MNC28">
        <f t="array" ref="MNC28">_xlfn.XLOOKUP(MNC$11,Assumptions!$B$35:$H$35,_xlfn.XLOOKUP($C28,Assumptions!$B$36:$B$41,Assumptions!$B$36:$H$41))</f>
        <v>0</v>
      </c>
      <c r="MND28">
        <f t="array" ref="MND28">_xlfn.XLOOKUP(MND$11,Assumptions!$B$35:$H$35,_xlfn.XLOOKUP($C28,Assumptions!$B$36:$B$41,Assumptions!$B$36:$H$41))</f>
        <v>0</v>
      </c>
      <c r="MNE28">
        <f t="array" ref="MNE28">_xlfn.XLOOKUP(MNE$11,Assumptions!$B$35:$H$35,_xlfn.XLOOKUP($C28,Assumptions!$B$36:$B$41,Assumptions!$B$36:$H$41))</f>
        <v>0</v>
      </c>
      <c r="MNF28">
        <f t="array" ref="MNF28">_xlfn.XLOOKUP(MNF$11,Assumptions!$B$35:$H$35,_xlfn.XLOOKUP($C28,Assumptions!$B$36:$B$41,Assumptions!$B$36:$H$41))</f>
        <v>0</v>
      </c>
      <c r="MNG28">
        <f t="array" ref="MNG28">_xlfn.XLOOKUP(MNG$11,Assumptions!$B$35:$H$35,_xlfn.XLOOKUP($C28,Assumptions!$B$36:$B$41,Assumptions!$B$36:$H$41))</f>
        <v>0</v>
      </c>
      <c r="MNH28">
        <f t="array" ref="MNH28">_xlfn.XLOOKUP(MNH$11,Assumptions!$B$35:$H$35,_xlfn.XLOOKUP($C28,Assumptions!$B$36:$B$41,Assumptions!$B$36:$H$41))</f>
        <v>0</v>
      </c>
      <c r="MNI28">
        <f t="array" ref="MNI28">_xlfn.XLOOKUP(MNI$11,Assumptions!$B$35:$H$35,_xlfn.XLOOKUP($C28,Assumptions!$B$36:$B$41,Assumptions!$B$36:$H$41))</f>
        <v>0</v>
      </c>
      <c r="MNJ28">
        <f t="array" ref="MNJ28">_xlfn.XLOOKUP(MNJ$11,Assumptions!$B$35:$H$35,_xlfn.XLOOKUP($C28,Assumptions!$B$36:$B$41,Assumptions!$B$36:$H$41))</f>
        <v>0</v>
      </c>
      <c r="MNK28">
        <f t="array" ref="MNK28">_xlfn.XLOOKUP(MNK$11,Assumptions!$B$35:$H$35,_xlfn.XLOOKUP($C28,Assumptions!$B$36:$B$41,Assumptions!$B$36:$H$41))</f>
        <v>0</v>
      </c>
      <c r="MNL28">
        <f t="array" ref="MNL28">_xlfn.XLOOKUP(MNL$11,Assumptions!$B$35:$H$35,_xlfn.XLOOKUP($C28,Assumptions!$B$36:$B$41,Assumptions!$B$36:$H$41))</f>
        <v>0</v>
      </c>
      <c r="MNM28">
        <f t="array" ref="MNM28">_xlfn.XLOOKUP(MNM$11,Assumptions!$B$35:$H$35,_xlfn.XLOOKUP($C28,Assumptions!$B$36:$B$41,Assumptions!$B$36:$H$41))</f>
        <v>0</v>
      </c>
      <c r="MNN28">
        <f t="array" ref="MNN28">_xlfn.XLOOKUP(MNN$11,Assumptions!$B$35:$H$35,_xlfn.XLOOKUP($C28,Assumptions!$B$36:$B$41,Assumptions!$B$36:$H$41))</f>
        <v>0</v>
      </c>
      <c r="MNO28">
        <f t="array" ref="MNO28">_xlfn.XLOOKUP(MNO$11,Assumptions!$B$35:$H$35,_xlfn.XLOOKUP($C28,Assumptions!$B$36:$B$41,Assumptions!$B$36:$H$41))</f>
        <v>0</v>
      </c>
      <c r="MNP28">
        <f t="array" ref="MNP28">_xlfn.XLOOKUP(MNP$11,Assumptions!$B$35:$H$35,_xlfn.XLOOKUP($C28,Assumptions!$B$36:$B$41,Assumptions!$B$36:$H$41))</f>
        <v>0</v>
      </c>
      <c r="MNQ28">
        <f t="array" ref="MNQ28">_xlfn.XLOOKUP(MNQ$11,Assumptions!$B$35:$H$35,_xlfn.XLOOKUP($C28,Assumptions!$B$36:$B$41,Assumptions!$B$36:$H$41))</f>
        <v>0</v>
      </c>
      <c r="MNR28">
        <f t="array" ref="MNR28">_xlfn.XLOOKUP(MNR$11,Assumptions!$B$35:$H$35,_xlfn.XLOOKUP($C28,Assumptions!$B$36:$B$41,Assumptions!$B$36:$H$41))</f>
        <v>0</v>
      </c>
      <c r="MNS28">
        <f t="array" ref="MNS28">_xlfn.XLOOKUP(MNS$11,Assumptions!$B$35:$H$35,_xlfn.XLOOKUP($C28,Assumptions!$B$36:$B$41,Assumptions!$B$36:$H$41))</f>
        <v>0</v>
      </c>
      <c r="MNT28">
        <f t="array" ref="MNT28">_xlfn.XLOOKUP(MNT$11,Assumptions!$B$35:$H$35,_xlfn.XLOOKUP($C28,Assumptions!$B$36:$B$41,Assumptions!$B$36:$H$41))</f>
        <v>0</v>
      </c>
      <c r="MNU28">
        <f t="array" ref="MNU28">_xlfn.XLOOKUP(MNU$11,Assumptions!$B$35:$H$35,_xlfn.XLOOKUP($C28,Assumptions!$B$36:$B$41,Assumptions!$B$36:$H$41))</f>
        <v>0</v>
      </c>
      <c r="MNV28">
        <f t="array" ref="MNV28">_xlfn.XLOOKUP(MNV$11,Assumptions!$B$35:$H$35,_xlfn.XLOOKUP($C28,Assumptions!$B$36:$B$41,Assumptions!$B$36:$H$41))</f>
        <v>0</v>
      </c>
      <c r="MNW28">
        <f t="array" ref="MNW28">_xlfn.XLOOKUP(MNW$11,Assumptions!$B$35:$H$35,_xlfn.XLOOKUP($C28,Assumptions!$B$36:$B$41,Assumptions!$B$36:$H$41))</f>
        <v>0</v>
      </c>
      <c r="MNX28">
        <f t="array" ref="MNX28">_xlfn.XLOOKUP(MNX$11,Assumptions!$B$35:$H$35,_xlfn.XLOOKUP($C28,Assumptions!$B$36:$B$41,Assumptions!$B$36:$H$41))</f>
        <v>0</v>
      </c>
      <c r="MNY28">
        <f t="array" ref="MNY28">_xlfn.XLOOKUP(MNY$11,Assumptions!$B$35:$H$35,_xlfn.XLOOKUP($C28,Assumptions!$B$36:$B$41,Assumptions!$B$36:$H$41))</f>
        <v>0</v>
      </c>
      <c r="MNZ28">
        <f t="array" ref="MNZ28">_xlfn.XLOOKUP(MNZ$11,Assumptions!$B$35:$H$35,_xlfn.XLOOKUP($C28,Assumptions!$B$36:$B$41,Assumptions!$B$36:$H$41))</f>
        <v>0</v>
      </c>
      <c r="MOA28">
        <f t="array" ref="MOA28">_xlfn.XLOOKUP(MOA$11,Assumptions!$B$35:$H$35,_xlfn.XLOOKUP($C28,Assumptions!$B$36:$B$41,Assumptions!$B$36:$H$41))</f>
        <v>0</v>
      </c>
      <c r="MOB28">
        <f t="array" ref="MOB28">_xlfn.XLOOKUP(MOB$11,Assumptions!$B$35:$H$35,_xlfn.XLOOKUP($C28,Assumptions!$B$36:$B$41,Assumptions!$B$36:$H$41))</f>
        <v>0</v>
      </c>
      <c r="MOC28">
        <f t="array" ref="MOC28">_xlfn.XLOOKUP(MOC$11,Assumptions!$B$35:$H$35,_xlfn.XLOOKUP($C28,Assumptions!$B$36:$B$41,Assumptions!$B$36:$H$41))</f>
        <v>0</v>
      </c>
      <c r="MOD28">
        <f t="array" ref="MOD28">_xlfn.XLOOKUP(MOD$11,Assumptions!$B$35:$H$35,_xlfn.XLOOKUP($C28,Assumptions!$B$36:$B$41,Assumptions!$B$36:$H$41))</f>
        <v>0</v>
      </c>
      <c r="MOE28">
        <f t="array" ref="MOE28">_xlfn.XLOOKUP(MOE$11,Assumptions!$B$35:$H$35,_xlfn.XLOOKUP($C28,Assumptions!$B$36:$B$41,Assumptions!$B$36:$H$41))</f>
        <v>0</v>
      </c>
      <c r="MOF28">
        <f t="array" ref="MOF28">_xlfn.XLOOKUP(MOF$11,Assumptions!$B$35:$H$35,_xlfn.XLOOKUP($C28,Assumptions!$B$36:$B$41,Assumptions!$B$36:$H$41))</f>
        <v>0</v>
      </c>
      <c r="MOG28">
        <f t="array" ref="MOG28">_xlfn.XLOOKUP(MOG$11,Assumptions!$B$35:$H$35,_xlfn.XLOOKUP($C28,Assumptions!$B$36:$B$41,Assumptions!$B$36:$H$41))</f>
        <v>0</v>
      </c>
      <c r="MOH28">
        <f t="array" ref="MOH28">_xlfn.XLOOKUP(MOH$11,Assumptions!$B$35:$H$35,_xlfn.XLOOKUP($C28,Assumptions!$B$36:$B$41,Assumptions!$B$36:$H$41))</f>
        <v>0</v>
      </c>
      <c r="MOI28">
        <f t="array" ref="MOI28">_xlfn.XLOOKUP(MOI$11,Assumptions!$B$35:$H$35,_xlfn.XLOOKUP($C28,Assumptions!$B$36:$B$41,Assumptions!$B$36:$H$41))</f>
        <v>0</v>
      </c>
      <c r="MOJ28">
        <f t="array" ref="MOJ28">_xlfn.XLOOKUP(MOJ$11,Assumptions!$B$35:$H$35,_xlfn.XLOOKUP($C28,Assumptions!$B$36:$B$41,Assumptions!$B$36:$H$41))</f>
        <v>0</v>
      </c>
      <c r="MOK28">
        <f t="array" ref="MOK28">_xlfn.XLOOKUP(MOK$11,Assumptions!$B$35:$H$35,_xlfn.XLOOKUP($C28,Assumptions!$B$36:$B$41,Assumptions!$B$36:$H$41))</f>
        <v>0</v>
      </c>
      <c r="MOL28">
        <f t="array" ref="MOL28">_xlfn.XLOOKUP(MOL$11,Assumptions!$B$35:$H$35,_xlfn.XLOOKUP($C28,Assumptions!$B$36:$B$41,Assumptions!$B$36:$H$41))</f>
        <v>0</v>
      </c>
      <c r="MOM28">
        <f t="array" ref="MOM28">_xlfn.XLOOKUP(MOM$11,Assumptions!$B$35:$H$35,_xlfn.XLOOKUP($C28,Assumptions!$B$36:$B$41,Assumptions!$B$36:$H$41))</f>
        <v>0</v>
      </c>
      <c r="MON28">
        <f t="array" ref="MON28">_xlfn.XLOOKUP(MON$11,Assumptions!$B$35:$H$35,_xlfn.XLOOKUP($C28,Assumptions!$B$36:$B$41,Assumptions!$B$36:$H$41))</f>
        <v>0</v>
      </c>
      <c r="MOO28">
        <f t="array" ref="MOO28">_xlfn.XLOOKUP(MOO$11,Assumptions!$B$35:$H$35,_xlfn.XLOOKUP($C28,Assumptions!$B$36:$B$41,Assumptions!$B$36:$H$41))</f>
        <v>0</v>
      </c>
      <c r="MOP28">
        <f t="array" ref="MOP28">_xlfn.XLOOKUP(MOP$11,Assumptions!$B$35:$H$35,_xlfn.XLOOKUP($C28,Assumptions!$B$36:$B$41,Assumptions!$B$36:$H$41))</f>
        <v>0</v>
      </c>
      <c r="MOQ28">
        <f t="array" ref="MOQ28">_xlfn.XLOOKUP(MOQ$11,Assumptions!$B$35:$H$35,_xlfn.XLOOKUP($C28,Assumptions!$B$36:$B$41,Assumptions!$B$36:$H$41))</f>
        <v>0</v>
      </c>
      <c r="MOR28">
        <f t="array" ref="MOR28">_xlfn.XLOOKUP(MOR$11,Assumptions!$B$35:$H$35,_xlfn.XLOOKUP($C28,Assumptions!$B$36:$B$41,Assumptions!$B$36:$H$41))</f>
        <v>0</v>
      </c>
      <c r="MOS28">
        <f t="array" ref="MOS28">_xlfn.XLOOKUP(MOS$11,Assumptions!$B$35:$H$35,_xlfn.XLOOKUP($C28,Assumptions!$B$36:$B$41,Assumptions!$B$36:$H$41))</f>
        <v>0</v>
      </c>
      <c r="MOT28">
        <f t="array" ref="MOT28">_xlfn.XLOOKUP(MOT$11,Assumptions!$B$35:$H$35,_xlfn.XLOOKUP($C28,Assumptions!$B$36:$B$41,Assumptions!$B$36:$H$41))</f>
        <v>0</v>
      </c>
      <c r="MOU28">
        <f t="array" ref="MOU28">_xlfn.XLOOKUP(MOU$11,Assumptions!$B$35:$H$35,_xlfn.XLOOKUP($C28,Assumptions!$B$36:$B$41,Assumptions!$B$36:$H$41))</f>
        <v>0</v>
      </c>
      <c r="MOV28">
        <f t="array" ref="MOV28">_xlfn.XLOOKUP(MOV$11,Assumptions!$B$35:$H$35,_xlfn.XLOOKUP($C28,Assumptions!$B$36:$B$41,Assumptions!$B$36:$H$41))</f>
        <v>0</v>
      </c>
      <c r="MOW28">
        <f t="array" ref="MOW28">_xlfn.XLOOKUP(MOW$11,Assumptions!$B$35:$H$35,_xlfn.XLOOKUP($C28,Assumptions!$B$36:$B$41,Assumptions!$B$36:$H$41))</f>
        <v>0</v>
      </c>
      <c r="MOX28">
        <f t="array" ref="MOX28">_xlfn.XLOOKUP(MOX$11,Assumptions!$B$35:$H$35,_xlfn.XLOOKUP($C28,Assumptions!$B$36:$B$41,Assumptions!$B$36:$H$41))</f>
        <v>0</v>
      </c>
      <c r="MOY28">
        <f t="array" ref="MOY28">_xlfn.XLOOKUP(MOY$11,Assumptions!$B$35:$H$35,_xlfn.XLOOKUP($C28,Assumptions!$B$36:$B$41,Assumptions!$B$36:$H$41))</f>
        <v>0</v>
      </c>
      <c r="MOZ28">
        <f t="array" ref="MOZ28">_xlfn.XLOOKUP(MOZ$11,Assumptions!$B$35:$H$35,_xlfn.XLOOKUP($C28,Assumptions!$B$36:$B$41,Assumptions!$B$36:$H$41))</f>
        <v>0</v>
      </c>
      <c r="MPA28">
        <f t="array" ref="MPA28">_xlfn.XLOOKUP(MPA$11,Assumptions!$B$35:$H$35,_xlfn.XLOOKUP($C28,Assumptions!$B$36:$B$41,Assumptions!$B$36:$H$41))</f>
        <v>0</v>
      </c>
      <c r="MPB28">
        <f t="array" ref="MPB28">_xlfn.XLOOKUP(MPB$11,Assumptions!$B$35:$H$35,_xlfn.XLOOKUP($C28,Assumptions!$B$36:$B$41,Assumptions!$B$36:$H$41))</f>
        <v>0</v>
      </c>
      <c r="MPC28">
        <f t="array" ref="MPC28">_xlfn.XLOOKUP(MPC$11,Assumptions!$B$35:$H$35,_xlfn.XLOOKUP($C28,Assumptions!$B$36:$B$41,Assumptions!$B$36:$H$41))</f>
        <v>0</v>
      </c>
      <c r="MPD28">
        <f t="array" ref="MPD28">_xlfn.XLOOKUP(MPD$11,Assumptions!$B$35:$H$35,_xlfn.XLOOKUP($C28,Assumptions!$B$36:$B$41,Assumptions!$B$36:$H$41))</f>
        <v>0</v>
      </c>
      <c r="MPE28">
        <f t="array" ref="MPE28">_xlfn.XLOOKUP(MPE$11,Assumptions!$B$35:$H$35,_xlfn.XLOOKUP($C28,Assumptions!$B$36:$B$41,Assumptions!$B$36:$H$41))</f>
        <v>0</v>
      </c>
      <c r="MPF28">
        <f t="array" ref="MPF28">_xlfn.XLOOKUP(MPF$11,Assumptions!$B$35:$H$35,_xlfn.XLOOKUP($C28,Assumptions!$B$36:$B$41,Assumptions!$B$36:$H$41))</f>
        <v>0</v>
      </c>
      <c r="MPG28">
        <f t="array" ref="MPG28">_xlfn.XLOOKUP(MPG$11,Assumptions!$B$35:$H$35,_xlfn.XLOOKUP($C28,Assumptions!$B$36:$B$41,Assumptions!$B$36:$H$41))</f>
        <v>0</v>
      </c>
      <c r="MPH28">
        <f t="array" ref="MPH28">_xlfn.XLOOKUP(MPH$11,Assumptions!$B$35:$H$35,_xlfn.XLOOKUP($C28,Assumptions!$B$36:$B$41,Assumptions!$B$36:$H$41))</f>
        <v>0</v>
      </c>
      <c r="MPI28">
        <f t="array" ref="MPI28">_xlfn.XLOOKUP(MPI$11,Assumptions!$B$35:$H$35,_xlfn.XLOOKUP($C28,Assumptions!$B$36:$B$41,Assumptions!$B$36:$H$41))</f>
        <v>0</v>
      </c>
      <c r="MPJ28">
        <f t="array" ref="MPJ28">_xlfn.XLOOKUP(MPJ$11,Assumptions!$B$35:$H$35,_xlfn.XLOOKUP($C28,Assumptions!$B$36:$B$41,Assumptions!$B$36:$H$41))</f>
        <v>0</v>
      </c>
      <c r="MPK28">
        <f t="array" ref="MPK28">_xlfn.XLOOKUP(MPK$11,Assumptions!$B$35:$H$35,_xlfn.XLOOKUP($C28,Assumptions!$B$36:$B$41,Assumptions!$B$36:$H$41))</f>
        <v>0</v>
      </c>
      <c r="MPL28">
        <f t="array" ref="MPL28">_xlfn.XLOOKUP(MPL$11,Assumptions!$B$35:$H$35,_xlfn.XLOOKUP($C28,Assumptions!$B$36:$B$41,Assumptions!$B$36:$H$41))</f>
        <v>0</v>
      </c>
      <c r="MPM28">
        <f t="array" ref="MPM28">_xlfn.XLOOKUP(MPM$11,Assumptions!$B$35:$H$35,_xlfn.XLOOKUP($C28,Assumptions!$B$36:$B$41,Assumptions!$B$36:$H$41))</f>
        <v>0</v>
      </c>
      <c r="MPN28">
        <f t="array" ref="MPN28">_xlfn.XLOOKUP(MPN$11,Assumptions!$B$35:$H$35,_xlfn.XLOOKUP($C28,Assumptions!$B$36:$B$41,Assumptions!$B$36:$H$41))</f>
        <v>0</v>
      </c>
      <c r="MPO28">
        <f t="array" ref="MPO28">_xlfn.XLOOKUP(MPO$11,Assumptions!$B$35:$H$35,_xlfn.XLOOKUP($C28,Assumptions!$B$36:$B$41,Assumptions!$B$36:$H$41))</f>
        <v>0</v>
      </c>
      <c r="MPP28">
        <f t="array" ref="MPP28">_xlfn.XLOOKUP(MPP$11,Assumptions!$B$35:$H$35,_xlfn.XLOOKUP($C28,Assumptions!$B$36:$B$41,Assumptions!$B$36:$H$41))</f>
        <v>0</v>
      </c>
      <c r="MPQ28">
        <f t="array" ref="MPQ28">_xlfn.XLOOKUP(MPQ$11,Assumptions!$B$35:$H$35,_xlfn.XLOOKUP($C28,Assumptions!$B$36:$B$41,Assumptions!$B$36:$H$41))</f>
        <v>0</v>
      </c>
      <c r="MPR28">
        <f t="array" ref="MPR28">_xlfn.XLOOKUP(MPR$11,Assumptions!$B$35:$H$35,_xlfn.XLOOKUP($C28,Assumptions!$B$36:$B$41,Assumptions!$B$36:$H$41))</f>
        <v>0</v>
      </c>
      <c r="MPS28">
        <f t="array" ref="MPS28">_xlfn.XLOOKUP(MPS$11,Assumptions!$B$35:$H$35,_xlfn.XLOOKUP($C28,Assumptions!$B$36:$B$41,Assumptions!$B$36:$H$41))</f>
        <v>0</v>
      </c>
      <c r="MPT28">
        <f t="array" ref="MPT28">_xlfn.XLOOKUP(MPT$11,Assumptions!$B$35:$H$35,_xlfn.XLOOKUP($C28,Assumptions!$B$36:$B$41,Assumptions!$B$36:$H$41))</f>
        <v>0</v>
      </c>
      <c r="MPU28">
        <f t="array" ref="MPU28">_xlfn.XLOOKUP(MPU$11,Assumptions!$B$35:$H$35,_xlfn.XLOOKUP($C28,Assumptions!$B$36:$B$41,Assumptions!$B$36:$H$41))</f>
        <v>0</v>
      </c>
      <c r="MPV28">
        <f t="array" ref="MPV28">_xlfn.XLOOKUP(MPV$11,Assumptions!$B$35:$H$35,_xlfn.XLOOKUP($C28,Assumptions!$B$36:$B$41,Assumptions!$B$36:$H$41))</f>
        <v>0</v>
      </c>
      <c r="MPW28">
        <f t="array" ref="MPW28">_xlfn.XLOOKUP(MPW$11,Assumptions!$B$35:$H$35,_xlfn.XLOOKUP($C28,Assumptions!$B$36:$B$41,Assumptions!$B$36:$H$41))</f>
        <v>0</v>
      </c>
      <c r="MPX28">
        <f t="array" ref="MPX28">_xlfn.XLOOKUP(MPX$11,Assumptions!$B$35:$H$35,_xlfn.XLOOKUP($C28,Assumptions!$B$36:$B$41,Assumptions!$B$36:$H$41))</f>
        <v>0</v>
      </c>
      <c r="MPY28">
        <f t="array" ref="MPY28">_xlfn.XLOOKUP(MPY$11,Assumptions!$B$35:$H$35,_xlfn.XLOOKUP($C28,Assumptions!$B$36:$B$41,Assumptions!$B$36:$H$41))</f>
        <v>0</v>
      </c>
      <c r="MPZ28">
        <f t="array" ref="MPZ28">_xlfn.XLOOKUP(MPZ$11,Assumptions!$B$35:$H$35,_xlfn.XLOOKUP($C28,Assumptions!$B$36:$B$41,Assumptions!$B$36:$H$41))</f>
        <v>0</v>
      </c>
      <c r="MQA28">
        <f t="array" ref="MQA28">_xlfn.XLOOKUP(MQA$11,Assumptions!$B$35:$H$35,_xlfn.XLOOKUP($C28,Assumptions!$B$36:$B$41,Assumptions!$B$36:$H$41))</f>
        <v>0</v>
      </c>
      <c r="MQB28">
        <f t="array" ref="MQB28">_xlfn.XLOOKUP(MQB$11,Assumptions!$B$35:$H$35,_xlfn.XLOOKUP($C28,Assumptions!$B$36:$B$41,Assumptions!$B$36:$H$41))</f>
        <v>0</v>
      </c>
      <c r="MQC28">
        <f t="array" ref="MQC28">_xlfn.XLOOKUP(MQC$11,Assumptions!$B$35:$H$35,_xlfn.XLOOKUP($C28,Assumptions!$B$36:$B$41,Assumptions!$B$36:$H$41))</f>
        <v>0</v>
      </c>
      <c r="MQD28">
        <f t="array" ref="MQD28">_xlfn.XLOOKUP(MQD$11,Assumptions!$B$35:$H$35,_xlfn.XLOOKUP($C28,Assumptions!$B$36:$B$41,Assumptions!$B$36:$H$41))</f>
        <v>0</v>
      </c>
      <c r="MQE28">
        <f t="array" ref="MQE28">_xlfn.XLOOKUP(MQE$11,Assumptions!$B$35:$H$35,_xlfn.XLOOKUP($C28,Assumptions!$B$36:$B$41,Assumptions!$B$36:$H$41))</f>
        <v>0</v>
      </c>
      <c r="MQF28">
        <f t="array" ref="MQF28">_xlfn.XLOOKUP(MQF$11,Assumptions!$B$35:$H$35,_xlfn.XLOOKUP($C28,Assumptions!$B$36:$B$41,Assumptions!$B$36:$H$41))</f>
        <v>0</v>
      </c>
      <c r="MQG28">
        <f t="array" ref="MQG28">_xlfn.XLOOKUP(MQG$11,Assumptions!$B$35:$H$35,_xlfn.XLOOKUP($C28,Assumptions!$B$36:$B$41,Assumptions!$B$36:$H$41))</f>
        <v>0</v>
      </c>
      <c r="MQH28">
        <f t="array" ref="MQH28">_xlfn.XLOOKUP(MQH$11,Assumptions!$B$35:$H$35,_xlfn.XLOOKUP($C28,Assumptions!$B$36:$B$41,Assumptions!$B$36:$H$41))</f>
        <v>0</v>
      </c>
      <c r="MQI28">
        <f t="array" ref="MQI28">_xlfn.XLOOKUP(MQI$11,Assumptions!$B$35:$H$35,_xlfn.XLOOKUP($C28,Assumptions!$B$36:$B$41,Assumptions!$B$36:$H$41))</f>
        <v>0</v>
      </c>
      <c r="MQJ28">
        <f t="array" ref="MQJ28">_xlfn.XLOOKUP(MQJ$11,Assumptions!$B$35:$H$35,_xlfn.XLOOKUP($C28,Assumptions!$B$36:$B$41,Assumptions!$B$36:$H$41))</f>
        <v>0</v>
      </c>
      <c r="MQK28">
        <f t="array" ref="MQK28">_xlfn.XLOOKUP(MQK$11,Assumptions!$B$35:$H$35,_xlfn.XLOOKUP($C28,Assumptions!$B$36:$B$41,Assumptions!$B$36:$H$41))</f>
        <v>0</v>
      </c>
      <c r="MQL28">
        <f t="array" ref="MQL28">_xlfn.XLOOKUP(MQL$11,Assumptions!$B$35:$H$35,_xlfn.XLOOKUP($C28,Assumptions!$B$36:$B$41,Assumptions!$B$36:$H$41))</f>
        <v>0</v>
      </c>
      <c r="MQM28">
        <f t="array" ref="MQM28">_xlfn.XLOOKUP(MQM$11,Assumptions!$B$35:$H$35,_xlfn.XLOOKUP($C28,Assumptions!$B$36:$B$41,Assumptions!$B$36:$H$41))</f>
        <v>0</v>
      </c>
      <c r="MQN28">
        <f t="array" ref="MQN28">_xlfn.XLOOKUP(MQN$11,Assumptions!$B$35:$H$35,_xlfn.XLOOKUP($C28,Assumptions!$B$36:$B$41,Assumptions!$B$36:$H$41))</f>
        <v>0</v>
      </c>
      <c r="MQO28">
        <f t="array" ref="MQO28">_xlfn.XLOOKUP(MQO$11,Assumptions!$B$35:$H$35,_xlfn.XLOOKUP($C28,Assumptions!$B$36:$B$41,Assumptions!$B$36:$H$41))</f>
        <v>0</v>
      </c>
      <c r="MQP28">
        <f t="array" ref="MQP28">_xlfn.XLOOKUP(MQP$11,Assumptions!$B$35:$H$35,_xlfn.XLOOKUP($C28,Assumptions!$B$36:$B$41,Assumptions!$B$36:$H$41))</f>
        <v>0</v>
      </c>
      <c r="MQQ28">
        <f t="array" ref="MQQ28">_xlfn.XLOOKUP(MQQ$11,Assumptions!$B$35:$H$35,_xlfn.XLOOKUP($C28,Assumptions!$B$36:$B$41,Assumptions!$B$36:$H$41))</f>
        <v>0</v>
      </c>
      <c r="MQR28">
        <f t="array" ref="MQR28">_xlfn.XLOOKUP(MQR$11,Assumptions!$B$35:$H$35,_xlfn.XLOOKUP($C28,Assumptions!$B$36:$B$41,Assumptions!$B$36:$H$41))</f>
        <v>0</v>
      </c>
      <c r="MQS28">
        <f t="array" ref="MQS28">_xlfn.XLOOKUP(MQS$11,Assumptions!$B$35:$H$35,_xlfn.XLOOKUP($C28,Assumptions!$B$36:$B$41,Assumptions!$B$36:$H$41))</f>
        <v>0</v>
      </c>
      <c r="MQT28">
        <f t="array" ref="MQT28">_xlfn.XLOOKUP(MQT$11,Assumptions!$B$35:$H$35,_xlfn.XLOOKUP($C28,Assumptions!$B$36:$B$41,Assumptions!$B$36:$H$41))</f>
        <v>0</v>
      </c>
      <c r="MQU28">
        <f t="array" ref="MQU28">_xlfn.XLOOKUP(MQU$11,Assumptions!$B$35:$H$35,_xlfn.XLOOKUP($C28,Assumptions!$B$36:$B$41,Assumptions!$B$36:$H$41))</f>
        <v>0</v>
      </c>
      <c r="MQV28">
        <f t="array" ref="MQV28">_xlfn.XLOOKUP(MQV$11,Assumptions!$B$35:$H$35,_xlfn.XLOOKUP($C28,Assumptions!$B$36:$B$41,Assumptions!$B$36:$H$41))</f>
        <v>0</v>
      </c>
      <c r="MQW28">
        <f t="array" ref="MQW28">_xlfn.XLOOKUP(MQW$11,Assumptions!$B$35:$H$35,_xlfn.XLOOKUP($C28,Assumptions!$B$36:$B$41,Assumptions!$B$36:$H$41))</f>
        <v>0</v>
      </c>
      <c r="MQX28">
        <f t="array" ref="MQX28">_xlfn.XLOOKUP(MQX$11,Assumptions!$B$35:$H$35,_xlfn.XLOOKUP($C28,Assumptions!$B$36:$B$41,Assumptions!$B$36:$H$41))</f>
        <v>0</v>
      </c>
      <c r="MQY28">
        <f t="array" ref="MQY28">_xlfn.XLOOKUP(MQY$11,Assumptions!$B$35:$H$35,_xlfn.XLOOKUP($C28,Assumptions!$B$36:$B$41,Assumptions!$B$36:$H$41))</f>
        <v>0</v>
      </c>
      <c r="MQZ28">
        <f t="array" ref="MQZ28">_xlfn.XLOOKUP(MQZ$11,Assumptions!$B$35:$H$35,_xlfn.XLOOKUP($C28,Assumptions!$B$36:$B$41,Assumptions!$B$36:$H$41))</f>
        <v>0</v>
      </c>
      <c r="MRA28">
        <f t="array" ref="MRA28">_xlfn.XLOOKUP(MRA$11,Assumptions!$B$35:$H$35,_xlfn.XLOOKUP($C28,Assumptions!$B$36:$B$41,Assumptions!$B$36:$H$41))</f>
        <v>0</v>
      </c>
      <c r="MRB28">
        <f t="array" ref="MRB28">_xlfn.XLOOKUP(MRB$11,Assumptions!$B$35:$H$35,_xlfn.XLOOKUP($C28,Assumptions!$B$36:$B$41,Assumptions!$B$36:$H$41))</f>
        <v>0</v>
      </c>
      <c r="MRC28">
        <f t="array" ref="MRC28">_xlfn.XLOOKUP(MRC$11,Assumptions!$B$35:$H$35,_xlfn.XLOOKUP($C28,Assumptions!$B$36:$B$41,Assumptions!$B$36:$H$41))</f>
        <v>0</v>
      </c>
      <c r="MRD28">
        <f t="array" ref="MRD28">_xlfn.XLOOKUP(MRD$11,Assumptions!$B$35:$H$35,_xlfn.XLOOKUP($C28,Assumptions!$B$36:$B$41,Assumptions!$B$36:$H$41))</f>
        <v>0</v>
      </c>
      <c r="MRE28">
        <f t="array" ref="MRE28">_xlfn.XLOOKUP(MRE$11,Assumptions!$B$35:$H$35,_xlfn.XLOOKUP($C28,Assumptions!$B$36:$B$41,Assumptions!$B$36:$H$41))</f>
        <v>0</v>
      </c>
      <c r="MRF28">
        <f t="array" ref="MRF28">_xlfn.XLOOKUP(MRF$11,Assumptions!$B$35:$H$35,_xlfn.XLOOKUP($C28,Assumptions!$B$36:$B$41,Assumptions!$B$36:$H$41))</f>
        <v>0</v>
      </c>
      <c r="MRG28">
        <f t="array" ref="MRG28">_xlfn.XLOOKUP(MRG$11,Assumptions!$B$35:$H$35,_xlfn.XLOOKUP($C28,Assumptions!$B$36:$B$41,Assumptions!$B$36:$H$41))</f>
        <v>0</v>
      </c>
      <c r="MRH28">
        <f t="array" ref="MRH28">_xlfn.XLOOKUP(MRH$11,Assumptions!$B$35:$H$35,_xlfn.XLOOKUP($C28,Assumptions!$B$36:$B$41,Assumptions!$B$36:$H$41))</f>
        <v>0</v>
      </c>
      <c r="MRI28">
        <f t="array" ref="MRI28">_xlfn.XLOOKUP(MRI$11,Assumptions!$B$35:$H$35,_xlfn.XLOOKUP($C28,Assumptions!$B$36:$B$41,Assumptions!$B$36:$H$41))</f>
        <v>0</v>
      </c>
      <c r="MRJ28">
        <f t="array" ref="MRJ28">_xlfn.XLOOKUP(MRJ$11,Assumptions!$B$35:$H$35,_xlfn.XLOOKUP($C28,Assumptions!$B$36:$B$41,Assumptions!$B$36:$H$41))</f>
        <v>0</v>
      </c>
      <c r="MRK28">
        <f t="array" ref="MRK28">_xlfn.XLOOKUP(MRK$11,Assumptions!$B$35:$H$35,_xlfn.XLOOKUP($C28,Assumptions!$B$36:$B$41,Assumptions!$B$36:$H$41))</f>
        <v>0</v>
      </c>
      <c r="MRL28">
        <f t="array" ref="MRL28">_xlfn.XLOOKUP(MRL$11,Assumptions!$B$35:$H$35,_xlfn.XLOOKUP($C28,Assumptions!$B$36:$B$41,Assumptions!$B$36:$H$41))</f>
        <v>0</v>
      </c>
      <c r="MRM28">
        <f t="array" ref="MRM28">_xlfn.XLOOKUP(MRM$11,Assumptions!$B$35:$H$35,_xlfn.XLOOKUP($C28,Assumptions!$B$36:$B$41,Assumptions!$B$36:$H$41))</f>
        <v>0</v>
      </c>
      <c r="MRN28">
        <f t="array" ref="MRN28">_xlfn.XLOOKUP(MRN$11,Assumptions!$B$35:$H$35,_xlfn.XLOOKUP($C28,Assumptions!$B$36:$B$41,Assumptions!$B$36:$H$41))</f>
        <v>0</v>
      </c>
      <c r="MRO28">
        <f t="array" ref="MRO28">_xlfn.XLOOKUP(MRO$11,Assumptions!$B$35:$H$35,_xlfn.XLOOKUP($C28,Assumptions!$B$36:$B$41,Assumptions!$B$36:$H$41))</f>
        <v>0</v>
      </c>
      <c r="MRP28">
        <f t="array" ref="MRP28">_xlfn.XLOOKUP(MRP$11,Assumptions!$B$35:$H$35,_xlfn.XLOOKUP($C28,Assumptions!$B$36:$B$41,Assumptions!$B$36:$H$41))</f>
        <v>0</v>
      </c>
      <c r="MRQ28">
        <f t="array" ref="MRQ28">_xlfn.XLOOKUP(MRQ$11,Assumptions!$B$35:$H$35,_xlfn.XLOOKUP($C28,Assumptions!$B$36:$B$41,Assumptions!$B$36:$H$41))</f>
        <v>0</v>
      </c>
      <c r="MRR28">
        <f t="array" ref="MRR28">_xlfn.XLOOKUP(MRR$11,Assumptions!$B$35:$H$35,_xlfn.XLOOKUP($C28,Assumptions!$B$36:$B$41,Assumptions!$B$36:$H$41))</f>
        <v>0</v>
      </c>
      <c r="MRS28">
        <f t="array" ref="MRS28">_xlfn.XLOOKUP(MRS$11,Assumptions!$B$35:$H$35,_xlfn.XLOOKUP($C28,Assumptions!$B$36:$B$41,Assumptions!$B$36:$H$41))</f>
        <v>0</v>
      </c>
      <c r="MRT28">
        <f t="array" ref="MRT28">_xlfn.XLOOKUP(MRT$11,Assumptions!$B$35:$H$35,_xlfn.XLOOKUP($C28,Assumptions!$B$36:$B$41,Assumptions!$B$36:$H$41))</f>
        <v>0</v>
      </c>
      <c r="MRU28">
        <f t="array" ref="MRU28">_xlfn.XLOOKUP(MRU$11,Assumptions!$B$35:$H$35,_xlfn.XLOOKUP($C28,Assumptions!$B$36:$B$41,Assumptions!$B$36:$H$41))</f>
        <v>0</v>
      </c>
      <c r="MRV28">
        <f t="array" ref="MRV28">_xlfn.XLOOKUP(MRV$11,Assumptions!$B$35:$H$35,_xlfn.XLOOKUP($C28,Assumptions!$B$36:$B$41,Assumptions!$B$36:$H$41))</f>
        <v>0</v>
      </c>
      <c r="MRW28">
        <f t="array" ref="MRW28">_xlfn.XLOOKUP(MRW$11,Assumptions!$B$35:$H$35,_xlfn.XLOOKUP($C28,Assumptions!$B$36:$B$41,Assumptions!$B$36:$H$41))</f>
        <v>0</v>
      </c>
      <c r="MRX28">
        <f t="array" ref="MRX28">_xlfn.XLOOKUP(MRX$11,Assumptions!$B$35:$H$35,_xlfn.XLOOKUP($C28,Assumptions!$B$36:$B$41,Assumptions!$B$36:$H$41))</f>
        <v>0</v>
      </c>
      <c r="MRY28">
        <f t="array" ref="MRY28">_xlfn.XLOOKUP(MRY$11,Assumptions!$B$35:$H$35,_xlfn.XLOOKUP($C28,Assumptions!$B$36:$B$41,Assumptions!$B$36:$H$41))</f>
        <v>0</v>
      </c>
      <c r="MRZ28">
        <f t="array" ref="MRZ28">_xlfn.XLOOKUP(MRZ$11,Assumptions!$B$35:$H$35,_xlfn.XLOOKUP($C28,Assumptions!$B$36:$B$41,Assumptions!$B$36:$H$41))</f>
        <v>0</v>
      </c>
      <c r="MSA28">
        <f t="array" ref="MSA28">_xlfn.XLOOKUP(MSA$11,Assumptions!$B$35:$H$35,_xlfn.XLOOKUP($C28,Assumptions!$B$36:$B$41,Assumptions!$B$36:$H$41))</f>
        <v>0</v>
      </c>
      <c r="MSB28">
        <f t="array" ref="MSB28">_xlfn.XLOOKUP(MSB$11,Assumptions!$B$35:$H$35,_xlfn.XLOOKUP($C28,Assumptions!$B$36:$B$41,Assumptions!$B$36:$H$41))</f>
        <v>0</v>
      </c>
      <c r="MSC28">
        <f t="array" ref="MSC28">_xlfn.XLOOKUP(MSC$11,Assumptions!$B$35:$H$35,_xlfn.XLOOKUP($C28,Assumptions!$B$36:$B$41,Assumptions!$B$36:$H$41))</f>
        <v>0</v>
      </c>
      <c r="MSD28">
        <f t="array" ref="MSD28">_xlfn.XLOOKUP(MSD$11,Assumptions!$B$35:$H$35,_xlfn.XLOOKUP($C28,Assumptions!$B$36:$B$41,Assumptions!$B$36:$H$41))</f>
        <v>0</v>
      </c>
      <c r="MSE28">
        <f t="array" ref="MSE28">_xlfn.XLOOKUP(MSE$11,Assumptions!$B$35:$H$35,_xlfn.XLOOKUP($C28,Assumptions!$B$36:$B$41,Assumptions!$B$36:$H$41))</f>
        <v>0</v>
      </c>
      <c r="MSF28">
        <f t="array" ref="MSF28">_xlfn.XLOOKUP(MSF$11,Assumptions!$B$35:$H$35,_xlfn.XLOOKUP($C28,Assumptions!$B$36:$B$41,Assumptions!$B$36:$H$41))</f>
        <v>0</v>
      </c>
      <c r="MSG28">
        <f t="array" ref="MSG28">_xlfn.XLOOKUP(MSG$11,Assumptions!$B$35:$H$35,_xlfn.XLOOKUP($C28,Assumptions!$B$36:$B$41,Assumptions!$B$36:$H$41))</f>
        <v>0</v>
      </c>
      <c r="MSH28">
        <f t="array" ref="MSH28">_xlfn.XLOOKUP(MSH$11,Assumptions!$B$35:$H$35,_xlfn.XLOOKUP($C28,Assumptions!$B$36:$B$41,Assumptions!$B$36:$H$41))</f>
        <v>0</v>
      </c>
      <c r="MSI28">
        <f t="array" ref="MSI28">_xlfn.XLOOKUP(MSI$11,Assumptions!$B$35:$H$35,_xlfn.XLOOKUP($C28,Assumptions!$B$36:$B$41,Assumptions!$B$36:$H$41))</f>
        <v>0</v>
      </c>
      <c r="MSJ28">
        <f t="array" ref="MSJ28">_xlfn.XLOOKUP(MSJ$11,Assumptions!$B$35:$H$35,_xlfn.XLOOKUP($C28,Assumptions!$B$36:$B$41,Assumptions!$B$36:$H$41))</f>
        <v>0</v>
      </c>
      <c r="MSK28">
        <f t="array" ref="MSK28">_xlfn.XLOOKUP(MSK$11,Assumptions!$B$35:$H$35,_xlfn.XLOOKUP($C28,Assumptions!$B$36:$B$41,Assumptions!$B$36:$H$41))</f>
        <v>0</v>
      </c>
      <c r="MSL28">
        <f t="array" ref="MSL28">_xlfn.XLOOKUP(MSL$11,Assumptions!$B$35:$H$35,_xlfn.XLOOKUP($C28,Assumptions!$B$36:$B$41,Assumptions!$B$36:$H$41))</f>
        <v>0</v>
      </c>
      <c r="MSM28">
        <f t="array" ref="MSM28">_xlfn.XLOOKUP(MSM$11,Assumptions!$B$35:$H$35,_xlfn.XLOOKUP($C28,Assumptions!$B$36:$B$41,Assumptions!$B$36:$H$41))</f>
        <v>0</v>
      </c>
      <c r="MSN28">
        <f t="array" ref="MSN28">_xlfn.XLOOKUP(MSN$11,Assumptions!$B$35:$H$35,_xlfn.XLOOKUP($C28,Assumptions!$B$36:$B$41,Assumptions!$B$36:$H$41))</f>
        <v>0</v>
      </c>
      <c r="MSO28">
        <f t="array" ref="MSO28">_xlfn.XLOOKUP(MSO$11,Assumptions!$B$35:$H$35,_xlfn.XLOOKUP($C28,Assumptions!$B$36:$B$41,Assumptions!$B$36:$H$41))</f>
        <v>0</v>
      </c>
      <c r="MSP28">
        <f t="array" ref="MSP28">_xlfn.XLOOKUP(MSP$11,Assumptions!$B$35:$H$35,_xlfn.XLOOKUP($C28,Assumptions!$B$36:$B$41,Assumptions!$B$36:$H$41))</f>
        <v>0</v>
      </c>
      <c r="MSQ28">
        <f t="array" ref="MSQ28">_xlfn.XLOOKUP(MSQ$11,Assumptions!$B$35:$H$35,_xlfn.XLOOKUP($C28,Assumptions!$B$36:$B$41,Assumptions!$B$36:$H$41))</f>
        <v>0</v>
      </c>
      <c r="MSR28">
        <f t="array" ref="MSR28">_xlfn.XLOOKUP(MSR$11,Assumptions!$B$35:$H$35,_xlfn.XLOOKUP($C28,Assumptions!$B$36:$B$41,Assumptions!$B$36:$H$41))</f>
        <v>0</v>
      </c>
      <c r="MSS28">
        <f t="array" ref="MSS28">_xlfn.XLOOKUP(MSS$11,Assumptions!$B$35:$H$35,_xlfn.XLOOKUP($C28,Assumptions!$B$36:$B$41,Assumptions!$B$36:$H$41))</f>
        <v>0</v>
      </c>
      <c r="MST28">
        <f t="array" ref="MST28">_xlfn.XLOOKUP(MST$11,Assumptions!$B$35:$H$35,_xlfn.XLOOKUP($C28,Assumptions!$B$36:$B$41,Assumptions!$B$36:$H$41))</f>
        <v>0</v>
      </c>
      <c r="MSU28">
        <f t="array" ref="MSU28">_xlfn.XLOOKUP(MSU$11,Assumptions!$B$35:$H$35,_xlfn.XLOOKUP($C28,Assumptions!$B$36:$B$41,Assumptions!$B$36:$H$41))</f>
        <v>0</v>
      </c>
      <c r="MSV28">
        <f t="array" ref="MSV28">_xlfn.XLOOKUP(MSV$11,Assumptions!$B$35:$H$35,_xlfn.XLOOKUP($C28,Assumptions!$B$36:$B$41,Assumptions!$B$36:$H$41))</f>
        <v>0</v>
      </c>
      <c r="MSW28">
        <f t="array" ref="MSW28">_xlfn.XLOOKUP(MSW$11,Assumptions!$B$35:$H$35,_xlfn.XLOOKUP($C28,Assumptions!$B$36:$B$41,Assumptions!$B$36:$H$41))</f>
        <v>0</v>
      </c>
      <c r="MSX28">
        <f t="array" ref="MSX28">_xlfn.XLOOKUP(MSX$11,Assumptions!$B$35:$H$35,_xlfn.XLOOKUP($C28,Assumptions!$B$36:$B$41,Assumptions!$B$36:$H$41))</f>
        <v>0</v>
      </c>
      <c r="MSY28">
        <f t="array" ref="MSY28">_xlfn.XLOOKUP(MSY$11,Assumptions!$B$35:$H$35,_xlfn.XLOOKUP($C28,Assumptions!$B$36:$B$41,Assumptions!$B$36:$H$41))</f>
        <v>0</v>
      </c>
      <c r="MSZ28">
        <f t="array" ref="MSZ28">_xlfn.XLOOKUP(MSZ$11,Assumptions!$B$35:$H$35,_xlfn.XLOOKUP($C28,Assumptions!$B$36:$B$41,Assumptions!$B$36:$H$41))</f>
        <v>0</v>
      </c>
      <c r="MTA28">
        <f t="array" ref="MTA28">_xlfn.XLOOKUP(MTA$11,Assumptions!$B$35:$H$35,_xlfn.XLOOKUP($C28,Assumptions!$B$36:$B$41,Assumptions!$B$36:$H$41))</f>
        <v>0</v>
      </c>
      <c r="MTB28">
        <f t="array" ref="MTB28">_xlfn.XLOOKUP(MTB$11,Assumptions!$B$35:$H$35,_xlfn.XLOOKUP($C28,Assumptions!$B$36:$B$41,Assumptions!$B$36:$H$41))</f>
        <v>0</v>
      </c>
      <c r="MTC28">
        <f t="array" ref="MTC28">_xlfn.XLOOKUP(MTC$11,Assumptions!$B$35:$H$35,_xlfn.XLOOKUP($C28,Assumptions!$B$36:$B$41,Assumptions!$B$36:$H$41))</f>
        <v>0</v>
      </c>
      <c r="MTD28">
        <f t="array" ref="MTD28">_xlfn.XLOOKUP(MTD$11,Assumptions!$B$35:$H$35,_xlfn.XLOOKUP($C28,Assumptions!$B$36:$B$41,Assumptions!$B$36:$H$41))</f>
        <v>0</v>
      </c>
      <c r="MTE28">
        <f t="array" ref="MTE28">_xlfn.XLOOKUP(MTE$11,Assumptions!$B$35:$H$35,_xlfn.XLOOKUP($C28,Assumptions!$B$36:$B$41,Assumptions!$B$36:$H$41))</f>
        <v>0</v>
      </c>
      <c r="MTF28">
        <f t="array" ref="MTF28">_xlfn.XLOOKUP(MTF$11,Assumptions!$B$35:$H$35,_xlfn.XLOOKUP($C28,Assumptions!$B$36:$B$41,Assumptions!$B$36:$H$41))</f>
        <v>0</v>
      </c>
      <c r="MTG28">
        <f t="array" ref="MTG28">_xlfn.XLOOKUP(MTG$11,Assumptions!$B$35:$H$35,_xlfn.XLOOKUP($C28,Assumptions!$B$36:$B$41,Assumptions!$B$36:$H$41))</f>
        <v>0</v>
      </c>
      <c r="MTH28">
        <f t="array" ref="MTH28">_xlfn.XLOOKUP(MTH$11,Assumptions!$B$35:$H$35,_xlfn.XLOOKUP($C28,Assumptions!$B$36:$B$41,Assumptions!$B$36:$H$41))</f>
        <v>0</v>
      </c>
      <c r="MTI28">
        <f t="array" ref="MTI28">_xlfn.XLOOKUP(MTI$11,Assumptions!$B$35:$H$35,_xlfn.XLOOKUP($C28,Assumptions!$B$36:$B$41,Assumptions!$B$36:$H$41))</f>
        <v>0</v>
      </c>
      <c r="MTJ28">
        <f t="array" ref="MTJ28">_xlfn.XLOOKUP(MTJ$11,Assumptions!$B$35:$H$35,_xlfn.XLOOKUP($C28,Assumptions!$B$36:$B$41,Assumptions!$B$36:$H$41))</f>
        <v>0</v>
      </c>
      <c r="MTK28">
        <f t="array" ref="MTK28">_xlfn.XLOOKUP(MTK$11,Assumptions!$B$35:$H$35,_xlfn.XLOOKUP($C28,Assumptions!$B$36:$B$41,Assumptions!$B$36:$H$41))</f>
        <v>0</v>
      </c>
      <c r="MTL28">
        <f t="array" ref="MTL28">_xlfn.XLOOKUP(MTL$11,Assumptions!$B$35:$H$35,_xlfn.XLOOKUP($C28,Assumptions!$B$36:$B$41,Assumptions!$B$36:$H$41))</f>
        <v>0</v>
      </c>
      <c r="MTM28">
        <f t="array" ref="MTM28">_xlfn.XLOOKUP(MTM$11,Assumptions!$B$35:$H$35,_xlfn.XLOOKUP($C28,Assumptions!$B$36:$B$41,Assumptions!$B$36:$H$41))</f>
        <v>0</v>
      </c>
      <c r="MTN28">
        <f t="array" ref="MTN28">_xlfn.XLOOKUP(MTN$11,Assumptions!$B$35:$H$35,_xlfn.XLOOKUP($C28,Assumptions!$B$36:$B$41,Assumptions!$B$36:$H$41))</f>
        <v>0</v>
      </c>
      <c r="MTO28">
        <f t="array" ref="MTO28">_xlfn.XLOOKUP(MTO$11,Assumptions!$B$35:$H$35,_xlfn.XLOOKUP($C28,Assumptions!$B$36:$B$41,Assumptions!$B$36:$H$41))</f>
        <v>0</v>
      </c>
      <c r="MTP28">
        <f t="array" ref="MTP28">_xlfn.XLOOKUP(MTP$11,Assumptions!$B$35:$H$35,_xlfn.XLOOKUP($C28,Assumptions!$B$36:$B$41,Assumptions!$B$36:$H$41))</f>
        <v>0</v>
      </c>
      <c r="MTQ28">
        <f t="array" ref="MTQ28">_xlfn.XLOOKUP(MTQ$11,Assumptions!$B$35:$H$35,_xlfn.XLOOKUP($C28,Assumptions!$B$36:$B$41,Assumptions!$B$36:$H$41))</f>
        <v>0</v>
      </c>
      <c r="MTR28">
        <f t="array" ref="MTR28">_xlfn.XLOOKUP(MTR$11,Assumptions!$B$35:$H$35,_xlfn.XLOOKUP($C28,Assumptions!$B$36:$B$41,Assumptions!$B$36:$H$41))</f>
        <v>0</v>
      </c>
      <c r="MTS28">
        <f t="array" ref="MTS28">_xlfn.XLOOKUP(MTS$11,Assumptions!$B$35:$H$35,_xlfn.XLOOKUP($C28,Assumptions!$B$36:$B$41,Assumptions!$B$36:$H$41))</f>
        <v>0</v>
      </c>
      <c r="MTT28">
        <f t="array" ref="MTT28">_xlfn.XLOOKUP(MTT$11,Assumptions!$B$35:$H$35,_xlfn.XLOOKUP($C28,Assumptions!$B$36:$B$41,Assumptions!$B$36:$H$41))</f>
        <v>0</v>
      </c>
      <c r="MTU28">
        <f t="array" ref="MTU28">_xlfn.XLOOKUP(MTU$11,Assumptions!$B$35:$H$35,_xlfn.XLOOKUP($C28,Assumptions!$B$36:$B$41,Assumptions!$B$36:$H$41))</f>
        <v>0</v>
      </c>
      <c r="MTV28">
        <f t="array" ref="MTV28">_xlfn.XLOOKUP(MTV$11,Assumptions!$B$35:$H$35,_xlfn.XLOOKUP($C28,Assumptions!$B$36:$B$41,Assumptions!$B$36:$H$41))</f>
        <v>0</v>
      </c>
      <c r="MTW28">
        <f t="array" ref="MTW28">_xlfn.XLOOKUP(MTW$11,Assumptions!$B$35:$H$35,_xlfn.XLOOKUP($C28,Assumptions!$B$36:$B$41,Assumptions!$B$36:$H$41))</f>
        <v>0</v>
      </c>
      <c r="MTX28">
        <f t="array" ref="MTX28">_xlfn.XLOOKUP(MTX$11,Assumptions!$B$35:$H$35,_xlfn.XLOOKUP($C28,Assumptions!$B$36:$B$41,Assumptions!$B$36:$H$41))</f>
        <v>0</v>
      </c>
      <c r="MTY28">
        <f t="array" ref="MTY28">_xlfn.XLOOKUP(MTY$11,Assumptions!$B$35:$H$35,_xlfn.XLOOKUP($C28,Assumptions!$B$36:$B$41,Assumptions!$B$36:$H$41))</f>
        <v>0</v>
      </c>
      <c r="MTZ28">
        <f t="array" ref="MTZ28">_xlfn.XLOOKUP(MTZ$11,Assumptions!$B$35:$H$35,_xlfn.XLOOKUP($C28,Assumptions!$B$36:$B$41,Assumptions!$B$36:$H$41))</f>
        <v>0</v>
      </c>
      <c r="MUA28">
        <f t="array" ref="MUA28">_xlfn.XLOOKUP(MUA$11,Assumptions!$B$35:$H$35,_xlfn.XLOOKUP($C28,Assumptions!$B$36:$B$41,Assumptions!$B$36:$H$41))</f>
        <v>0</v>
      </c>
      <c r="MUB28">
        <f t="array" ref="MUB28">_xlfn.XLOOKUP(MUB$11,Assumptions!$B$35:$H$35,_xlfn.XLOOKUP($C28,Assumptions!$B$36:$B$41,Assumptions!$B$36:$H$41))</f>
        <v>0</v>
      </c>
      <c r="MUC28">
        <f t="array" ref="MUC28">_xlfn.XLOOKUP(MUC$11,Assumptions!$B$35:$H$35,_xlfn.XLOOKUP($C28,Assumptions!$B$36:$B$41,Assumptions!$B$36:$H$41))</f>
        <v>0</v>
      </c>
      <c r="MUD28">
        <f t="array" ref="MUD28">_xlfn.XLOOKUP(MUD$11,Assumptions!$B$35:$H$35,_xlfn.XLOOKUP($C28,Assumptions!$B$36:$B$41,Assumptions!$B$36:$H$41))</f>
        <v>0</v>
      </c>
      <c r="MUE28">
        <f t="array" ref="MUE28">_xlfn.XLOOKUP(MUE$11,Assumptions!$B$35:$H$35,_xlfn.XLOOKUP($C28,Assumptions!$B$36:$B$41,Assumptions!$B$36:$H$41))</f>
        <v>0</v>
      </c>
      <c r="MUF28">
        <f t="array" ref="MUF28">_xlfn.XLOOKUP(MUF$11,Assumptions!$B$35:$H$35,_xlfn.XLOOKUP($C28,Assumptions!$B$36:$B$41,Assumptions!$B$36:$H$41))</f>
        <v>0</v>
      </c>
      <c r="MUG28">
        <f t="array" ref="MUG28">_xlfn.XLOOKUP(MUG$11,Assumptions!$B$35:$H$35,_xlfn.XLOOKUP($C28,Assumptions!$B$36:$B$41,Assumptions!$B$36:$H$41))</f>
        <v>0</v>
      </c>
      <c r="MUH28">
        <f t="array" ref="MUH28">_xlfn.XLOOKUP(MUH$11,Assumptions!$B$35:$H$35,_xlfn.XLOOKUP($C28,Assumptions!$B$36:$B$41,Assumptions!$B$36:$H$41))</f>
        <v>0</v>
      </c>
      <c r="MUI28">
        <f t="array" ref="MUI28">_xlfn.XLOOKUP(MUI$11,Assumptions!$B$35:$H$35,_xlfn.XLOOKUP($C28,Assumptions!$B$36:$B$41,Assumptions!$B$36:$H$41))</f>
        <v>0</v>
      </c>
      <c r="MUJ28">
        <f t="array" ref="MUJ28">_xlfn.XLOOKUP(MUJ$11,Assumptions!$B$35:$H$35,_xlfn.XLOOKUP($C28,Assumptions!$B$36:$B$41,Assumptions!$B$36:$H$41))</f>
        <v>0</v>
      </c>
      <c r="MUK28">
        <f t="array" ref="MUK28">_xlfn.XLOOKUP(MUK$11,Assumptions!$B$35:$H$35,_xlfn.XLOOKUP($C28,Assumptions!$B$36:$B$41,Assumptions!$B$36:$H$41))</f>
        <v>0</v>
      </c>
      <c r="MUL28">
        <f t="array" ref="MUL28">_xlfn.XLOOKUP(MUL$11,Assumptions!$B$35:$H$35,_xlfn.XLOOKUP($C28,Assumptions!$B$36:$B$41,Assumptions!$B$36:$H$41))</f>
        <v>0</v>
      </c>
      <c r="MUM28">
        <f t="array" ref="MUM28">_xlfn.XLOOKUP(MUM$11,Assumptions!$B$35:$H$35,_xlfn.XLOOKUP($C28,Assumptions!$B$36:$B$41,Assumptions!$B$36:$H$41))</f>
        <v>0</v>
      </c>
      <c r="MUN28">
        <f t="array" ref="MUN28">_xlfn.XLOOKUP(MUN$11,Assumptions!$B$35:$H$35,_xlfn.XLOOKUP($C28,Assumptions!$B$36:$B$41,Assumptions!$B$36:$H$41))</f>
        <v>0</v>
      </c>
      <c r="MUO28">
        <f t="array" ref="MUO28">_xlfn.XLOOKUP(MUO$11,Assumptions!$B$35:$H$35,_xlfn.XLOOKUP($C28,Assumptions!$B$36:$B$41,Assumptions!$B$36:$H$41))</f>
        <v>0</v>
      </c>
      <c r="MUP28">
        <f t="array" ref="MUP28">_xlfn.XLOOKUP(MUP$11,Assumptions!$B$35:$H$35,_xlfn.XLOOKUP($C28,Assumptions!$B$36:$B$41,Assumptions!$B$36:$H$41))</f>
        <v>0</v>
      </c>
      <c r="MUQ28">
        <f t="array" ref="MUQ28">_xlfn.XLOOKUP(MUQ$11,Assumptions!$B$35:$H$35,_xlfn.XLOOKUP($C28,Assumptions!$B$36:$B$41,Assumptions!$B$36:$H$41))</f>
        <v>0</v>
      </c>
      <c r="MUR28">
        <f t="array" ref="MUR28">_xlfn.XLOOKUP(MUR$11,Assumptions!$B$35:$H$35,_xlfn.XLOOKUP($C28,Assumptions!$B$36:$B$41,Assumptions!$B$36:$H$41))</f>
        <v>0</v>
      </c>
      <c r="MUS28">
        <f t="array" ref="MUS28">_xlfn.XLOOKUP(MUS$11,Assumptions!$B$35:$H$35,_xlfn.XLOOKUP($C28,Assumptions!$B$36:$B$41,Assumptions!$B$36:$H$41))</f>
        <v>0</v>
      </c>
      <c r="MUT28">
        <f t="array" ref="MUT28">_xlfn.XLOOKUP(MUT$11,Assumptions!$B$35:$H$35,_xlfn.XLOOKUP($C28,Assumptions!$B$36:$B$41,Assumptions!$B$36:$H$41))</f>
        <v>0</v>
      </c>
      <c r="MUU28">
        <f t="array" ref="MUU28">_xlfn.XLOOKUP(MUU$11,Assumptions!$B$35:$H$35,_xlfn.XLOOKUP($C28,Assumptions!$B$36:$B$41,Assumptions!$B$36:$H$41))</f>
        <v>0</v>
      </c>
      <c r="MUV28">
        <f t="array" ref="MUV28">_xlfn.XLOOKUP(MUV$11,Assumptions!$B$35:$H$35,_xlfn.XLOOKUP($C28,Assumptions!$B$36:$B$41,Assumptions!$B$36:$H$41))</f>
        <v>0</v>
      </c>
      <c r="MUW28">
        <f t="array" ref="MUW28">_xlfn.XLOOKUP(MUW$11,Assumptions!$B$35:$H$35,_xlfn.XLOOKUP($C28,Assumptions!$B$36:$B$41,Assumptions!$B$36:$H$41))</f>
        <v>0</v>
      </c>
      <c r="MUX28">
        <f t="array" ref="MUX28">_xlfn.XLOOKUP(MUX$11,Assumptions!$B$35:$H$35,_xlfn.XLOOKUP($C28,Assumptions!$B$36:$B$41,Assumptions!$B$36:$H$41))</f>
        <v>0</v>
      </c>
      <c r="MUY28">
        <f t="array" ref="MUY28">_xlfn.XLOOKUP(MUY$11,Assumptions!$B$35:$H$35,_xlfn.XLOOKUP($C28,Assumptions!$B$36:$B$41,Assumptions!$B$36:$H$41))</f>
        <v>0</v>
      </c>
      <c r="MUZ28">
        <f t="array" ref="MUZ28">_xlfn.XLOOKUP(MUZ$11,Assumptions!$B$35:$H$35,_xlfn.XLOOKUP($C28,Assumptions!$B$36:$B$41,Assumptions!$B$36:$H$41))</f>
        <v>0</v>
      </c>
      <c r="MVA28">
        <f t="array" ref="MVA28">_xlfn.XLOOKUP(MVA$11,Assumptions!$B$35:$H$35,_xlfn.XLOOKUP($C28,Assumptions!$B$36:$B$41,Assumptions!$B$36:$H$41))</f>
        <v>0</v>
      </c>
      <c r="MVB28">
        <f t="array" ref="MVB28">_xlfn.XLOOKUP(MVB$11,Assumptions!$B$35:$H$35,_xlfn.XLOOKUP($C28,Assumptions!$B$36:$B$41,Assumptions!$B$36:$H$41))</f>
        <v>0</v>
      </c>
      <c r="MVC28">
        <f t="array" ref="MVC28">_xlfn.XLOOKUP(MVC$11,Assumptions!$B$35:$H$35,_xlfn.XLOOKUP($C28,Assumptions!$B$36:$B$41,Assumptions!$B$36:$H$41))</f>
        <v>0</v>
      </c>
      <c r="MVD28">
        <f t="array" ref="MVD28">_xlfn.XLOOKUP(MVD$11,Assumptions!$B$35:$H$35,_xlfn.XLOOKUP($C28,Assumptions!$B$36:$B$41,Assumptions!$B$36:$H$41))</f>
        <v>0</v>
      </c>
      <c r="MVE28">
        <f t="array" ref="MVE28">_xlfn.XLOOKUP(MVE$11,Assumptions!$B$35:$H$35,_xlfn.XLOOKUP($C28,Assumptions!$B$36:$B$41,Assumptions!$B$36:$H$41))</f>
        <v>0</v>
      </c>
      <c r="MVF28">
        <f t="array" ref="MVF28">_xlfn.XLOOKUP(MVF$11,Assumptions!$B$35:$H$35,_xlfn.XLOOKUP($C28,Assumptions!$B$36:$B$41,Assumptions!$B$36:$H$41))</f>
        <v>0</v>
      </c>
      <c r="MVG28">
        <f t="array" ref="MVG28">_xlfn.XLOOKUP(MVG$11,Assumptions!$B$35:$H$35,_xlfn.XLOOKUP($C28,Assumptions!$B$36:$B$41,Assumptions!$B$36:$H$41))</f>
        <v>0</v>
      </c>
      <c r="MVH28">
        <f t="array" ref="MVH28">_xlfn.XLOOKUP(MVH$11,Assumptions!$B$35:$H$35,_xlfn.XLOOKUP($C28,Assumptions!$B$36:$B$41,Assumptions!$B$36:$H$41))</f>
        <v>0</v>
      </c>
      <c r="MVI28">
        <f t="array" ref="MVI28">_xlfn.XLOOKUP(MVI$11,Assumptions!$B$35:$H$35,_xlfn.XLOOKUP($C28,Assumptions!$B$36:$B$41,Assumptions!$B$36:$H$41))</f>
        <v>0</v>
      </c>
      <c r="MVJ28">
        <f t="array" ref="MVJ28">_xlfn.XLOOKUP(MVJ$11,Assumptions!$B$35:$H$35,_xlfn.XLOOKUP($C28,Assumptions!$B$36:$B$41,Assumptions!$B$36:$H$41))</f>
        <v>0</v>
      </c>
      <c r="MVK28">
        <f t="array" ref="MVK28">_xlfn.XLOOKUP(MVK$11,Assumptions!$B$35:$H$35,_xlfn.XLOOKUP($C28,Assumptions!$B$36:$B$41,Assumptions!$B$36:$H$41))</f>
        <v>0</v>
      </c>
      <c r="MVL28">
        <f t="array" ref="MVL28">_xlfn.XLOOKUP(MVL$11,Assumptions!$B$35:$H$35,_xlfn.XLOOKUP($C28,Assumptions!$B$36:$B$41,Assumptions!$B$36:$H$41))</f>
        <v>0</v>
      </c>
      <c r="MVM28">
        <f t="array" ref="MVM28">_xlfn.XLOOKUP(MVM$11,Assumptions!$B$35:$H$35,_xlfn.XLOOKUP($C28,Assumptions!$B$36:$B$41,Assumptions!$B$36:$H$41))</f>
        <v>0</v>
      </c>
      <c r="MVN28">
        <f t="array" ref="MVN28">_xlfn.XLOOKUP(MVN$11,Assumptions!$B$35:$H$35,_xlfn.XLOOKUP($C28,Assumptions!$B$36:$B$41,Assumptions!$B$36:$H$41))</f>
        <v>0</v>
      </c>
      <c r="MVO28">
        <f t="array" ref="MVO28">_xlfn.XLOOKUP(MVO$11,Assumptions!$B$35:$H$35,_xlfn.XLOOKUP($C28,Assumptions!$B$36:$B$41,Assumptions!$B$36:$H$41))</f>
        <v>0</v>
      </c>
      <c r="MVP28">
        <f t="array" ref="MVP28">_xlfn.XLOOKUP(MVP$11,Assumptions!$B$35:$H$35,_xlfn.XLOOKUP($C28,Assumptions!$B$36:$B$41,Assumptions!$B$36:$H$41))</f>
        <v>0</v>
      </c>
      <c r="MVQ28">
        <f t="array" ref="MVQ28">_xlfn.XLOOKUP(MVQ$11,Assumptions!$B$35:$H$35,_xlfn.XLOOKUP($C28,Assumptions!$B$36:$B$41,Assumptions!$B$36:$H$41))</f>
        <v>0</v>
      </c>
      <c r="MVR28">
        <f t="array" ref="MVR28">_xlfn.XLOOKUP(MVR$11,Assumptions!$B$35:$H$35,_xlfn.XLOOKUP($C28,Assumptions!$B$36:$B$41,Assumptions!$B$36:$H$41))</f>
        <v>0</v>
      </c>
      <c r="MVS28">
        <f t="array" ref="MVS28">_xlfn.XLOOKUP(MVS$11,Assumptions!$B$35:$H$35,_xlfn.XLOOKUP($C28,Assumptions!$B$36:$B$41,Assumptions!$B$36:$H$41))</f>
        <v>0</v>
      </c>
      <c r="MVT28">
        <f t="array" ref="MVT28">_xlfn.XLOOKUP(MVT$11,Assumptions!$B$35:$H$35,_xlfn.XLOOKUP($C28,Assumptions!$B$36:$B$41,Assumptions!$B$36:$H$41))</f>
        <v>0</v>
      </c>
      <c r="MVU28">
        <f t="array" ref="MVU28">_xlfn.XLOOKUP(MVU$11,Assumptions!$B$35:$H$35,_xlfn.XLOOKUP($C28,Assumptions!$B$36:$B$41,Assumptions!$B$36:$H$41))</f>
        <v>0</v>
      </c>
      <c r="MVV28">
        <f t="array" ref="MVV28">_xlfn.XLOOKUP(MVV$11,Assumptions!$B$35:$H$35,_xlfn.XLOOKUP($C28,Assumptions!$B$36:$B$41,Assumptions!$B$36:$H$41))</f>
        <v>0</v>
      </c>
      <c r="MVW28">
        <f t="array" ref="MVW28">_xlfn.XLOOKUP(MVW$11,Assumptions!$B$35:$H$35,_xlfn.XLOOKUP($C28,Assumptions!$B$36:$B$41,Assumptions!$B$36:$H$41))</f>
        <v>0</v>
      </c>
      <c r="MVX28">
        <f t="array" ref="MVX28">_xlfn.XLOOKUP(MVX$11,Assumptions!$B$35:$H$35,_xlfn.XLOOKUP($C28,Assumptions!$B$36:$B$41,Assumptions!$B$36:$H$41))</f>
        <v>0</v>
      </c>
      <c r="MVY28">
        <f t="array" ref="MVY28">_xlfn.XLOOKUP(MVY$11,Assumptions!$B$35:$H$35,_xlfn.XLOOKUP($C28,Assumptions!$B$36:$B$41,Assumptions!$B$36:$H$41))</f>
        <v>0</v>
      </c>
      <c r="MVZ28">
        <f t="array" ref="MVZ28">_xlfn.XLOOKUP(MVZ$11,Assumptions!$B$35:$H$35,_xlfn.XLOOKUP($C28,Assumptions!$B$36:$B$41,Assumptions!$B$36:$H$41))</f>
        <v>0</v>
      </c>
      <c r="MWA28">
        <f t="array" ref="MWA28">_xlfn.XLOOKUP(MWA$11,Assumptions!$B$35:$H$35,_xlfn.XLOOKUP($C28,Assumptions!$B$36:$B$41,Assumptions!$B$36:$H$41))</f>
        <v>0</v>
      </c>
      <c r="MWB28">
        <f t="array" ref="MWB28">_xlfn.XLOOKUP(MWB$11,Assumptions!$B$35:$H$35,_xlfn.XLOOKUP($C28,Assumptions!$B$36:$B$41,Assumptions!$B$36:$H$41))</f>
        <v>0</v>
      </c>
      <c r="MWC28">
        <f t="array" ref="MWC28">_xlfn.XLOOKUP(MWC$11,Assumptions!$B$35:$H$35,_xlfn.XLOOKUP($C28,Assumptions!$B$36:$B$41,Assumptions!$B$36:$H$41))</f>
        <v>0</v>
      </c>
      <c r="MWD28">
        <f t="array" ref="MWD28">_xlfn.XLOOKUP(MWD$11,Assumptions!$B$35:$H$35,_xlfn.XLOOKUP($C28,Assumptions!$B$36:$B$41,Assumptions!$B$36:$H$41))</f>
        <v>0</v>
      </c>
      <c r="MWE28">
        <f t="array" ref="MWE28">_xlfn.XLOOKUP(MWE$11,Assumptions!$B$35:$H$35,_xlfn.XLOOKUP($C28,Assumptions!$B$36:$B$41,Assumptions!$B$36:$H$41))</f>
        <v>0</v>
      </c>
      <c r="MWF28">
        <f t="array" ref="MWF28">_xlfn.XLOOKUP(MWF$11,Assumptions!$B$35:$H$35,_xlfn.XLOOKUP($C28,Assumptions!$B$36:$B$41,Assumptions!$B$36:$H$41))</f>
        <v>0</v>
      </c>
      <c r="MWG28">
        <f t="array" ref="MWG28">_xlfn.XLOOKUP(MWG$11,Assumptions!$B$35:$H$35,_xlfn.XLOOKUP($C28,Assumptions!$B$36:$B$41,Assumptions!$B$36:$H$41))</f>
        <v>0</v>
      </c>
      <c r="MWH28">
        <f t="array" ref="MWH28">_xlfn.XLOOKUP(MWH$11,Assumptions!$B$35:$H$35,_xlfn.XLOOKUP($C28,Assumptions!$B$36:$B$41,Assumptions!$B$36:$H$41))</f>
        <v>0</v>
      </c>
      <c r="MWI28">
        <f t="array" ref="MWI28">_xlfn.XLOOKUP(MWI$11,Assumptions!$B$35:$H$35,_xlfn.XLOOKUP($C28,Assumptions!$B$36:$B$41,Assumptions!$B$36:$H$41))</f>
        <v>0</v>
      </c>
      <c r="MWJ28">
        <f t="array" ref="MWJ28">_xlfn.XLOOKUP(MWJ$11,Assumptions!$B$35:$H$35,_xlfn.XLOOKUP($C28,Assumptions!$B$36:$B$41,Assumptions!$B$36:$H$41))</f>
        <v>0</v>
      </c>
      <c r="MWK28">
        <f t="array" ref="MWK28">_xlfn.XLOOKUP(MWK$11,Assumptions!$B$35:$H$35,_xlfn.XLOOKUP($C28,Assumptions!$B$36:$B$41,Assumptions!$B$36:$H$41))</f>
        <v>0</v>
      </c>
      <c r="MWL28">
        <f t="array" ref="MWL28">_xlfn.XLOOKUP(MWL$11,Assumptions!$B$35:$H$35,_xlfn.XLOOKUP($C28,Assumptions!$B$36:$B$41,Assumptions!$B$36:$H$41))</f>
        <v>0</v>
      </c>
      <c r="MWM28">
        <f t="array" ref="MWM28">_xlfn.XLOOKUP(MWM$11,Assumptions!$B$35:$H$35,_xlfn.XLOOKUP($C28,Assumptions!$B$36:$B$41,Assumptions!$B$36:$H$41))</f>
        <v>0</v>
      </c>
      <c r="MWN28">
        <f t="array" ref="MWN28">_xlfn.XLOOKUP(MWN$11,Assumptions!$B$35:$H$35,_xlfn.XLOOKUP($C28,Assumptions!$B$36:$B$41,Assumptions!$B$36:$H$41))</f>
        <v>0</v>
      </c>
      <c r="MWO28">
        <f t="array" ref="MWO28">_xlfn.XLOOKUP(MWO$11,Assumptions!$B$35:$H$35,_xlfn.XLOOKUP($C28,Assumptions!$B$36:$B$41,Assumptions!$B$36:$H$41))</f>
        <v>0</v>
      </c>
      <c r="MWP28">
        <f t="array" ref="MWP28">_xlfn.XLOOKUP(MWP$11,Assumptions!$B$35:$H$35,_xlfn.XLOOKUP($C28,Assumptions!$B$36:$B$41,Assumptions!$B$36:$H$41))</f>
        <v>0</v>
      </c>
      <c r="MWQ28">
        <f t="array" ref="MWQ28">_xlfn.XLOOKUP(MWQ$11,Assumptions!$B$35:$H$35,_xlfn.XLOOKUP($C28,Assumptions!$B$36:$B$41,Assumptions!$B$36:$H$41))</f>
        <v>0</v>
      </c>
      <c r="MWR28">
        <f t="array" ref="MWR28">_xlfn.XLOOKUP(MWR$11,Assumptions!$B$35:$H$35,_xlfn.XLOOKUP($C28,Assumptions!$B$36:$B$41,Assumptions!$B$36:$H$41))</f>
        <v>0</v>
      </c>
      <c r="MWS28">
        <f t="array" ref="MWS28">_xlfn.XLOOKUP(MWS$11,Assumptions!$B$35:$H$35,_xlfn.XLOOKUP($C28,Assumptions!$B$36:$B$41,Assumptions!$B$36:$H$41))</f>
        <v>0</v>
      </c>
      <c r="MWT28">
        <f t="array" ref="MWT28">_xlfn.XLOOKUP(MWT$11,Assumptions!$B$35:$H$35,_xlfn.XLOOKUP($C28,Assumptions!$B$36:$B$41,Assumptions!$B$36:$H$41))</f>
        <v>0</v>
      </c>
      <c r="MWU28">
        <f t="array" ref="MWU28">_xlfn.XLOOKUP(MWU$11,Assumptions!$B$35:$H$35,_xlfn.XLOOKUP($C28,Assumptions!$B$36:$B$41,Assumptions!$B$36:$H$41))</f>
        <v>0</v>
      </c>
      <c r="MWV28">
        <f t="array" ref="MWV28">_xlfn.XLOOKUP(MWV$11,Assumptions!$B$35:$H$35,_xlfn.XLOOKUP($C28,Assumptions!$B$36:$B$41,Assumptions!$B$36:$H$41))</f>
        <v>0</v>
      </c>
      <c r="MWW28">
        <f t="array" ref="MWW28">_xlfn.XLOOKUP(MWW$11,Assumptions!$B$35:$H$35,_xlfn.XLOOKUP($C28,Assumptions!$B$36:$B$41,Assumptions!$B$36:$H$41))</f>
        <v>0</v>
      </c>
      <c r="MWX28">
        <f t="array" ref="MWX28">_xlfn.XLOOKUP(MWX$11,Assumptions!$B$35:$H$35,_xlfn.XLOOKUP($C28,Assumptions!$B$36:$B$41,Assumptions!$B$36:$H$41))</f>
        <v>0</v>
      </c>
      <c r="MWY28">
        <f t="array" ref="MWY28">_xlfn.XLOOKUP(MWY$11,Assumptions!$B$35:$H$35,_xlfn.XLOOKUP($C28,Assumptions!$B$36:$B$41,Assumptions!$B$36:$H$41))</f>
        <v>0</v>
      </c>
      <c r="MWZ28">
        <f t="array" ref="MWZ28">_xlfn.XLOOKUP(MWZ$11,Assumptions!$B$35:$H$35,_xlfn.XLOOKUP($C28,Assumptions!$B$36:$B$41,Assumptions!$B$36:$H$41))</f>
        <v>0</v>
      </c>
      <c r="MXA28">
        <f t="array" ref="MXA28">_xlfn.XLOOKUP(MXA$11,Assumptions!$B$35:$H$35,_xlfn.XLOOKUP($C28,Assumptions!$B$36:$B$41,Assumptions!$B$36:$H$41))</f>
        <v>0</v>
      </c>
      <c r="MXB28">
        <f t="array" ref="MXB28">_xlfn.XLOOKUP(MXB$11,Assumptions!$B$35:$H$35,_xlfn.XLOOKUP($C28,Assumptions!$B$36:$B$41,Assumptions!$B$36:$H$41))</f>
        <v>0</v>
      </c>
      <c r="MXC28">
        <f t="array" ref="MXC28">_xlfn.XLOOKUP(MXC$11,Assumptions!$B$35:$H$35,_xlfn.XLOOKUP($C28,Assumptions!$B$36:$B$41,Assumptions!$B$36:$H$41))</f>
        <v>0</v>
      </c>
      <c r="MXD28">
        <f t="array" ref="MXD28">_xlfn.XLOOKUP(MXD$11,Assumptions!$B$35:$H$35,_xlfn.XLOOKUP($C28,Assumptions!$B$36:$B$41,Assumptions!$B$36:$H$41))</f>
        <v>0</v>
      </c>
      <c r="MXE28">
        <f t="array" ref="MXE28">_xlfn.XLOOKUP(MXE$11,Assumptions!$B$35:$H$35,_xlfn.XLOOKUP($C28,Assumptions!$B$36:$B$41,Assumptions!$B$36:$H$41))</f>
        <v>0</v>
      </c>
      <c r="MXF28">
        <f t="array" ref="MXF28">_xlfn.XLOOKUP(MXF$11,Assumptions!$B$35:$H$35,_xlfn.XLOOKUP($C28,Assumptions!$B$36:$B$41,Assumptions!$B$36:$H$41))</f>
        <v>0</v>
      </c>
      <c r="MXG28">
        <f t="array" ref="MXG28">_xlfn.XLOOKUP(MXG$11,Assumptions!$B$35:$H$35,_xlfn.XLOOKUP($C28,Assumptions!$B$36:$B$41,Assumptions!$B$36:$H$41))</f>
        <v>0</v>
      </c>
      <c r="MXH28">
        <f t="array" ref="MXH28">_xlfn.XLOOKUP(MXH$11,Assumptions!$B$35:$H$35,_xlfn.XLOOKUP($C28,Assumptions!$B$36:$B$41,Assumptions!$B$36:$H$41))</f>
        <v>0</v>
      </c>
      <c r="MXI28">
        <f t="array" ref="MXI28">_xlfn.XLOOKUP(MXI$11,Assumptions!$B$35:$H$35,_xlfn.XLOOKUP($C28,Assumptions!$B$36:$B$41,Assumptions!$B$36:$H$41))</f>
        <v>0</v>
      </c>
      <c r="MXJ28">
        <f t="array" ref="MXJ28">_xlfn.XLOOKUP(MXJ$11,Assumptions!$B$35:$H$35,_xlfn.XLOOKUP($C28,Assumptions!$B$36:$B$41,Assumptions!$B$36:$H$41))</f>
        <v>0</v>
      </c>
      <c r="MXK28">
        <f t="array" ref="MXK28">_xlfn.XLOOKUP(MXK$11,Assumptions!$B$35:$H$35,_xlfn.XLOOKUP($C28,Assumptions!$B$36:$B$41,Assumptions!$B$36:$H$41))</f>
        <v>0</v>
      </c>
      <c r="MXL28">
        <f t="array" ref="MXL28">_xlfn.XLOOKUP(MXL$11,Assumptions!$B$35:$H$35,_xlfn.XLOOKUP($C28,Assumptions!$B$36:$B$41,Assumptions!$B$36:$H$41))</f>
        <v>0</v>
      </c>
      <c r="MXM28">
        <f t="array" ref="MXM28">_xlfn.XLOOKUP(MXM$11,Assumptions!$B$35:$H$35,_xlfn.XLOOKUP($C28,Assumptions!$B$36:$B$41,Assumptions!$B$36:$H$41))</f>
        <v>0</v>
      </c>
      <c r="MXN28">
        <f t="array" ref="MXN28">_xlfn.XLOOKUP(MXN$11,Assumptions!$B$35:$H$35,_xlfn.XLOOKUP($C28,Assumptions!$B$36:$B$41,Assumptions!$B$36:$H$41))</f>
        <v>0</v>
      </c>
      <c r="MXO28">
        <f t="array" ref="MXO28">_xlfn.XLOOKUP(MXO$11,Assumptions!$B$35:$H$35,_xlfn.XLOOKUP($C28,Assumptions!$B$36:$B$41,Assumptions!$B$36:$H$41))</f>
        <v>0</v>
      </c>
      <c r="MXP28">
        <f t="array" ref="MXP28">_xlfn.XLOOKUP(MXP$11,Assumptions!$B$35:$H$35,_xlfn.XLOOKUP($C28,Assumptions!$B$36:$B$41,Assumptions!$B$36:$H$41))</f>
        <v>0</v>
      </c>
      <c r="MXQ28">
        <f t="array" ref="MXQ28">_xlfn.XLOOKUP(MXQ$11,Assumptions!$B$35:$H$35,_xlfn.XLOOKUP($C28,Assumptions!$B$36:$B$41,Assumptions!$B$36:$H$41))</f>
        <v>0</v>
      </c>
      <c r="MXR28">
        <f t="array" ref="MXR28">_xlfn.XLOOKUP(MXR$11,Assumptions!$B$35:$H$35,_xlfn.XLOOKUP($C28,Assumptions!$B$36:$B$41,Assumptions!$B$36:$H$41))</f>
        <v>0</v>
      </c>
      <c r="MXS28">
        <f t="array" ref="MXS28">_xlfn.XLOOKUP(MXS$11,Assumptions!$B$35:$H$35,_xlfn.XLOOKUP($C28,Assumptions!$B$36:$B$41,Assumptions!$B$36:$H$41))</f>
        <v>0</v>
      </c>
      <c r="MXT28">
        <f t="array" ref="MXT28">_xlfn.XLOOKUP(MXT$11,Assumptions!$B$35:$H$35,_xlfn.XLOOKUP($C28,Assumptions!$B$36:$B$41,Assumptions!$B$36:$H$41))</f>
        <v>0</v>
      </c>
      <c r="MXU28">
        <f t="array" ref="MXU28">_xlfn.XLOOKUP(MXU$11,Assumptions!$B$35:$H$35,_xlfn.XLOOKUP($C28,Assumptions!$B$36:$B$41,Assumptions!$B$36:$H$41))</f>
        <v>0</v>
      </c>
      <c r="MXV28">
        <f t="array" ref="MXV28">_xlfn.XLOOKUP(MXV$11,Assumptions!$B$35:$H$35,_xlfn.XLOOKUP($C28,Assumptions!$B$36:$B$41,Assumptions!$B$36:$H$41))</f>
        <v>0</v>
      </c>
      <c r="MXW28">
        <f t="array" ref="MXW28">_xlfn.XLOOKUP(MXW$11,Assumptions!$B$35:$H$35,_xlfn.XLOOKUP($C28,Assumptions!$B$36:$B$41,Assumptions!$B$36:$H$41))</f>
        <v>0</v>
      </c>
      <c r="MXX28">
        <f t="array" ref="MXX28">_xlfn.XLOOKUP(MXX$11,Assumptions!$B$35:$H$35,_xlfn.XLOOKUP($C28,Assumptions!$B$36:$B$41,Assumptions!$B$36:$H$41))</f>
        <v>0</v>
      </c>
      <c r="MXY28">
        <f t="array" ref="MXY28">_xlfn.XLOOKUP(MXY$11,Assumptions!$B$35:$H$35,_xlfn.XLOOKUP($C28,Assumptions!$B$36:$B$41,Assumptions!$B$36:$H$41))</f>
        <v>0</v>
      </c>
      <c r="MXZ28">
        <f t="array" ref="MXZ28">_xlfn.XLOOKUP(MXZ$11,Assumptions!$B$35:$H$35,_xlfn.XLOOKUP($C28,Assumptions!$B$36:$B$41,Assumptions!$B$36:$H$41))</f>
        <v>0</v>
      </c>
      <c r="MYA28">
        <f t="array" ref="MYA28">_xlfn.XLOOKUP(MYA$11,Assumptions!$B$35:$H$35,_xlfn.XLOOKUP($C28,Assumptions!$B$36:$B$41,Assumptions!$B$36:$H$41))</f>
        <v>0</v>
      </c>
      <c r="MYB28">
        <f t="array" ref="MYB28">_xlfn.XLOOKUP(MYB$11,Assumptions!$B$35:$H$35,_xlfn.XLOOKUP($C28,Assumptions!$B$36:$B$41,Assumptions!$B$36:$H$41))</f>
        <v>0</v>
      </c>
      <c r="MYC28">
        <f t="array" ref="MYC28">_xlfn.XLOOKUP(MYC$11,Assumptions!$B$35:$H$35,_xlfn.XLOOKUP($C28,Assumptions!$B$36:$B$41,Assumptions!$B$36:$H$41))</f>
        <v>0</v>
      </c>
      <c r="MYD28">
        <f t="array" ref="MYD28">_xlfn.XLOOKUP(MYD$11,Assumptions!$B$35:$H$35,_xlfn.XLOOKUP($C28,Assumptions!$B$36:$B$41,Assumptions!$B$36:$H$41))</f>
        <v>0</v>
      </c>
      <c r="MYE28">
        <f t="array" ref="MYE28">_xlfn.XLOOKUP(MYE$11,Assumptions!$B$35:$H$35,_xlfn.XLOOKUP($C28,Assumptions!$B$36:$B$41,Assumptions!$B$36:$H$41))</f>
        <v>0</v>
      </c>
      <c r="MYF28">
        <f t="array" ref="MYF28">_xlfn.XLOOKUP(MYF$11,Assumptions!$B$35:$H$35,_xlfn.XLOOKUP($C28,Assumptions!$B$36:$B$41,Assumptions!$B$36:$H$41))</f>
        <v>0</v>
      </c>
      <c r="MYG28">
        <f t="array" ref="MYG28">_xlfn.XLOOKUP(MYG$11,Assumptions!$B$35:$H$35,_xlfn.XLOOKUP($C28,Assumptions!$B$36:$B$41,Assumptions!$B$36:$H$41))</f>
        <v>0</v>
      </c>
      <c r="MYH28">
        <f t="array" ref="MYH28">_xlfn.XLOOKUP(MYH$11,Assumptions!$B$35:$H$35,_xlfn.XLOOKUP($C28,Assumptions!$B$36:$B$41,Assumptions!$B$36:$H$41))</f>
        <v>0</v>
      </c>
      <c r="MYI28">
        <f t="array" ref="MYI28">_xlfn.XLOOKUP(MYI$11,Assumptions!$B$35:$H$35,_xlfn.XLOOKUP($C28,Assumptions!$B$36:$B$41,Assumptions!$B$36:$H$41))</f>
        <v>0</v>
      </c>
      <c r="MYJ28">
        <f t="array" ref="MYJ28">_xlfn.XLOOKUP(MYJ$11,Assumptions!$B$35:$H$35,_xlfn.XLOOKUP($C28,Assumptions!$B$36:$B$41,Assumptions!$B$36:$H$41))</f>
        <v>0</v>
      </c>
      <c r="MYK28">
        <f t="array" ref="MYK28">_xlfn.XLOOKUP(MYK$11,Assumptions!$B$35:$H$35,_xlfn.XLOOKUP($C28,Assumptions!$B$36:$B$41,Assumptions!$B$36:$H$41))</f>
        <v>0</v>
      </c>
      <c r="MYL28">
        <f t="array" ref="MYL28">_xlfn.XLOOKUP(MYL$11,Assumptions!$B$35:$H$35,_xlfn.XLOOKUP($C28,Assumptions!$B$36:$B$41,Assumptions!$B$36:$H$41))</f>
        <v>0</v>
      </c>
      <c r="MYM28">
        <f t="array" ref="MYM28">_xlfn.XLOOKUP(MYM$11,Assumptions!$B$35:$H$35,_xlfn.XLOOKUP($C28,Assumptions!$B$36:$B$41,Assumptions!$B$36:$H$41))</f>
        <v>0</v>
      </c>
      <c r="MYN28">
        <f t="array" ref="MYN28">_xlfn.XLOOKUP(MYN$11,Assumptions!$B$35:$H$35,_xlfn.XLOOKUP($C28,Assumptions!$B$36:$B$41,Assumptions!$B$36:$H$41))</f>
        <v>0</v>
      </c>
      <c r="MYO28">
        <f t="array" ref="MYO28">_xlfn.XLOOKUP(MYO$11,Assumptions!$B$35:$H$35,_xlfn.XLOOKUP($C28,Assumptions!$B$36:$B$41,Assumptions!$B$36:$H$41))</f>
        <v>0</v>
      </c>
      <c r="MYP28">
        <f t="array" ref="MYP28">_xlfn.XLOOKUP(MYP$11,Assumptions!$B$35:$H$35,_xlfn.XLOOKUP($C28,Assumptions!$B$36:$B$41,Assumptions!$B$36:$H$41))</f>
        <v>0</v>
      </c>
      <c r="MYQ28">
        <f t="array" ref="MYQ28">_xlfn.XLOOKUP(MYQ$11,Assumptions!$B$35:$H$35,_xlfn.XLOOKUP($C28,Assumptions!$B$36:$B$41,Assumptions!$B$36:$H$41))</f>
        <v>0</v>
      </c>
      <c r="MYR28">
        <f t="array" ref="MYR28">_xlfn.XLOOKUP(MYR$11,Assumptions!$B$35:$H$35,_xlfn.XLOOKUP($C28,Assumptions!$B$36:$B$41,Assumptions!$B$36:$H$41))</f>
        <v>0</v>
      </c>
      <c r="MYS28">
        <f t="array" ref="MYS28">_xlfn.XLOOKUP(MYS$11,Assumptions!$B$35:$H$35,_xlfn.XLOOKUP($C28,Assumptions!$B$36:$B$41,Assumptions!$B$36:$H$41))</f>
        <v>0</v>
      </c>
      <c r="MYT28">
        <f t="array" ref="MYT28">_xlfn.XLOOKUP(MYT$11,Assumptions!$B$35:$H$35,_xlfn.XLOOKUP($C28,Assumptions!$B$36:$B$41,Assumptions!$B$36:$H$41))</f>
        <v>0</v>
      </c>
      <c r="MYU28">
        <f t="array" ref="MYU28">_xlfn.XLOOKUP(MYU$11,Assumptions!$B$35:$H$35,_xlfn.XLOOKUP($C28,Assumptions!$B$36:$B$41,Assumptions!$B$36:$H$41))</f>
        <v>0</v>
      </c>
      <c r="MYV28">
        <f t="array" ref="MYV28">_xlfn.XLOOKUP(MYV$11,Assumptions!$B$35:$H$35,_xlfn.XLOOKUP($C28,Assumptions!$B$36:$B$41,Assumptions!$B$36:$H$41))</f>
        <v>0</v>
      </c>
      <c r="MYW28">
        <f t="array" ref="MYW28">_xlfn.XLOOKUP(MYW$11,Assumptions!$B$35:$H$35,_xlfn.XLOOKUP($C28,Assumptions!$B$36:$B$41,Assumptions!$B$36:$H$41))</f>
        <v>0</v>
      </c>
      <c r="MYX28">
        <f t="array" ref="MYX28">_xlfn.XLOOKUP(MYX$11,Assumptions!$B$35:$H$35,_xlfn.XLOOKUP($C28,Assumptions!$B$36:$B$41,Assumptions!$B$36:$H$41))</f>
        <v>0</v>
      </c>
      <c r="MYY28">
        <f t="array" ref="MYY28">_xlfn.XLOOKUP(MYY$11,Assumptions!$B$35:$H$35,_xlfn.XLOOKUP($C28,Assumptions!$B$36:$B$41,Assumptions!$B$36:$H$41))</f>
        <v>0</v>
      </c>
      <c r="MYZ28">
        <f t="array" ref="MYZ28">_xlfn.XLOOKUP(MYZ$11,Assumptions!$B$35:$H$35,_xlfn.XLOOKUP($C28,Assumptions!$B$36:$B$41,Assumptions!$B$36:$H$41))</f>
        <v>0</v>
      </c>
      <c r="MZA28">
        <f t="array" ref="MZA28">_xlfn.XLOOKUP(MZA$11,Assumptions!$B$35:$H$35,_xlfn.XLOOKUP($C28,Assumptions!$B$36:$B$41,Assumptions!$B$36:$H$41))</f>
        <v>0</v>
      </c>
      <c r="MZB28">
        <f t="array" ref="MZB28">_xlfn.XLOOKUP(MZB$11,Assumptions!$B$35:$H$35,_xlfn.XLOOKUP($C28,Assumptions!$B$36:$B$41,Assumptions!$B$36:$H$41))</f>
        <v>0</v>
      </c>
      <c r="MZC28">
        <f t="array" ref="MZC28">_xlfn.XLOOKUP(MZC$11,Assumptions!$B$35:$H$35,_xlfn.XLOOKUP($C28,Assumptions!$B$36:$B$41,Assumptions!$B$36:$H$41))</f>
        <v>0</v>
      </c>
      <c r="MZD28">
        <f t="array" ref="MZD28">_xlfn.XLOOKUP(MZD$11,Assumptions!$B$35:$H$35,_xlfn.XLOOKUP($C28,Assumptions!$B$36:$B$41,Assumptions!$B$36:$H$41))</f>
        <v>0</v>
      </c>
      <c r="MZE28">
        <f t="array" ref="MZE28">_xlfn.XLOOKUP(MZE$11,Assumptions!$B$35:$H$35,_xlfn.XLOOKUP($C28,Assumptions!$B$36:$B$41,Assumptions!$B$36:$H$41))</f>
        <v>0</v>
      </c>
      <c r="MZF28">
        <f t="array" ref="MZF28">_xlfn.XLOOKUP(MZF$11,Assumptions!$B$35:$H$35,_xlfn.XLOOKUP($C28,Assumptions!$B$36:$B$41,Assumptions!$B$36:$H$41))</f>
        <v>0</v>
      </c>
      <c r="MZG28">
        <f t="array" ref="MZG28">_xlfn.XLOOKUP(MZG$11,Assumptions!$B$35:$H$35,_xlfn.XLOOKUP($C28,Assumptions!$B$36:$B$41,Assumptions!$B$36:$H$41))</f>
        <v>0</v>
      </c>
      <c r="MZH28">
        <f t="array" ref="MZH28">_xlfn.XLOOKUP(MZH$11,Assumptions!$B$35:$H$35,_xlfn.XLOOKUP($C28,Assumptions!$B$36:$B$41,Assumptions!$B$36:$H$41))</f>
        <v>0</v>
      </c>
      <c r="MZI28">
        <f t="array" ref="MZI28">_xlfn.XLOOKUP(MZI$11,Assumptions!$B$35:$H$35,_xlfn.XLOOKUP($C28,Assumptions!$B$36:$B$41,Assumptions!$B$36:$H$41))</f>
        <v>0</v>
      </c>
      <c r="MZJ28">
        <f t="array" ref="MZJ28">_xlfn.XLOOKUP(MZJ$11,Assumptions!$B$35:$H$35,_xlfn.XLOOKUP($C28,Assumptions!$B$36:$B$41,Assumptions!$B$36:$H$41))</f>
        <v>0</v>
      </c>
      <c r="MZK28">
        <f t="array" ref="MZK28">_xlfn.XLOOKUP(MZK$11,Assumptions!$B$35:$H$35,_xlfn.XLOOKUP($C28,Assumptions!$B$36:$B$41,Assumptions!$B$36:$H$41))</f>
        <v>0</v>
      </c>
      <c r="MZL28">
        <f t="array" ref="MZL28">_xlfn.XLOOKUP(MZL$11,Assumptions!$B$35:$H$35,_xlfn.XLOOKUP($C28,Assumptions!$B$36:$B$41,Assumptions!$B$36:$H$41))</f>
        <v>0</v>
      </c>
      <c r="MZM28">
        <f t="array" ref="MZM28">_xlfn.XLOOKUP(MZM$11,Assumptions!$B$35:$H$35,_xlfn.XLOOKUP($C28,Assumptions!$B$36:$B$41,Assumptions!$B$36:$H$41))</f>
        <v>0</v>
      </c>
      <c r="MZN28">
        <f t="array" ref="MZN28">_xlfn.XLOOKUP(MZN$11,Assumptions!$B$35:$H$35,_xlfn.XLOOKUP($C28,Assumptions!$B$36:$B$41,Assumptions!$B$36:$H$41))</f>
        <v>0</v>
      </c>
      <c r="MZO28">
        <f t="array" ref="MZO28">_xlfn.XLOOKUP(MZO$11,Assumptions!$B$35:$H$35,_xlfn.XLOOKUP($C28,Assumptions!$B$36:$B$41,Assumptions!$B$36:$H$41))</f>
        <v>0</v>
      </c>
      <c r="MZP28">
        <f t="array" ref="MZP28">_xlfn.XLOOKUP(MZP$11,Assumptions!$B$35:$H$35,_xlfn.XLOOKUP($C28,Assumptions!$B$36:$B$41,Assumptions!$B$36:$H$41))</f>
        <v>0</v>
      </c>
      <c r="MZQ28">
        <f t="array" ref="MZQ28">_xlfn.XLOOKUP(MZQ$11,Assumptions!$B$35:$H$35,_xlfn.XLOOKUP($C28,Assumptions!$B$36:$B$41,Assumptions!$B$36:$H$41))</f>
        <v>0</v>
      </c>
      <c r="MZR28">
        <f t="array" ref="MZR28">_xlfn.XLOOKUP(MZR$11,Assumptions!$B$35:$H$35,_xlfn.XLOOKUP($C28,Assumptions!$B$36:$B$41,Assumptions!$B$36:$H$41))</f>
        <v>0</v>
      </c>
      <c r="MZS28">
        <f t="array" ref="MZS28">_xlfn.XLOOKUP(MZS$11,Assumptions!$B$35:$H$35,_xlfn.XLOOKUP($C28,Assumptions!$B$36:$B$41,Assumptions!$B$36:$H$41))</f>
        <v>0</v>
      </c>
      <c r="MZT28">
        <f t="array" ref="MZT28">_xlfn.XLOOKUP(MZT$11,Assumptions!$B$35:$H$35,_xlfn.XLOOKUP($C28,Assumptions!$B$36:$B$41,Assumptions!$B$36:$H$41))</f>
        <v>0</v>
      </c>
      <c r="MZU28">
        <f t="array" ref="MZU28">_xlfn.XLOOKUP(MZU$11,Assumptions!$B$35:$H$35,_xlfn.XLOOKUP($C28,Assumptions!$B$36:$B$41,Assumptions!$B$36:$H$41))</f>
        <v>0</v>
      </c>
      <c r="MZV28">
        <f t="array" ref="MZV28">_xlfn.XLOOKUP(MZV$11,Assumptions!$B$35:$H$35,_xlfn.XLOOKUP($C28,Assumptions!$B$36:$B$41,Assumptions!$B$36:$H$41))</f>
        <v>0</v>
      </c>
      <c r="MZW28">
        <f t="array" ref="MZW28">_xlfn.XLOOKUP(MZW$11,Assumptions!$B$35:$H$35,_xlfn.XLOOKUP($C28,Assumptions!$B$36:$B$41,Assumptions!$B$36:$H$41))</f>
        <v>0</v>
      </c>
      <c r="MZX28">
        <f t="array" ref="MZX28">_xlfn.XLOOKUP(MZX$11,Assumptions!$B$35:$H$35,_xlfn.XLOOKUP($C28,Assumptions!$B$36:$B$41,Assumptions!$B$36:$H$41))</f>
        <v>0</v>
      </c>
      <c r="MZY28">
        <f t="array" ref="MZY28">_xlfn.XLOOKUP(MZY$11,Assumptions!$B$35:$H$35,_xlfn.XLOOKUP($C28,Assumptions!$B$36:$B$41,Assumptions!$B$36:$H$41))</f>
        <v>0</v>
      </c>
      <c r="MZZ28">
        <f t="array" ref="MZZ28">_xlfn.XLOOKUP(MZZ$11,Assumptions!$B$35:$H$35,_xlfn.XLOOKUP($C28,Assumptions!$B$36:$B$41,Assumptions!$B$36:$H$41))</f>
        <v>0</v>
      </c>
      <c r="NAA28">
        <f t="array" ref="NAA28">_xlfn.XLOOKUP(NAA$11,Assumptions!$B$35:$H$35,_xlfn.XLOOKUP($C28,Assumptions!$B$36:$B$41,Assumptions!$B$36:$H$41))</f>
        <v>0</v>
      </c>
      <c r="NAB28">
        <f t="array" ref="NAB28">_xlfn.XLOOKUP(NAB$11,Assumptions!$B$35:$H$35,_xlfn.XLOOKUP($C28,Assumptions!$B$36:$B$41,Assumptions!$B$36:$H$41))</f>
        <v>0</v>
      </c>
      <c r="NAC28">
        <f t="array" ref="NAC28">_xlfn.XLOOKUP(NAC$11,Assumptions!$B$35:$H$35,_xlfn.XLOOKUP($C28,Assumptions!$B$36:$B$41,Assumptions!$B$36:$H$41))</f>
        <v>0</v>
      </c>
      <c r="NAD28">
        <f t="array" ref="NAD28">_xlfn.XLOOKUP(NAD$11,Assumptions!$B$35:$H$35,_xlfn.XLOOKUP($C28,Assumptions!$B$36:$B$41,Assumptions!$B$36:$H$41))</f>
        <v>0</v>
      </c>
      <c r="NAE28">
        <f t="array" ref="NAE28">_xlfn.XLOOKUP(NAE$11,Assumptions!$B$35:$H$35,_xlfn.XLOOKUP($C28,Assumptions!$B$36:$B$41,Assumptions!$B$36:$H$41))</f>
        <v>0</v>
      </c>
      <c r="NAF28">
        <f t="array" ref="NAF28">_xlfn.XLOOKUP(NAF$11,Assumptions!$B$35:$H$35,_xlfn.XLOOKUP($C28,Assumptions!$B$36:$B$41,Assumptions!$B$36:$H$41))</f>
        <v>0</v>
      </c>
      <c r="NAG28">
        <f t="array" ref="NAG28">_xlfn.XLOOKUP(NAG$11,Assumptions!$B$35:$H$35,_xlfn.XLOOKUP($C28,Assumptions!$B$36:$B$41,Assumptions!$B$36:$H$41))</f>
        <v>0</v>
      </c>
      <c r="NAH28">
        <f t="array" ref="NAH28">_xlfn.XLOOKUP(NAH$11,Assumptions!$B$35:$H$35,_xlfn.XLOOKUP($C28,Assumptions!$B$36:$B$41,Assumptions!$B$36:$H$41))</f>
        <v>0</v>
      </c>
      <c r="NAI28">
        <f t="array" ref="NAI28">_xlfn.XLOOKUP(NAI$11,Assumptions!$B$35:$H$35,_xlfn.XLOOKUP($C28,Assumptions!$B$36:$B$41,Assumptions!$B$36:$H$41))</f>
        <v>0</v>
      </c>
      <c r="NAJ28">
        <f t="array" ref="NAJ28">_xlfn.XLOOKUP(NAJ$11,Assumptions!$B$35:$H$35,_xlfn.XLOOKUP($C28,Assumptions!$B$36:$B$41,Assumptions!$B$36:$H$41))</f>
        <v>0</v>
      </c>
      <c r="NAK28">
        <f t="array" ref="NAK28">_xlfn.XLOOKUP(NAK$11,Assumptions!$B$35:$H$35,_xlfn.XLOOKUP($C28,Assumptions!$B$36:$B$41,Assumptions!$B$36:$H$41))</f>
        <v>0</v>
      </c>
      <c r="NAL28">
        <f t="array" ref="NAL28">_xlfn.XLOOKUP(NAL$11,Assumptions!$B$35:$H$35,_xlfn.XLOOKUP($C28,Assumptions!$B$36:$B$41,Assumptions!$B$36:$H$41))</f>
        <v>0</v>
      </c>
      <c r="NAM28">
        <f t="array" ref="NAM28">_xlfn.XLOOKUP(NAM$11,Assumptions!$B$35:$H$35,_xlfn.XLOOKUP($C28,Assumptions!$B$36:$B$41,Assumptions!$B$36:$H$41))</f>
        <v>0</v>
      </c>
      <c r="NAN28">
        <f t="array" ref="NAN28">_xlfn.XLOOKUP(NAN$11,Assumptions!$B$35:$H$35,_xlfn.XLOOKUP($C28,Assumptions!$B$36:$B$41,Assumptions!$B$36:$H$41))</f>
        <v>0</v>
      </c>
      <c r="NAO28">
        <f t="array" ref="NAO28">_xlfn.XLOOKUP(NAO$11,Assumptions!$B$35:$H$35,_xlfn.XLOOKUP($C28,Assumptions!$B$36:$B$41,Assumptions!$B$36:$H$41))</f>
        <v>0</v>
      </c>
      <c r="NAP28">
        <f t="array" ref="NAP28">_xlfn.XLOOKUP(NAP$11,Assumptions!$B$35:$H$35,_xlfn.XLOOKUP($C28,Assumptions!$B$36:$B$41,Assumptions!$B$36:$H$41))</f>
        <v>0</v>
      </c>
      <c r="NAQ28">
        <f t="array" ref="NAQ28">_xlfn.XLOOKUP(NAQ$11,Assumptions!$B$35:$H$35,_xlfn.XLOOKUP($C28,Assumptions!$B$36:$B$41,Assumptions!$B$36:$H$41))</f>
        <v>0</v>
      </c>
      <c r="NAR28">
        <f t="array" ref="NAR28">_xlfn.XLOOKUP(NAR$11,Assumptions!$B$35:$H$35,_xlfn.XLOOKUP($C28,Assumptions!$B$36:$B$41,Assumptions!$B$36:$H$41))</f>
        <v>0</v>
      </c>
      <c r="NAS28">
        <f t="array" ref="NAS28">_xlfn.XLOOKUP(NAS$11,Assumptions!$B$35:$H$35,_xlfn.XLOOKUP($C28,Assumptions!$B$36:$B$41,Assumptions!$B$36:$H$41))</f>
        <v>0</v>
      </c>
      <c r="NAT28">
        <f t="array" ref="NAT28">_xlfn.XLOOKUP(NAT$11,Assumptions!$B$35:$H$35,_xlfn.XLOOKUP($C28,Assumptions!$B$36:$B$41,Assumptions!$B$36:$H$41))</f>
        <v>0</v>
      </c>
      <c r="NAU28">
        <f t="array" ref="NAU28">_xlfn.XLOOKUP(NAU$11,Assumptions!$B$35:$H$35,_xlfn.XLOOKUP($C28,Assumptions!$B$36:$B$41,Assumptions!$B$36:$H$41))</f>
        <v>0</v>
      </c>
      <c r="NAV28">
        <f t="array" ref="NAV28">_xlfn.XLOOKUP(NAV$11,Assumptions!$B$35:$H$35,_xlfn.XLOOKUP($C28,Assumptions!$B$36:$B$41,Assumptions!$B$36:$H$41))</f>
        <v>0</v>
      </c>
      <c r="NAW28">
        <f t="array" ref="NAW28">_xlfn.XLOOKUP(NAW$11,Assumptions!$B$35:$H$35,_xlfn.XLOOKUP($C28,Assumptions!$B$36:$B$41,Assumptions!$B$36:$H$41))</f>
        <v>0</v>
      </c>
      <c r="NAX28">
        <f t="array" ref="NAX28">_xlfn.XLOOKUP(NAX$11,Assumptions!$B$35:$H$35,_xlfn.XLOOKUP($C28,Assumptions!$B$36:$B$41,Assumptions!$B$36:$H$41))</f>
        <v>0</v>
      </c>
      <c r="NAY28">
        <f t="array" ref="NAY28">_xlfn.XLOOKUP(NAY$11,Assumptions!$B$35:$H$35,_xlfn.XLOOKUP($C28,Assumptions!$B$36:$B$41,Assumptions!$B$36:$H$41))</f>
        <v>0</v>
      </c>
      <c r="NAZ28">
        <f t="array" ref="NAZ28">_xlfn.XLOOKUP(NAZ$11,Assumptions!$B$35:$H$35,_xlfn.XLOOKUP($C28,Assumptions!$B$36:$B$41,Assumptions!$B$36:$H$41))</f>
        <v>0</v>
      </c>
      <c r="NBA28">
        <f t="array" ref="NBA28">_xlfn.XLOOKUP(NBA$11,Assumptions!$B$35:$H$35,_xlfn.XLOOKUP($C28,Assumptions!$B$36:$B$41,Assumptions!$B$36:$H$41))</f>
        <v>0</v>
      </c>
      <c r="NBB28">
        <f t="array" ref="NBB28">_xlfn.XLOOKUP(NBB$11,Assumptions!$B$35:$H$35,_xlfn.XLOOKUP($C28,Assumptions!$B$36:$B$41,Assumptions!$B$36:$H$41))</f>
        <v>0</v>
      </c>
      <c r="NBC28">
        <f t="array" ref="NBC28">_xlfn.XLOOKUP(NBC$11,Assumptions!$B$35:$H$35,_xlfn.XLOOKUP($C28,Assumptions!$B$36:$B$41,Assumptions!$B$36:$H$41))</f>
        <v>0</v>
      </c>
      <c r="NBD28">
        <f t="array" ref="NBD28">_xlfn.XLOOKUP(NBD$11,Assumptions!$B$35:$H$35,_xlfn.XLOOKUP($C28,Assumptions!$B$36:$B$41,Assumptions!$B$36:$H$41))</f>
        <v>0</v>
      </c>
      <c r="NBE28">
        <f t="array" ref="NBE28">_xlfn.XLOOKUP(NBE$11,Assumptions!$B$35:$H$35,_xlfn.XLOOKUP($C28,Assumptions!$B$36:$B$41,Assumptions!$B$36:$H$41))</f>
        <v>0</v>
      </c>
      <c r="NBF28">
        <f t="array" ref="NBF28">_xlfn.XLOOKUP(NBF$11,Assumptions!$B$35:$H$35,_xlfn.XLOOKUP($C28,Assumptions!$B$36:$B$41,Assumptions!$B$36:$H$41))</f>
        <v>0</v>
      </c>
      <c r="NBG28">
        <f t="array" ref="NBG28">_xlfn.XLOOKUP(NBG$11,Assumptions!$B$35:$H$35,_xlfn.XLOOKUP($C28,Assumptions!$B$36:$B$41,Assumptions!$B$36:$H$41))</f>
        <v>0</v>
      </c>
      <c r="NBH28">
        <f t="array" ref="NBH28">_xlfn.XLOOKUP(NBH$11,Assumptions!$B$35:$H$35,_xlfn.XLOOKUP($C28,Assumptions!$B$36:$B$41,Assumptions!$B$36:$H$41))</f>
        <v>0</v>
      </c>
      <c r="NBI28">
        <f t="array" ref="NBI28">_xlfn.XLOOKUP(NBI$11,Assumptions!$B$35:$H$35,_xlfn.XLOOKUP($C28,Assumptions!$B$36:$B$41,Assumptions!$B$36:$H$41))</f>
        <v>0</v>
      </c>
      <c r="NBJ28">
        <f t="array" ref="NBJ28">_xlfn.XLOOKUP(NBJ$11,Assumptions!$B$35:$H$35,_xlfn.XLOOKUP($C28,Assumptions!$B$36:$B$41,Assumptions!$B$36:$H$41))</f>
        <v>0</v>
      </c>
      <c r="NBK28">
        <f t="array" ref="NBK28">_xlfn.XLOOKUP(NBK$11,Assumptions!$B$35:$H$35,_xlfn.XLOOKUP($C28,Assumptions!$B$36:$B$41,Assumptions!$B$36:$H$41))</f>
        <v>0</v>
      </c>
      <c r="NBL28">
        <f t="array" ref="NBL28">_xlfn.XLOOKUP(NBL$11,Assumptions!$B$35:$H$35,_xlfn.XLOOKUP($C28,Assumptions!$B$36:$B$41,Assumptions!$B$36:$H$41))</f>
        <v>0</v>
      </c>
      <c r="NBM28">
        <f t="array" ref="NBM28">_xlfn.XLOOKUP(NBM$11,Assumptions!$B$35:$H$35,_xlfn.XLOOKUP($C28,Assumptions!$B$36:$B$41,Assumptions!$B$36:$H$41))</f>
        <v>0</v>
      </c>
      <c r="NBN28">
        <f t="array" ref="NBN28">_xlfn.XLOOKUP(NBN$11,Assumptions!$B$35:$H$35,_xlfn.XLOOKUP($C28,Assumptions!$B$36:$B$41,Assumptions!$B$36:$H$41))</f>
        <v>0</v>
      </c>
      <c r="NBO28">
        <f t="array" ref="NBO28">_xlfn.XLOOKUP(NBO$11,Assumptions!$B$35:$H$35,_xlfn.XLOOKUP($C28,Assumptions!$B$36:$B$41,Assumptions!$B$36:$H$41))</f>
        <v>0</v>
      </c>
      <c r="NBP28">
        <f t="array" ref="NBP28">_xlfn.XLOOKUP(NBP$11,Assumptions!$B$35:$H$35,_xlfn.XLOOKUP($C28,Assumptions!$B$36:$B$41,Assumptions!$B$36:$H$41))</f>
        <v>0</v>
      </c>
      <c r="NBQ28">
        <f t="array" ref="NBQ28">_xlfn.XLOOKUP(NBQ$11,Assumptions!$B$35:$H$35,_xlfn.XLOOKUP($C28,Assumptions!$B$36:$B$41,Assumptions!$B$36:$H$41))</f>
        <v>0</v>
      </c>
      <c r="NBR28">
        <f t="array" ref="NBR28">_xlfn.XLOOKUP(NBR$11,Assumptions!$B$35:$H$35,_xlfn.XLOOKUP($C28,Assumptions!$B$36:$B$41,Assumptions!$B$36:$H$41))</f>
        <v>0</v>
      </c>
      <c r="NBS28">
        <f t="array" ref="NBS28">_xlfn.XLOOKUP(NBS$11,Assumptions!$B$35:$H$35,_xlfn.XLOOKUP($C28,Assumptions!$B$36:$B$41,Assumptions!$B$36:$H$41))</f>
        <v>0</v>
      </c>
      <c r="NBT28">
        <f t="array" ref="NBT28">_xlfn.XLOOKUP(NBT$11,Assumptions!$B$35:$H$35,_xlfn.XLOOKUP($C28,Assumptions!$B$36:$B$41,Assumptions!$B$36:$H$41))</f>
        <v>0</v>
      </c>
      <c r="NBU28">
        <f t="array" ref="NBU28">_xlfn.XLOOKUP(NBU$11,Assumptions!$B$35:$H$35,_xlfn.XLOOKUP($C28,Assumptions!$B$36:$B$41,Assumptions!$B$36:$H$41))</f>
        <v>0</v>
      </c>
      <c r="NBV28">
        <f t="array" ref="NBV28">_xlfn.XLOOKUP(NBV$11,Assumptions!$B$35:$H$35,_xlfn.XLOOKUP($C28,Assumptions!$B$36:$B$41,Assumptions!$B$36:$H$41))</f>
        <v>0</v>
      </c>
      <c r="NBW28">
        <f t="array" ref="NBW28">_xlfn.XLOOKUP(NBW$11,Assumptions!$B$35:$H$35,_xlfn.XLOOKUP($C28,Assumptions!$B$36:$B$41,Assumptions!$B$36:$H$41))</f>
        <v>0</v>
      </c>
      <c r="NBX28">
        <f t="array" ref="NBX28">_xlfn.XLOOKUP(NBX$11,Assumptions!$B$35:$H$35,_xlfn.XLOOKUP($C28,Assumptions!$B$36:$B$41,Assumptions!$B$36:$H$41))</f>
        <v>0</v>
      </c>
      <c r="NBY28">
        <f t="array" ref="NBY28">_xlfn.XLOOKUP(NBY$11,Assumptions!$B$35:$H$35,_xlfn.XLOOKUP($C28,Assumptions!$B$36:$B$41,Assumptions!$B$36:$H$41))</f>
        <v>0</v>
      </c>
      <c r="NBZ28">
        <f t="array" ref="NBZ28">_xlfn.XLOOKUP(NBZ$11,Assumptions!$B$35:$H$35,_xlfn.XLOOKUP($C28,Assumptions!$B$36:$B$41,Assumptions!$B$36:$H$41))</f>
        <v>0</v>
      </c>
      <c r="NCA28">
        <f t="array" ref="NCA28">_xlfn.XLOOKUP(NCA$11,Assumptions!$B$35:$H$35,_xlfn.XLOOKUP($C28,Assumptions!$B$36:$B$41,Assumptions!$B$36:$H$41))</f>
        <v>0</v>
      </c>
      <c r="NCB28">
        <f t="array" ref="NCB28">_xlfn.XLOOKUP(NCB$11,Assumptions!$B$35:$H$35,_xlfn.XLOOKUP($C28,Assumptions!$B$36:$B$41,Assumptions!$B$36:$H$41))</f>
        <v>0</v>
      </c>
      <c r="NCC28">
        <f t="array" ref="NCC28">_xlfn.XLOOKUP(NCC$11,Assumptions!$B$35:$H$35,_xlfn.XLOOKUP($C28,Assumptions!$B$36:$B$41,Assumptions!$B$36:$H$41))</f>
        <v>0</v>
      </c>
      <c r="NCD28">
        <f t="array" ref="NCD28">_xlfn.XLOOKUP(NCD$11,Assumptions!$B$35:$H$35,_xlfn.XLOOKUP($C28,Assumptions!$B$36:$B$41,Assumptions!$B$36:$H$41))</f>
        <v>0</v>
      </c>
      <c r="NCE28">
        <f t="array" ref="NCE28">_xlfn.XLOOKUP(NCE$11,Assumptions!$B$35:$H$35,_xlfn.XLOOKUP($C28,Assumptions!$B$36:$B$41,Assumptions!$B$36:$H$41))</f>
        <v>0</v>
      </c>
      <c r="NCF28">
        <f t="array" ref="NCF28">_xlfn.XLOOKUP(NCF$11,Assumptions!$B$35:$H$35,_xlfn.XLOOKUP($C28,Assumptions!$B$36:$B$41,Assumptions!$B$36:$H$41))</f>
        <v>0</v>
      </c>
      <c r="NCG28">
        <f t="array" ref="NCG28">_xlfn.XLOOKUP(NCG$11,Assumptions!$B$35:$H$35,_xlfn.XLOOKUP($C28,Assumptions!$B$36:$B$41,Assumptions!$B$36:$H$41))</f>
        <v>0</v>
      </c>
      <c r="NCH28">
        <f t="array" ref="NCH28">_xlfn.XLOOKUP(NCH$11,Assumptions!$B$35:$H$35,_xlfn.XLOOKUP($C28,Assumptions!$B$36:$B$41,Assumptions!$B$36:$H$41))</f>
        <v>0</v>
      </c>
      <c r="NCI28">
        <f t="array" ref="NCI28">_xlfn.XLOOKUP(NCI$11,Assumptions!$B$35:$H$35,_xlfn.XLOOKUP($C28,Assumptions!$B$36:$B$41,Assumptions!$B$36:$H$41))</f>
        <v>0</v>
      </c>
      <c r="NCJ28">
        <f t="array" ref="NCJ28">_xlfn.XLOOKUP(NCJ$11,Assumptions!$B$35:$H$35,_xlfn.XLOOKUP($C28,Assumptions!$B$36:$B$41,Assumptions!$B$36:$H$41))</f>
        <v>0</v>
      </c>
      <c r="NCK28">
        <f t="array" ref="NCK28">_xlfn.XLOOKUP(NCK$11,Assumptions!$B$35:$H$35,_xlfn.XLOOKUP($C28,Assumptions!$B$36:$B$41,Assumptions!$B$36:$H$41))</f>
        <v>0</v>
      </c>
      <c r="NCL28">
        <f t="array" ref="NCL28">_xlfn.XLOOKUP(NCL$11,Assumptions!$B$35:$H$35,_xlfn.XLOOKUP($C28,Assumptions!$B$36:$B$41,Assumptions!$B$36:$H$41))</f>
        <v>0</v>
      </c>
      <c r="NCM28">
        <f t="array" ref="NCM28">_xlfn.XLOOKUP(NCM$11,Assumptions!$B$35:$H$35,_xlfn.XLOOKUP($C28,Assumptions!$B$36:$B$41,Assumptions!$B$36:$H$41))</f>
        <v>0</v>
      </c>
      <c r="NCN28">
        <f t="array" ref="NCN28">_xlfn.XLOOKUP(NCN$11,Assumptions!$B$35:$H$35,_xlfn.XLOOKUP($C28,Assumptions!$B$36:$B$41,Assumptions!$B$36:$H$41))</f>
        <v>0</v>
      </c>
      <c r="NCO28">
        <f t="array" ref="NCO28">_xlfn.XLOOKUP(NCO$11,Assumptions!$B$35:$H$35,_xlfn.XLOOKUP($C28,Assumptions!$B$36:$B$41,Assumptions!$B$36:$H$41))</f>
        <v>0</v>
      </c>
      <c r="NCP28">
        <f t="array" ref="NCP28">_xlfn.XLOOKUP(NCP$11,Assumptions!$B$35:$H$35,_xlfn.XLOOKUP($C28,Assumptions!$B$36:$B$41,Assumptions!$B$36:$H$41))</f>
        <v>0</v>
      </c>
      <c r="NCQ28">
        <f t="array" ref="NCQ28">_xlfn.XLOOKUP(NCQ$11,Assumptions!$B$35:$H$35,_xlfn.XLOOKUP($C28,Assumptions!$B$36:$B$41,Assumptions!$B$36:$H$41))</f>
        <v>0</v>
      </c>
      <c r="NCR28">
        <f t="array" ref="NCR28">_xlfn.XLOOKUP(NCR$11,Assumptions!$B$35:$H$35,_xlfn.XLOOKUP($C28,Assumptions!$B$36:$B$41,Assumptions!$B$36:$H$41))</f>
        <v>0</v>
      </c>
      <c r="NCS28">
        <f t="array" ref="NCS28">_xlfn.XLOOKUP(NCS$11,Assumptions!$B$35:$H$35,_xlfn.XLOOKUP($C28,Assumptions!$B$36:$B$41,Assumptions!$B$36:$H$41))</f>
        <v>0</v>
      </c>
      <c r="NCT28">
        <f t="array" ref="NCT28">_xlfn.XLOOKUP(NCT$11,Assumptions!$B$35:$H$35,_xlfn.XLOOKUP($C28,Assumptions!$B$36:$B$41,Assumptions!$B$36:$H$41))</f>
        <v>0</v>
      </c>
      <c r="NCU28">
        <f t="array" ref="NCU28">_xlfn.XLOOKUP(NCU$11,Assumptions!$B$35:$H$35,_xlfn.XLOOKUP($C28,Assumptions!$B$36:$B$41,Assumptions!$B$36:$H$41))</f>
        <v>0</v>
      </c>
      <c r="NCV28">
        <f t="array" ref="NCV28">_xlfn.XLOOKUP(NCV$11,Assumptions!$B$35:$H$35,_xlfn.XLOOKUP($C28,Assumptions!$B$36:$B$41,Assumptions!$B$36:$H$41))</f>
        <v>0</v>
      </c>
      <c r="NCW28">
        <f t="array" ref="NCW28">_xlfn.XLOOKUP(NCW$11,Assumptions!$B$35:$H$35,_xlfn.XLOOKUP($C28,Assumptions!$B$36:$B$41,Assumptions!$B$36:$H$41))</f>
        <v>0</v>
      </c>
      <c r="NCX28">
        <f t="array" ref="NCX28">_xlfn.XLOOKUP(NCX$11,Assumptions!$B$35:$H$35,_xlfn.XLOOKUP($C28,Assumptions!$B$36:$B$41,Assumptions!$B$36:$H$41))</f>
        <v>0</v>
      </c>
      <c r="NCY28">
        <f t="array" ref="NCY28">_xlfn.XLOOKUP(NCY$11,Assumptions!$B$35:$H$35,_xlfn.XLOOKUP($C28,Assumptions!$B$36:$B$41,Assumptions!$B$36:$H$41))</f>
        <v>0</v>
      </c>
      <c r="NCZ28">
        <f t="array" ref="NCZ28">_xlfn.XLOOKUP(NCZ$11,Assumptions!$B$35:$H$35,_xlfn.XLOOKUP($C28,Assumptions!$B$36:$B$41,Assumptions!$B$36:$H$41))</f>
        <v>0</v>
      </c>
      <c r="NDA28">
        <f t="array" ref="NDA28">_xlfn.XLOOKUP(NDA$11,Assumptions!$B$35:$H$35,_xlfn.XLOOKUP($C28,Assumptions!$B$36:$B$41,Assumptions!$B$36:$H$41))</f>
        <v>0</v>
      </c>
      <c r="NDB28">
        <f t="array" ref="NDB28">_xlfn.XLOOKUP(NDB$11,Assumptions!$B$35:$H$35,_xlfn.XLOOKUP($C28,Assumptions!$B$36:$B$41,Assumptions!$B$36:$H$41))</f>
        <v>0</v>
      </c>
      <c r="NDC28">
        <f t="array" ref="NDC28">_xlfn.XLOOKUP(NDC$11,Assumptions!$B$35:$H$35,_xlfn.XLOOKUP($C28,Assumptions!$B$36:$B$41,Assumptions!$B$36:$H$41))</f>
        <v>0</v>
      </c>
      <c r="NDD28">
        <f t="array" ref="NDD28">_xlfn.XLOOKUP(NDD$11,Assumptions!$B$35:$H$35,_xlfn.XLOOKUP($C28,Assumptions!$B$36:$B$41,Assumptions!$B$36:$H$41))</f>
        <v>0</v>
      </c>
      <c r="NDE28">
        <f t="array" ref="NDE28">_xlfn.XLOOKUP(NDE$11,Assumptions!$B$35:$H$35,_xlfn.XLOOKUP($C28,Assumptions!$B$36:$B$41,Assumptions!$B$36:$H$41))</f>
        <v>0</v>
      </c>
      <c r="NDF28">
        <f t="array" ref="NDF28">_xlfn.XLOOKUP(NDF$11,Assumptions!$B$35:$H$35,_xlfn.XLOOKUP($C28,Assumptions!$B$36:$B$41,Assumptions!$B$36:$H$41))</f>
        <v>0</v>
      </c>
      <c r="NDG28">
        <f t="array" ref="NDG28">_xlfn.XLOOKUP(NDG$11,Assumptions!$B$35:$H$35,_xlfn.XLOOKUP($C28,Assumptions!$B$36:$B$41,Assumptions!$B$36:$H$41))</f>
        <v>0</v>
      </c>
      <c r="NDH28">
        <f t="array" ref="NDH28">_xlfn.XLOOKUP(NDH$11,Assumptions!$B$35:$H$35,_xlfn.XLOOKUP($C28,Assumptions!$B$36:$B$41,Assumptions!$B$36:$H$41))</f>
        <v>0</v>
      </c>
      <c r="NDI28">
        <f t="array" ref="NDI28">_xlfn.XLOOKUP(NDI$11,Assumptions!$B$35:$H$35,_xlfn.XLOOKUP($C28,Assumptions!$B$36:$B$41,Assumptions!$B$36:$H$41))</f>
        <v>0</v>
      </c>
      <c r="NDJ28">
        <f t="array" ref="NDJ28">_xlfn.XLOOKUP(NDJ$11,Assumptions!$B$35:$H$35,_xlfn.XLOOKUP($C28,Assumptions!$B$36:$B$41,Assumptions!$B$36:$H$41))</f>
        <v>0</v>
      </c>
      <c r="NDK28">
        <f t="array" ref="NDK28">_xlfn.XLOOKUP(NDK$11,Assumptions!$B$35:$H$35,_xlfn.XLOOKUP($C28,Assumptions!$B$36:$B$41,Assumptions!$B$36:$H$41))</f>
        <v>0</v>
      </c>
      <c r="NDL28">
        <f t="array" ref="NDL28">_xlfn.XLOOKUP(NDL$11,Assumptions!$B$35:$H$35,_xlfn.XLOOKUP($C28,Assumptions!$B$36:$B$41,Assumptions!$B$36:$H$41))</f>
        <v>0</v>
      </c>
      <c r="NDM28">
        <f t="array" ref="NDM28">_xlfn.XLOOKUP(NDM$11,Assumptions!$B$35:$H$35,_xlfn.XLOOKUP($C28,Assumptions!$B$36:$B$41,Assumptions!$B$36:$H$41))</f>
        <v>0</v>
      </c>
      <c r="NDN28">
        <f t="array" ref="NDN28">_xlfn.XLOOKUP(NDN$11,Assumptions!$B$35:$H$35,_xlfn.XLOOKUP($C28,Assumptions!$B$36:$B$41,Assumptions!$B$36:$H$41))</f>
        <v>0</v>
      </c>
      <c r="NDO28">
        <f t="array" ref="NDO28">_xlfn.XLOOKUP(NDO$11,Assumptions!$B$35:$H$35,_xlfn.XLOOKUP($C28,Assumptions!$B$36:$B$41,Assumptions!$B$36:$H$41))</f>
        <v>0</v>
      </c>
      <c r="NDP28">
        <f t="array" ref="NDP28">_xlfn.XLOOKUP(NDP$11,Assumptions!$B$35:$H$35,_xlfn.XLOOKUP($C28,Assumptions!$B$36:$B$41,Assumptions!$B$36:$H$41))</f>
        <v>0</v>
      </c>
      <c r="NDQ28">
        <f t="array" ref="NDQ28">_xlfn.XLOOKUP(NDQ$11,Assumptions!$B$35:$H$35,_xlfn.XLOOKUP($C28,Assumptions!$B$36:$B$41,Assumptions!$B$36:$H$41))</f>
        <v>0</v>
      </c>
      <c r="NDR28">
        <f t="array" ref="NDR28">_xlfn.XLOOKUP(NDR$11,Assumptions!$B$35:$H$35,_xlfn.XLOOKUP($C28,Assumptions!$B$36:$B$41,Assumptions!$B$36:$H$41))</f>
        <v>0</v>
      </c>
      <c r="NDS28">
        <f t="array" ref="NDS28">_xlfn.XLOOKUP(NDS$11,Assumptions!$B$35:$H$35,_xlfn.XLOOKUP($C28,Assumptions!$B$36:$B$41,Assumptions!$B$36:$H$41))</f>
        <v>0</v>
      </c>
      <c r="NDT28">
        <f t="array" ref="NDT28">_xlfn.XLOOKUP(NDT$11,Assumptions!$B$35:$H$35,_xlfn.XLOOKUP($C28,Assumptions!$B$36:$B$41,Assumptions!$B$36:$H$41))</f>
        <v>0</v>
      </c>
      <c r="NDU28">
        <f t="array" ref="NDU28">_xlfn.XLOOKUP(NDU$11,Assumptions!$B$35:$H$35,_xlfn.XLOOKUP($C28,Assumptions!$B$36:$B$41,Assumptions!$B$36:$H$41))</f>
        <v>0</v>
      </c>
      <c r="NDV28">
        <f t="array" ref="NDV28">_xlfn.XLOOKUP(NDV$11,Assumptions!$B$35:$H$35,_xlfn.XLOOKUP($C28,Assumptions!$B$36:$B$41,Assumptions!$B$36:$H$41))</f>
        <v>0</v>
      </c>
      <c r="NDW28">
        <f t="array" ref="NDW28">_xlfn.XLOOKUP(NDW$11,Assumptions!$B$35:$H$35,_xlfn.XLOOKUP($C28,Assumptions!$B$36:$B$41,Assumptions!$B$36:$H$41))</f>
        <v>0</v>
      </c>
      <c r="NDX28">
        <f t="array" ref="NDX28">_xlfn.XLOOKUP(NDX$11,Assumptions!$B$35:$H$35,_xlfn.XLOOKUP($C28,Assumptions!$B$36:$B$41,Assumptions!$B$36:$H$41))</f>
        <v>0</v>
      </c>
      <c r="NDY28">
        <f t="array" ref="NDY28">_xlfn.XLOOKUP(NDY$11,Assumptions!$B$35:$H$35,_xlfn.XLOOKUP($C28,Assumptions!$B$36:$B$41,Assumptions!$B$36:$H$41))</f>
        <v>0</v>
      </c>
      <c r="NDZ28">
        <f t="array" ref="NDZ28">_xlfn.XLOOKUP(NDZ$11,Assumptions!$B$35:$H$35,_xlfn.XLOOKUP($C28,Assumptions!$B$36:$B$41,Assumptions!$B$36:$H$41))</f>
        <v>0</v>
      </c>
      <c r="NEA28">
        <f t="array" ref="NEA28">_xlfn.XLOOKUP(NEA$11,Assumptions!$B$35:$H$35,_xlfn.XLOOKUP($C28,Assumptions!$B$36:$B$41,Assumptions!$B$36:$H$41))</f>
        <v>0</v>
      </c>
      <c r="NEB28">
        <f t="array" ref="NEB28">_xlfn.XLOOKUP(NEB$11,Assumptions!$B$35:$H$35,_xlfn.XLOOKUP($C28,Assumptions!$B$36:$B$41,Assumptions!$B$36:$H$41))</f>
        <v>0</v>
      </c>
      <c r="NEC28">
        <f t="array" ref="NEC28">_xlfn.XLOOKUP(NEC$11,Assumptions!$B$35:$H$35,_xlfn.XLOOKUP($C28,Assumptions!$B$36:$B$41,Assumptions!$B$36:$H$41))</f>
        <v>0</v>
      </c>
      <c r="NED28">
        <f t="array" ref="NED28">_xlfn.XLOOKUP(NED$11,Assumptions!$B$35:$H$35,_xlfn.XLOOKUP($C28,Assumptions!$B$36:$B$41,Assumptions!$B$36:$H$41))</f>
        <v>0</v>
      </c>
      <c r="NEE28">
        <f t="array" ref="NEE28">_xlfn.XLOOKUP(NEE$11,Assumptions!$B$35:$H$35,_xlfn.XLOOKUP($C28,Assumptions!$B$36:$B$41,Assumptions!$B$36:$H$41))</f>
        <v>0</v>
      </c>
      <c r="NEF28">
        <f t="array" ref="NEF28">_xlfn.XLOOKUP(NEF$11,Assumptions!$B$35:$H$35,_xlfn.XLOOKUP($C28,Assumptions!$B$36:$B$41,Assumptions!$B$36:$H$41))</f>
        <v>0</v>
      </c>
      <c r="NEG28">
        <f t="array" ref="NEG28">_xlfn.XLOOKUP(NEG$11,Assumptions!$B$35:$H$35,_xlfn.XLOOKUP($C28,Assumptions!$B$36:$B$41,Assumptions!$B$36:$H$41))</f>
        <v>0</v>
      </c>
      <c r="NEH28">
        <f t="array" ref="NEH28">_xlfn.XLOOKUP(NEH$11,Assumptions!$B$35:$H$35,_xlfn.XLOOKUP($C28,Assumptions!$B$36:$B$41,Assumptions!$B$36:$H$41))</f>
        <v>0</v>
      </c>
      <c r="NEI28">
        <f t="array" ref="NEI28">_xlfn.XLOOKUP(NEI$11,Assumptions!$B$35:$H$35,_xlfn.XLOOKUP($C28,Assumptions!$B$36:$B$41,Assumptions!$B$36:$H$41))</f>
        <v>0</v>
      </c>
      <c r="NEJ28">
        <f t="array" ref="NEJ28">_xlfn.XLOOKUP(NEJ$11,Assumptions!$B$35:$H$35,_xlfn.XLOOKUP($C28,Assumptions!$B$36:$B$41,Assumptions!$B$36:$H$41))</f>
        <v>0</v>
      </c>
      <c r="NEK28">
        <f t="array" ref="NEK28">_xlfn.XLOOKUP(NEK$11,Assumptions!$B$35:$H$35,_xlfn.XLOOKUP($C28,Assumptions!$B$36:$B$41,Assumptions!$B$36:$H$41))</f>
        <v>0</v>
      </c>
      <c r="NEL28">
        <f t="array" ref="NEL28">_xlfn.XLOOKUP(NEL$11,Assumptions!$B$35:$H$35,_xlfn.XLOOKUP($C28,Assumptions!$B$36:$B$41,Assumptions!$B$36:$H$41))</f>
        <v>0</v>
      </c>
      <c r="NEM28">
        <f t="array" ref="NEM28">_xlfn.XLOOKUP(NEM$11,Assumptions!$B$35:$H$35,_xlfn.XLOOKUP($C28,Assumptions!$B$36:$B$41,Assumptions!$B$36:$H$41))</f>
        <v>0</v>
      </c>
      <c r="NEN28">
        <f t="array" ref="NEN28">_xlfn.XLOOKUP(NEN$11,Assumptions!$B$35:$H$35,_xlfn.XLOOKUP($C28,Assumptions!$B$36:$B$41,Assumptions!$B$36:$H$41))</f>
        <v>0</v>
      </c>
      <c r="NEO28">
        <f t="array" ref="NEO28">_xlfn.XLOOKUP(NEO$11,Assumptions!$B$35:$H$35,_xlfn.XLOOKUP($C28,Assumptions!$B$36:$B$41,Assumptions!$B$36:$H$41))</f>
        <v>0</v>
      </c>
      <c r="NEP28">
        <f t="array" ref="NEP28">_xlfn.XLOOKUP(NEP$11,Assumptions!$B$35:$H$35,_xlfn.XLOOKUP($C28,Assumptions!$B$36:$B$41,Assumptions!$B$36:$H$41))</f>
        <v>0</v>
      </c>
      <c r="NEQ28">
        <f t="array" ref="NEQ28">_xlfn.XLOOKUP(NEQ$11,Assumptions!$B$35:$H$35,_xlfn.XLOOKUP($C28,Assumptions!$B$36:$B$41,Assumptions!$B$36:$H$41))</f>
        <v>0</v>
      </c>
      <c r="NER28">
        <f t="array" ref="NER28">_xlfn.XLOOKUP(NER$11,Assumptions!$B$35:$H$35,_xlfn.XLOOKUP($C28,Assumptions!$B$36:$B$41,Assumptions!$B$36:$H$41))</f>
        <v>0</v>
      </c>
      <c r="NES28">
        <f t="array" ref="NES28">_xlfn.XLOOKUP(NES$11,Assumptions!$B$35:$H$35,_xlfn.XLOOKUP($C28,Assumptions!$B$36:$B$41,Assumptions!$B$36:$H$41))</f>
        <v>0</v>
      </c>
      <c r="NET28">
        <f t="array" ref="NET28">_xlfn.XLOOKUP(NET$11,Assumptions!$B$35:$H$35,_xlfn.XLOOKUP($C28,Assumptions!$B$36:$B$41,Assumptions!$B$36:$H$41))</f>
        <v>0</v>
      </c>
      <c r="NEU28">
        <f t="array" ref="NEU28">_xlfn.XLOOKUP(NEU$11,Assumptions!$B$35:$H$35,_xlfn.XLOOKUP($C28,Assumptions!$B$36:$B$41,Assumptions!$B$36:$H$41))</f>
        <v>0</v>
      </c>
      <c r="NEV28">
        <f t="array" ref="NEV28">_xlfn.XLOOKUP(NEV$11,Assumptions!$B$35:$H$35,_xlfn.XLOOKUP($C28,Assumptions!$B$36:$B$41,Assumptions!$B$36:$H$41))</f>
        <v>0</v>
      </c>
      <c r="NEW28">
        <f t="array" ref="NEW28">_xlfn.XLOOKUP(NEW$11,Assumptions!$B$35:$H$35,_xlfn.XLOOKUP($C28,Assumptions!$B$36:$B$41,Assumptions!$B$36:$H$41))</f>
        <v>0</v>
      </c>
      <c r="NEX28">
        <f t="array" ref="NEX28">_xlfn.XLOOKUP(NEX$11,Assumptions!$B$35:$H$35,_xlfn.XLOOKUP($C28,Assumptions!$B$36:$B$41,Assumptions!$B$36:$H$41))</f>
        <v>0</v>
      </c>
      <c r="NEY28">
        <f t="array" ref="NEY28">_xlfn.XLOOKUP(NEY$11,Assumptions!$B$35:$H$35,_xlfn.XLOOKUP($C28,Assumptions!$B$36:$B$41,Assumptions!$B$36:$H$41))</f>
        <v>0</v>
      </c>
      <c r="NEZ28">
        <f t="array" ref="NEZ28">_xlfn.XLOOKUP(NEZ$11,Assumptions!$B$35:$H$35,_xlfn.XLOOKUP($C28,Assumptions!$B$36:$B$41,Assumptions!$B$36:$H$41))</f>
        <v>0</v>
      </c>
      <c r="NFA28">
        <f t="array" ref="NFA28">_xlfn.XLOOKUP(NFA$11,Assumptions!$B$35:$H$35,_xlfn.XLOOKUP($C28,Assumptions!$B$36:$B$41,Assumptions!$B$36:$H$41))</f>
        <v>0</v>
      </c>
      <c r="NFB28">
        <f t="array" ref="NFB28">_xlfn.XLOOKUP(NFB$11,Assumptions!$B$35:$H$35,_xlfn.XLOOKUP($C28,Assumptions!$B$36:$B$41,Assumptions!$B$36:$H$41))</f>
        <v>0</v>
      </c>
      <c r="NFC28">
        <f t="array" ref="NFC28">_xlfn.XLOOKUP(NFC$11,Assumptions!$B$35:$H$35,_xlfn.XLOOKUP($C28,Assumptions!$B$36:$B$41,Assumptions!$B$36:$H$41))</f>
        <v>0</v>
      </c>
      <c r="NFD28">
        <f t="array" ref="NFD28">_xlfn.XLOOKUP(NFD$11,Assumptions!$B$35:$H$35,_xlfn.XLOOKUP($C28,Assumptions!$B$36:$B$41,Assumptions!$B$36:$H$41))</f>
        <v>0</v>
      </c>
      <c r="NFE28">
        <f t="array" ref="NFE28">_xlfn.XLOOKUP(NFE$11,Assumptions!$B$35:$H$35,_xlfn.XLOOKUP($C28,Assumptions!$B$36:$B$41,Assumptions!$B$36:$H$41))</f>
        <v>0</v>
      </c>
      <c r="NFF28">
        <f t="array" ref="NFF28">_xlfn.XLOOKUP(NFF$11,Assumptions!$B$35:$H$35,_xlfn.XLOOKUP($C28,Assumptions!$B$36:$B$41,Assumptions!$B$36:$H$41))</f>
        <v>0</v>
      </c>
      <c r="NFG28">
        <f t="array" ref="NFG28">_xlfn.XLOOKUP(NFG$11,Assumptions!$B$35:$H$35,_xlfn.XLOOKUP($C28,Assumptions!$B$36:$B$41,Assumptions!$B$36:$H$41))</f>
        <v>0</v>
      </c>
      <c r="NFH28">
        <f t="array" ref="NFH28">_xlfn.XLOOKUP(NFH$11,Assumptions!$B$35:$H$35,_xlfn.XLOOKUP($C28,Assumptions!$B$36:$B$41,Assumptions!$B$36:$H$41))</f>
        <v>0</v>
      </c>
      <c r="NFI28">
        <f t="array" ref="NFI28">_xlfn.XLOOKUP(NFI$11,Assumptions!$B$35:$H$35,_xlfn.XLOOKUP($C28,Assumptions!$B$36:$B$41,Assumptions!$B$36:$H$41))</f>
        <v>0</v>
      </c>
      <c r="NFJ28">
        <f t="array" ref="NFJ28">_xlfn.XLOOKUP(NFJ$11,Assumptions!$B$35:$H$35,_xlfn.XLOOKUP($C28,Assumptions!$B$36:$B$41,Assumptions!$B$36:$H$41))</f>
        <v>0</v>
      </c>
      <c r="NFK28">
        <f t="array" ref="NFK28">_xlfn.XLOOKUP(NFK$11,Assumptions!$B$35:$H$35,_xlfn.XLOOKUP($C28,Assumptions!$B$36:$B$41,Assumptions!$B$36:$H$41))</f>
        <v>0</v>
      </c>
      <c r="NFL28">
        <f t="array" ref="NFL28">_xlfn.XLOOKUP(NFL$11,Assumptions!$B$35:$H$35,_xlfn.XLOOKUP($C28,Assumptions!$B$36:$B$41,Assumptions!$B$36:$H$41))</f>
        <v>0</v>
      </c>
      <c r="NFM28">
        <f t="array" ref="NFM28">_xlfn.XLOOKUP(NFM$11,Assumptions!$B$35:$H$35,_xlfn.XLOOKUP($C28,Assumptions!$B$36:$B$41,Assumptions!$B$36:$H$41))</f>
        <v>0</v>
      </c>
      <c r="NFN28">
        <f t="array" ref="NFN28">_xlfn.XLOOKUP(NFN$11,Assumptions!$B$35:$H$35,_xlfn.XLOOKUP($C28,Assumptions!$B$36:$B$41,Assumptions!$B$36:$H$41))</f>
        <v>0</v>
      </c>
      <c r="NFO28">
        <f t="array" ref="NFO28">_xlfn.XLOOKUP(NFO$11,Assumptions!$B$35:$H$35,_xlfn.XLOOKUP($C28,Assumptions!$B$36:$B$41,Assumptions!$B$36:$H$41))</f>
        <v>0</v>
      </c>
      <c r="NFP28">
        <f t="array" ref="NFP28">_xlfn.XLOOKUP(NFP$11,Assumptions!$B$35:$H$35,_xlfn.XLOOKUP($C28,Assumptions!$B$36:$B$41,Assumptions!$B$36:$H$41))</f>
        <v>0</v>
      </c>
      <c r="NFQ28">
        <f t="array" ref="NFQ28">_xlfn.XLOOKUP(NFQ$11,Assumptions!$B$35:$H$35,_xlfn.XLOOKUP($C28,Assumptions!$B$36:$B$41,Assumptions!$B$36:$H$41))</f>
        <v>0</v>
      </c>
      <c r="NFR28">
        <f t="array" ref="NFR28">_xlfn.XLOOKUP(NFR$11,Assumptions!$B$35:$H$35,_xlfn.XLOOKUP($C28,Assumptions!$B$36:$B$41,Assumptions!$B$36:$H$41))</f>
        <v>0</v>
      </c>
      <c r="NFS28">
        <f t="array" ref="NFS28">_xlfn.XLOOKUP(NFS$11,Assumptions!$B$35:$H$35,_xlfn.XLOOKUP($C28,Assumptions!$B$36:$B$41,Assumptions!$B$36:$H$41))</f>
        <v>0</v>
      </c>
      <c r="NFT28">
        <f t="array" ref="NFT28">_xlfn.XLOOKUP(NFT$11,Assumptions!$B$35:$H$35,_xlfn.XLOOKUP($C28,Assumptions!$B$36:$B$41,Assumptions!$B$36:$H$41))</f>
        <v>0</v>
      </c>
      <c r="NFU28">
        <f t="array" ref="NFU28">_xlfn.XLOOKUP(NFU$11,Assumptions!$B$35:$H$35,_xlfn.XLOOKUP($C28,Assumptions!$B$36:$B$41,Assumptions!$B$36:$H$41))</f>
        <v>0</v>
      </c>
      <c r="NFV28">
        <f t="array" ref="NFV28">_xlfn.XLOOKUP(NFV$11,Assumptions!$B$35:$H$35,_xlfn.XLOOKUP($C28,Assumptions!$B$36:$B$41,Assumptions!$B$36:$H$41))</f>
        <v>0</v>
      </c>
      <c r="NFW28">
        <f t="array" ref="NFW28">_xlfn.XLOOKUP(NFW$11,Assumptions!$B$35:$H$35,_xlfn.XLOOKUP($C28,Assumptions!$B$36:$B$41,Assumptions!$B$36:$H$41))</f>
        <v>0</v>
      </c>
      <c r="NFX28">
        <f t="array" ref="NFX28">_xlfn.XLOOKUP(NFX$11,Assumptions!$B$35:$H$35,_xlfn.XLOOKUP($C28,Assumptions!$B$36:$B$41,Assumptions!$B$36:$H$41))</f>
        <v>0</v>
      </c>
      <c r="NFY28">
        <f t="array" ref="NFY28">_xlfn.XLOOKUP(NFY$11,Assumptions!$B$35:$H$35,_xlfn.XLOOKUP($C28,Assumptions!$B$36:$B$41,Assumptions!$B$36:$H$41))</f>
        <v>0</v>
      </c>
      <c r="NFZ28">
        <f t="array" ref="NFZ28">_xlfn.XLOOKUP(NFZ$11,Assumptions!$B$35:$H$35,_xlfn.XLOOKUP($C28,Assumptions!$B$36:$B$41,Assumptions!$B$36:$H$41))</f>
        <v>0</v>
      </c>
      <c r="NGA28">
        <f t="array" ref="NGA28">_xlfn.XLOOKUP(NGA$11,Assumptions!$B$35:$H$35,_xlfn.XLOOKUP($C28,Assumptions!$B$36:$B$41,Assumptions!$B$36:$H$41))</f>
        <v>0</v>
      </c>
      <c r="NGB28">
        <f t="array" ref="NGB28">_xlfn.XLOOKUP(NGB$11,Assumptions!$B$35:$H$35,_xlfn.XLOOKUP($C28,Assumptions!$B$36:$B$41,Assumptions!$B$36:$H$41))</f>
        <v>0</v>
      </c>
      <c r="NGC28">
        <f t="array" ref="NGC28">_xlfn.XLOOKUP(NGC$11,Assumptions!$B$35:$H$35,_xlfn.XLOOKUP($C28,Assumptions!$B$36:$B$41,Assumptions!$B$36:$H$41))</f>
        <v>0</v>
      </c>
      <c r="NGD28">
        <f t="array" ref="NGD28">_xlfn.XLOOKUP(NGD$11,Assumptions!$B$35:$H$35,_xlfn.XLOOKUP($C28,Assumptions!$B$36:$B$41,Assumptions!$B$36:$H$41))</f>
        <v>0</v>
      </c>
      <c r="NGE28">
        <f t="array" ref="NGE28">_xlfn.XLOOKUP(NGE$11,Assumptions!$B$35:$H$35,_xlfn.XLOOKUP($C28,Assumptions!$B$36:$B$41,Assumptions!$B$36:$H$41))</f>
        <v>0</v>
      </c>
      <c r="NGF28">
        <f t="array" ref="NGF28">_xlfn.XLOOKUP(NGF$11,Assumptions!$B$35:$H$35,_xlfn.XLOOKUP($C28,Assumptions!$B$36:$B$41,Assumptions!$B$36:$H$41))</f>
        <v>0</v>
      </c>
      <c r="NGG28">
        <f t="array" ref="NGG28">_xlfn.XLOOKUP(NGG$11,Assumptions!$B$35:$H$35,_xlfn.XLOOKUP($C28,Assumptions!$B$36:$B$41,Assumptions!$B$36:$H$41))</f>
        <v>0</v>
      </c>
      <c r="NGH28">
        <f t="array" ref="NGH28">_xlfn.XLOOKUP(NGH$11,Assumptions!$B$35:$H$35,_xlfn.XLOOKUP($C28,Assumptions!$B$36:$B$41,Assumptions!$B$36:$H$41))</f>
        <v>0</v>
      </c>
      <c r="NGI28">
        <f t="array" ref="NGI28">_xlfn.XLOOKUP(NGI$11,Assumptions!$B$35:$H$35,_xlfn.XLOOKUP($C28,Assumptions!$B$36:$B$41,Assumptions!$B$36:$H$41))</f>
        <v>0</v>
      </c>
      <c r="NGJ28">
        <f t="array" ref="NGJ28">_xlfn.XLOOKUP(NGJ$11,Assumptions!$B$35:$H$35,_xlfn.XLOOKUP($C28,Assumptions!$B$36:$B$41,Assumptions!$B$36:$H$41))</f>
        <v>0</v>
      </c>
      <c r="NGK28">
        <f t="array" ref="NGK28">_xlfn.XLOOKUP(NGK$11,Assumptions!$B$35:$H$35,_xlfn.XLOOKUP($C28,Assumptions!$B$36:$B$41,Assumptions!$B$36:$H$41))</f>
        <v>0</v>
      </c>
      <c r="NGL28">
        <f t="array" ref="NGL28">_xlfn.XLOOKUP(NGL$11,Assumptions!$B$35:$H$35,_xlfn.XLOOKUP($C28,Assumptions!$B$36:$B$41,Assumptions!$B$36:$H$41))</f>
        <v>0</v>
      </c>
      <c r="NGM28">
        <f t="array" ref="NGM28">_xlfn.XLOOKUP(NGM$11,Assumptions!$B$35:$H$35,_xlfn.XLOOKUP($C28,Assumptions!$B$36:$B$41,Assumptions!$B$36:$H$41))</f>
        <v>0</v>
      </c>
      <c r="NGN28">
        <f t="array" ref="NGN28">_xlfn.XLOOKUP(NGN$11,Assumptions!$B$35:$H$35,_xlfn.XLOOKUP($C28,Assumptions!$B$36:$B$41,Assumptions!$B$36:$H$41))</f>
        <v>0</v>
      </c>
      <c r="NGO28">
        <f t="array" ref="NGO28">_xlfn.XLOOKUP(NGO$11,Assumptions!$B$35:$H$35,_xlfn.XLOOKUP($C28,Assumptions!$B$36:$B$41,Assumptions!$B$36:$H$41))</f>
        <v>0</v>
      </c>
      <c r="NGP28">
        <f t="array" ref="NGP28">_xlfn.XLOOKUP(NGP$11,Assumptions!$B$35:$H$35,_xlfn.XLOOKUP($C28,Assumptions!$B$36:$B$41,Assumptions!$B$36:$H$41))</f>
        <v>0</v>
      </c>
      <c r="NGQ28">
        <f t="array" ref="NGQ28">_xlfn.XLOOKUP(NGQ$11,Assumptions!$B$35:$H$35,_xlfn.XLOOKUP($C28,Assumptions!$B$36:$B$41,Assumptions!$B$36:$H$41))</f>
        <v>0</v>
      </c>
      <c r="NGR28">
        <f t="array" ref="NGR28">_xlfn.XLOOKUP(NGR$11,Assumptions!$B$35:$H$35,_xlfn.XLOOKUP($C28,Assumptions!$B$36:$B$41,Assumptions!$B$36:$H$41))</f>
        <v>0</v>
      </c>
      <c r="NGS28">
        <f t="array" ref="NGS28">_xlfn.XLOOKUP(NGS$11,Assumptions!$B$35:$H$35,_xlfn.XLOOKUP($C28,Assumptions!$B$36:$B$41,Assumptions!$B$36:$H$41))</f>
        <v>0</v>
      </c>
      <c r="NGT28">
        <f t="array" ref="NGT28">_xlfn.XLOOKUP(NGT$11,Assumptions!$B$35:$H$35,_xlfn.XLOOKUP($C28,Assumptions!$B$36:$B$41,Assumptions!$B$36:$H$41))</f>
        <v>0</v>
      </c>
      <c r="NGU28">
        <f t="array" ref="NGU28">_xlfn.XLOOKUP(NGU$11,Assumptions!$B$35:$H$35,_xlfn.XLOOKUP($C28,Assumptions!$B$36:$B$41,Assumptions!$B$36:$H$41))</f>
        <v>0</v>
      </c>
      <c r="NGV28">
        <f t="array" ref="NGV28">_xlfn.XLOOKUP(NGV$11,Assumptions!$B$35:$H$35,_xlfn.XLOOKUP($C28,Assumptions!$B$36:$B$41,Assumptions!$B$36:$H$41))</f>
        <v>0</v>
      </c>
      <c r="NGW28">
        <f t="array" ref="NGW28">_xlfn.XLOOKUP(NGW$11,Assumptions!$B$35:$H$35,_xlfn.XLOOKUP($C28,Assumptions!$B$36:$B$41,Assumptions!$B$36:$H$41))</f>
        <v>0</v>
      </c>
      <c r="NGX28">
        <f t="array" ref="NGX28">_xlfn.XLOOKUP(NGX$11,Assumptions!$B$35:$H$35,_xlfn.XLOOKUP($C28,Assumptions!$B$36:$B$41,Assumptions!$B$36:$H$41))</f>
        <v>0</v>
      </c>
      <c r="NGY28">
        <f t="array" ref="NGY28">_xlfn.XLOOKUP(NGY$11,Assumptions!$B$35:$H$35,_xlfn.XLOOKUP($C28,Assumptions!$B$36:$B$41,Assumptions!$B$36:$H$41))</f>
        <v>0</v>
      </c>
      <c r="NGZ28">
        <f t="array" ref="NGZ28">_xlfn.XLOOKUP(NGZ$11,Assumptions!$B$35:$H$35,_xlfn.XLOOKUP($C28,Assumptions!$B$36:$B$41,Assumptions!$B$36:$H$41))</f>
        <v>0</v>
      </c>
      <c r="NHA28">
        <f t="array" ref="NHA28">_xlfn.XLOOKUP(NHA$11,Assumptions!$B$35:$H$35,_xlfn.XLOOKUP($C28,Assumptions!$B$36:$B$41,Assumptions!$B$36:$H$41))</f>
        <v>0</v>
      </c>
      <c r="NHB28">
        <f t="array" ref="NHB28">_xlfn.XLOOKUP(NHB$11,Assumptions!$B$35:$H$35,_xlfn.XLOOKUP($C28,Assumptions!$B$36:$B$41,Assumptions!$B$36:$H$41))</f>
        <v>0</v>
      </c>
      <c r="NHC28">
        <f t="array" ref="NHC28">_xlfn.XLOOKUP(NHC$11,Assumptions!$B$35:$H$35,_xlfn.XLOOKUP($C28,Assumptions!$B$36:$B$41,Assumptions!$B$36:$H$41))</f>
        <v>0</v>
      </c>
      <c r="NHD28">
        <f t="array" ref="NHD28">_xlfn.XLOOKUP(NHD$11,Assumptions!$B$35:$H$35,_xlfn.XLOOKUP($C28,Assumptions!$B$36:$B$41,Assumptions!$B$36:$H$41))</f>
        <v>0</v>
      </c>
      <c r="NHE28">
        <f t="array" ref="NHE28">_xlfn.XLOOKUP(NHE$11,Assumptions!$B$35:$H$35,_xlfn.XLOOKUP($C28,Assumptions!$B$36:$B$41,Assumptions!$B$36:$H$41))</f>
        <v>0</v>
      </c>
      <c r="NHF28">
        <f t="array" ref="NHF28">_xlfn.XLOOKUP(NHF$11,Assumptions!$B$35:$H$35,_xlfn.XLOOKUP($C28,Assumptions!$B$36:$B$41,Assumptions!$B$36:$H$41))</f>
        <v>0</v>
      </c>
      <c r="NHG28">
        <f t="array" ref="NHG28">_xlfn.XLOOKUP(NHG$11,Assumptions!$B$35:$H$35,_xlfn.XLOOKUP($C28,Assumptions!$B$36:$B$41,Assumptions!$B$36:$H$41))</f>
        <v>0</v>
      </c>
      <c r="NHH28">
        <f t="array" ref="NHH28">_xlfn.XLOOKUP(NHH$11,Assumptions!$B$35:$H$35,_xlfn.XLOOKUP($C28,Assumptions!$B$36:$B$41,Assumptions!$B$36:$H$41))</f>
        <v>0</v>
      </c>
      <c r="NHI28">
        <f t="array" ref="NHI28">_xlfn.XLOOKUP(NHI$11,Assumptions!$B$35:$H$35,_xlfn.XLOOKUP($C28,Assumptions!$B$36:$B$41,Assumptions!$B$36:$H$41))</f>
        <v>0</v>
      </c>
      <c r="NHJ28">
        <f t="array" ref="NHJ28">_xlfn.XLOOKUP(NHJ$11,Assumptions!$B$35:$H$35,_xlfn.XLOOKUP($C28,Assumptions!$B$36:$B$41,Assumptions!$B$36:$H$41))</f>
        <v>0</v>
      </c>
      <c r="NHK28">
        <f t="array" ref="NHK28">_xlfn.XLOOKUP(NHK$11,Assumptions!$B$35:$H$35,_xlfn.XLOOKUP($C28,Assumptions!$B$36:$B$41,Assumptions!$B$36:$H$41))</f>
        <v>0</v>
      </c>
      <c r="NHL28">
        <f t="array" ref="NHL28">_xlfn.XLOOKUP(NHL$11,Assumptions!$B$35:$H$35,_xlfn.XLOOKUP($C28,Assumptions!$B$36:$B$41,Assumptions!$B$36:$H$41))</f>
        <v>0</v>
      </c>
      <c r="NHM28">
        <f t="array" ref="NHM28">_xlfn.XLOOKUP(NHM$11,Assumptions!$B$35:$H$35,_xlfn.XLOOKUP($C28,Assumptions!$B$36:$B$41,Assumptions!$B$36:$H$41))</f>
        <v>0</v>
      </c>
      <c r="NHN28">
        <f t="array" ref="NHN28">_xlfn.XLOOKUP(NHN$11,Assumptions!$B$35:$H$35,_xlfn.XLOOKUP($C28,Assumptions!$B$36:$B$41,Assumptions!$B$36:$H$41))</f>
        <v>0</v>
      </c>
      <c r="NHO28">
        <f t="array" ref="NHO28">_xlfn.XLOOKUP(NHO$11,Assumptions!$B$35:$H$35,_xlfn.XLOOKUP($C28,Assumptions!$B$36:$B$41,Assumptions!$B$36:$H$41))</f>
        <v>0</v>
      </c>
      <c r="NHP28">
        <f t="array" ref="NHP28">_xlfn.XLOOKUP(NHP$11,Assumptions!$B$35:$H$35,_xlfn.XLOOKUP($C28,Assumptions!$B$36:$B$41,Assumptions!$B$36:$H$41))</f>
        <v>0</v>
      </c>
      <c r="NHQ28">
        <f t="array" ref="NHQ28">_xlfn.XLOOKUP(NHQ$11,Assumptions!$B$35:$H$35,_xlfn.XLOOKUP($C28,Assumptions!$B$36:$B$41,Assumptions!$B$36:$H$41))</f>
        <v>0</v>
      </c>
      <c r="NHR28">
        <f t="array" ref="NHR28">_xlfn.XLOOKUP(NHR$11,Assumptions!$B$35:$H$35,_xlfn.XLOOKUP($C28,Assumptions!$B$36:$B$41,Assumptions!$B$36:$H$41))</f>
        <v>0</v>
      </c>
      <c r="NHS28">
        <f t="array" ref="NHS28">_xlfn.XLOOKUP(NHS$11,Assumptions!$B$35:$H$35,_xlfn.XLOOKUP($C28,Assumptions!$B$36:$B$41,Assumptions!$B$36:$H$41))</f>
        <v>0</v>
      </c>
      <c r="NHT28">
        <f t="array" ref="NHT28">_xlfn.XLOOKUP(NHT$11,Assumptions!$B$35:$H$35,_xlfn.XLOOKUP($C28,Assumptions!$B$36:$B$41,Assumptions!$B$36:$H$41))</f>
        <v>0</v>
      </c>
      <c r="NHU28">
        <f t="array" ref="NHU28">_xlfn.XLOOKUP(NHU$11,Assumptions!$B$35:$H$35,_xlfn.XLOOKUP($C28,Assumptions!$B$36:$B$41,Assumptions!$B$36:$H$41))</f>
        <v>0</v>
      </c>
      <c r="NHV28">
        <f t="array" ref="NHV28">_xlfn.XLOOKUP(NHV$11,Assumptions!$B$35:$H$35,_xlfn.XLOOKUP($C28,Assumptions!$B$36:$B$41,Assumptions!$B$36:$H$41))</f>
        <v>0</v>
      </c>
      <c r="NHW28">
        <f t="array" ref="NHW28">_xlfn.XLOOKUP(NHW$11,Assumptions!$B$35:$H$35,_xlfn.XLOOKUP($C28,Assumptions!$B$36:$B$41,Assumptions!$B$36:$H$41))</f>
        <v>0</v>
      </c>
      <c r="NHX28">
        <f t="array" ref="NHX28">_xlfn.XLOOKUP(NHX$11,Assumptions!$B$35:$H$35,_xlfn.XLOOKUP($C28,Assumptions!$B$36:$B$41,Assumptions!$B$36:$H$41))</f>
        <v>0</v>
      </c>
      <c r="NHY28">
        <f t="array" ref="NHY28">_xlfn.XLOOKUP(NHY$11,Assumptions!$B$35:$H$35,_xlfn.XLOOKUP($C28,Assumptions!$B$36:$B$41,Assumptions!$B$36:$H$41))</f>
        <v>0</v>
      </c>
      <c r="NHZ28">
        <f t="array" ref="NHZ28">_xlfn.XLOOKUP(NHZ$11,Assumptions!$B$35:$H$35,_xlfn.XLOOKUP($C28,Assumptions!$B$36:$B$41,Assumptions!$B$36:$H$41))</f>
        <v>0</v>
      </c>
      <c r="NIA28">
        <f t="array" ref="NIA28">_xlfn.XLOOKUP(NIA$11,Assumptions!$B$35:$H$35,_xlfn.XLOOKUP($C28,Assumptions!$B$36:$B$41,Assumptions!$B$36:$H$41))</f>
        <v>0</v>
      </c>
      <c r="NIB28">
        <f t="array" ref="NIB28">_xlfn.XLOOKUP(NIB$11,Assumptions!$B$35:$H$35,_xlfn.XLOOKUP($C28,Assumptions!$B$36:$B$41,Assumptions!$B$36:$H$41))</f>
        <v>0</v>
      </c>
      <c r="NIC28">
        <f t="array" ref="NIC28">_xlfn.XLOOKUP(NIC$11,Assumptions!$B$35:$H$35,_xlfn.XLOOKUP($C28,Assumptions!$B$36:$B$41,Assumptions!$B$36:$H$41))</f>
        <v>0</v>
      </c>
      <c r="NID28">
        <f t="array" ref="NID28">_xlfn.XLOOKUP(NID$11,Assumptions!$B$35:$H$35,_xlfn.XLOOKUP($C28,Assumptions!$B$36:$B$41,Assumptions!$B$36:$H$41))</f>
        <v>0</v>
      </c>
      <c r="NIE28">
        <f t="array" ref="NIE28">_xlfn.XLOOKUP(NIE$11,Assumptions!$B$35:$H$35,_xlfn.XLOOKUP($C28,Assumptions!$B$36:$B$41,Assumptions!$B$36:$H$41))</f>
        <v>0</v>
      </c>
      <c r="NIF28">
        <f t="array" ref="NIF28">_xlfn.XLOOKUP(NIF$11,Assumptions!$B$35:$H$35,_xlfn.XLOOKUP($C28,Assumptions!$B$36:$B$41,Assumptions!$B$36:$H$41))</f>
        <v>0</v>
      </c>
      <c r="NIG28">
        <f t="array" ref="NIG28">_xlfn.XLOOKUP(NIG$11,Assumptions!$B$35:$H$35,_xlfn.XLOOKUP($C28,Assumptions!$B$36:$B$41,Assumptions!$B$36:$H$41))</f>
        <v>0</v>
      </c>
      <c r="NIH28">
        <f t="array" ref="NIH28">_xlfn.XLOOKUP(NIH$11,Assumptions!$B$35:$H$35,_xlfn.XLOOKUP($C28,Assumptions!$B$36:$B$41,Assumptions!$B$36:$H$41))</f>
        <v>0</v>
      </c>
      <c r="NII28">
        <f t="array" ref="NII28">_xlfn.XLOOKUP(NII$11,Assumptions!$B$35:$H$35,_xlfn.XLOOKUP($C28,Assumptions!$B$36:$B$41,Assumptions!$B$36:$H$41))</f>
        <v>0</v>
      </c>
      <c r="NIJ28">
        <f t="array" ref="NIJ28">_xlfn.XLOOKUP(NIJ$11,Assumptions!$B$35:$H$35,_xlfn.XLOOKUP($C28,Assumptions!$B$36:$B$41,Assumptions!$B$36:$H$41))</f>
        <v>0</v>
      </c>
      <c r="NIK28">
        <f t="array" ref="NIK28">_xlfn.XLOOKUP(NIK$11,Assumptions!$B$35:$H$35,_xlfn.XLOOKUP($C28,Assumptions!$B$36:$B$41,Assumptions!$B$36:$H$41))</f>
        <v>0</v>
      </c>
      <c r="NIL28">
        <f t="array" ref="NIL28">_xlfn.XLOOKUP(NIL$11,Assumptions!$B$35:$H$35,_xlfn.XLOOKUP($C28,Assumptions!$B$36:$B$41,Assumptions!$B$36:$H$41))</f>
        <v>0</v>
      </c>
      <c r="NIM28">
        <f t="array" ref="NIM28">_xlfn.XLOOKUP(NIM$11,Assumptions!$B$35:$H$35,_xlfn.XLOOKUP($C28,Assumptions!$B$36:$B$41,Assumptions!$B$36:$H$41))</f>
        <v>0</v>
      </c>
      <c r="NIN28">
        <f t="array" ref="NIN28">_xlfn.XLOOKUP(NIN$11,Assumptions!$B$35:$H$35,_xlfn.XLOOKUP($C28,Assumptions!$B$36:$B$41,Assumptions!$B$36:$H$41))</f>
        <v>0</v>
      </c>
      <c r="NIO28">
        <f t="array" ref="NIO28">_xlfn.XLOOKUP(NIO$11,Assumptions!$B$35:$H$35,_xlfn.XLOOKUP($C28,Assumptions!$B$36:$B$41,Assumptions!$B$36:$H$41))</f>
        <v>0</v>
      </c>
      <c r="NIP28">
        <f t="array" ref="NIP28">_xlfn.XLOOKUP(NIP$11,Assumptions!$B$35:$H$35,_xlfn.XLOOKUP($C28,Assumptions!$B$36:$B$41,Assumptions!$B$36:$H$41))</f>
        <v>0</v>
      </c>
      <c r="NIQ28">
        <f t="array" ref="NIQ28">_xlfn.XLOOKUP(NIQ$11,Assumptions!$B$35:$H$35,_xlfn.XLOOKUP($C28,Assumptions!$B$36:$B$41,Assumptions!$B$36:$H$41))</f>
        <v>0</v>
      </c>
      <c r="NIR28">
        <f t="array" ref="NIR28">_xlfn.XLOOKUP(NIR$11,Assumptions!$B$35:$H$35,_xlfn.XLOOKUP($C28,Assumptions!$B$36:$B$41,Assumptions!$B$36:$H$41))</f>
        <v>0</v>
      </c>
      <c r="NIS28">
        <f t="array" ref="NIS28">_xlfn.XLOOKUP(NIS$11,Assumptions!$B$35:$H$35,_xlfn.XLOOKUP($C28,Assumptions!$B$36:$B$41,Assumptions!$B$36:$H$41))</f>
        <v>0</v>
      </c>
      <c r="NIT28">
        <f t="array" ref="NIT28">_xlfn.XLOOKUP(NIT$11,Assumptions!$B$35:$H$35,_xlfn.XLOOKUP($C28,Assumptions!$B$36:$B$41,Assumptions!$B$36:$H$41))</f>
        <v>0</v>
      </c>
      <c r="NIU28">
        <f t="array" ref="NIU28">_xlfn.XLOOKUP(NIU$11,Assumptions!$B$35:$H$35,_xlfn.XLOOKUP($C28,Assumptions!$B$36:$B$41,Assumptions!$B$36:$H$41))</f>
        <v>0</v>
      </c>
      <c r="NIV28">
        <f t="array" ref="NIV28">_xlfn.XLOOKUP(NIV$11,Assumptions!$B$35:$H$35,_xlfn.XLOOKUP($C28,Assumptions!$B$36:$B$41,Assumptions!$B$36:$H$41))</f>
        <v>0</v>
      </c>
      <c r="NIW28">
        <f t="array" ref="NIW28">_xlfn.XLOOKUP(NIW$11,Assumptions!$B$35:$H$35,_xlfn.XLOOKUP($C28,Assumptions!$B$36:$B$41,Assumptions!$B$36:$H$41))</f>
        <v>0</v>
      </c>
      <c r="NIX28">
        <f t="array" ref="NIX28">_xlfn.XLOOKUP(NIX$11,Assumptions!$B$35:$H$35,_xlfn.XLOOKUP($C28,Assumptions!$B$36:$B$41,Assumptions!$B$36:$H$41))</f>
        <v>0</v>
      </c>
      <c r="NIY28">
        <f t="array" ref="NIY28">_xlfn.XLOOKUP(NIY$11,Assumptions!$B$35:$H$35,_xlfn.XLOOKUP($C28,Assumptions!$B$36:$B$41,Assumptions!$B$36:$H$41))</f>
        <v>0</v>
      </c>
      <c r="NIZ28">
        <f t="array" ref="NIZ28">_xlfn.XLOOKUP(NIZ$11,Assumptions!$B$35:$H$35,_xlfn.XLOOKUP($C28,Assumptions!$B$36:$B$41,Assumptions!$B$36:$H$41))</f>
        <v>0</v>
      </c>
      <c r="NJA28">
        <f t="array" ref="NJA28">_xlfn.XLOOKUP(NJA$11,Assumptions!$B$35:$H$35,_xlfn.XLOOKUP($C28,Assumptions!$B$36:$B$41,Assumptions!$B$36:$H$41))</f>
        <v>0</v>
      </c>
      <c r="NJB28">
        <f t="array" ref="NJB28">_xlfn.XLOOKUP(NJB$11,Assumptions!$B$35:$H$35,_xlfn.XLOOKUP($C28,Assumptions!$B$36:$B$41,Assumptions!$B$36:$H$41))</f>
        <v>0</v>
      </c>
      <c r="NJC28">
        <f t="array" ref="NJC28">_xlfn.XLOOKUP(NJC$11,Assumptions!$B$35:$H$35,_xlfn.XLOOKUP($C28,Assumptions!$B$36:$B$41,Assumptions!$B$36:$H$41))</f>
        <v>0</v>
      </c>
      <c r="NJD28">
        <f t="array" ref="NJD28">_xlfn.XLOOKUP(NJD$11,Assumptions!$B$35:$H$35,_xlfn.XLOOKUP($C28,Assumptions!$B$36:$B$41,Assumptions!$B$36:$H$41))</f>
        <v>0</v>
      </c>
      <c r="NJE28">
        <f t="array" ref="NJE28">_xlfn.XLOOKUP(NJE$11,Assumptions!$B$35:$H$35,_xlfn.XLOOKUP($C28,Assumptions!$B$36:$B$41,Assumptions!$B$36:$H$41))</f>
        <v>0</v>
      </c>
      <c r="NJF28">
        <f t="array" ref="NJF28">_xlfn.XLOOKUP(NJF$11,Assumptions!$B$35:$H$35,_xlfn.XLOOKUP($C28,Assumptions!$B$36:$B$41,Assumptions!$B$36:$H$41))</f>
        <v>0</v>
      </c>
      <c r="NJG28">
        <f t="array" ref="NJG28">_xlfn.XLOOKUP(NJG$11,Assumptions!$B$35:$H$35,_xlfn.XLOOKUP($C28,Assumptions!$B$36:$B$41,Assumptions!$B$36:$H$41))</f>
        <v>0</v>
      </c>
      <c r="NJH28">
        <f t="array" ref="NJH28">_xlfn.XLOOKUP(NJH$11,Assumptions!$B$35:$H$35,_xlfn.XLOOKUP($C28,Assumptions!$B$36:$B$41,Assumptions!$B$36:$H$41))</f>
        <v>0</v>
      </c>
      <c r="NJI28">
        <f t="array" ref="NJI28">_xlfn.XLOOKUP(NJI$11,Assumptions!$B$35:$H$35,_xlfn.XLOOKUP($C28,Assumptions!$B$36:$B$41,Assumptions!$B$36:$H$41))</f>
        <v>0</v>
      </c>
      <c r="NJJ28">
        <f t="array" ref="NJJ28">_xlfn.XLOOKUP(NJJ$11,Assumptions!$B$35:$H$35,_xlfn.XLOOKUP($C28,Assumptions!$B$36:$B$41,Assumptions!$B$36:$H$41))</f>
        <v>0</v>
      </c>
      <c r="NJK28">
        <f t="array" ref="NJK28">_xlfn.XLOOKUP(NJK$11,Assumptions!$B$35:$H$35,_xlfn.XLOOKUP($C28,Assumptions!$B$36:$B$41,Assumptions!$B$36:$H$41))</f>
        <v>0</v>
      </c>
      <c r="NJL28">
        <f t="array" ref="NJL28">_xlfn.XLOOKUP(NJL$11,Assumptions!$B$35:$H$35,_xlfn.XLOOKUP($C28,Assumptions!$B$36:$B$41,Assumptions!$B$36:$H$41))</f>
        <v>0</v>
      </c>
      <c r="NJM28">
        <f t="array" ref="NJM28">_xlfn.XLOOKUP(NJM$11,Assumptions!$B$35:$H$35,_xlfn.XLOOKUP($C28,Assumptions!$B$36:$B$41,Assumptions!$B$36:$H$41))</f>
        <v>0</v>
      </c>
      <c r="NJN28">
        <f t="array" ref="NJN28">_xlfn.XLOOKUP(NJN$11,Assumptions!$B$35:$H$35,_xlfn.XLOOKUP($C28,Assumptions!$B$36:$B$41,Assumptions!$B$36:$H$41))</f>
        <v>0</v>
      </c>
      <c r="NJO28">
        <f t="array" ref="NJO28">_xlfn.XLOOKUP(NJO$11,Assumptions!$B$35:$H$35,_xlfn.XLOOKUP($C28,Assumptions!$B$36:$B$41,Assumptions!$B$36:$H$41))</f>
        <v>0</v>
      </c>
      <c r="NJP28">
        <f t="array" ref="NJP28">_xlfn.XLOOKUP(NJP$11,Assumptions!$B$35:$H$35,_xlfn.XLOOKUP($C28,Assumptions!$B$36:$B$41,Assumptions!$B$36:$H$41))</f>
        <v>0</v>
      </c>
      <c r="NJQ28">
        <f t="array" ref="NJQ28">_xlfn.XLOOKUP(NJQ$11,Assumptions!$B$35:$H$35,_xlfn.XLOOKUP($C28,Assumptions!$B$36:$B$41,Assumptions!$B$36:$H$41))</f>
        <v>0</v>
      </c>
      <c r="NJR28">
        <f t="array" ref="NJR28">_xlfn.XLOOKUP(NJR$11,Assumptions!$B$35:$H$35,_xlfn.XLOOKUP($C28,Assumptions!$B$36:$B$41,Assumptions!$B$36:$H$41))</f>
        <v>0</v>
      </c>
      <c r="NJS28">
        <f t="array" ref="NJS28">_xlfn.XLOOKUP(NJS$11,Assumptions!$B$35:$H$35,_xlfn.XLOOKUP($C28,Assumptions!$B$36:$B$41,Assumptions!$B$36:$H$41))</f>
        <v>0</v>
      </c>
      <c r="NJT28">
        <f t="array" ref="NJT28">_xlfn.XLOOKUP(NJT$11,Assumptions!$B$35:$H$35,_xlfn.XLOOKUP($C28,Assumptions!$B$36:$B$41,Assumptions!$B$36:$H$41))</f>
        <v>0</v>
      </c>
      <c r="NJU28">
        <f t="array" ref="NJU28">_xlfn.XLOOKUP(NJU$11,Assumptions!$B$35:$H$35,_xlfn.XLOOKUP($C28,Assumptions!$B$36:$B$41,Assumptions!$B$36:$H$41))</f>
        <v>0</v>
      </c>
      <c r="NJV28">
        <f t="array" ref="NJV28">_xlfn.XLOOKUP(NJV$11,Assumptions!$B$35:$H$35,_xlfn.XLOOKUP($C28,Assumptions!$B$36:$B$41,Assumptions!$B$36:$H$41))</f>
        <v>0</v>
      </c>
      <c r="NJW28">
        <f t="array" ref="NJW28">_xlfn.XLOOKUP(NJW$11,Assumptions!$B$35:$H$35,_xlfn.XLOOKUP($C28,Assumptions!$B$36:$B$41,Assumptions!$B$36:$H$41))</f>
        <v>0</v>
      </c>
      <c r="NJX28">
        <f t="array" ref="NJX28">_xlfn.XLOOKUP(NJX$11,Assumptions!$B$35:$H$35,_xlfn.XLOOKUP($C28,Assumptions!$B$36:$B$41,Assumptions!$B$36:$H$41))</f>
        <v>0</v>
      </c>
      <c r="NJY28">
        <f t="array" ref="NJY28">_xlfn.XLOOKUP(NJY$11,Assumptions!$B$35:$H$35,_xlfn.XLOOKUP($C28,Assumptions!$B$36:$B$41,Assumptions!$B$36:$H$41))</f>
        <v>0</v>
      </c>
      <c r="NJZ28">
        <f t="array" ref="NJZ28">_xlfn.XLOOKUP(NJZ$11,Assumptions!$B$35:$H$35,_xlfn.XLOOKUP($C28,Assumptions!$B$36:$B$41,Assumptions!$B$36:$H$41))</f>
        <v>0</v>
      </c>
      <c r="NKA28">
        <f t="array" ref="NKA28">_xlfn.XLOOKUP(NKA$11,Assumptions!$B$35:$H$35,_xlfn.XLOOKUP($C28,Assumptions!$B$36:$B$41,Assumptions!$B$36:$H$41))</f>
        <v>0</v>
      </c>
      <c r="NKB28">
        <f t="array" ref="NKB28">_xlfn.XLOOKUP(NKB$11,Assumptions!$B$35:$H$35,_xlfn.XLOOKUP($C28,Assumptions!$B$36:$B$41,Assumptions!$B$36:$H$41))</f>
        <v>0</v>
      </c>
      <c r="NKC28">
        <f t="array" ref="NKC28">_xlfn.XLOOKUP(NKC$11,Assumptions!$B$35:$H$35,_xlfn.XLOOKUP($C28,Assumptions!$B$36:$B$41,Assumptions!$B$36:$H$41))</f>
        <v>0</v>
      </c>
      <c r="NKD28">
        <f t="array" ref="NKD28">_xlfn.XLOOKUP(NKD$11,Assumptions!$B$35:$H$35,_xlfn.XLOOKUP($C28,Assumptions!$B$36:$B$41,Assumptions!$B$36:$H$41))</f>
        <v>0</v>
      </c>
      <c r="NKE28">
        <f t="array" ref="NKE28">_xlfn.XLOOKUP(NKE$11,Assumptions!$B$35:$H$35,_xlfn.XLOOKUP($C28,Assumptions!$B$36:$B$41,Assumptions!$B$36:$H$41))</f>
        <v>0</v>
      </c>
      <c r="NKF28">
        <f t="array" ref="NKF28">_xlfn.XLOOKUP(NKF$11,Assumptions!$B$35:$H$35,_xlfn.XLOOKUP($C28,Assumptions!$B$36:$B$41,Assumptions!$B$36:$H$41))</f>
        <v>0</v>
      </c>
      <c r="NKG28">
        <f t="array" ref="NKG28">_xlfn.XLOOKUP(NKG$11,Assumptions!$B$35:$H$35,_xlfn.XLOOKUP($C28,Assumptions!$B$36:$B$41,Assumptions!$B$36:$H$41))</f>
        <v>0</v>
      </c>
      <c r="NKH28">
        <f t="array" ref="NKH28">_xlfn.XLOOKUP(NKH$11,Assumptions!$B$35:$H$35,_xlfn.XLOOKUP($C28,Assumptions!$B$36:$B$41,Assumptions!$B$36:$H$41))</f>
        <v>0</v>
      </c>
      <c r="NKI28">
        <f t="array" ref="NKI28">_xlfn.XLOOKUP(NKI$11,Assumptions!$B$35:$H$35,_xlfn.XLOOKUP($C28,Assumptions!$B$36:$B$41,Assumptions!$B$36:$H$41))</f>
        <v>0</v>
      </c>
      <c r="NKJ28">
        <f t="array" ref="NKJ28">_xlfn.XLOOKUP(NKJ$11,Assumptions!$B$35:$H$35,_xlfn.XLOOKUP($C28,Assumptions!$B$36:$B$41,Assumptions!$B$36:$H$41))</f>
        <v>0</v>
      </c>
      <c r="NKK28">
        <f t="array" ref="NKK28">_xlfn.XLOOKUP(NKK$11,Assumptions!$B$35:$H$35,_xlfn.XLOOKUP($C28,Assumptions!$B$36:$B$41,Assumptions!$B$36:$H$41))</f>
        <v>0</v>
      </c>
      <c r="NKL28">
        <f t="array" ref="NKL28">_xlfn.XLOOKUP(NKL$11,Assumptions!$B$35:$H$35,_xlfn.XLOOKUP($C28,Assumptions!$B$36:$B$41,Assumptions!$B$36:$H$41))</f>
        <v>0</v>
      </c>
      <c r="NKM28">
        <f t="array" ref="NKM28">_xlfn.XLOOKUP(NKM$11,Assumptions!$B$35:$H$35,_xlfn.XLOOKUP($C28,Assumptions!$B$36:$B$41,Assumptions!$B$36:$H$41))</f>
        <v>0</v>
      </c>
      <c r="NKN28">
        <f t="array" ref="NKN28">_xlfn.XLOOKUP(NKN$11,Assumptions!$B$35:$H$35,_xlfn.XLOOKUP($C28,Assumptions!$B$36:$B$41,Assumptions!$B$36:$H$41))</f>
        <v>0</v>
      </c>
      <c r="NKO28">
        <f t="array" ref="NKO28">_xlfn.XLOOKUP(NKO$11,Assumptions!$B$35:$H$35,_xlfn.XLOOKUP($C28,Assumptions!$B$36:$B$41,Assumptions!$B$36:$H$41))</f>
        <v>0</v>
      </c>
      <c r="NKP28">
        <f t="array" ref="NKP28">_xlfn.XLOOKUP(NKP$11,Assumptions!$B$35:$H$35,_xlfn.XLOOKUP($C28,Assumptions!$B$36:$B$41,Assumptions!$B$36:$H$41))</f>
        <v>0</v>
      </c>
      <c r="NKQ28">
        <f t="array" ref="NKQ28">_xlfn.XLOOKUP(NKQ$11,Assumptions!$B$35:$H$35,_xlfn.XLOOKUP($C28,Assumptions!$B$36:$B$41,Assumptions!$B$36:$H$41))</f>
        <v>0</v>
      </c>
      <c r="NKR28">
        <f t="array" ref="NKR28">_xlfn.XLOOKUP(NKR$11,Assumptions!$B$35:$H$35,_xlfn.XLOOKUP($C28,Assumptions!$B$36:$B$41,Assumptions!$B$36:$H$41))</f>
        <v>0</v>
      </c>
      <c r="NKS28">
        <f t="array" ref="NKS28">_xlfn.XLOOKUP(NKS$11,Assumptions!$B$35:$H$35,_xlfn.XLOOKUP($C28,Assumptions!$B$36:$B$41,Assumptions!$B$36:$H$41))</f>
        <v>0</v>
      </c>
      <c r="NKT28">
        <f t="array" ref="NKT28">_xlfn.XLOOKUP(NKT$11,Assumptions!$B$35:$H$35,_xlfn.XLOOKUP($C28,Assumptions!$B$36:$B$41,Assumptions!$B$36:$H$41))</f>
        <v>0</v>
      </c>
      <c r="NKU28">
        <f t="array" ref="NKU28">_xlfn.XLOOKUP(NKU$11,Assumptions!$B$35:$H$35,_xlfn.XLOOKUP($C28,Assumptions!$B$36:$B$41,Assumptions!$B$36:$H$41))</f>
        <v>0</v>
      </c>
      <c r="NKV28">
        <f t="array" ref="NKV28">_xlfn.XLOOKUP(NKV$11,Assumptions!$B$35:$H$35,_xlfn.XLOOKUP($C28,Assumptions!$B$36:$B$41,Assumptions!$B$36:$H$41))</f>
        <v>0</v>
      </c>
      <c r="NKW28">
        <f t="array" ref="NKW28">_xlfn.XLOOKUP(NKW$11,Assumptions!$B$35:$H$35,_xlfn.XLOOKUP($C28,Assumptions!$B$36:$B$41,Assumptions!$B$36:$H$41))</f>
        <v>0</v>
      </c>
      <c r="NKX28">
        <f t="array" ref="NKX28">_xlfn.XLOOKUP(NKX$11,Assumptions!$B$35:$H$35,_xlfn.XLOOKUP($C28,Assumptions!$B$36:$B$41,Assumptions!$B$36:$H$41))</f>
        <v>0</v>
      </c>
      <c r="NKY28">
        <f t="array" ref="NKY28">_xlfn.XLOOKUP(NKY$11,Assumptions!$B$35:$H$35,_xlfn.XLOOKUP($C28,Assumptions!$B$36:$B$41,Assumptions!$B$36:$H$41))</f>
        <v>0</v>
      </c>
      <c r="NKZ28">
        <f t="array" ref="NKZ28">_xlfn.XLOOKUP(NKZ$11,Assumptions!$B$35:$H$35,_xlfn.XLOOKUP($C28,Assumptions!$B$36:$B$41,Assumptions!$B$36:$H$41))</f>
        <v>0</v>
      </c>
      <c r="NLA28">
        <f t="array" ref="NLA28">_xlfn.XLOOKUP(NLA$11,Assumptions!$B$35:$H$35,_xlfn.XLOOKUP($C28,Assumptions!$B$36:$B$41,Assumptions!$B$36:$H$41))</f>
        <v>0</v>
      </c>
      <c r="NLB28">
        <f t="array" ref="NLB28">_xlfn.XLOOKUP(NLB$11,Assumptions!$B$35:$H$35,_xlfn.XLOOKUP($C28,Assumptions!$B$36:$B$41,Assumptions!$B$36:$H$41))</f>
        <v>0</v>
      </c>
      <c r="NLC28">
        <f t="array" ref="NLC28">_xlfn.XLOOKUP(NLC$11,Assumptions!$B$35:$H$35,_xlfn.XLOOKUP($C28,Assumptions!$B$36:$B$41,Assumptions!$B$36:$H$41))</f>
        <v>0</v>
      </c>
      <c r="NLD28">
        <f t="array" ref="NLD28">_xlfn.XLOOKUP(NLD$11,Assumptions!$B$35:$H$35,_xlfn.XLOOKUP($C28,Assumptions!$B$36:$B$41,Assumptions!$B$36:$H$41))</f>
        <v>0</v>
      </c>
      <c r="NLE28">
        <f t="array" ref="NLE28">_xlfn.XLOOKUP(NLE$11,Assumptions!$B$35:$H$35,_xlfn.XLOOKUP($C28,Assumptions!$B$36:$B$41,Assumptions!$B$36:$H$41))</f>
        <v>0</v>
      </c>
      <c r="NLF28">
        <f t="array" ref="NLF28">_xlfn.XLOOKUP(NLF$11,Assumptions!$B$35:$H$35,_xlfn.XLOOKUP($C28,Assumptions!$B$36:$B$41,Assumptions!$B$36:$H$41))</f>
        <v>0</v>
      </c>
      <c r="NLG28">
        <f t="array" ref="NLG28">_xlfn.XLOOKUP(NLG$11,Assumptions!$B$35:$H$35,_xlfn.XLOOKUP($C28,Assumptions!$B$36:$B$41,Assumptions!$B$36:$H$41))</f>
        <v>0</v>
      </c>
      <c r="NLH28">
        <f t="array" ref="NLH28">_xlfn.XLOOKUP(NLH$11,Assumptions!$B$35:$H$35,_xlfn.XLOOKUP($C28,Assumptions!$B$36:$B$41,Assumptions!$B$36:$H$41))</f>
        <v>0</v>
      </c>
      <c r="NLI28">
        <f t="array" ref="NLI28">_xlfn.XLOOKUP(NLI$11,Assumptions!$B$35:$H$35,_xlfn.XLOOKUP($C28,Assumptions!$B$36:$B$41,Assumptions!$B$36:$H$41))</f>
        <v>0</v>
      </c>
      <c r="NLJ28">
        <f t="array" ref="NLJ28">_xlfn.XLOOKUP(NLJ$11,Assumptions!$B$35:$H$35,_xlfn.XLOOKUP($C28,Assumptions!$B$36:$B$41,Assumptions!$B$36:$H$41))</f>
        <v>0</v>
      </c>
      <c r="NLK28">
        <f t="array" ref="NLK28">_xlfn.XLOOKUP(NLK$11,Assumptions!$B$35:$H$35,_xlfn.XLOOKUP($C28,Assumptions!$B$36:$B$41,Assumptions!$B$36:$H$41))</f>
        <v>0</v>
      </c>
      <c r="NLL28">
        <f t="array" ref="NLL28">_xlfn.XLOOKUP(NLL$11,Assumptions!$B$35:$H$35,_xlfn.XLOOKUP($C28,Assumptions!$B$36:$B$41,Assumptions!$B$36:$H$41))</f>
        <v>0</v>
      </c>
      <c r="NLM28">
        <f t="array" ref="NLM28">_xlfn.XLOOKUP(NLM$11,Assumptions!$B$35:$H$35,_xlfn.XLOOKUP($C28,Assumptions!$B$36:$B$41,Assumptions!$B$36:$H$41))</f>
        <v>0</v>
      </c>
      <c r="NLN28">
        <f t="array" ref="NLN28">_xlfn.XLOOKUP(NLN$11,Assumptions!$B$35:$H$35,_xlfn.XLOOKUP($C28,Assumptions!$B$36:$B$41,Assumptions!$B$36:$H$41))</f>
        <v>0</v>
      </c>
      <c r="NLO28">
        <f t="array" ref="NLO28">_xlfn.XLOOKUP(NLO$11,Assumptions!$B$35:$H$35,_xlfn.XLOOKUP($C28,Assumptions!$B$36:$B$41,Assumptions!$B$36:$H$41))</f>
        <v>0</v>
      </c>
      <c r="NLP28">
        <f t="array" ref="NLP28">_xlfn.XLOOKUP(NLP$11,Assumptions!$B$35:$H$35,_xlfn.XLOOKUP($C28,Assumptions!$B$36:$B$41,Assumptions!$B$36:$H$41))</f>
        <v>0</v>
      </c>
      <c r="NLQ28">
        <f t="array" ref="NLQ28">_xlfn.XLOOKUP(NLQ$11,Assumptions!$B$35:$H$35,_xlfn.XLOOKUP($C28,Assumptions!$B$36:$B$41,Assumptions!$B$36:$H$41))</f>
        <v>0</v>
      </c>
      <c r="NLR28">
        <f t="array" ref="NLR28">_xlfn.XLOOKUP(NLR$11,Assumptions!$B$35:$H$35,_xlfn.XLOOKUP($C28,Assumptions!$B$36:$B$41,Assumptions!$B$36:$H$41))</f>
        <v>0</v>
      </c>
      <c r="NLS28">
        <f t="array" ref="NLS28">_xlfn.XLOOKUP(NLS$11,Assumptions!$B$35:$H$35,_xlfn.XLOOKUP($C28,Assumptions!$B$36:$B$41,Assumptions!$B$36:$H$41))</f>
        <v>0</v>
      </c>
      <c r="NLT28">
        <f t="array" ref="NLT28">_xlfn.XLOOKUP(NLT$11,Assumptions!$B$35:$H$35,_xlfn.XLOOKUP($C28,Assumptions!$B$36:$B$41,Assumptions!$B$36:$H$41))</f>
        <v>0</v>
      </c>
      <c r="NLU28">
        <f t="array" ref="NLU28">_xlfn.XLOOKUP(NLU$11,Assumptions!$B$35:$H$35,_xlfn.XLOOKUP($C28,Assumptions!$B$36:$B$41,Assumptions!$B$36:$H$41))</f>
        <v>0</v>
      </c>
      <c r="NLV28">
        <f t="array" ref="NLV28">_xlfn.XLOOKUP(NLV$11,Assumptions!$B$35:$H$35,_xlfn.XLOOKUP($C28,Assumptions!$B$36:$B$41,Assumptions!$B$36:$H$41))</f>
        <v>0</v>
      </c>
      <c r="NLW28">
        <f t="array" ref="NLW28">_xlfn.XLOOKUP(NLW$11,Assumptions!$B$35:$H$35,_xlfn.XLOOKUP($C28,Assumptions!$B$36:$B$41,Assumptions!$B$36:$H$41))</f>
        <v>0</v>
      </c>
      <c r="NLX28">
        <f t="array" ref="NLX28">_xlfn.XLOOKUP(NLX$11,Assumptions!$B$35:$H$35,_xlfn.XLOOKUP($C28,Assumptions!$B$36:$B$41,Assumptions!$B$36:$H$41))</f>
        <v>0</v>
      </c>
      <c r="NLY28">
        <f t="array" ref="NLY28">_xlfn.XLOOKUP(NLY$11,Assumptions!$B$35:$H$35,_xlfn.XLOOKUP($C28,Assumptions!$B$36:$B$41,Assumptions!$B$36:$H$41))</f>
        <v>0</v>
      </c>
      <c r="NLZ28">
        <f t="array" ref="NLZ28">_xlfn.XLOOKUP(NLZ$11,Assumptions!$B$35:$H$35,_xlfn.XLOOKUP($C28,Assumptions!$B$36:$B$41,Assumptions!$B$36:$H$41))</f>
        <v>0</v>
      </c>
      <c r="NMA28">
        <f t="array" ref="NMA28">_xlfn.XLOOKUP(NMA$11,Assumptions!$B$35:$H$35,_xlfn.XLOOKUP($C28,Assumptions!$B$36:$B$41,Assumptions!$B$36:$H$41))</f>
        <v>0</v>
      </c>
      <c r="NMB28">
        <f t="array" ref="NMB28">_xlfn.XLOOKUP(NMB$11,Assumptions!$B$35:$H$35,_xlfn.XLOOKUP($C28,Assumptions!$B$36:$B$41,Assumptions!$B$36:$H$41))</f>
        <v>0</v>
      </c>
      <c r="NMC28">
        <f t="array" ref="NMC28">_xlfn.XLOOKUP(NMC$11,Assumptions!$B$35:$H$35,_xlfn.XLOOKUP($C28,Assumptions!$B$36:$B$41,Assumptions!$B$36:$H$41))</f>
        <v>0</v>
      </c>
      <c r="NMD28">
        <f t="array" ref="NMD28">_xlfn.XLOOKUP(NMD$11,Assumptions!$B$35:$H$35,_xlfn.XLOOKUP($C28,Assumptions!$B$36:$B$41,Assumptions!$B$36:$H$41))</f>
        <v>0</v>
      </c>
      <c r="NME28">
        <f t="array" ref="NME28">_xlfn.XLOOKUP(NME$11,Assumptions!$B$35:$H$35,_xlfn.XLOOKUP($C28,Assumptions!$B$36:$B$41,Assumptions!$B$36:$H$41))</f>
        <v>0</v>
      </c>
      <c r="NMF28">
        <f t="array" ref="NMF28">_xlfn.XLOOKUP(NMF$11,Assumptions!$B$35:$H$35,_xlfn.XLOOKUP($C28,Assumptions!$B$36:$B$41,Assumptions!$B$36:$H$41))</f>
        <v>0</v>
      </c>
      <c r="NMG28">
        <f t="array" ref="NMG28">_xlfn.XLOOKUP(NMG$11,Assumptions!$B$35:$H$35,_xlfn.XLOOKUP($C28,Assumptions!$B$36:$B$41,Assumptions!$B$36:$H$41))</f>
        <v>0</v>
      </c>
      <c r="NMH28">
        <f t="array" ref="NMH28">_xlfn.XLOOKUP(NMH$11,Assumptions!$B$35:$H$35,_xlfn.XLOOKUP($C28,Assumptions!$B$36:$B$41,Assumptions!$B$36:$H$41))</f>
        <v>0</v>
      </c>
      <c r="NMI28">
        <f t="array" ref="NMI28">_xlfn.XLOOKUP(NMI$11,Assumptions!$B$35:$H$35,_xlfn.XLOOKUP($C28,Assumptions!$B$36:$B$41,Assumptions!$B$36:$H$41))</f>
        <v>0</v>
      </c>
      <c r="NMJ28">
        <f t="array" ref="NMJ28">_xlfn.XLOOKUP(NMJ$11,Assumptions!$B$35:$H$35,_xlfn.XLOOKUP($C28,Assumptions!$B$36:$B$41,Assumptions!$B$36:$H$41))</f>
        <v>0</v>
      </c>
      <c r="NMK28">
        <f t="array" ref="NMK28">_xlfn.XLOOKUP(NMK$11,Assumptions!$B$35:$H$35,_xlfn.XLOOKUP($C28,Assumptions!$B$36:$B$41,Assumptions!$B$36:$H$41))</f>
        <v>0</v>
      </c>
      <c r="NML28">
        <f t="array" ref="NML28">_xlfn.XLOOKUP(NML$11,Assumptions!$B$35:$H$35,_xlfn.XLOOKUP($C28,Assumptions!$B$36:$B$41,Assumptions!$B$36:$H$41))</f>
        <v>0</v>
      </c>
      <c r="NMM28">
        <f t="array" ref="NMM28">_xlfn.XLOOKUP(NMM$11,Assumptions!$B$35:$H$35,_xlfn.XLOOKUP($C28,Assumptions!$B$36:$B$41,Assumptions!$B$36:$H$41))</f>
        <v>0</v>
      </c>
      <c r="NMN28">
        <f t="array" ref="NMN28">_xlfn.XLOOKUP(NMN$11,Assumptions!$B$35:$H$35,_xlfn.XLOOKUP($C28,Assumptions!$B$36:$B$41,Assumptions!$B$36:$H$41))</f>
        <v>0</v>
      </c>
      <c r="NMO28">
        <f t="array" ref="NMO28">_xlfn.XLOOKUP(NMO$11,Assumptions!$B$35:$H$35,_xlfn.XLOOKUP($C28,Assumptions!$B$36:$B$41,Assumptions!$B$36:$H$41))</f>
        <v>0</v>
      </c>
      <c r="NMP28">
        <f t="array" ref="NMP28">_xlfn.XLOOKUP(NMP$11,Assumptions!$B$35:$H$35,_xlfn.XLOOKUP($C28,Assumptions!$B$36:$B$41,Assumptions!$B$36:$H$41))</f>
        <v>0</v>
      </c>
      <c r="NMQ28">
        <f t="array" ref="NMQ28">_xlfn.XLOOKUP(NMQ$11,Assumptions!$B$35:$H$35,_xlfn.XLOOKUP($C28,Assumptions!$B$36:$B$41,Assumptions!$B$36:$H$41))</f>
        <v>0</v>
      </c>
      <c r="NMR28">
        <f t="array" ref="NMR28">_xlfn.XLOOKUP(NMR$11,Assumptions!$B$35:$H$35,_xlfn.XLOOKUP($C28,Assumptions!$B$36:$B$41,Assumptions!$B$36:$H$41))</f>
        <v>0</v>
      </c>
      <c r="NMS28">
        <f t="array" ref="NMS28">_xlfn.XLOOKUP(NMS$11,Assumptions!$B$35:$H$35,_xlfn.XLOOKUP($C28,Assumptions!$B$36:$B$41,Assumptions!$B$36:$H$41))</f>
        <v>0</v>
      </c>
      <c r="NMT28">
        <f t="array" ref="NMT28">_xlfn.XLOOKUP(NMT$11,Assumptions!$B$35:$H$35,_xlfn.XLOOKUP($C28,Assumptions!$B$36:$B$41,Assumptions!$B$36:$H$41))</f>
        <v>0</v>
      </c>
      <c r="NMU28">
        <f t="array" ref="NMU28">_xlfn.XLOOKUP(NMU$11,Assumptions!$B$35:$H$35,_xlfn.XLOOKUP($C28,Assumptions!$B$36:$B$41,Assumptions!$B$36:$H$41))</f>
        <v>0</v>
      </c>
      <c r="NMV28">
        <f t="array" ref="NMV28">_xlfn.XLOOKUP(NMV$11,Assumptions!$B$35:$H$35,_xlfn.XLOOKUP($C28,Assumptions!$B$36:$B$41,Assumptions!$B$36:$H$41))</f>
        <v>0</v>
      </c>
      <c r="NMW28">
        <f t="array" ref="NMW28">_xlfn.XLOOKUP(NMW$11,Assumptions!$B$35:$H$35,_xlfn.XLOOKUP($C28,Assumptions!$B$36:$B$41,Assumptions!$B$36:$H$41))</f>
        <v>0</v>
      </c>
      <c r="NMX28">
        <f t="array" ref="NMX28">_xlfn.XLOOKUP(NMX$11,Assumptions!$B$35:$H$35,_xlfn.XLOOKUP($C28,Assumptions!$B$36:$B$41,Assumptions!$B$36:$H$41))</f>
        <v>0</v>
      </c>
      <c r="NMY28">
        <f t="array" ref="NMY28">_xlfn.XLOOKUP(NMY$11,Assumptions!$B$35:$H$35,_xlfn.XLOOKUP($C28,Assumptions!$B$36:$B$41,Assumptions!$B$36:$H$41))</f>
        <v>0</v>
      </c>
      <c r="NMZ28">
        <f t="array" ref="NMZ28">_xlfn.XLOOKUP(NMZ$11,Assumptions!$B$35:$H$35,_xlfn.XLOOKUP($C28,Assumptions!$B$36:$B$41,Assumptions!$B$36:$H$41))</f>
        <v>0</v>
      </c>
      <c r="NNA28">
        <f t="array" ref="NNA28">_xlfn.XLOOKUP(NNA$11,Assumptions!$B$35:$H$35,_xlfn.XLOOKUP($C28,Assumptions!$B$36:$B$41,Assumptions!$B$36:$H$41))</f>
        <v>0</v>
      </c>
      <c r="NNB28">
        <f t="array" ref="NNB28">_xlfn.XLOOKUP(NNB$11,Assumptions!$B$35:$H$35,_xlfn.XLOOKUP($C28,Assumptions!$B$36:$B$41,Assumptions!$B$36:$H$41))</f>
        <v>0</v>
      </c>
      <c r="NNC28">
        <f t="array" ref="NNC28">_xlfn.XLOOKUP(NNC$11,Assumptions!$B$35:$H$35,_xlfn.XLOOKUP($C28,Assumptions!$B$36:$B$41,Assumptions!$B$36:$H$41))</f>
        <v>0</v>
      </c>
      <c r="NND28">
        <f t="array" ref="NND28">_xlfn.XLOOKUP(NND$11,Assumptions!$B$35:$H$35,_xlfn.XLOOKUP($C28,Assumptions!$B$36:$B$41,Assumptions!$B$36:$H$41))</f>
        <v>0</v>
      </c>
      <c r="NNE28">
        <f t="array" ref="NNE28">_xlfn.XLOOKUP(NNE$11,Assumptions!$B$35:$H$35,_xlfn.XLOOKUP($C28,Assumptions!$B$36:$B$41,Assumptions!$B$36:$H$41))</f>
        <v>0</v>
      </c>
      <c r="NNF28">
        <f t="array" ref="NNF28">_xlfn.XLOOKUP(NNF$11,Assumptions!$B$35:$H$35,_xlfn.XLOOKUP($C28,Assumptions!$B$36:$B$41,Assumptions!$B$36:$H$41))</f>
        <v>0</v>
      </c>
      <c r="NNG28">
        <f t="array" ref="NNG28">_xlfn.XLOOKUP(NNG$11,Assumptions!$B$35:$H$35,_xlfn.XLOOKUP($C28,Assumptions!$B$36:$B$41,Assumptions!$B$36:$H$41))</f>
        <v>0</v>
      </c>
      <c r="NNH28">
        <f t="array" ref="NNH28">_xlfn.XLOOKUP(NNH$11,Assumptions!$B$35:$H$35,_xlfn.XLOOKUP($C28,Assumptions!$B$36:$B$41,Assumptions!$B$36:$H$41))</f>
        <v>0</v>
      </c>
      <c r="NNI28">
        <f t="array" ref="NNI28">_xlfn.XLOOKUP(NNI$11,Assumptions!$B$35:$H$35,_xlfn.XLOOKUP($C28,Assumptions!$B$36:$B$41,Assumptions!$B$36:$H$41))</f>
        <v>0</v>
      </c>
      <c r="NNJ28">
        <f t="array" ref="NNJ28">_xlfn.XLOOKUP(NNJ$11,Assumptions!$B$35:$H$35,_xlfn.XLOOKUP($C28,Assumptions!$B$36:$B$41,Assumptions!$B$36:$H$41))</f>
        <v>0</v>
      </c>
      <c r="NNK28">
        <f t="array" ref="NNK28">_xlfn.XLOOKUP(NNK$11,Assumptions!$B$35:$H$35,_xlfn.XLOOKUP($C28,Assumptions!$B$36:$B$41,Assumptions!$B$36:$H$41))</f>
        <v>0</v>
      </c>
      <c r="NNL28">
        <f t="array" ref="NNL28">_xlfn.XLOOKUP(NNL$11,Assumptions!$B$35:$H$35,_xlfn.XLOOKUP($C28,Assumptions!$B$36:$B$41,Assumptions!$B$36:$H$41))</f>
        <v>0</v>
      </c>
      <c r="NNM28">
        <f t="array" ref="NNM28">_xlfn.XLOOKUP(NNM$11,Assumptions!$B$35:$H$35,_xlfn.XLOOKUP($C28,Assumptions!$B$36:$B$41,Assumptions!$B$36:$H$41))</f>
        <v>0</v>
      </c>
      <c r="NNN28">
        <f t="array" ref="NNN28">_xlfn.XLOOKUP(NNN$11,Assumptions!$B$35:$H$35,_xlfn.XLOOKUP($C28,Assumptions!$B$36:$B$41,Assumptions!$B$36:$H$41))</f>
        <v>0</v>
      </c>
      <c r="NNO28">
        <f t="array" ref="NNO28">_xlfn.XLOOKUP(NNO$11,Assumptions!$B$35:$H$35,_xlfn.XLOOKUP($C28,Assumptions!$B$36:$B$41,Assumptions!$B$36:$H$41))</f>
        <v>0</v>
      </c>
      <c r="NNP28">
        <f t="array" ref="NNP28">_xlfn.XLOOKUP(NNP$11,Assumptions!$B$35:$H$35,_xlfn.XLOOKUP($C28,Assumptions!$B$36:$B$41,Assumptions!$B$36:$H$41))</f>
        <v>0</v>
      </c>
      <c r="NNQ28">
        <f t="array" ref="NNQ28">_xlfn.XLOOKUP(NNQ$11,Assumptions!$B$35:$H$35,_xlfn.XLOOKUP($C28,Assumptions!$B$36:$B$41,Assumptions!$B$36:$H$41))</f>
        <v>0</v>
      </c>
      <c r="NNR28">
        <f t="array" ref="NNR28">_xlfn.XLOOKUP(NNR$11,Assumptions!$B$35:$H$35,_xlfn.XLOOKUP($C28,Assumptions!$B$36:$B$41,Assumptions!$B$36:$H$41))</f>
        <v>0</v>
      </c>
      <c r="NNS28">
        <f t="array" ref="NNS28">_xlfn.XLOOKUP(NNS$11,Assumptions!$B$35:$H$35,_xlfn.XLOOKUP($C28,Assumptions!$B$36:$B$41,Assumptions!$B$36:$H$41))</f>
        <v>0</v>
      </c>
      <c r="NNT28">
        <f t="array" ref="NNT28">_xlfn.XLOOKUP(NNT$11,Assumptions!$B$35:$H$35,_xlfn.XLOOKUP($C28,Assumptions!$B$36:$B$41,Assumptions!$B$36:$H$41))</f>
        <v>0</v>
      </c>
      <c r="NNU28">
        <f t="array" ref="NNU28">_xlfn.XLOOKUP(NNU$11,Assumptions!$B$35:$H$35,_xlfn.XLOOKUP($C28,Assumptions!$B$36:$B$41,Assumptions!$B$36:$H$41))</f>
        <v>0</v>
      </c>
      <c r="NNV28">
        <f t="array" ref="NNV28">_xlfn.XLOOKUP(NNV$11,Assumptions!$B$35:$H$35,_xlfn.XLOOKUP($C28,Assumptions!$B$36:$B$41,Assumptions!$B$36:$H$41))</f>
        <v>0</v>
      </c>
      <c r="NNW28">
        <f t="array" ref="NNW28">_xlfn.XLOOKUP(NNW$11,Assumptions!$B$35:$H$35,_xlfn.XLOOKUP($C28,Assumptions!$B$36:$B$41,Assumptions!$B$36:$H$41))</f>
        <v>0</v>
      </c>
      <c r="NNX28">
        <f t="array" ref="NNX28">_xlfn.XLOOKUP(NNX$11,Assumptions!$B$35:$H$35,_xlfn.XLOOKUP($C28,Assumptions!$B$36:$B$41,Assumptions!$B$36:$H$41))</f>
        <v>0</v>
      </c>
      <c r="NNY28">
        <f t="array" ref="NNY28">_xlfn.XLOOKUP(NNY$11,Assumptions!$B$35:$H$35,_xlfn.XLOOKUP($C28,Assumptions!$B$36:$B$41,Assumptions!$B$36:$H$41))</f>
        <v>0</v>
      </c>
      <c r="NNZ28">
        <f t="array" ref="NNZ28">_xlfn.XLOOKUP(NNZ$11,Assumptions!$B$35:$H$35,_xlfn.XLOOKUP($C28,Assumptions!$B$36:$B$41,Assumptions!$B$36:$H$41))</f>
        <v>0</v>
      </c>
      <c r="NOA28">
        <f t="array" ref="NOA28">_xlfn.XLOOKUP(NOA$11,Assumptions!$B$35:$H$35,_xlfn.XLOOKUP($C28,Assumptions!$B$36:$B$41,Assumptions!$B$36:$H$41))</f>
        <v>0</v>
      </c>
      <c r="NOB28">
        <f t="array" ref="NOB28">_xlfn.XLOOKUP(NOB$11,Assumptions!$B$35:$H$35,_xlfn.XLOOKUP($C28,Assumptions!$B$36:$B$41,Assumptions!$B$36:$H$41))</f>
        <v>0</v>
      </c>
      <c r="NOC28">
        <f t="array" ref="NOC28">_xlfn.XLOOKUP(NOC$11,Assumptions!$B$35:$H$35,_xlfn.XLOOKUP($C28,Assumptions!$B$36:$B$41,Assumptions!$B$36:$H$41))</f>
        <v>0</v>
      </c>
      <c r="NOD28">
        <f t="array" ref="NOD28">_xlfn.XLOOKUP(NOD$11,Assumptions!$B$35:$H$35,_xlfn.XLOOKUP($C28,Assumptions!$B$36:$B$41,Assumptions!$B$36:$H$41))</f>
        <v>0</v>
      </c>
      <c r="NOE28">
        <f t="array" ref="NOE28">_xlfn.XLOOKUP(NOE$11,Assumptions!$B$35:$H$35,_xlfn.XLOOKUP($C28,Assumptions!$B$36:$B$41,Assumptions!$B$36:$H$41))</f>
        <v>0</v>
      </c>
      <c r="NOF28">
        <f t="array" ref="NOF28">_xlfn.XLOOKUP(NOF$11,Assumptions!$B$35:$H$35,_xlfn.XLOOKUP($C28,Assumptions!$B$36:$B$41,Assumptions!$B$36:$H$41))</f>
        <v>0</v>
      </c>
      <c r="NOG28">
        <f t="array" ref="NOG28">_xlfn.XLOOKUP(NOG$11,Assumptions!$B$35:$H$35,_xlfn.XLOOKUP($C28,Assumptions!$B$36:$B$41,Assumptions!$B$36:$H$41))</f>
        <v>0</v>
      </c>
      <c r="NOH28">
        <f t="array" ref="NOH28">_xlfn.XLOOKUP(NOH$11,Assumptions!$B$35:$H$35,_xlfn.XLOOKUP($C28,Assumptions!$B$36:$B$41,Assumptions!$B$36:$H$41))</f>
        <v>0</v>
      </c>
      <c r="NOI28">
        <f t="array" ref="NOI28">_xlfn.XLOOKUP(NOI$11,Assumptions!$B$35:$H$35,_xlfn.XLOOKUP($C28,Assumptions!$B$36:$B$41,Assumptions!$B$36:$H$41))</f>
        <v>0</v>
      </c>
      <c r="NOJ28">
        <f t="array" ref="NOJ28">_xlfn.XLOOKUP(NOJ$11,Assumptions!$B$35:$H$35,_xlfn.XLOOKUP($C28,Assumptions!$B$36:$B$41,Assumptions!$B$36:$H$41))</f>
        <v>0</v>
      </c>
      <c r="NOK28">
        <f t="array" ref="NOK28">_xlfn.XLOOKUP(NOK$11,Assumptions!$B$35:$H$35,_xlfn.XLOOKUP($C28,Assumptions!$B$36:$B$41,Assumptions!$B$36:$H$41))</f>
        <v>0</v>
      </c>
      <c r="NOL28">
        <f t="array" ref="NOL28">_xlfn.XLOOKUP(NOL$11,Assumptions!$B$35:$H$35,_xlfn.XLOOKUP($C28,Assumptions!$B$36:$B$41,Assumptions!$B$36:$H$41))</f>
        <v>0</v>
      </c>
      <c r="NOM28">
        <f t="array" ref="NOM28">_xlfn.XLOOKUP(NOM$11,Assumptions!$B$35:$H$35,_xlfn.XLOOKUP($C28,Assumptions!$B$36:$B$41,Assumptions!$B$36:$H$41))</f>
        <v>0</v>
      </c>
      <c r="NON28">
        <f t="array" ref="NON28">_xlfn.XLOOKUP(NON$11,Assumptions!$B$35:$H$35,_xlfn.XLOOKUP($C28,Assumptions!$B$36:$B$41,Assumptions!$B$36:$H$41))</f>
        <v>0</v>
      </c>
      <c r="NOO28">
        <f t="array" ref="NOO28">_xlfn.XLOOKUP(NOO$11,Assumptions!$B$35:$H$35,_xlfn.XLOOKUP($C28,Assumptions!$B$36:$B$41,Assumptions!$B$36:$H$41))</f>
        <v>0</v>
      </c>
      <c r="NOP28">
        <f t="array" ref="NOP28">_xlfn.XLOOKUP(NOP$11,Assumptions!$B$35:$H$35,_xlfn.XLOOKUP($C28,Assumptions!$B$36:$B$41,Assumptions!$B$36:$H$41))</f>
        <v>0</v>
      </c>
      <c r="NOQ28">
        <f t="array" ref="NOQ28">_xlfn.XLOOKUP(NOQ$11,Assumptions!$B$35:$H$35,_xlfn.XLOOKUP($C28,Assumptions!$B$36:$B$41,Assumptions!$B$36:$H$41))</f>
        <v>0</v>
      </c>
      <c r="NOR28">
        <f t="array" ref="NOR28">_xlfn.XLOOKUP(NOR$11,Assumptions!$B$35:$H$35,_xlfn.XLOOKUP($C28,Assumptions!$B$36:$B$41,Assumptions!$B$36:$H$41))</f>
        <v>0</v>
      </c>
      <c r="NOS28">
        <f t="array" ref="NOS28">_xlfn.XLOOKUP(NOS$11,Assumptions!$B$35:$H$35,_xlfn.XLOOKUP($C28,Assumptions!$B$36:$B$41,Assumptions!$B$36:$H$41))</f>
        <v>0</v>
      </c>
      <c r="NOT28">
        <f t="array" ref="NOT28">_xlfn.XLOOKUP(NOT$11,Assumptions!$B$35:$H$35,_xlfn.XLOOKUP($C28,Assumptions!$B$36:$B$41,Assumptions!$B$36:$H$41))</f>
        <v>0</v>
      </c>
      <c r="NOU28">
        <f t="array" ref="NOU28">_xlfn.XLOOKUP(NOU$11,Assumptions!$B$35:$H$35,_xlfn.XLOOKUP($C28,Assumptions!$B$36:$B$41,Assumptions!$B$36:$H$41))</f>
        <v>0</v>
      </c>
      <c r="NOV28">
        <f t="array" ref="NOV28">_xlfn.XLOOKUP(NOV$11,Assumptions!$B$35:$H$35,_xlfn.XLOOKUP($C28,Assumptions!$B$36:$B$41,Assumptions!$B$36:$H$41))</f>
        <v>0</v>
      </c>
      <c r="NOW28">
        <f t="array" ref="NOW28">_xlfn.XLOOKUP(NOW$11,Assumptions!$B$35:$H$35,_xlfn.XLOOKUP($C28,Assumptions!$B$36:$B$41,Assumptions!$B$36:$H$41))</f>
        <v>0</v>
      </c>
      <c r="NOX28">
        <f t="array" ref="NOX28">_xlfn.XLOOKUP(NOX$11,Assumptions!$B$35:$H$35,_xlfn.XLOOKUP($C28,Assumptions!$B$36:$B$41,Assumptions!$B$36:$H$41))</f>
        <v>0</v>
      </c>
      <c r="NOY28">
        <f t="array" ref="NOY28">_xlfn.XLOOKUP(NOY$11,Assumptions!$B$35:$H$35,_xlfn.XLOOKUP($C28,Assumptions!$B$36:$B$41,Assumptions!$B$36:$H$41))</f>
        <v>0</v>
      </c>
      <c r="NOZ28">
        <f t="array" ref="NOZ28">_xlfn.XLOOKUP(NOZ$11,Assumptions!$B$35:$H$35,_xlfn.XLOOKUP($C28,Assumptions!$B$36:$B$41,Assumptions!$B$36:$H$41))</f>
        <v>0</v>
      </c>
      <c r="NPA28">
        <f t="array" ref="NPA28">_xlfn.XLOOKUP(NPA$11,Assumptions!$B$35:$H$35,_xlfn.XLOOKUP($C28,Assumptions!$B$36:$B$41,Assumptions!$B$36:$H$41))</f>
        <v>0</v>
      </c>
      <c r="NPB28">
        <f t="array" ref="NPB28">_xlfn.XLOOKUP(NPB$11,Assumptions!$B$35:$H$35,_xlfn.XLOOKUP($C28,Assumptions!$B$36:$B$41,Assumptions!$B$36:$H$41))</f>
        <v>0</v>
      </c>
      <c r="NPC28">
        <f t="array" ref="NPC28">_xlfn.XLOOKUP(NPC$11,Assumptions!$B$35:$H$35,_xlfn.XLOOKUP($C28,Assumptions!$B$36:$B$41,Assumptions!$B$36:$H$41))</f>
        <v>0</v>
      </c>
      <c r="NPD28">
        <f t="array" ref="NPD28">_xlfn.XLOOKUP(NPD$11,Assumptions!$B$35:$H$35,_xlfn.XLOOKUP($C28,Assumptions!$B$36:$B$41,Assumptions!$B$36:$H$41))</f>
        <v>0</v>
      </c>
      <c r="NPE28">
        <f t="array" ref="NPE28">_xlfn.XLOOKUP(NPE$11,Assumptions!$B$35:$H$35,_xlfn.XLOOKUP($C28,Assumptions!$B$36:$B$41,Assumptions!$B$36:$H$41))</f>
        <v>0</v>
      </c>
      <c r="NPF28">
        <f t="array" ref="NPF28">_xlfn.XLOOKUP(NPF$11,Assumptions!$B$35:$H$35,_xlfn.XLOOKUP($C28,Assumptions!$B$36:$B$41,Assumptions!$B$36:$H$41))</f>
        <v>0</v>
      </c>
      <c r="NPG28">
        <f t="array" ref="NPG28">_xlfn.XLOOKUP(NPG$11,Assumptions!$B$35:$H$35,_xlfn.XLOOKUP($C28,Assumptions!$B$36:$B$41,Assumptions!$B$36:$H$41))</f>
        <v>0</v>
      </c>
      <c r="NPH28">
        <f t="array" ref="NPH28">_xlfn.XLOOKUP(NPH$11,Assumptions!$B$35:$H$35,_xlfn.XLOOKUP($C28,Assumptions!$B$36:$B$41,Assumptions!$B$36:$H$41))</f>
        <v>0</v>
      </c>
      <c r="NPI28">
        <f t="array" ref="NPI28">_xlfn.XLOOKUP(NPI$11,Assumptions!$B$35:$H$35,_xlfn.XLOOKUP($C28,Assumptions!$B$36:$B$41,Assumptions!$B$36:$H$41))</f>
        <v>0</v>
      </c>
      <c r="NPJ28">
        <f t="array" ref="NPJ28">_xlfn.XLOOKUP(NPJ$11,Assumptions!$B$35:$H$35,_xlfn.XLOOKUP($C28,Assumptions!$B$36:$B$41,Assumptions!$B$36:$H$41))</f>
        <v>0</v>
      </c>
      <c r="NPK28">
        <f t="array" ref="NPK28">_xlfn.XLOOKUP(NPK$11,Assumptions!$B$35:$H$35,_xlfn.XLOOKUP($C28,Assumptions!$B$36:$B$41,Assumptions!$B$36:$H$41))</f>
        <v>0</v>
      </c>
      <c r="NPL28">
        <f t="array" ref="NPL28">_xlfn.XLOOKUP(NPL$11,Assumptions!$B$35:$H$35,_xlfn.XLOOKUP($C28,Assumptions!$B$36:$B$41,Assumptions!$B$36:$H$41))</f>
        <v>0</v>
      </c>
      <c r="NPM28">
        <f t="array" ref="NPM28">_xlfn.XLOOKUP(NPM$11,Assumptions!$B$35:$H$35,_xlfn.XLOOKUP($C28,Assumptions!$B$36:$B$41,Assumptions!$B$36:$H$41))</f>
        <v>0</v>
      </c>
      <c r="NPN28">
        <f t="array" ref="NPN28">_xlfn.XLOOKUP(NPN$11,Assumptions!$B$35:$H$35,_xlfn.XLOOKUP($C28,Assumptions!$B$36:$B$41,Assumptions!$B$36:$H$41))</f>
        <v>0</v>
      </c>
      <c r="NPO28">
        <f t="array" ref="NPO28">_xlfn.XLOOKUP(NPO$11,Assumptions!$B$35:$H$35,_xlfn.XLOOKUP($C28,Assumptions!$B$36:$B$41,Assumptions!$B$36:$H$41))</f>
        <v>0</v>
      </c>
      <c r="NPP28">
        <f t="array" ref="NPP28">_xlfn.XLOOKUP(NPP$11,Assumptions!$B$35:$H$35,_xlfn.XLOOKUP($C28,Assumptions!$B$36:$B$41,Assumptions!$B$36:$H$41))</f>
        <v>0</v>
      </c>
      <c r="NPQ28">
        <f t="array" ref="NPQ28">_xlfn.XLOOKUP(NPQ$11,Assumptions!$B$35:$H$35,_xlfn.XLOOKUP($C28,Assumptions!$B$36:$B$41,Assumptions!$B$36:$H$41))</f>
        <v>0</v>
      </c>
      <c r="NPR28">
        <f t="array" ref="NPR28">_xlfn.XLOOKUP(NPR$11,Assumptions!$B$35:$H$35,_xlfn.XLOOKUP($C28,Assumptions!$B$36:$B$41,Assumptions!$B$36:$H$41))</f>
        <v>0</v>
      </c>
      <c r="NPS28">
        <f t="array" ref="NPS28">_xlfn.XLOOKUP(NPS$11,Assumptions!$B$35:$H$35,_xlfn.XLOOKUP($C28,Assumptions!$B$36:$B$41,Assumptions!$B$36:$H$41))</f>
        <v>0</v>
      </c>
      <c r="NPT28">
        <f t="array" ref="NPT28">_xlfn.XLOOKUP(NPT$11,Assumptions!$B$35:$H$35,_xlfn.XLOOKUP($C28,Assumptions!$B$36:$B$41,Assumptions!$B$36:$H$41))</f>
        <v>0</v>
      </c>
      <c r="NPU28">
        <f t="array" ref="NPU28">_xlfn.XLOOKUP(NPU$11,Assumptions!$B$35:$H$35,_xlfn.XLOOKUP($C28,Assumptions!$B$36:$B$41,Assumptions!$B$36:$H$41))</f>
        <v>0</v>
      </c>
      <c r="NPV28">
        <f t="array" ref="NPV28">_xlfn.XLOOKUP(NPV$11,Assumptions!$B$35:$H$35,_xlfn.XLOOKUP($C28,Assumptions!$B$36:$B$41,Assumptions!$B$36:$H$41))</f>
        <v>0</v>
      </c>
      <c r="NPW28">
        <f t="array" ref="NPW28">_xlfn.XLOOKUP(NPW$11,Assumptions!$B$35:$H$35,_xlfn.XLOOKUP($C28,Assumptions!$B$36:$B$41,Assumptions!$B$36:$H$41))</f>
        <v>0</v>
      </c>
      <c r="NPX28">
        <f t="array" ref="NPX28">_xlfn.XLOOKUP(NPX$11,Assumptions!$B$35:$H$35,_xlfn.XLOOKUP($C28,Assumptions!$B$36:$B$41,Assumptions!$B$36:$H$41))</f>
        <v>0</v>
      </c>
      <c r="NPY28">
        <f t="array" ref="NPY28">_xlfn.XLOOKUP(NPY$11,Assumptions!$B$35:$H$35,_xlfn.XLOOKUP($C28,Assumptions!$B$36:$B$41,Assumptions!$B$36:$H$41))</f>
        <v>0</v>
      </c>
      <c r="NPZ28">
        <f t="array" ref="NPZ28">_xlfn.XLOOKUP(NPZ$11,Assumptions!$B$35:$H$35,_xlfn.XLOOKUP($C28,Assumptions!$B$36:$B$41,Assumptions!$B$36:$H$41))</f>
        <v>0</v>
      </c>
      <c r="NQA28">
        <f t="array" ref="NQA28">_xlfn.XLOOKUP(NQA$11,Assumptions!$B$35:$H$35,_xlfn.XLOOKUP($C28,Assumptions!$B$36:$B$41,Assumptions!$B$36:$H$41))</f>
        <v>0</v>
      </c>
      <c r="NQB28">
        <f t="array" ref="NQB28">_xlfn.XLOOKUP(NQB$11,Assumptions!$B$35:$H$35,_xlfn.XLOOKUP($C28,Assumptions!$B$36:$B$41,Assumptions!$B$36:$H$41))</f>
        <v>0</v>
      </c>
      <c r="NQC28">
        <f t="array" ref="NQC28">_xlfn.XLOOKUP(NQC$11,Assumptions!$B$35:$H$35,_xlfn.XLOOKUP($C28,Assumptions!$B$36:$B$41,Assumptions!$B$36:$H$41))</f>
        <v>0</v>
      </c>
      <c r="NQD28">
        <f t="array" ref="NQD28">_xlfn.XLOOKUP(NQD$11,Assumptions!$B$35:$H$35,_xlfn.XLOOKUP($C28,Assumptions!$B$36:$B$41,Assumptions!$B$36:$H$41))</f>
        <v>0</v>
      </c>
      <c r="NQE28">
        <f t="array" ref="NQE28">_xlfn.XLOOKUP(NQE$11,Assumptions!$B$35:$H$35,_xlfn.XLOOKUP($C28,Assumptions!$B$36:$B$41,Assumptions!$B$36:$H$41))</f>
        <v>0</v>
      </c>
      <c r="NQF28">
        <f t="array" ref="NQF28">_xlfn.XLOOKUP(NQF$11,Assumptions!$B$35:$H$35,_xlfn.XLOOKUP($C28,Assumptions!$B$36:$B$41,Assumptions!$B$36:$H$41))</f>
        <v>0</v>
      </c>
      <c r="NQG28">
        <f t="array" ref="NQG28">_xlfn.XLOOKUP(NQG$11,Assumptions!$B$35:$H$35,_xlfn.XLOOKUP($C28,Assumptions!$B$36:$B$41,Assumptions!$B$36:$H$41))</f>
        <v>0</v>
      </c>
      <c r="NQH28">
        <f t="array" ref="NQH28">_xlfn.XLOOKUP(NQH$11,Assumptions!$B$35:$H$35,_xlfn.XLOOKUP($C28,Assumptions!$B$36:$B$41,Assumptions!$B$36:$H$41))</f>
        <v>0</v>
      </c>
      <c r="NQI28">
        <f t="array" ref="NQI28">_xlfn.XLOOKUP(NQI$11,Assumptions!$B$35:$H$35,_xlfn.XLOOKUP($C28,Assumptions!$B$36:$B$41,Assumptions!$B$36:$H$41))</f>
        <v>0</v>
      </c>
      <c r="NQJ28">
        <f t="array" ref="NQJ28">_xlfn.XLOOKUP(NQJ$11,Assumptions!$B$35:$H$35,_xlfn.XLOOKUP($C28,Assumptions!$B$36:$B$41,Assumptions!$B$36:$H$41))</f>
        <v>0</v>
      </c>
      <c r="NQK28">
        <f t="array" ref="NQK28">_xlfn.XLOOKUP(NQK$11,Assumptions!$B$35:$H$35,_xlfn.XLOOKUP($C28,Assumptions!$B$36:$B$41,Assumptions!$B$36:$H$41))</f>
        <v>0</v>
      </c>
      <c r="NQL28">
        <f t="array" ref="NQL28">_xlfn.XLOOKUP(NQL$11,Assumptions!$B$35:$H$35,_xlfn.XLOOKUP($C28,Assumptions!$B$36:$B$41,Assumptions!$B$36:$H$41))</f>
        <v>0</v>
      </c>
      <c r="NQM28">
        <f t="array" ref="NQM28">_xlfn.XLOOKUP(NQM$11,Assumptions!$B$35:$H$35,_xlfn.XLOOKUP($C28,Assumptions!$B$36:$B$41,Assumptions!$B$36:$H$41))</f>
        <v>0</v>
      </c>
      <c r="NQN28">
        <f t="array" ref="NQN28">_xlfn.XLOOKUP(NQN$11,Assumptions!$B$35:$H$35,_xlfn.XLOOKUP($C28,Assumptions!$B$36:$B$41,Assumptions!$B$36:$H$41))</f>
        <v>0</v>
      </c>
      <c r="NQO28">
        <f t="array" ref="NQO28">_xlfn.XLOOKUP(NQO$11,Assumptions!$B$35:$H$35,_xlfn.XLOOKUP($C28,Assumptions!$B$36:$B$41,Assumptions!$B$36:$H$41))</f>
        <v>0</v>
      </c>
      <c r="NQP28">
        <f t="array" ref="NQP28">_xlfn.XLOOKUP(NQP$11,Assumptions!$B$35:$H$35,_xlfn.XLOOKUP($C28,Assumptions!$B$36:$B$41,Assumptions!$B$36:$H$41))</f>
        <v>0</v>
      </c>
      <c r="NQQ28">
        <f t="array" ref="NQQ28">_xlfn.XLOOKUP(NQQ$11,Assumptions!$B$35:$H$35,_xlfn.XLOOKUP($C28,Assumptions!$B$36:$B$41,Assumptions!$B$36:$H$41))</f>
        <v>0</v>
      </c>
      <c r="NQR28">
        <f t="array" ref="NQR28">_xlfn.XLOOKUP(NQR$11,Assumptions!$B$35:$H$35,_xlfn.XLOOKUP($C28,Assumptions!$B$36:$B$41,Assumptions!$B$36:$H$41))</f>
        <v>0</v>
      </c>
      <c r="NQS28">
        <f t="array" ref="NQS28">_xlfn.XLOOKUP(NQS$11,Assumptions!$B$35:$H$35,_xlfn.XLOOKUP($C28,Assumptions!$B$36:$B$41,Assumptions!$B$36:$H$41))</f>
        <v>0</v>
      </c>
      <c r="NQT28">
        <f t="array" ref="NQT28">_xlfn.XLOOKUP(NQT$11,Assumptions!$B$35:$H$35,_xlfn.XLOOKUP($C28,Assumptions!$B$36:$B$41,Assumptions!$B$36:$H$41))</f>
        <v>0</v>
      </c>
      <c r="NQU28">
        <f t="array" ref="NQU28">_xlfn.XLOOKUP(NQU$11,Assumptions!$B$35:$H$35,_xlfn.XLOOKUP($C28,Assumptions!$B$36:$B$41,Assumptions!$B$36:$H$41))</f>
        <v>0</v>
      </c>
      <c r="NQV28">
        <f t="array" ref="NQV28">_xlfn.XLOOKUP(NQV$11,Assumptions!$B$35:$H$35,_xlfn.XLOOKUP($C28,Assumptions!$B$36:$B$41,Assumptions!$B$36:$H$41))</f>
        <v>0</v>
      </c>
      <c r="NQW28">
        <f t="array" ref="NQW28">_xlfn.XLOOKUP(NQW$11,Assumptions!$B$35:$H$35,_xlfn.XLOOKUP($C28,Assumptions!$B$36:$B$41,Assumptions!$B$36:$H$41))</f>
        <v>0</v>
      </c>
      <c r="NQX28">
        <f t="array" ref="NQX28">_xlfn.XLOOKUP(NQX$11,Assumptions!$B$35:$H$35,_xlfn.XLOOKUP($C28,Assumptions!$B$36:$B$41,Assumptions!$B$36:$H$41))</f>
        <v>0</v>
      </c>
      <c r="NQY28">
        <f t="array" ref="NQY28">_xlfn.XLOOKUP(NQY$11,Assumptions!$B$35:$H$35,_xlfn.XLOOKUP($C28,Assumptions!$B$36:$B$41,Assumptions!$B$36:$H$41))</f>
        <v>0</v>
      </c>
      <c r="NQZ28">
        <f t="array" ref="NQZ28">_xlfn.XLOOKUP(NQZ$11,Assumptions!$B$35:$H$35,_xlfn.XLOOKUP($C28,Assumptions!$B$36:$B$41,Assumptions!$B$36:$H$41))</f>
        <v>0</v>
      </c>
      <c r="NRA28">
        <f t="array" ref="NRA28">_xlfn.XLOOKUP(NRA$11,Assumptions!$B$35:$H$35,_xlfn.XLOOKUP($C28,Assumptions!$B$36:$B$41,Assumptions!$B$36:$H$41))</f>
        <v>0</v>
      </c>
      <c r="NRB28">
        <f t="array" ref="NRB28">_xlfn.XLOOKUP(NRB$11,Assumptions!$B$35:$H$35,_xlfn.XLOOKUP($C28,Assumptions!$B$36:$B$41,Assumptions!$B$36:$H$41))</f>
        <v>0</v>
      </c>
      <c r="NRC28">
        <f t="array" ref="NRC28">_xlfn.XLOOKUP(NRC$11,Assumptions!$B$35:$H$35,_xlfn.XLOOKUP($C28,Assumptions!$B$36:$B$41,Assumptions!$B$36:$H$41))</f>
        <v>0</v>
      </c>
      <c r="NRD28">
        <f t="array" ref="NRD28">_xlfn.XLOOKUP(NRD$11,Assumptions!$B$35:$H$35,_xlfn.XLOOKUP($C28,Assumptions!$B$36:$B$41,Assumptions!$B$36:$H$41))</f>
        <v>0</v>
      </c>
      <c r="NRE28">
        <f t="array" ref="NRE28">_xlfn.XLOOKUP(NRE$11,Assumptions!$B$35:$H$35,_xlfn.XLOOKUP($C28,Assumptions!$B$36:$B$41,Assumptions!$B$36:$H$41))</f>
        <v>0</v>
      </c>
      <c r="NRF28">
        <f t="array" ref="NRF28">_xlfn.XLOOKUP(NRF$11,Assumptions!$B$35:$H$35,_xlfn.XLOOKUP($C28,Assumptions!$B$36:$B$41,Assumptions!$B$36:$H$41))</f>
        <v>0</v>
      </c>
      <c r="NRG28">
        <f t="array" ref="NRG28">_xlfn.XLOOKUP(NRG$11,Assumptions!$B$35:$H$35,_xlfn.XLOOKUP($C28,Assumptions!$B$36:$B$41,Assumptions!$B$36:$H$41))</f>
        <v>0</v>
      </c>
      <c r="NRH28">
        <f t="array" ref="NRH28">_xlfn.XLOOKUP(NRH$11,Assumptions!$B$35:$H$35,_xlfn.XLOOKUP($C28,Assumptions!$B$36:$B$41,Assumptions!$B$36:$H$41))</f>
        <v>0</v>
      </c>
      <c r="NRI28">
        <f t="array" ref="NRI28">_xlfn.XLOOKUP(NRI$11,Assumptions!$B$35:$H$35,_xlfn.XLOOKUP($C28,Assumptions!$B$36:$B$41,Assumptions!$B$36:$H$41))</f>
        <v>0</v>
      </c>
      <c r="NRJ28">
        <f t="array" ref="NRJ28">_xlfn.XLOOKUP(NRJ$11,Assumptions!$B$35:$H$35,_xlfn.XLOOKUP($C28,Assumptions!$B$36:$B$41,Assumptions!$B$36:$H$41))</f>
        <v>0</v>
      </c>
      <c r="NRK28">
        <f t="array" ref="NRK28">_xlfn.XLOOKUP(NRK$11,Assumptions!$B$35:$H$35,_xlfn.XLOOKUP($C28,Assumptions!$B$36:$B$41,Assumptions!$B$36:$H$41))</f>
        <v>0</v>
      </c>
      <c r="NRL28">
        <f t="array" ref="NRL28">_xlfn.XLOOKUP(NRL$11,Assumptions!$B$35:$H$35,_xlfn.XLOOKUP($C28,Assumptions!$B$36:$B$41,Assumptions!$B$36:$H$41))</f>
        <v>0</v>
      </c>
      <c r="NRM28">
        <f t="array" ref="NRM28">_xlfn.XLOOKUP(NRM$11,Assumptions!$B$35:$H$35,_xlfn.XLOOKUP($C28,Assumptions!$B$36:$B$41,Assumptions!$B$36:$H$41))</f>
        <v>0</v>
      </c>
      <c r="NRN28">
        <f t="array" ref="NRN28">_xlfn.XLOOKUP(NRN$11,Assumptions!$B$35:$H$35,_xlfn.XLOOKUP($C28,Assumptions!$B$36:$B$41,Assumptions!$B$36:$H$41))</f>
        <v>0</v>
      </c>
      <c r="NRO28">
        <f t="array" ref="NRO28">_xlfn.XLOOKUP(NRO$11,Assumptions!$B$35:$H$35,_xlfn.XLOOKUP($C28,Assumptions!$B$36:$B$41,Assumptions!$B$36:$H$41))</f>
        <v>0</v>
      </c>
      <c r="NRP28">
        <f t="array" ref="NRP28">_xlfn.XLOOKUP(NRP$11,Assumptions!$B$35:$H$35,_xlfn.XLOOKUP($C28,Assumptions!$B$36:$B$41,Assumptions!$B$36:$H$41))</f>
        <v>0</v>
      </c>
      <c r="NRQ28">
        <f t="array" ref="NRQ28">_xlfn.XLOOKUP(NRQ$11,Assumptions!$B$35:$H$35,_xlfn.XLOOKUP($C28,Assumptions!$B$36:$B$41,Assumptions!$B$36:$H$41))</f>
        <v>0</v>
      </c>
      <c r="NRR28">
        <f t="array" ref="NRR28">_xlfn.XLOOKUP(NRR$11,Assumptions!$B$35:$H$35,_xlfn.XLOOKUP($C28,Assumptions!$B$36:$B$41,Assumptions!$B$36:$H$41))</f>
        <v>0</v>
      </c>
      <c r="NRS28">
        <f t="array" ref="NRS28">_xlfn.XLOOKUP(NRS$11,Assumptions!$B$35:$H$35,_xlfn.XLOOKUP($C28,Assumptions!$B$36:$B$41,Assumptions!$B$36:$H$41))</f>
        <v>0</v>
      </c>
      <c r="NRT28">
        <f t="array" ref="NRT28">_xlfn.XLOOKUP(NRT$11,Assumptions!$B$35:$H$35,_xlfn.XLOOKUP($C28,Assumptions!$B$36:$B$41,Assumptions!$B$36:$H$41))</f>
        <v>0</v>
      </c>
      <c r="NRU28">
        <f t="array" ref="NRU28">_xlfn.XLOOKUP(NRU$11,Assumptions!$B$35:$H$35,_xlfn.XLOOKUP($C28,Assumptions!$B$36:$B$41,Assumptions!$B$36:$H$41))</f>
        <v>0</v>
      </c>
      <c r="NRV28">
        <f t="array" ref="NRV28">_xlfn.XLOOKUP(NRV$11,Assumptions!$B$35:$H$35,_xlfn.XLOOKUP($C28,Assumptions!$B$36:$B$41,Assumptions!$B$36:$H$41))</f>
        <v>0</v>
      </c>
      <c r="NRW28">
        <f t="array" ref="NRW28">_xlfn.XLOOKUP(NRW$11,Assumptions!$B$35:$H$35,_xlfn.XLOOKUP($C28,Assumptions!$B$36:$B$41,Assumptions!$B$36:$H$41))</f>
        <v>0</v>
      </c>
      <c r="NRX28">
        <f t="array" ref="NRX28">_xlfn.XLOOKUP(NRX$11,Assumptions!$B$35:$H$35,_xlfn.XLOOKUP($C28,Assumptions!$B$36:$B$41,Assumptions!$B$36:$H$41))</f>
        <v>0</v>
      </c>
      <c r="NRY28">
        <f t="array" ref="NRY28">_xlfn.XLOOKUP(NRY$11,Assumptions!$B$35:$H$35,_xlfn.XLOOKUP($C28,Assumptions!$B$36:$B$41,Assumptions!$B$36:$H$41))</f>
        <v>0</v>
      </c>
      <c r="NRZ28">
        <f t="array" ref="NRZ28">_xlfn.XLOOKUP(NRZ$11,Assumptions!$B$35:$H$35,_xlfn.XLOOKUP($C28,Assumptions!$B$36:$B$41,Assumptions!$B$36:$H$41))</f>
        <v>0</v>
      </c>
      <c r="NSA28">
        <f t="array" ref="NSA28">_xlfn.XLOOKUP(NSA$11,Assumptions!$B$35:$H$35,_xlfn.XLOOKUP($C28,Assumptions!$B$36:$B$41,Assumptions!$B$36:$H$41))</f>
        <v>0</v>
      </c>
      <c r="NSB28">
        <f t="array" ref="NSB28">_xlfn.XLOOKUP(NSB$11,Assumptions!$B$35:$H$35,_xlfn.XLOOKUP($C28,Assumptions!$B$36:$B$41,Assumptions!$B$36:$H$41))</f>
        <v>0</v>
      </c>
      <c r="NSC28">
        <f t="array" ref="NSC28">_xlfn.XLOOKUP(NSC$11,Assumptions!$B$35:$H$35,_xlfn.XLOOKUP($C28,Assumptions!$B$36:$B$41,Assumptions!$B$36:$H$41))</f>
        <v>0</v>
      </c>
      <c r="NSD28">
        <f t="array" ref="NSD28">_xlfn.XLOOKUP(NSD$11,Assumptions!$B$35:$H$35,_xlfn.XLOOKUP($C28,Assumptions!$B$36:$B$41,Assumptions!$B$36:$H$41))</f>
        <v>0</v>
      </c>
      <c r="NSE28">
        <f t="array" ref="NSE28">_xlfn.XLOOKUP(NSE$11,Assumptions!$B$35:$H$35,_xlfn.XLOOKUP($C28,Assumptions!$B$36:$B$41,Assumptions!$B$36:$H$41))</f>
        <v>0</v>
      </c>
      <c r="NSF28">
        <f t="array" ref="NSF28">_xlfn.XLOOKUP(NSF$11,Assumptions!$B$35:$H$35,_xlfn.XLOOKUP($C28,Assumptions!$B$36:$B$41,Assumptions!$B$36:$H$41))</f>
        <v>0</v>
      </c>
      <c r="NSG28">
        <f t="array" ref="NSG28">_xlfn.XLOOKUP(NSG$11,Assumptions!$B$35:$H$35,_xlfn.XLOOKUP($C28,Assumptions!$B$36:$B$41,Assumptions!$B$36:$H$41))</f>
        <v>0</v>
      </c>
      <c r="NSH28">
        <f t="array" ref="NSH28">_xlfn.XLOOKUP(NSH$11,Assumptions!$B$35:$H$35,_xlfn.XLOOKUP($C28,Assumptions!$B$36:$B$41,Assumptions!$B$36:$H$41))</f>
        <v>0</v>
      </c>
      <c r="NSI28">
        <f t="array" ref="NSI28">_xlfn.XLOOKUP(NSI$11,Assumptions!$B$35:$H$35,_xlfn.XLOOKUP($C28,Assumptions!$B$36:$B$41,Assumptions!$B$36:$H$41))</f>
        <v>0</v>
      </c>
      <c r="NSJ28">
        <f t="array" ref="NSJ28">_xlfn.XLOOKUP(NSJ$11,Assumptions!$B$35:$H$35,_xlfn.XLOOKUP($C28,Assumptions!$B$36:$B$41,Assumptions!$B$36:$H$41))</f>
        <v>0</v>
      </c>
      <c r="NSK28">
        <f t="array" ref="NSK28">_xlfn.XLOOKUP(NSK$11,Assumptions!$B$35:$H$35,_xlfn.XLOOKUP($C28,Assumptions!$B$36:$B$41,Assumptions!$B$36:$H$41))</f>
        <v>0</v>
      </c>
      <c r="NSL28">
        <f t="array" ref="NSL28">_xlfn.XLOOKUP(NSL$11,Assumptions!$B$35:$H$35,_xlfn.XLOOKUP($C28,Assumptions!$B$36:$B$41,Assumptions!$B$36:$H$41))</f>
        <v>0</v>
      </c>
      <c r="NSM28">
        <f t="array" ref="NSM28">_xlfn.XLOOKUP(NSM$11,Assumptions!$B$35:$H$35,_xlfn.XLOOKUP($C28,Assumptions!$B$36:$B$41,Assumptions!$B$36:$H$41))</f>
        <v>0</v>
      </c>
      <c r="NSN28">
        <f t="array" ref="NSN28">_xlfn.XLOOKUP(NSN$11,Assumptions!$B$35:$H$35,_xlfn.XLOOKUP($C28,Assumptions!$B$36:$B$41,Assumptions!$B$36:$H$41))</f>
        <v>0</v>
      </c>
      <c r="NSO28">
        <f t="array" ref="NSO28">_xlfn.XLOOKUP(NSO$11,Assumptions!$B$35:$H$35,_xlfn.XLOOKUP($C28,Assumptions!$B$36:$B$41,Assumptions!$B$36:$H$41))</f>
        <v>0</v>
      </c>
      <c r="NSP28">
        <f t="array" ref="NSP28">_xlfn.XLOOKUP(NSP$11,Assumptions!$B$35:$H$35,_xlfn.XLOOKUP($C28,Assumptions!$B$36:$B$41,Assumptions!$B$36:$H$41))</f>
        <v>0</v>
      </c>
      <c r="NSQ28">
        <f t="array" ref="NSQ28">_xlfn.XLOOKUP(NSQ$11,Assumptions!$B$35:$H$35,_xlfn.XLOOKUP($C28,Assumptions!$B$36:$B$41,Assumptions!$B$36:$H$41))</f>
        <v>0</v>
      </c>
      <c r="NSR28">
        <f t="array" ref="NSR28">_xlfn.XLOOKUP(NSR$11,Assumptions!$B$35:$H$35,_xlfn.XLOOKUP($C28,Assumptions!$B$36:$B$41,Assumptions!$B$36:$H$41))</f>
        <v>0</v>
      </c>
      <c r="NSS28">
        <f t="array" ref="NSS28">_xlfn.XLOOKUP(NSS$11,Assumptions!$B$35:$H$35,_xlfn.XLOOKUP($C28,Assumptions!$B$36:$B$41,Assumptions!$B$36:$H$41))</f>
        <v>0</v>
      </c>
      <c r="NST28">
        <f t="array" ref="NST28">_xlfn.XLOOKUP(NST$11,Assumptions!$B$35:$H$35,_xlfn.XLOOKUP($C28,Assumptions!$B$36:$B$41,Assumptions!$B$36:$H$41))</f>
        <v>0</v>
      </c>
      <c r="NSU28">
        <f t="array" ref="NSU28">_xlfn.XLOOKUP(NSU$11,Assumptions!$B$35:$H$35,_xlfn.XLOOKUP($C28,Assumptions!$B$36:$B$41,Assumptions!$B$36:$H$41))</f>
        <v>0</v>
      </c>
      <c r="NSV28">
        <f t="array" ref="NSV28">_xlfn.XLOOKUP(NSV$11,Assumptions!$B$35:$H$35,_xlfn.XLOOKUP($C28,Assumptions!$B$36:$B$41,Assumptions!$B$36:$H$41))</f>
        <v>0</v>
      </c>
      <c r="NSW28">
        <f t="array" ref="NSW28">_xlfn.XLOOKUP(NSW$11,Assumptions!$B$35:$H$35,_xlfn.XLOOKUP($C28,Assumptions!$B$36:$B$41,Assumptions!$B$36:$H$41))</f>
        <v>0</v>
      </c>
      <c r="NSX28">
        <f t="array" ref="NSX28">_xlfn.XLOOKUP(NSX$11,Assumptions!$B$35:$H$35,_xlfn.XLOOKUP($C28,Assumptions!$B$36:$B$41,Assumptions!$B$36:$H$41))</f>
        <v>0</v>
      </c>
      <c r="NSY28">
        <f t="array" ref="NSY28">_xlfn.XLOOKUP(NSY$11,Assumptions!$B$35:$H$35,_xlfn.XLOOKUP($C28,Assumptions!$B$36:$B$41,Assumptions!$B$36:$H$41))</f>
        <v>0</v>
      </c>
      <c r="NSZ28">
        <f t="array" ref="NSZ28">_xlfn.XLOOKUP(NSZ$11,Assumptions!$B$35:$H$35,_xlfn.XLOOKUP($C28,Assumptions!$B$36:$B$41,Assumptions!$B$36:$H$41))</f>
        <v>0</v>
      </c>
      <c r="NTA28">
        <f t="array" ref="NTA28">_xlfn.XLOOKUP(NTA$11,Assumptions!$B$35:$H$35,_xlfn.XLOOKUP($C28,Assumptions!$B$36:$B$41,Assumptions!$B$36:$H$41))</f>
        <v>0</v>
      </c>
      <c r="NTB28">
        <f t="array" ref="NTB28">_xlfn.XLOOKUP(NTB$11,Assumptions!$B$35:$H$35,_xlfn.XLOOKUP($C28,Assumptions!$B$36:$B$41,Assumptions!$B$36:$H$41))</f>
        <v>0</v>
      </c>
      <c r="NTC28">
        <f t="array" ref="NTC28">_xlfn.XLOOKUP(NTC$11,Assumptions!$B$35:$H$35,_xlfn.XLOOKUP($C28,Assumptions!$B$36:$B$41,Assumptions!$B$36:$H$41))</f>
        <v>0</v>
      </c>
      <c r="NTD28">
        <f t="array" ref="NTD28">_xlfn.XLOOKUP(NTD$11,Assumptions!$B$35:$H$35,_xlfn.XLOOKUP($C28,Assumptions!$B$36:$B$41,Assumptions!$B$36:$H$41))</f>
        <v>0</v>
      </c>
      <c r="NTE28">
        <f t="array" ref="NTE28">_xlfn.XLOOKUP(NTE$11,Assumptions!$B$35:$H$35,_xlfn.XLOOKUP($C28,Assumptions!$B$36:$B$41,Assumptions!$B$36:$H$41))</f>
        <v>0</v>
      </c>
      <c r="NTF28">
        <f t="array" ref="NTF28">_xlfn.XLOOKUP(NTF$11,Assumptions!$B$35:$H$35,_xlfn.XLOOKUP($C28,Assumptions!$B$36:$B$41,Assumptions!$B$36:$H$41))</f>
        <v>0</v>
      </c>
      <c r="NTG28">
        <f t="array" ref="NTG28">_xlfn.XLOOKUP(NTG$11,Assumptions!$B$35:$H$35,_xlfn.XLOOKUP($C28,Assumptions!$B$36:$B$41,Assumptions!$B$36:$H$41))</f>
        <v>0</v>
      </c>
      <c r="NTH28">
        <f t="array" ref="NTH28">_xlfn.XLOOKUP(NTH$11,Assumptions!$B$35:$H$35,_xlfn.XLOOKUP($C28,Assumptions!$B$36:$B$41,Assumptions!$B$36:$H$41))</f>
        <v>0</v>
      </c>
      <c r="NTI28">
        <f t="array" ref="NTI28">_xlfn.XLOOKUP(NTI$11,Assumptions!$B$35:$H$35,_xlfn.XLOOKUP($C28,Assumptions!$B$36:$B$41,Assumptions!$B$36:$H$41))</f>
        <v>0</v>
      </c>
      <c r="NTJ28">
        <f t="array" ref="NTJ28">_xlfn.XLOOKUP(NTJ$11,Assumptions!$B$35:$H$35,_xlfn.XLOOKUP($C28,Assumptions!$B$36:$B$41,Assumptions!$B$36:$H$41))</f>
        <v>0</v>
      </c>
      <c r="NTK28">
        <f t="array" ref="NTK28">_xlfn.XLOOKUP(NTK$11,Assumptions!$B$35:$H$35,_xlfn.XLOOKUP($C28,Assumptions!$B$36:$B$41,Assumptions!$B$36:$H$41))</f>
        <v>0</v>
      </c>
      <c r="NTL28">
        <f t="array" ref="NTL28">_xlfn.XLOOKUP(NTL$11,Assumptions!$B$35:$H$35,_xlfn.XLOOKUP($C28,Assumptions!$B$36:$B$41,Assumptions!$B$36:$H$41))</f>
        <v>0</v>
      </c>
      <c r="NTM28">
        <f t="array" ref="NTM28">_xlfn.XLOOKUP(NTM$11,Assumptions!$B$35:$H$35,_xlfn.XLOOKUP($C28,Assumptions!$B$36:$B$41,Assumptions!$B$36:$H$41))</f>
        <v>0</v>
      </c>
      <c r="NTN28">
        <f t="array" ref="NTN28">_xlfn.XLOOKUP(NTN$11,Assumptions!$B$35:$H$35,_xlfn.XLOOKUP($C28,Assumptions!$B$36:$B$41,Assumptions!$B$36:$H$41))</f>
        <v>0</v>
      </c>
      <c r="NTO28">
        <f t="array" ref="NTO28">_xlfn.XLOOKUP(NTO$11,Assumptions!$B$35:$H$35,_xlfn.XLOOKUP($C28,Assumptions!$B$36:$B$41,Assumptions!$B$36:$H$41))</f>
        <v>0</v>
      </c>
      <c r="NTP28">
        <f t="array" ref="NTP28">_xlfn.XLOOKUP(NTP$11,Assumptions!$B$35:$H$35,_xlfn.XLOOKUP($C28,Assumptions!$B$36:$B$41,Assumptions!$B$36:$H$41))</f>
        <v>0</v>
      </c>
      <c r="NTQ28">
        <f t="array" ref="NTQ28">_xlfn.XLOOKUP(NTQ$11,Assumptions!$B$35:$H$35,_xlfn.XLOOKUP($C28,Assumptions!$B$36:$B$41,Assumptions!$B$36:$H$41))</f>
        <v>0</v>
      </c>
      <c r="NTR28">
        <f t="array" ref="NTR28">_xlfn.XLOOKUP(NTR$11,Assumptions!$B$35:$H$35,_xlfn.XLOOKUP($C28,Assumptions!$B$36:$B$41,Assumptions!$B$36:$H$41))</f>
        <v>0</v>
      </c>
      <c r="NTS28">
        <f t="array" ref="NTS28">_xlfn.XLOOKUP(NTS$11,Assumptions!$B$35:$H$35,_xlfn.XLOOKUP($C28,Assumptions!$B$36:$B$41,Assumptions!$B$36:$H$41))</f>
        <v>0</v>
      </c>
      <c r="NTT28">
        <f t="array" ref="NTT28">_xlfn.XLOOKUP(NTT$11,Assumptions!$B$35:$H$35,_xlfn.XLOOKUP($C28,Assumptions!$B$36:$B$41,Assumptions!$B$36:$H$41))</f>
        <v>0</v>
      </c>
      <c r="NTU28">
        <f t="array" ref="NTU28">_xlfn.XLOOKUP(NTU$11,Assumptions!$B$35:$H$35,_xlfn.XLOOKUP($C28,Assumptions!$B$36:$B$41,Assumptions!$B$36:$H$41))</f>
        <v>0</v>
      </c>
      <c r="NTV28">
        <f t="array" ref="NTV28">_xlfn.XLOOKUP(NTV$11,Assumptions!$B$35:$H$35,_xlfn.XLOOKUP($C28,Assumptions!$B$36:$B$41,Assumptions!$B$36:$H$41))</f>
        <v>0</v>
      </c>
      <c r="NTW28">
        <f t="array" ref="NTW28">_xlfn.XLOOKUP(NTW$11,Assumptions!$B$35:$H$35,_xlfn.XLOOKUP($C28,Assumptions!$B$36:$B$41,Assumptions!$B$36:$H$41))</f>
        <v>0</v>
      </c>
      <c r="NTX28">
        <f t="array" ref="NTX28">_xlfn.XLOOKUP(NTX$11,Assumptions!$B$35:$H$35,_xlfn.XLOOKUP($C28,Assumptions!$B$36:$B$41,Assumptions!$B$36:$H$41))</f>
        <v>0</v>
      </c>
      <c r="NTY28">
        <f t="array" ref="NTY28">_xlfn.XLOOKUP(NTY$11,Assumptions!$B$35:$H$35,_xlfn.XLOOKUP($C28,Assumptions!$B$36:$B$41,Assumptions!$B$36:$H$41))</f>
        <v>0</v>
      </c>
      <c r="NTZ28">
        <f t="array" ref="NTZ28">_xlfn.XLOOKUP(NTZ$11,Assumptions!$B$35:$H$35,_xlfn.XLOOKUP($C28,Assumptions!$B$36:$B$41,Assumptions!$B$36:$H$41))</f>
        <v>0</v>
      </c>
      <c r="NUA28">
        <f t="array" ref="NUA28">_xlfn.XLOOKUP(NUA$11,Assumptions!$B$35:$H$35,_xlfn.XLOOKUP($C28,Assumptions!$B$36:$B$41,Assumptions!$B$36:$H$41))</f>
        <v>0</v>
      </c>
      <c r="NUB28">
        <f t="array" ref="NUB28">_xlfn.XLOOKUP(NUB$11,Assumptions!$B$35:$H$35,_xlfn.XLOOKUP($C28,Assumptions!$B$36:$B$41,Assumptions!$B$36:$H$41))</f>
        <v>0</v>
      </c>
      <c r="NUC28">
        <f t="array" ref="NUC28">_xlfn.XLOOKUP(NUC$11,Assumptions!$B$35:$H$35,_xlfn.XLOOKUP($C28,Assumptions!$B$36:$B$41,Assumptions!$B$36:$H$41))</f>
        <v>0</v>
      </c>
      <c r="NUD28">
        <f t="array" ref="NUD28">_xlfn.XLOOKUP(NUD$11,Assumptions!$B$35:$H$35,_xlfn.XLOOKUP($C28,Assumptions!$B$36:$B$41,Assumptions!$B$36:$H$41))</f>
        <v>0</v>
      </c>
      <c r="NUE28">
        <f t="array" ref="NUE28">_xlfn.XLOOKUP(NUE$11,Assumptions!$B$35:$H$35,_xlfn.XLOOKUP($C28,Assumptions!$B$36:$B$41,Assumptions!$B$36:$H$41))</f>
        <v>0</v>
      </c>
      <c r="NUF28">
        <f t="array" ref="NUF28">_xlfn.XLOOKUP(NUF$11,Assumptions!$B$35:$H$35,_xlfn.XLOOKUP($C28,Assumptions!$B$36:$B$41,Assumptions!$B$36:$H$41))</f>
        <v>0</v>
      </c>
      <c r="NUG28">
        <f t="array" ref="NUG28">_xlfn.XLOOKUP(NUG$11,Assumptions!$B$35:$H$35,_xlfn.XLOOKUP($C28,Assumptions!$B$36:$B$41,Assumptions!$B$36:$H$41))</f>
        <v>0</v>
      </c>
      <c r="NUH28">
        <f t="array" ref="NUH28">_xlfn.XLOOKUP(NUH$11,Assumptions!$B$35:$H$35,_xlfn.XLOOKUP($C28,Assumptions!$B$36:$B$41,Assumptions!$B$36:$H$41))</f>
        <v>0</v>
      </c>
      <c r="NUI28">
        <f t="array" ref="NUI28">_xlfn.XLOOKUP(NUI$11,Assumptions!$B$35:$H$35,_xlfn.XLOOKUP($C28,Assumptions!$B$36:$B$41,Assumptions!$B$36:$H$41))</f>
        <v>0</v>
      </c>
      <c r="NUJ28">
        <f t="array" ref="NUJ28">_xlfn.XLOOKUP(NUJ$11,Assumptions!$B$35:$H$35,_xlfn.XLOOKUP($C28,Assumptions!$B$36:$B$41,Assumptions!$B$36:$H$41))</f>
        <v>0</v>
      </c>
      <c r="NUK28">
        <f t="array" ref="NUK28">_xlfn.XLOOKUP(NUK$11,Assumptions!$B$35:$H$35,_xlfn.XLOOKUP($C28,Assumptions!$B$36:$B$41,Assumptions!$B$36:$H$41))</f>
        <v>0</v>
      </c>
      <c r="NUL28">
        <f t="array" ref="NUL28">_xlfn.XLOOKUP(NUL$11,Assumptions!$B$35:$H$35,_xlfn.XLOOKUP($C28,Assumptions!$B$36:$B$41,Assumptions!$B$36:$H$41))</f>
        <v>0</v>
      </c>
      <c r="NUM28">
        <f t="array" ref="NUM28">_xlfn.XLOOKUP(NUM$11,Assumptions!$B$35:$H$35,_xlfn.XLOOKUP($C28,Assumptions!$B$36:$B$41,Assumptions!$B$36:$H$41))</f>
        <v>0</v>
      </c>
      <c r="NUN28">
        <f t="array" ref="NUN28">_xlfn.XLOOKUP(NUN$11,Assumptions!$B$35:$H$35,_xlfn.XLOOKUP($C28,Assumptions!$B$36:$B$41,Assumptions!$B$36:$H$41))</f>
        <v>0</v>
      </c>
      <c r="NUO28">
        <f t="array" ref="NUO28">_xlfn.XLOOKUP(NUO$11,Assumptions!$B$35:$H$35,_xlfn.XLOOKUP($C28,Assumptions!$B$36:$B$41,Assumptions!$B$36:$H$41))</f>
        <v>0</v>
      </c>
      <c r="NUP28">
        <f t="array" ref="NUP28">_xlfn.XLOOKUP(NUP$11,Assumptions!$B$35:$H$35,_xlfn.XLOOKUP($C28,Assumptions!$B$36:$B$41,Assumptions!$B$36:$H$41))</f>
        <v>0</v>
      </c>
      <c r="NUQ28">
        <f t="array" ref="NUQ28">_xlfn.XLOOKUP(NUQ$11,Assumptions!$B$35:$H$35,_xlfn.XLOOKUP($C28,Assumptions!$B$36:$B$41,Assumptions!$B$36:$H$41))</f>
        <v>0</v>
      </c>
      <c r="NUR28">
        <f t="array" ref="NUR28">_xlfn.XLOOKUP(NUR$11,Assumptions!$B$35:$H$35,_xlfn.XLOOKUP($C28,Assumptions!$B$36:$B$41,Assumptions!$B$36:$H$41))</f>
        <v>0</v>
      </c>
      <c r="NUS28">
        <f t="array" ref="NUS28">_xlfn.XLOOKUP(NUS$11,Assumptions!$B$35:$H$35,_xlfn.XLOOKUP($C28,Assumptions!$B$36:$B$41,Assumptions!$B$36:$H$41))</f>
        <v>0</v>
      </c>
      <c r="NUT28">
        <f t="array" ref="NUT28">_xlfn.XLOOKUP(NUT$11,Assumptions!$B$35:$H$35,_xlfn.XLOOKUP($C28,Assumptions!$B$36:$B$41,Assumptions!$B$36:$H$41))</f>
        <v>0</v>
      </c>
      <c r="NUU28">
        <f t="array" ref="NUU28">_xlfn.XLOOKUP(NUU$11,Assumptions!$B$35:$H$35,_xlfn.XLOOKUP($C28,Assumptions!$B$36:$B$41,Assumptions!$B$36:$H$41))</f>
        <v>0</v>
      </c>
      <c r="NUV28">
        <f t="array" ref="NUV28">_xlfn.XLOOKUP(NUV$11,Assumptions!$B$35:$H$35,_xlfn.XLOOKUP($C28,Assumptions!$B$36:$B$41,Assumptions!$B$36:$H$41))</f>
        <v>0</v>
      </c>
      <c r="NUW28">
        <f t="array" ref="NUW28">_xlfn.XLOOKUP(NUW$11,Assumptions!$B$35:$H$35,_xlfn.XLOOKUP($C28,Assumptions!$B$36:$B$41,Assumptions!$B$36:$H$41))</f>
        <v>0</v>
      </c>
      <c r="NUX28">
        <f t="array" ref="NUX28">_xlfn.XLOOKUP(NUX$11,Assumptions!$B$35:$H$35,_xlfn.XLOOKUP($C28,Assumptions!$B$36:$B$41,Assumptions!$B$36:$H$41))</f>
        <v>0</v>
      </c>
      <c r="NUY28">
        <f t="array" ref="NUY28">_xlfn.XLOOKUP(NUY$11,Assumptions!$B$35:$H$35,_xlfn.XLOOKUP($C28,Assumptions!$B$36:$B$41,Assumptions!$B$36:$H$41))</f>
        <v>0</v>
      </c>
      <c r="NUZ28">
        <f t="array" ref="NUZ28">_xlfn.XLOOKUP(NUZ$11,Assumptions!$B$35:$H$35,_xlfn.XLOOKUP($C28,Assumptions!$B$36:$B$41,Assumptions!$B$36:$H$41))</f>
        <v>0</v>
      </c>
      <c r="NVA28">
        <f t="array" ref="NVA28">_xlfn.XLOOKUP(NVA$11,Assumptions!$B$35:$H$35,_xlfn.XLOOKUP($C28,Assumptions!$B$36:$B$41,Assumptions!$B$36:$H$41))</f>
        <v>0</v>
      </c>
      <c r="NVB28">
        <f t="array" ref="NVB28">_xlfn.XLOOKUP(NVB$11,Assumptions!$B$35:$H$35,_xlfn.XLOOKUP($C28,Assumptions!$B$36:$B$41,Assumptions!$B$36:$H$41))</f>
        <v>0</v>
      </c>
      <c r="NVC28">
        <f t="array" ref="NVC28">_xlfn.XLOOKUP(NVC$11,Assumptions!$B$35:$H$35,_xlfn.XLOOKUP($C28,Assumptions!$B$36:$B$41,Assumptions!$B$36:$H$41))</f>
        <v>0</v>
      </c>
      <c r="NVD28">
        <f t="array" ref="NVD28">_xlfn.XLOOKUP(NVD$11,Assumptions!$B$35:$H$35,_xlfn.XLOOKUP($C28,Assumptions!$B$36:$B$41,Assumptions!$B$36:$H$41))</f>
        <v>0</v>
      </c>
      <c r="NVE28">
        <f t="array" ref="NVE28">_xlfn.XLOOKUP(NVE$11,Assumptions!$B$35:$H$35,_xlfn.XLOOKUP($C28,Assumptions!$B$36:$B$41,Assumptions!$B$36:$H$41))</f>
        <v>0</v>
      </c>
      <c r="NVF28">
        <f t="array" ref="NVF28">_xlfn.XLOOKUP(NVF$11,Assumptions!$B$35:$H$35,_xlfn.XLOOKUP($C28,Assumptions!$B$36:$B$41,Assumptions!$B$36:$H$41))</f>
        <v>0</v>
      </c>
      <c r="NVG28">
        <f t="array" ref="NVG28">_xlfn.XLOOKUP(NVG$11,Assumptions!$B$35:$H$35,_xlfn.XLOOKUP($C28,Assumptions!$B$36:$B$41,Assumptions!$B$36:$H$41))</f>
        <v>0</v>
      </c>
      <c r="NVH28">
        <f t="array" ref="NVH28">_xlfn.XLOOKUP(NVH$11,Assumptions!$B$35:$H$35,_xlfn.XLOOKUP($C28,Assumptions!$B$36:$B$41,Assumptions!$B$36:$H$41))</f>
        <v>0</v>
      </c>
      <c r="NVI28">
        <f t="array" ref="NVI28">_xlfn.XLOOKUP(NVI$11,Assumptions!$B$35:$H$35,_xlfn.XLOOKUP($C28,Assumptions!$B$36:$B$41,Assumptions!$B$36:$H$41))</f>
        <v>0</v>
      </c>
      <c r="NVJ28">
        <f t="array" ref="NVJ28">_xlfn.XLOOKUP(NVJ$11,Assumptions!$B$35:$H$35,_xlfn.XLOOKUP($C28,Assumptions!$B$36:$B$41,Assumptions!$B$36:$H$41))</f>
        <v>0</v>
      </c>
      <c r="NVK28">
        <f t="array" ref="NVK28">_xlfn.XLOOKUP(NVK$11,Assumptions!$B$35:$H$35,_xlfn.XLOOKUP($C28,Assumptions!$B$36:$B$41,Assumptions!$B$36:$H$41))</f>
        <v>0</v>
      </c>
      <c r="NVL28">
        <f t="array" ref="NVL28">_xlfn.XLOOKUP(NVL$11,Assumptions!$B$35:$H$35,_xlfn.XLOOKUP($C28,Assumptions!$B$36:$B$41,Assumptions!$B$36:$H$41))</f>
        <v>0</v>
      </c>
      <c r="NVM28">
        <f t="array" ref="NVM28">_xlfn.XLOOKUP(NVM$11,Assumptions!$B$35:$H$35,_xlfn.XLOOKUP($C28,Assumptions!$B$36:$B$41,Assumptions!$B$36:$H$41))</f>
        <v>0</v>
      </c>
      <c r="NVN28">
        <f t="array" ref="NVN28">_xlfn.XLOOKUP(NVN$11,Assumptions!$B$35:$H$35,_xlfn.XLOOKUP($C28,Assumptions!$B$36:$B$41,Assumptions!$B$36:$H$41))</f>
        <v>0</v>
      </c>
      <c r="NVO28">
        <f t="array" ref="NVO28">_xlfn.XLOOKUP(NVO$11,Assumptions!$B$35:$H$35,_xlfn.XLOOKUP($C28,Assumptions!$B$36:$B$41,Assumptions!$B$36:$H$41))</f>
        <v>0</v>
      </c>
      <c r="NVP28">
        <f t="array" ref="NVP28">_xlfn.XLOOKUP(NVP$11,Assumptions!$B$35:$H$35,_xlfn.XLOOKUP($C28,Assumptions!$B$36:$B$41,Assumptions!$B$36:$H$41))</f>
        <v>0</v>
      </c>
      <c r="NVQ28">
        <f t="array" ref="NVQ28">_xlfn.XLOOKUP(NVQ$11,Assumptions!$B$35:$H$35,_xlfn.XLOOKUP($C28,Assumptions!$B$36:$B$41,Assumptions!$B$36:$H$41))</f>
        <v>0</v>
      </c>
      <c r="NVR28">
        <f t="array" ref="NVR28">_xlfn.XLOOKUP(NVR$11,Assumptions!$B$35:$H$35,_xlfn.XLOOKUP($C28,Assumptions!$B$36:$B$41,Assumptions!$B$36:$H$41))</f>
        <v>0</v>
      </c>
      <c r="NVS28">
        <f t="array" ref="NVS28">_xlfn.XLOOKUP(NVS$11,Assumptions!$B$35:$H$35,_xlfn.XLOOKUP($C28,Assumptions!$B$36:$B$41,Assumptions!$B$36:$H$41))</f>
        <v>0</v>
      </c>
      <c r="NVT28">
        <f t="array" ref="NVT28">_xlfn.XLOOKUP(NVT$11,Assumptions!$B$35:$H$35,_xlfn.XLOOKUP($C28,Assumptions!$B$36:$B$41,Assumptions!$B$36:$H$41))</f>
        <v>0</v>
      </c>
      <c r="NVU28">
        <f t="array" ref="NVU28">_xlfn.XLOOKUP(NVU$11,Assumptions!$B$35:$H$35,_xlfn.XLOOKUP($C28,Assumptions!$B$36:$B$41,Assumptions!$B$36:$H$41))</f>
        <v>0</v>
      </c>
      <c r="NVV28">
        <f t="array" ref="NVV28">_xlfn.XLOOKUP(NVV$11,Assumptions!$B$35:$H$35,_xlfn.XLOOKUP($C28,Assumptions!$B$36:$B$41,Assumptions!$B$36:$H$41))</f>
        <v>0</v>
      </c>
      <c r="NVW28">
        <f t="array" ref="NVW28">_xlfn.XLOOKUP(NVW$11,Assumptions!$B$35:$H$35,_xlfn.XLOOKUP($C28,Assumptions!$B$36:$B$41,Assumptions!$B$36:$H$41))</f>
        <v>0</v>
      </c>
      <c r="NVX28">
        <f t="array" ref="NVX28">_xlfn.XLOOKUP(NVX$11,Assumptions!$B$35:$H$35,_xlfn.XLOOKUP($C28,Assumptions!$B$36:$B$41,Assumptions!$B$36:$H$41))</f>
        <v>0</v>
      </c>
      <c r="NVY28">
        <f t="array" ref="NVY28">_xlfn.XLOOKUP(NVY$11,Assumptions!$B$35:$H$35,_xlfn.XLOOKUP($C28,Assumptions!$B$36:$B$41,Assumptions!$B$36:$H$41))</f>
        <v>0</v>
      </c>
      <c r="NVZ28">
        <f t="array" ref="NVZ28">_xlfn.XLOOKUP(NVZ$11,Assumptions!$B$35:$H$35,_xlfn.XLOOKUP($C28,Assumptions!$B$36:$B$41,Assumptions!$B$36:$H$41))</f>
        <v>0</v>
      </c>
      <c r="NWA28">
        <f t="array" ref="NWA28">_xlfn.XLOOKUP(NWA$11,Assumptions!$B$35:$H$35,_xlfn.XLOOKUP($C28,Assumptions!$B$36:$B$41,Assumptions!$B$36:$H$41))</f>
        <v>0</v>
      </c>
      <c r="NWB28">
        <f t="array" ref="NWB28">_xlfn.XLOOKUP(NWB$11,Assumptions!$B$35:$H$35,_xlfn.XLOOKUP($C28,Assumptions!$B$36:$B$41,Assumptions!$B$36:$H$41))</f>
        <v>0</v>
      </c>
      <c r="NWC28">
        <f t="array" ref="NWC28">_xlfn.XLOOKUP(NWC$11,Assumptions!$B$35:$H$35,_xlfn.XLOOKUP($C28,Assumptions!$B$36:$B$41,Assumptions!$B$36:$H$41))</f>
        <v>0</v>
      </c>
      <c r="NWD28">
        <f t="array" ref="NWD28">_xlfn.XLOOKUP(NWD$11,Assumptions!$B$35:$H$35,_xlfn.XLOOKUP($C28,Assumptions!$B$36:$B$41,Assumptions!$B$36:$H$41))</f>
        <v>0</v>
      </c>
      <c r="NWE28">
        <f t="array" ref="NWE28">_xlfn.XLOOKUP(NWE$11,Assumptions!$B$35:$H$35,_xlfn.XLOOKUP($C28,Assumptions!$B$36:$B$41,Assumptions!$B$36:$H$41))</f>
        <v>0</v>
      </c>
      <c r="NWF28">
        <f t="array" ref="NWF28">_xlfn.XLOOKUP(NWF$11,Assumptions!$B$35:$H$35,_xlfn.XLOOKUP($C28,Assumptions!$B$36:$B$41,Assumptions!$B$36:$H$41))</f>
        <v>0</v>
      </c>
      <c r="NWG28">
        <f t="array" ref="NWG28">_xlfn.XLOOKUP(NWG$11,Assumptions!$B$35:$H$35,_xlfn.XLOOKUP($C28,Assumptions!$B$36:$B$41,Assumptions!$B$36:$H$41))</f>
        <v>0</v>
      </c>
      <c r="NWH28">
        <f t="array" ref="NWH28">_xlfn.XLOOKUP(NWH$11,Assumptions!$B$35:$H$35,_xlfn.XLOOKUP($C28,Assumptions!$B$36:$B$41,Assumptions!$B$36:$H$41))</f>
        <v>0</v>
      </c>
      <c r="NWI28">
        <f t="array" ref="NWI28">_xlfn.XLOOKUP(NWI$11,Assumptions!$B$35:$H$35,_xlfn.XLOOKUP($C28,Assumptions!$B$36:$B$41,Assumptions!$B$36:$H$41))</f>
        <v>0</v>
      </c>
      <c r="NWJ28">
        <f t="array" ref="NWJ28">_xlfn.XLOOKUP(NWJ$11,Assumptions!$B$35:$H$35,_xlfn.XLOOKUP($C28,Assumptions!$B$36:$B$41,Assumptions!$B$36:$H$41))</f>
        <v>0</v>
      </c>
      <c r="NWK28">
        <f t="array" ref="NWK28">_xlfn.XLOOKUP(NWK$11,Assumptions!$B$35:$H$35,_xlfn.XLOOKUP($C28,Assumptions!$B$36:$B$41,Assumptions!$B$36:$H$41))</f>
        <v>0</v>
      </c>
      <c r="NWL28">
        <f t="array" ref="NWL28">_xlfn.XLOOKUP(NWL$11,Assumptions!$B$35:$H$35,_xlfn.XLOOKUP($C28,Assumptions!$B$36:$B$41,Assumptions!$B$36:$H$41))</f>
        <v>0</v>
      </c>
      <c r="NWM28">
        <f t="array" ref="NWM28">_xlfn.XLOOKUP(NWM$11,Assumptions!$B$35:$H$35,_xlfn.XLOOKUP($C28,Assumptions!$B$36:$B$41,Assumptions!$B$36:$H$41))</f>
        <v>0</v>
      </c>
      <c r="NWN28">
        <f t="array" ref="NWN28">_xlfn.XLOOKUP(NWN$11,Assumptions!$B$35:$H$35,_xlfn.XLOOKUP($C28,Assumptions!$B$36:$B$41,Assumptions!$B$36:$H$41))</f>
        <v>0</v>
      </c>
      <c r="NWO28">
        <f t="array" ref="NWO28">_xlfn.XLOOKUP(NWO$11,Assumptions!$B$35:$H$35,_xlfn.XLOOKUP($C28,Assumptions!$B$36:$B$41,Assumptions!$B$36:$H$41))</f>
        <v>0</v>
      </c>
      <c r="NWP28">
        <f t="array" ref="NWP28">_xlfn.XLOOKUP(NWP$11,Assumptions!$B$35:$H$35,_xlfn.XLOOKUP($C28,Assumptions!$B$36:$B$41,Assumptions!$B$36:$H$41))</f>
        <v>0</v>
      </c>
      <c r="NWQ28">
        <f t="array" ref="NWQ28">_xlfn.XLOOKUP(NWQ$11,Assumptions!$B$35:$H$35,_xlfn.XLOOKUP($C28,Assumptions!$B$36:$B$41,Assumptions!$B$36:$H$41))</f>
        <v>0</v>
      </c>
      <c r="NWR28">
        <f t="array" ref="NWR28">_xlfn.XLOOKUP(NWR$11,Assumptions!$B$35:$H$35,_xlfn.XLOOKUP($C28,Assumptions!$B$36:$B$41,Assumptions!$B$36:$H$41))</f>
        <v>0</v>
      </c>
      <c r="NWS28">
        <f t="array" ref="NWS28">_xlfn.XLOOKUP(NWS$11,Assumptions!$B$35:$H$35,_xlfn.XLOOKUP($C28,Assumptions!$B$36:$B$41,Assumptions!$B$36:$H$41))</f>
        <v>0</v>
      </c>
      <c r="NWT28">
        <f t="array" ref="NWT28">_xlfn.XLOOKUP(NWT$11,Assumptions!$B$35:$H$35,_xlfn.XLOOKUP($C28,Assumptions!$B$36:$B$41,Assumptions!$B$36:$H$41))</f>
        <v>0</v>
      </c>
      <c r="NWU28">
        <f t="array" ref="NWU28">_xlfn.XLOOKUP(NWU$11,Assumptions!$B$35:$H$35,_xlfn.XLOOKUP($C28,Assumptions!$B$36:$B$41,Assumptions!$B$36:$H$41))</f>
        <v>0</v>
      </c>
      <c r="NWV28">
        <f t="array" ref="NWV28">_xlfn.XLOOKUP(NWV$11,Assumptions!$B$35:$H$35,_xlfn.XLOOKUP($C28,Assumptions!$B$36:$B$41,Assumptions!$B$36:$H$41))</f>
        <v>0</v>
      </c>
      <c r="NWW28">
        <f t="array" ref="NWW28">_xlfn.XLOOKUP(NWW$11,Assumptions!$B$35:$H$35,_xlfn.XLOOKUP($C28,Assumptions!$B$36:$B$41,Assumptions!$B$36:$H$41))</f>
        <v>0</v>
      </c>
      <c r="NWX28">
        <f t="array" ref="NWX28">_xlfn.XLOOKUP(NWX$11,Assumptions!$B$35:$H$35,_xlfn.XLOOKUP($C28,Assumptions!$B$36:$B$41,Assumptions!$B$36:$H$41))</f>
        <v>0</v>
      </c>
      <c r="NWY28">
        <f t="array" ref="NWY28">_xlfn.XLOOKUP(NWY$11,Assumptions!$B$35:$H$35,_xlfn.XLOOKUP($C28,Assumptions!$B$36:$B$41,Assumptions!$B$36:$H$41))</f>
        <v>0</v>
      </c>
      <c r="NWZ28">
        <f t="array" ref="NWZ28">_xlfn.XLOOKUP(NWZ$11,Assumptions!$B$35:$H$35,_xlfn.XLOOKUP($C28,Assumptions!$B$36:$B$41,Assumptions!$B$36:$H$41))</f>
        <v>0</v>
      </c>
      <c r="NXA28">
        <f t="array" ref="NXA28">_xlfn.XLOOKUP(NXA$11,Assumptions!$B$35:$H$35,_xlfn.XLOOKUP($C28,Assumptions!$B$36:$B$41,Assumptions!$B$36:$H$41))</f>
        <v>0</v>
      </c>
      <c r="NXB28">
        <f t="array" ref="NXB28">_xlfn.XLOOKUP(NXB$11,Assumptions!$B$35:$H$35,_xlfn.XLOOKUP($C28,Assumptions!$B$36:$B$41,Assumptions!$B$36:$H$41))</f>
        <v>0</v>
      </c>
      <c r="NXC28">
        <f t="array" ref="NXC28">_xlfn.XLOOKUP(NXC$11,Assumptions!$B$35:$H$35,_xlfn.XLOOKUP($C28,Assumptions!$B$36:$B$41,Assumptions!$B$36:$H$41))</f>
        <v>0</v>
      </c>
      <c r="NXD28">
        <f t="array" ref="NXD28">_xlfn.XLOOKUP(NXD$11,Assumptions!$B$35:$H$35,_xlfn.XLOOKUP($C28,Assumptions!$B$36:$B$41,Assumptions!$B$36:$H$41))</f>
        <v>0</v>
      </c>
      <c r="NXE28">
        <f t="array" ref="NXE28">_xlfn.XLOOKUP(NXE$11,Assumptions!$B$35:$H$35,_xlfn.XLOOKUP($C28,Assumptions!$B$36:$B$41,Assumptions!$B$36:$H$41))</f>
        <v>0</v>
      </c>
      <c r="NXF28">
        <f t="array" ref="NXF28">_xlfn.XLOOKUP(NXF$11,Assumptions!$B$35:$H$35,_xlfn.XLOOKUP($C28,Assumptions!$B$36:$B$41,Assumptions!$B$36:$H$41))</f>
        <v>0</v>
      </c>
      <c r="NXG28">
        <f t="array" ref="NXG28">_xlfn.XLOOKUP(NXG$11,Assumptions!$B$35:$H$35,_xlfn.XLOOKUP($C28,Assumptions!$B$36:$B$41,Assumptions!$B$36:$H$41))</f>
        <v>0</v>
      </c>
      <c r="NXH28">
        <f t="array" ref="NXH28">_xlfn.XLOOKUP(NXH$11,Assumptions!$B$35:$H$35,_xlfn.XLOOKUP($C28,Assumptions!$B$36:$B$41,Assumptions!$B$36:$H$41))</f>
        <v>0</v>
      </c>
      <c r="NXI28">
        <f t="array" ref="NXI28">_xlfn.XLOOKUP(NXI$11,Assumptions!$B$35:$H$35,_xlfn.XLOOKUP($C28,Assumptions!$B$36:$B$41,Assumptions!$B$36:$H$41))</f>
        <v>0</v>
      </c>
      <c r="NXJ28">
        <f t="array" ref="NXJ28">_xlfn.XLOOKUP(NXJ$11,Assumptions!$B$35:$H$35,_xlfn.XLOOKUP($C28,Assumptions!$B$36:$B$41,Assumptions!$B$36:$H$41))</f>
        <v>0</v>
      </c>
      <c r="NXK28">
        <f t="array" ref="NXK28">_xlfn.XLOOKUP(NXK$11,Assumptions!$B$35:$H$35,_xlfn.XLOOKUP($C28,Assumptions!$B$36:$B$41,Assumptions!$B$36:$H$41))</f>
        <v>0</v>
      </c>
      <c r="NXL28">
        <f t="array" ref="NXL28">_xlfn.XLOOKUP(NXL$11,Assumptions!$B$35:$H$35,_xlfn.XLOOKUP($C28,Assumptions!$B$36:$B$41,Assumptions!$B$36:$H$41))</f>
        <v>0</v>
      </c>
      <c r="NXM28">
        <f t="array" ref="NXM28">_xlfn.XLOOKUP(NXM$11,Assumptions!$B$35:$H$35,_xlfn.XLOOKUP($C28,Assumptions!$B$36:$B$41,Assumptions!$B$36:$H$41))</f>
        <v>0</v>
      </c>
      <c r="NXN28">
        <f t="array" ref="NXN28">_xlfn.XLOOKUP(NXN$11,Assumptions!$B$35:$H$35,_xlfn.XLOOKUP($C28,Assumptions!$B$36:$B$41,Assumptions!$B$36:$H$41))</f>
        <v>0</v>
      </c>
      <c r="NXO28">
        <f t="array" ref="NXO28">_xlfn.XLOOKUP(NXO$11,Assumptions!$B$35:$H$35,_xlfn.XLOOKUP($C28,Assumptions!$B$36:$B$41,Assumptions!$B$36:$H$41))</f>
        <v>0</v>
      </c>
      <c r="NXP28">
        <f t="array" ref="NXP28">_xlfn.XLOOKUP(NXP$11,Assumptions!$B$35:$H$35,_xlfn.XLOOKUP($C28,Assumptions!$B$36:$B$41,Assumptions!$B$36:$H$41))</f>
        <v>0</v>
      </c>
      <c r="NXQ28">
        <f t="array" ref="NXQ28">_xlfn.XLOOKUP(NXQ$11,Assumptions!$B$35:$H$35,_xlfn.XLOOKUP($C28,Assumptions!$B$36:$B$41,Assumptions!$B$36:$H$41))</f>
        <v>0</v>
      </c>
      <c r="NXR28">
        <f t="array" ref="NXR28">_xlfn.XLOOKUP(NXR$11,Assumptions!$B$35:$H$35,_xlfn.XLOOKUP($C28,Assumptions!$B$36:$B$41,Assumptions!$B$36:$H$41))</f>
        <v>0</v>
      </c>
      <c r="NXS28">
        <f t="array" ref="NXS28">_xlfn.XLOOKUP(NXS$11,Assumptions!$B$35:$H$35,_xlfn.XLOOKUP($C28,Assumptions!$B$36:$B$41,Assumptions!$B$36:$H$41))</f>
        <v>0</v>
      </c>
      <c r="NXT28">
        <f t="array" ref="NXT28">_xlfn.XLOOKUP(NXT$11,Assumptions!$B$35:$H$35,_xlfn.XLOOKUP($C28,Assumptions!$B$36:$B$41,Assumptions!$B$36:$H$41))</f>
        <v>0</v>
      </c>
      <c r="NXU28">
        <f t="array" ref="NXU28">_xlfn.XLOOKUP(NXU$11,Assumptions!$B$35:$H$35,_xlfn.XLOOKUP($C28,Assumptions!$B$36:$B$41,Assumptions!$B$36:$H$41))</f>
        <v>0</v>
      </c>
      <c r="NXV28">
        <f t="array" ref="NXV28">_xlfn.XLOOKUP(NXV$11,Assumptions!$B$35:$H$35,_xlfn.XLOOKUP($C28,Assumptions!$B$36:$B$41,Assumptions!$B$36:$H$41))</f>
        <v>0</v>
      </c>
      <c r="NXW28">
        <f t="array" ref="NXW28">_xlfn.XLOOKUP(NXW$11,Assumptions!$B$35:$H$35,_xlfn.XLOOKUP($C28,Assumptions!$B$36:$B$41,Assumptions!$B$36:$H$41))</f>
        <v>0</v>
      </c>
      <c r="NXX28">
        <f t="array" ref="NXX28">_xlfn.XLOOKUP(NXX$11,Assumptions!$B$35:$H$35,_xlfn.XLOOKUP($C28,Assumptions!$B$36:$B$41,Assumptions!$B$36:$H$41))</f>
        <v>0</v>
      </c>
      <c r="NXY28">
        <f t="array" ref="NXY28">_xlfn.XLOOKUP(NXY$11,Assumptions!$B$35:$H$35,_xlfn.XLOOKUP($C28,Assumptions!$B$36:$B$41,Assumptions!$B$36:$H$41))</f>
        <v>0</v>
      </c>
      <c r="NXZ28">
        <f t="array" ref="NXZ28">_xlfn.XLOOKUP(NXZ$11,Assumptions!$B$35:$H$35,_xlfn.XLOOKUP($C28,Assumptions!$B$36:$B$41,Assumptions!$B$36:$H$41))</f>
        <v>0</v>
      </c>
      <c r="NYA28">
        <f t="array" ref="NYA28">_xlfn.XLOOKUP(NYA$11,Assumptions!$B$35:$H$35,_xlfn.XLOOKUP($C28,Assumptions!$B$36:$B$41,Assumptions!$B$36:$H$41))</f>
        <v>0</v>
      </c>
      <c r="NYB28">
        <f t="array" ref="NYB28">_xlfn.XLOOKUP(NYB$11,Assumptions!$B$35:$H$35,_xlfn.XLOOKUP($C28,Assumptions!$B$36:$B$41,Assumptions!$B$36:$H$41))</f>
        <v>0</v>
      </c>
      <c r="NYC28">
        <f t="array" ref="NYC28">_xlfn.XLOOKUP(NYC$11,Assumptions!$B$35:$H$35,_xlfn.XLOOKUP($C28,Assumptions!$B$36:$B$41,Assumptions!$B$36:$H$41))</f>
        <v>0</v>
      </c>
      <c r="NYD28">
        <f t="array" ref="NYD28">_xlfn.XLOOKUP(NYD$11,Assumptions!$B$35:$H$35,_xlfn.XLOOKUP($C28,Assumptions!$B$36:$B$41,Assumptions!$B$36:$H$41))</f>
        <v>0</v>
      </c>
      <c r="NYE28">
        <f t="array" ref="NYE28">_xlfn.XLOOKUP(NYE$11,Assumptions!$B$35:$H$35,_xlfn.XLOOKUP($C28,Assumptions!$B$36:$B$41,Assumptions!$B$36:$H$41))</f>
        <v>0</v>
      </c>
      <c r="NYF28">
        <f t="array" ref="NYF28">_xlfn.XLOOKUP(NYF$11,Assumptions!$B$35:$H$35,_xlfn.XLOOKUP($C28,Assumptions!$B$36:$B$41,Assumptions!$B$36:$H$41))</f>
        <v>0</v>
      </c>
      <c r="NYG28">
        <f t="array" ref="NYG28">_xlfn.XLOOKUP(NYG$11,Assumptions!$B$35:$H$35,_xlfn.XLOOKUP($C28,Assumptions!$B$36:$B$41,Assumptions!$B$36:$H$41))</f>
        <v>0</v>
      </c>
      <c r="NYH28">
        <f t="array" ref="NYH28">_xlfn.XLOOKUP(NYH$11,Assumptions!$B$35:$H$35,_xlfn.XLOOKUP($C28,Assumptions!$B$36:$B$41,Assumptions!$B$36:$H$41))</f>
        <v>0</v>
      </c>
      <c r="NYI28">
        <f t="array" ref="NYI28">_xlfn.XLOOKUP(NYI$11,Assumptions!$B$35:$H$35,_xlfn.XLOOKUP($C28,Assumptions!$B$36:$B$41,Assumptions!$B$36:$H$41))</f>
        <v>0</v>
      </c>
      <c r="NYJ28">
        <f t="array" ref="NYJ28">_xlfn.XLOOKUP(NYJ$11,Assumptions!$B$35:$H$35,_xlfn.XLOOKUP($C28,Assumptions!$B$36:$B$41,Assumptions!$B$36:$H$41))</f>
        <v>0</v>
      </c>
      <c r="NYK28">
        <f t="array" ref="NYK28">_xlfn.XLOOKUP(NYK$11,Assumptions!$B$35:$H$35,_xlfn.XLOOKUP($C28,Assumptions!$B$36:$B$41,Assumptions!$B$36:$H$41))</f>
        <v>0</v>
      </c>
      <c r="NYL28">
        <f t="array" ref="NYL28">_xlfn.XLOOKUP(NYL$11,Assumptions!$B$35:$H$35,_xlfn.XLOOKUP($C28,Assumptions!$B$36:$B$41,Assumptions!$B$36:$H$41))</f>
        <v>0</v>
      </c>
      <c r="NYM28">
        <f t="array" ref="NYM28">_xlfn.XLOOKUP(NYM$11,Assumptions!$B$35:$H$35,_xlfn.XLOOKUP($C28,Assumptions!$B$36:$B$41,Assumptions!$B$36:$H$41))</f>
        <v>0</v>
      </c>
      <c r="NYN28">
        <f t="array" ref="NYN28">_xlfn.XLOOKUP(NYN$11,Assumptions!$B$35:$H$35,_xlfn.XLOOKUP($C28,Assumptions!$B$36:$B$41,Assumptions!$B$36:$H$41))</f>
        <v>0</v>
      </c>
      <c r="NYO28">
        <f t="array" ref="NYO28">_xlfn.XLOOKUP(NYO$11,Assumptions!$B$35:$H$35,_xlfn.XLOOKUP($C28,Assumptions!$B$36:$B$41,Assumptions!$B$36:$H$41))</f>
        <v>0</v>
      </c>
      <c r="NYP28">
        <f t="array" ref="NYP28">_xlfn.XLOOKUP(NYP$11,Assumptions!$B$35:$H$35,_xlfn.XLOOKUP($C28,Assumptions!$B$36:$B$41,Assumptions!$B$36:$H$41))</f>
        <v>0</v>
      </c>
      <c r="NYQ28">
        <f t="array" ref="NYQ28">_xlfn.XLOOKUP(NYQ$11,Assumptions!$B$35:$H$35,_xlfn.XLOOKUP($C28,Assumptions!$B$36:$B$41,Assumptions!$B$36:$H$41))</f>
        <v>0</v>
      </c>
      <c r="NYR28">
        <f t="array" ref="NYR28">_xlfn.XLOOKUP(NYR$11,Assumptions!$B$35:$H$35,_xlfn.XLOOKUP($C28,Assumptions!$B$36:$B$41,Assumptions!$B$36:$H$41))</f>
        <v>0</v>
      </c>
      <c r="NYS28">
        <f t="array" ref="NYS28">_xlfn.XLOOKUP(NYS$11,Assumptions!$B$35:$H$35,_xlfn.XLOOKUP($C28,Assumptions!$B$36:$B$41,Assumptions!$B$36:$H$41))</f>
        <v>0</v>
      </c>
      <c r="NYT28">
        <f t="array" ref="NYT28">_xlfn.XLOOKUP(NYT$11,Assumptions!$B$35:$H$35,_xlfn.XLOOKUP($C28,Assumptions!$B$36:$B$41,Assumptions!$B$36:$H$41))</f>
        <v>0</v>
      </c>
      <c r="NYU28">
        <f t="array" ref="NYU28">_xlfn.XLOOKUP(NYU$11,Assumptions!$B$35:$H$35,_xlfn.XLOOKUP($C28,Assumptions!$B$36:$B$41,Assumptions!$B$36:$H$41))</f>
        <v>0</v>
      </c>
      <c r="NYV28">
        <f t="array" ref="NYV28">_xlfn.XLOOKUP(NYV$11,Assumptions!$B$35:$H$35,_xlfn.XLOOKUP($C28,Assumptions!$B$36:$B$41,Assumptions!$B$36:$H$41))</f>
        <v>0</v>
      </c>
      <c r="NYW28">
        <f t="array" ref="NYW28">_xlfn.XLOOKUP(NYW$11,Assumptions!$B$35:$H$35,_xlfn.XLOOKUP($C28,Assumptions!$B$36:$B$41,Assumptions!$B$36:$H$41))</f>
        <v>0</v>
      </c>
      <c r="NYX28">
        <f t="array" ref="NYX28">_xlfn.XLOOKUP(NYX$11,Assumptions!$B$35:$H$35,_xlfn.XLOOKUP($C28,Assumptions!$B$36:$B$41,Assumptions!$B$36:$H$41))</f>
        <v>0</v>
      </c>
      <c r="NYY28">
        <f t="array" ref="NYY28">_xlfn.XLOOKUP(NYY$11,Assumptions!$B$35:$H$35,_xlfn.XLOOKUP($C28,Assumptions!$B$36:$B$41,Assumptions!$B$36:$H$41))</f>
        <v>0</v>
      </c>
      <c r="NYZ28">
        <f t="array" ref="NYZ28">_xlfn.XLOOKUP(NYZ$11,Assumptions!$B$35:$H$35,_xlfn.XLOOKUP($C28,Assumptions!$B$36:$B$41,Assumptions!$B$36:$H$41))</f>
        <v>0</v>
      </c>
      <c r="NZA28">
        <f t="array" ref="NZA28">_xlfn.XLOOKUP(NZA$11,Assumptions!$B$35:$H$35,_xlfn.XLOOKUP($C28,Assumptions!$B$36:$B$41,Assumptions!$B$36:$H$41))</f>
        <v>0</v>
      </c>
      <c r="NZB28">
        <f t="array" ref="NZB28">_xlfn.XLOOKUP(NZB$11,Assumptions!$B$35:$H$35,_xlfn.XLOOKUP($C28,Assumptions!$B$36:$B$41,Assumptions!$B$36:$H$41))</f>
        <v>0</v>
      </c>
      <c r="NZC28">
        <f t="array" ref="NZC28">_xlfn.XLOOKUP(NZC$11,Assumptions!$B$35:$H$35,_xlfn.XLOOKUP($C28,Assumptions!$B$36:$B$41,Assumptions!$B$36:$H$41))</f>
        <v>0</v>
      </c>
      <c r="NZD28">
        <f t="array" ref="NZD28">_xlfn.XLOOKUP(NZD$11,Assumptions!$B$35:$H$35,_xlfn.XLOOKUP($C28,Assumptions!$B$36:$B$41,Assumptions!$B$36:$H$41))</f>
        <v>0</v>
      </c>
      <c r="NZE28">
        <f t="array" ref="NZE28">_xlfn.XLOOKUP(NZE$11,Assumptions!$B$35:$H$35,_xlfn.XLOOKUP($C28,Assumptions!$B$36:$B$41,Assumptions!$B$36:$H$41))</f>
        <v>0</v>
      </c>
      <c r="NZF28">
        <f t="array" ref="NZF28">_xlfn.XLOOKUP(NZF$11,Assumptions!$B$35:$H$35,_xlfn.XLOOKUP($C28,Assumptions!$B$36:$B$41,Assumptions!$B$36:$H$41))</f>
        <v>0</v>
      </c>
      <c r="NZG28">
        <f t="array" ref="NZG28">_xlfn.XLOOKUP(NZG$11,Assumptions!$B$35:$H$35,_xlfn.XLOOKUP($C28,Assumptions!$B$36:$B$41,Assumptions!$B$36:$H$41))</f>
        <v>0</v>
      </c>
      <c r="NZH28">
        <f t="array" ref="NZH28">_xlfn.XLOOKUP(NZH$11,Assumptions!$B$35:$H$35,_xlfn.XLOOKUP($C28,Assumptions!$B$36:$B$41,Assumptions!$B$36:$H$41))</f>
        <v>0</v>
      </c>
      <c r="NZI28">
        <f t="array" ref="NZI28">_xlfn.XLOOKUP(NZI$11,Assumptions!$B$35:$H$35,_xlfn.XLOOKUP($C28,Assumptions!$B$36:$B$41,Assumptions!$B$36:$H$41))</f>
        <v>0</v>
      </c>
      <c r="NZJ28">
        <f t="array" ref="NZJ28">_xlfn.XLOOKUP(NZJ$11,Assumptions!$B$35:$H$35,_xlfn.XLOOKUP($C28,Assumptions!$B$36:$B$41,Assumptions!$B$36:$H$41))</f>
        <v>0</v>
      </c>
      <c r="NZK28">
        <f t="array" ref="NZK28">_xlfn.XLOOKUP(NZK$11,Assumptions!$B$35:$H$35,_xlfn.XLOOKUP($C28,Assumptions!$B$36:$B$41,Assumptions!$B$36:$H$41))</f>
        <v>0</v>
      </c>
      <c r="NZL28">
        <f t="array" ref="NZL28">_xlfn.XLOOKUP(NZL$11,Assumptions!$B$35:$H$35,_xlfn.XLOOKUP($C28,Assumptions!$B$36:$B$41,Assumptions!$B$36:$H$41))</f>
        <v>0</v>
      </c>
      <c r="NZM28">
        <f t="array" ref="NZM28">_xlfn.XLOOKUP(NZM$11,Assumptions!$B$35:$H$35,_xlfn.XLOOKUP($C28,Assumptions!$B$36:$B$41,Assumptions!$B$36:$H$41))</f>
        <v>0</v>
      </c>
      <c r="NZN28">
        <f t="array" ref="NZN28">_xlfn.XLOOKUP(NZN$11,Assumptions!$B$35:$H$35,_xlfn.XLOOKUP($C28,Assumptions!$B$36:$B$41,Assumptions!$B$36:$H$41))</f>
        <v>0</v>
      </c>
      <c r="NZO28">
        <f t="array" ref="NZO28">_xlfn.XLOOKUP(NZO$11,Assumptions!$B$35:$H$35,_xlfn.XLOOKUP($C28,Assumptions!$B$36:$B$41,Assumptions!$B$36:$H$41))</f>
        <v>0</v>
      </c>
      <c r="NZP28">
        <f t="array" ref="NZP28">_xlfn.XLOOKUP(NZP$11,Assumptions!$B$35:$H$35,_xlfn.XLOOKUP($C28,Assumptions!$B$36:$B$41,Assumptions!$B$36:$H$41))</f>
        <v>0</v>
      </c>
      <c r="NZQ28">
        <f t="array" ref="NZQ28">_xlfn.XLOOKUP(NZQ$11,Assumptions!$B$35:$H$35,_xlfn.XLOOKUP($C28,Assumptions!$B$36:$B$41,Assumptions!$B$36:$H$41))</f>
        <v>0</v>
      </c>
      <c r="NZR28">
        <f t="array" ref="NZR28">_xlfn.XLOOKUP(NZR$11,Assumptions!$B$35:$H$35,_xlfn.XLOOKUP($C28,Assumptions!$B$36:$B$41,Assumptions!$B$36:$H$41))</f>
        <v>0</v>
      </c>
      <c r="NZS28">
        <f t="array" ref="NZS28">_xlfn.XLOOKUP(NZS$11,Assumptions!$B$35:$H$35,_xlfn.XLOOKUP($C28,Assumptions!$B$36:$B$41,Assumptions!$B$36:$H$41))</f>
        <v>0</v>
      </c>
      <c r="NZT28">
        <f t="array" ref="NZT28">_xlfn.XLOOKUP(NZT$11,Assumptions!$B$35:$H$35,_xlfn.XLOOKUP($C28,Assumptions!$B$36:$B$41,Assumptions!$B$36:$H$41))</f>
        <v>0</v>
      </c>
      <c r="NZU28">
        <f t="array" ref="NZU28">_xlfn.XLOOKUP(NZU$11,Assumptions!$B$35:$H$35,_xlfn.XLOOKUP($C28,Assumptions!$B$36:$B$41,Assumptions!$B$36:$H$41))</f>
        <v>0</v>
      </c>
      <c r="NZV28">
        <f t="array" ref="NZV28">_xlfn.XLOOKUP(NZV$11,Assumptions!$B$35:$H$35,_xlfn.XLOOKUP($C28,Assumptions!$B$36:$B$41,Assumptions!$B$36:$H$41))</f>
        <v>0</v>
      </c>
      <c r="NZW28">
        <f t="array" ref="NZW28">_xlfn.XLOOKUP(NZW$11,Assumptions!$B$35:$H$35,_xlfn.XLOOKUP($C28,Assumptions!$B$36:$B$41,Assumptions!$B$36:$H$41))</f>
        <v>0</v>
      </c>
      <c r="NZX28">
        <f t="array" ref="NZX28">_xlfn.XLOOKUP(NZX$11,Assumptions!$B$35:$H$35,_xlfn.XLOOKUP($C28,Assumptions!$B$36:$B$41,Assumptions!$B$36:$H$41))</f>
        <v>0</v>
      </c>
      <c r="NZY28">
        <f t="array" ref="NZY28">_xlfn.XLOOKUP(NZY$11,Assumptions!$B$35:$H$35,_xlfn.XLOOKUP($C28,Assumptions!$B$36:$B$41,Assumptions!$B$36:$H$41))</f>
        <v>0</v>
      </c>
      <c r="NZZ28">
        <f t="array" ref="NZZ28">_xlfn.XLOOKUP(NZZ$11,Assumptions!$B$35:$H$35,_xlfn.XLOOKUP($C28,Assumptions!$B$36:$B$41,Assumptions!$B$36:$H$41))</f>
        <v>0</v>
      </c>
      <c r="OAA28">
        <f t="array" ref="OAA28">_xlfn.XLOOKUP(OAA$11,Assumptions!$B$35:$H$35,_xlfn.XLOOKUP($C28,Assumptions!$B$36:$B$41,Assumptions!$B$36:$H$41))</f>
        <v>0</v>
      </c>
      <c r="OAB28">
        <f t="array" ref="OAB28">_xlfn.XLOOKUP(OAB$11,Assumptions!$B$35:$H$35,_xlfn.XLOOKUP($C28,Assumptions!$B$36:$B$41,Assumptions!$B$36:$H$41))</f>
        <v>0</v>
      </c>
      <c r="OAC28">
        <f t="array" ref="OAC28">_xlfn.XLOOKUP(OAC$11,Assumptions!$B$35:$H$35,_xlfn.XLOOKUP($C28,Assumptions!$B$36:$B$41,Assumptions!$B$36:$H$41))</f>
        <v>0</v>
      </c>
      <c r="OAD28">
        <f t="array" ref="OAD28">_xlfn.XLOOKUP(OAD$11,Assumptions!$B$35:$H$35,_xlfn.XLOOKUP($C28,Assumptions!$B$36:$B$41,Assumptions!$B$36:$H$41))</f>
        <v>0</v>
      </c>
      <c r="OAE28">
        <f t="array" ref="OAE28">_xlfn.XLOOKUP(OAE$11,Assumptions!$B$35:$H$35,_xlfn.XLOOKUP($C28,Assumptions!$B$36:$B$41,Assumptions!$B$36:$H$41))</f>
        <v>0</v>
      </c>
      <c r="OAF28">
        <f t="array" ref="OAF28">_xlfn.XLOOKUP(OAF$11,Assumptions!$B$35:$H$35,_xlfn.XLOOKUP($C28,Assumptions!$B$36:$B$41,Assumptions!$B$36:$H$41))</f>
        <v>0</v>
      </c>
      <c r="OAG28">
        <f t="array" ref="OAG28">_xlfn.XLOOKUP(OAG$11,Assumptions!$B$35:$H$35,_xlfn.XLOOKUP($C28,Assumptions!$B$36:$B$41,Assumptions!$B$36:$H$41))</f>
        <v>0</v>
      </c>
      <c r="OAH28">
        <f t="array" ref="OAH28">_xlfn.XLOOKUP(OAH$11,Assumptions!$B$35:$H$35,_xlfn.XLOOKUP($C28,Assumptions!$B$36:$B$41,Assumptions!$B$36:$H$41))</f>
        <v>0</v>
      </c>
      <c r="OAI28">
        <f t="array" ref="OAI28">_xlfn.XLOOKUP(OAI$11,Assumptions!$B$35:$H$35,_xlfn.XLOOKUP($C28,Assumptions!$B$36:$B$41,Assumptions!$B$36:$H$41))</f>
        <v>0</v>
      </c>
      <c r="OAJ28">
        <f t="array" ref="OAJ28">_xlfn.XLOOKUP(OAJ$11,Assumptions!$B$35:$H$35,_xlfn.XLOOKUP($C28,Assumptions!$B$36:$B$41,Assumptions!$B$36:$H$41))</f>
        <v>0</v>
      </c>
      <c r="OAK28">
        <f t="array" ref="OAK28">_xlfn.XLOOKUP(OAK$11,Assumptions!$B$35:$H$35,_xlfn.XLOOKUP($C28,Assumptions!$B$36:$B$41,Assumptions!$B$36:$H$41))</f>
        <v>0</v>
      </c>
      <c r="OAL28">
        <f t="array" ref="OAL28">_xlfn.XLOOKUP(OAL$11,Assumptions!$B$35:$H$35,_xlfn.XLOOKUP($C28,Assumptions!$B$36:$B$41,Assumptions!$B$36:$H$41))</f>
        <v>0</v>
      </c>
      <c r="OAM28">
        <f t="array" ref="OAM28">_xlfn.XLOOKUP(OAM$11,Assumptions!$B$35:$H$35,_xlfn.XLOOKUP($C28,Assumptions!$B$36:$B$41,Assumptions!$B$36:$H$41))</f>
        <v>0</v>
      </c>
      <c r="OAN28">
        <f t="array" ref="OAN28">_xlfn.XLOOKUP(OAN$11,Assumptions!$B$35:$H$35,_xlfn.XLOOKUP($C28,Assumptions!$B$36:$B$41,Assumptions!$B$36:$H$41))</f>
        <v>0</v>
      </c>
      <c r="OAO28">
        <f t="array" ref="OAO28">_xlfn.XLOOKUP(OAO$11,Assumptions!$B$35:$H$35,_xlfn.XLOOKUP($C28,Assumptions!$B$36:$B$41,Assumptions!$B$36:$H$41))</f>
        <v>0</v>
      </c>
      <c r="OAP28">
        <f t="array" ref="OAP28">_xlfn.XLOOKUP(OAP$11,Assumptions!$B$35:$H$35,_xlfn.XLOOKUP($C28,Assumptions!$B$36:$B$41,Assumptions!$B$36:$H$41))</f>
        <v>0</v>
      </c>
      <c r="OAQ28">
        <f t="array" ref="OAQ28">_xlfn.XLOOKUP(OAQ$11,Assumptions!$B$35:$H$35,_xlfn.XLOOKUP($C28,Assumptions!$B$36:$B$41,Assumptions!$B$36:$H$41))</f>
        <v>0</v>
      </c>
      <c r="OAR28">
        <f t="array" ref="OAR28">_xlfn.XLOOKUP(OAR$11,Assumptions!$B$35:$H$35,_xlfn.XLOOKUP($C28,Assumptions!$B$36:$B$41,Assumptions!$B$36:$H$41))</f>
        <v>0</v>
      </c>
      <c r="OAS28">
        <f t="array" ref="OAS28">_xlfn.XLOOKUP(OAS$11,Assumptions!$B$35:$H$35,_xlfn.XLOOKUP($C28,Assumptions!$B$36:$B$41,Assumptions!$B$36:$H$41))</f>
        <v>0</v>
      </c>
      <c r="OAT28">
        <f t="array" ref="OAT28">_xlfn.XLOOKUP(OAT$11,Assumptions!$B$35:$H$35,_xlfn.XLOOKUP($C28,Assumptions!$B$36:$B$41,Assumptions!$B$36:$H$41))</f>
        <v>0</v>
      </c>
      <c r="OAU28">
        <f t="array" ref="OAU28">_xlfn.XLOOKUP(OAU$11,Assumptions!$B$35:$H$35,_xlfn.XLOOKUP($C28,Assumptions!$B$36:$B$41,Assumptions!$B$36:$H$41))</f>
        <v>0</v>
      </c>
      <c r="OAV28">
        <f t="array" ref="OAV28">_xlfn.XLOOKUP(OAV$11,Assumptions!$B$35:$H$35,_xlfn.XLOOKUP($C28,Assumptions!$B$36:$B$41,Assumptions!$B$36:$H$41))</f>
        <v>0</v>
      </c>
      <c r="OAW28">
        <f t="array" ref="OAW28">_xlfn.XLOOKUP(OAW$11,Assumptions!$B$35:$H$35,_xlfn.XLOOKUP($C28,Assumptions!$B$36:$B$41,Assumptions!$B$36:$H$41))</f>
        <v>0</v>
      </c>
      <c r="OAX28">
        <f t="array" ref="OAX28">_xlfn.XLOOKUP(OAX$11,Assumptions!$B$35:$H$35,_xlfn.XLOOKUP($C28,Assumptions!$B$36:$B$41,Assumptions!$B$36:$H$41))</f>
        <v>0</v>
      </c>
      <c r="OAY28">
        <f t="array" ref="OAY28">_xlfn.XLOOKUP(OAY$11,Assumptions!$B$35:$H$35,_xlfn.XLOOKUP($C28,Assumptions!$B$36:$B$41,Assumptions!$B$36:$H$41))</f>
        <v>0</v>
      </c>
      <c r="OAZ28">
        <f t="array" ref="OAZ28">_xlfn.XLOOKUP(OAZ$11,Assumptions!$B$35:$H$35,_xlfn.XLOOKUP($C28,Assumptions!$B$36:$B$41,Assumptions!$B$36:$H$41))</f>
        <v>0</v>
      </c>
      <c r="OBA28">
        <f t="array" ref="OBA28">_xlfn.XLOOKUP(OBA$11,Assumptions!$B$35:$H$35,_xlfn.XLOOKUP($C28,Assumptions!$B$36:$B$41,Assumptions!$B$36:$H$41))</f>
        <v>0</v>
      </c>
      <c r="OBB28">
        <f t="array" ref="OBB28">_xlfn.XLOOKUP(OBB$11,Assumptions!$B$35:$H$35,_xlfn.XLOOKUP($C28,Assumptions!$B$36:$B$41,Assumptions!$B$36:$H$41))</f>
        <v>0</v>
      </c>
      <c r="OBC28">
        <f t="array" ref="OBC28">_xlfn.XLOOKUP(OBC$11,Assumptions!$B$35:$H$35,_xlfn.XLOOKUP($C28,Assumptions!$B$36:$B$41,Assumptions!$B$36:$H$41))</f>
        <v>0</v>
      </c>
      <c r="OBD28">
        <f t="array" ref="OBD28">_xlfn.XLOOKUP(OBD$11,Assumptions!$B$35:$H$35,_xlfn.XLOOKUP($C28,Assumptions!$B$36:$B$41,Assumptions!$B$36:$H$41))</f>
        <v>0</v>
      </c>
      <c r="OBE28">
        <f t="array" ref="OBE28">_xlfn.XLOOKUP(OBE$11,Assumptions!$B$35:$H$35,_xlfn.XLOOKUP($C28,Assumptions!$B$36:$B$41,Assumptions!$B$36:$H$41))</f>
        <v>0</v>
      </c>
      <c r="OBF28">
        <f t="array" ref="OBF28">_xlfn.XLOOKUP(OBF$11,Assumptions!$B$35:$H$35,_xlfn.XLOOKUP($C28,Assumptions!$B$36:$B$41,Assumptions!$B$36:$H$41))</f>
        <v>0</v>
      </c>
      <c r="OBG28">
        <f t="array" ref="OBG28">_xlfn.XLOOKUP(OBG$11,Assumptions!$B$35:$H$35,_xlfn.XLOOKUP($C28,Assumptions!$B$36:$B$41,Assumptions!$B$36:$H$41))</f>
        <v>0</v>
      </c>
      <c r="OBH28">
        <f t="array" ref="OBH28">_xlfn.XLOOKUP(OBH$11,Assumptions!$B$35:$H$35,_xlfn.XLOOKUP($C28,Assumptions!$B$36:$B$41,Assumptions!$B$36:$H$41))</f>
        <v>0</v>
      </c>
      <c r="OBI28">
        <f t="array" ref="OBI28">_xlfn.XLOOKUP(OBI$11,Assumptions!$B$35:$H$35,_xlfn.XLOOKUP($C28,Assumptions!$B$36:$B$41,Assumptions!$B$36:$H$41))</f>
        <v>0</v>
      </c>
      <c r="OBJ28">
        <f t="array" ref="OBJ28">_xlfn.XLOOKUP(OBJ$11,Assumptions!$B$35:$H$35,_xlfn.XLOOKUP($C28,Assumptions!$B$36:$B$41,Assumptions!$B$36:$H$41))</f>
        <v>0</v>
      </c>
      <c r="OBK28">
        <f t="array" ref="OBK28">_xlfn.XLOOKUP(OBK$11,Assumptions!$B$35:$H$35,_xlfn.XLOOKUP($C28,Assumptions!$B$36:$B$41,Assumptions!$B$36:$H$41))</f>
        <v>0</v>
      </c>
      <c r="OBL28">
        <f t="array" ref="OBL28">_xlfn.XLOOKUP(OBL$11,Assumptions!$B$35:$H$35,_xlfn.XLOOKUP($C28,Assumptions!$B$36:$B$41,Assumptions!$B$36:$H$41))</f>
        <v>0</v>
      </c>
      <c r="OBM28">
        <f t="array" ref="OBM28">_xlfn.XLOOKUP(OBM$11,Assumptions!$B$35:$H$35,_xlfn.XLOOKUP($C28,Assumptions!$B$36:$B$41,Assumptions!$B$36:$H$41))</f>
        <v>0</v>
      </c>
      <c r="OBN28">
        <f t="array" ref="OBN28">_xlfn.XLOOKUP(OBN$11,Assumptions!$B$35:$H$35,_xlfn.XLOOKUP($C28,Assumptions!$B$36:$B$41,Assumptions!$B$36:$H$41))</f>
        <v>0</v>
      </c>
      <c r="OBO28">
        <f t="array" ref="OBO28">_xlfn.XLOOKUP(OBO$11,Assumptions!$B$35:$H$35,_xlfn.XLOOKUP($C28,Assumptions!$B$36:$B$41,Assumptions!$B$36:$H$41))</f>
        <v>0</v>
      </c>
      <c r="OBP28">
        <f t="array" ref="OBP28">_xlfn.XLOOKUP(OBP$11,Assumptions!$B$35:$H$35,_xlfn.XLOOKUP($C28,Assumptions!$B$36:$B$41,Assumptions!$B$36:$H$41))</f>
        <v>0</v>
      </c>
      <c r="OBQ28">
        <f t="array" ref="OBQ28">_xlfn.XLOOKUP(OBQ$11,Assumptions!$B$35:$H$35,_xlfn.XLOOKUP($C28,Assumptions!$B$36:$B$41,Assumptions!$B$36:$H$41))</f>
        <v>0</v>
      </c>
      <c r="OBR28">
        <f t="array" ref="OBR28">_xlfn.XLOOKUP(OBR$11,Assumptions!$B$35:$H$35,_xlfn.XLOOKUP($C28,Assumptions!$B$36:$B$41,Assumptions!$B$36:$H$41))</f>
        <v>0</v>
      </c>
      <c r="OBS28">
        <f t="array" ref="OBS28">_xlfn.XLOOKUP(OBS$11,Assumptions!$B$35:$H$35,_xlfn.XLOOKUP($C28,Assumptions!$B$36:$B$41,Assumptions!$B$36:$H$41))</f>
        <v>0</v>
      </c>
      <c r="OBT28">
        <f t="array" ref="OBT28">_xlfn.XLOOKUP(OBT$11,Assumptions!$B$35:$H$35,_xlfn.XLOOKUP($C28,Assumptions!$B$36:$B$41,Assumptions!$B$36:$H$41))</f>
        <v>0</v>
      </c>
      <c r="OBU28">
        <f t="array" ref="OBU28">_xlfn.XLOOKUP(OBU$11,Assumptions!$B$35:$H$35,_xlfn.XLOOKUP($C28,Assumptions!$B$36:$B$41,Assumptions!$B$36:$H$41))</f>
        <v>0</v>
      </c>
      <c r="OBV28">
        <f t="array" ref="OBV28">_xlfn.XLOOKUP(OBV$11,Assumptions!$B$35:$H$35,_xlfn.XLOOKUP($C28,Assumptions!$B$36:$B$41,Assumptions!$B$36:$H$41))</f>
        <v>0</v>
      </c>
      <c r="OBW28">
        <f t="array" ref="OBW28">_xlfn.XLOOKUP(OBW$11,Assumptions!$B$35:$H$35,_xlfn.XLOOKUP($C28,Assumptions!$B$36:$B$41,Assumptions!$B$36:$H$41))</f>
        <v>0</v>
      </c>
      <c r="OBX28">
        <f t="array" ref="OBX28">_xlfn.XLOOKUP(OBX$11,Assumptions!$B$35:$H$35,_xlfn.XLOOKUP($C28,Assumptions!$B$36:$B$41,Assumptions!$B$36:$H$41))</f>
        <v>0</v>
      </c>
      <c r="OBY28">
        <f t="array" ref="OBY28">_xlfn.XLOOKUP(OBY$11,Assumptions!$B$35:$H$35,_xlfn.XLOOKUP($C28,Assumptions!$B$36:$B$41,Assumptions!$B$36:$H$41))</f>
        <v>0</v>
      </c>
      <c r="OBZ28">
        <f t="array" ref="OBZ28">_xlfn.XLOOKUP(OBZ$11,Assumptions!$B$35:$H$35,_xlfn.XLOOKUP($C28,Assumptions!$B$36:$B$41,Assumptions!$B$36:$H$41))</f>
        <v>0</v>
      </c>
      <c r="OCA28">
        <f t="array" ref="OCA28">_xlfn.XLOOKUP(OCA$11,Assumptions!$B$35:$H$35,_xlfn.XLOOKUP($C28,Assumptions!$B$36:$B$41,Assumptions!$B$36:$H$41))</f>
        <v>0</v>
      </c>
      <c r="OCB28">
        <f t="array" ref="OCB28">_xlfn.XLOOKUP(OCB$11,Assumptions!$B$35:$H$35,_xlfn.XLOOKUP($C28,Assumptions!$B$36:$B$41,Assumptions!$B$36:$H$41))</f>
        <v>0</v>
      </c>
      <c r="OCC28">
        <f t="array" ref="OCC28">_xlfn.XLOOKUP(OCC$11,Assumptions!$B$35:$H$35,_xlfn.XLOOKUP($C28,Assumptions!$B$36:$B$41,Assumptions!$B$36:$H$41))</f>
        <v>0</v>
      </c>
      <c r="OCD28">
        <f t="array" ref="OCD28">_xlfn.XLOOKUP(OCD$11,Assumptions!$B$35:$H$35,_xlfn.XLOOKUP($C28,Assumptions!$B$36:$B$41,Assumptions!$B$36:$H$41))</f>
        <v>0</v>
      </c>
      <c r="OCE28">
        <f t="array" ref="OCE28">_xlfn.XLOOKUP(OCE$11,Assumptions!$B$35:$H$35,_xlfn.XLOOKUP($C28,Assumptions!$B$36:$B$41,Assumptions!$B$36:$H$41))</f>
        <v>0</v>
      </c>
      <c r="OCF28">
        <f t="array" ref="OCF28">_xlfn.XLOOKUP(OCF$11,Assumptions!$B$35:$H$35,_xlfn.XLOOKUP($C28,Assumptions!$B$36:$B$41,Assumptions!$B$36:$H$41))</f>
        <v>0</v>
      </c>
      <c r="OCG28">
        <f t="array" ref="OCG28">_xlfn.XLOOKUP(OCG$11,Assumptions!$B$35:$H$35,_xlfn.XLOOKUP($C28,Assumptions!$B$36:$B$41,Assumptions!$B$36:$H$41))</f>
        <v>0</v>
      </c>
      <c r="OCH28">
        <f t="array" ref="OCH28">_xlfn.XLOOKUP(OCH$11,Assumptions!$B$35:$H$35,_xlfn.XLOOKUP($C28,Assumptions!$B$36:$B$41,Assumptions!$B$36:$H$41))</f>
        <v>0</v>
      </c>
      <c r="OCI28">
        <f t="array" ref="OCI28">_xlfn.XLOOKUP(OCI$11,Assumptions!$B$35:$H$35,_xlfn.XLOOKUP($C28,Assumptions!$B$36:$B$41,Assumptions!$B$36:$H$41))</f>
        <v>0</v>
      </c>
      <c r="OCJ28">
        <f t="array" ref="OCJ28">_xlfn.XLOOKUP(OCJ$11,Assumptions!$B$35:$H$35,_xlfn.XLOOKUP($C28,Assumptions!$B$36:$B$41,Assumptions!$B$36:$H$41))</f>
        <v>0</v>
      </c>
      <c r="OCK28">
        <f t="array" ref="OCK28">_xlfn.XLOOKUP(OCK$11,Assumptions!$B$35:$H$35,_xlfn.XLOOKUP($C28,Assumptions!$B$36:$B$41,Assumptions!$B$36:$H$41))</f>
        <v>0</v>
      </c>
      <c r="OCL28">
        <f t="array" ref="OCL28">_xlfn.XLOOKUP(OCL$11,Assumptions!$B$35:$H$35,_xlfn.XLOOKUP($C28,Assumptions!$B$36:$B$41,Assumptions!$B$36:$H$41))</f>
        <v>0</v>
      </c>
      <c r="OCM28">
        <f t="array" ref="OCM28">_xlfn.XLOOKUP(OCM$11,Assumptions!$B$35:$H$35,_xlfn.XLOOKUP($C28,Assumptions!$B$36:$B$41,Assumptions!$B$36:$H$41))</f>
        <v>0</v>
      </c>
      <c r="OCN28">
        <f t="array" ref="OCN28">_xlfn.XLOOKUP(OCN$11,Assumptions!$B$35:$H$35,_xlfn.XLOOKUP($C28,Assumptions!$B$36:$B$41,Assumptions!$B$36:$H$41))</f>
        <v>0</v>
      </c>
      <c r="OCO28">
        <f t="array" ref="OCO28">_xlfn.XLOOKUP(OCO$11,Assumptions!$B$35:$H$35,_xlfn.XLOOKUP($C28,Assumptions!$B$36:$B$41,Assumptions!$B$36:$H$41))</f>
        <v>0</v>
      </c>
      <c r="OCP28">
        <f t="array" ref="OCP28">_xlfn.XLOOKUP(OCP$11,Assumptions!$B$35:$H$35,_xlfn.XLOOKUP($C28,Assumptions!$B$36:$B$41,Assumptions!$B$36:$H$41))</f>
        <v>0</v>
      </c>
      <c r="OCQ28">
        <f t="array" ref="OCQ28">_xlfn.XLOOKUP(OCQ$11,Assumptions!$B$35:$H$35,_xlfn.XLOOKUP($C28,Assumptions!$B$36:$B$41,Assumptions!$B$36:$H$41))</f>
        <v>0</v>
      </c>
      <c r="OCR28">
        <f t="array" ref="OCR28">_xlfn.XLOOKUP(OCR$11,Assumptions!$B$35:$H$35,_xlfn.XLOOKUP($C28,Assumptions!$B$36:$B$41,Assumptions!$B$36:$H$41))</f>
        <v>0</v>
      </c>
      <c r="OCS28">
        <f t="array" ref="OCS28">_xlfn.XLOOKUP(OCS$11,Assumptions!$B$35:$H$35,_xlfn.XLOOKUP($C28,Assumptions!$B$36:$B$41,Assumptions!$B$36:$H$41))</f>
        <v>0</v>
      </c>
      <c r="OCT28">
        <f t="array" ref="OCT28">_xlfn.XLOOKUP(OCT$11,Assumptions!$B$35:$H$35,_xlfn.XLOOKUP($C28,Assumptions!$B$36:$B$41,Assumptions!$B$36:$H$41))</f>
        <v>0</v>
      </c>
      <c r="OCU28">
        <f t="array" ref="OCU28">_xlfn.XLOOKUP(OCU$11,Assumptions!$B$35:$H$35,_xlfn.XLOOKUP($C28,Assumptions!$B$36:$B$41,Assumptions!$B$36:$H$41))</f>
        <v>0</v>
      </c>
      <c r="OCV28">
        <f t="array" ref="OCV28">_xlfn.XLOOKUP(OCV$11,Assumptions!$B$35:$H$35,_xlfn.XLOOKUP($C28,Assumptions!$B$36:$B$41,Assumptions!$B$36:$H$41))</f>
        <v>0</v>
      </c>
      <c r="OCW28">
        <f t="array" ref="OCW28">_xlfn.XLOOKUP(OCW$11,Assumptions!$B$35:$H$35,_xlfn.XLOOKUP($C28,Assumptions!$B$36:$B$41,Assumptions!$B$36:$H$41))</f>
        <v>0</v>
      </c>
      <c r="OCX28">
        <f t="array" ref="OCX28">_xlfn.XLOOKUP(OCX$11,Assumptions!$B$35:$H$35,_xlfn.XLOOKUP($C28,Assumptions!$B$36:$B$41,Assumptions!$B$36:$H$41))</f>
        <v>0</v>
      </c>
      <c r="OCY28">
        <f t="array" ref="OCY28">_xlfn.XLOOKUP(OCY$11,Assumptions!$B$35:$H$35,_xlfn.XLOOKUP($C28,Assumptions!$B$36:$B$41,Assumptions!$B$36:$H$41))</f>
        <v>0</v>
      </c>
      <c r="OCZ28">
        <f t="array" ref="OCZ28">_xlfn.XLOOKUP(OCZ$11,Assumptions!$B$35:$H$35,_xlfn.XLOOKUP($C28,Assumptions!$B$36:$B$41,Assumptions!$B$36:$H$41))</f>
        <v>0</v>
      </c>
      <c r="ODA28">
        <f t="array" ref="ODA28">_xlfn.XLOOKUP(ODA$11,Assumptions!$B$35:$H$35,_xlfn.XLOOKUP($C28,Assumptions!$B$36:$B$41,Assumptions!$B$36:$H$41))</f>
        <v>0</v>
      </c>
      <c r="ODB28">
        <f t="array" ref="ODB28">_xlfn.XLOOKUP(ODB$11,Assumptions!$B$35:$H$35,_xlfn.XLOOKUP($C28,Assumptions!$B$36:$B$41,Assumptions!$B$36:$H$41))</f>
        <v>0</v>
      </c>
      <c r="ODC28">
        <f t="array" ref="ODC28">_xlfn.XLOOKUP(ODC$11,Assumptions!$B$35:$H$35,_xlfn.XLOOKUP($C28,Assumptions!$B$36:$B$41,Assumptions!$B$36:$H$41))</f>
        <v>0</v>
      </c>
      <c r="ODD28">
        <f t="array" ref="ODD28">_xlfn.XLOOKUP(ODD$11,Assumptions!$B$35:$H$35,_xlfn.XLOOKUP($C28,Assumptions!$B$36:$B$41,Assumptions!$B$36:$H$41))</f>
        <v>0</v>
      </c>
      <c r="ODE28">
        <f t="array" ref="ODE28">_xlfn.XLOOKUP(ODE$11,Assumptions!$B$35:$H$35,_xlfn.XLOOKUP($C28,Assumptions!$B$36:$B$41,Assumptions!$B$36:$H$41))</f>
        <v>0</v>
      </c>
      <c r="ODF28">
        <f t="array" ref="ODF28">_xlfn.XLOOKUP(ODF$11,Assumptions!$B$35:$H$35,_xlfn.XLOOKUP($C28,Assumptions!$B$36:$B$41,Assumptions!$B$36:$H$41))</f>
        <v>0</v>
      </c>
      <c r="ODG28">
        <f t="array" ref="ODG28">_xlfn.XLOOKUP(ODG$11,Assumptions!$B$35:$H$35,_xlfn.XLOOKUP($C28,Assumptions!$B$36:$B$41,Assumptions!$B$36:$H$41))</f>
        <v>0</v>
      </c>
      <c r="ODH28">
        <f t="array" ref="ODH28">_xlfn.XLOOKUP(ODH$11,Assumptions!$B$35:$H$35,_xlfn.XLOOKUP($C28,Assumptions!$B$36:$B$41,Assumptions!$B$36:$H$41))</f>
        <v>0</v>
      </c>
      <c r="ODI28">
        <f t="array" ref="ODI28">_xlfn.XLOOKUP(ODI$11,Assumptions!$B$35:$H$35,_xlfn.XLOOKUP($C28,Assumptions!$B$36:$B$41,Assumptions!$B$36:$H$41))</f>
        <v>0</v>
      </c>
      <c r="ODJ28">
        <f t="array" ref="ODJ28">_xlfn.XLOOKUP(ODJ$11,Assumptions!$B$35:$H$35,_xlfn.XLOOKUP($C28,Assumptions!$B$36:$B$41,Assumptions!$B$36:$H$41))</f>
        <v>0</v>
      </c>
      <c r="ODK28">
        <f t="array" ref="ODK28">_xlfn.XLOOKUP(ODK$11,Assumptions!$B$35:$H$35,_xlfn.XLOOKUP($C28,Assumptions!$B$36:$B$41,Assumptions!$B$36:$H$41))</f>
        <v>0</v>
      </c>
      <c r="ODL28">
        <f t="array" ref="ODL28">_xlfn.XLOOKUP(ODL$11,Assumptions!$B$35:$H$35,_xlfn.XLOOKUP($C28,Assumptions!$B$36:$B$41,Assumptions!$B$36:$H$41))</f>
        <v>0</v>
      </c>
      <c r="ODM28">
        <f t="array" ref="ODM28">_xlfn.XLOOKUP(ODM$11,Assumptions!$B$35:$H$35,_xlfn.XLOOKUP($C28,Assumptions!$B$36:$B$41,Assumptions!$B$36:$H$41))</f>
        <v>0</v>
      </c>
      <c r="ODN28">
        <f t="array" ref="ODN28">_xlfn.XLOOKUP(ODN$11,Assumptions!$B$35:$H$35,_xlfn.XLOOKUP($C28,Assumptions!$B$36:$B$41,Assumptions!$B$36:$H$41))</f>
        <v>0</v>
      </c>
      <c r="ODO28">
        <f t="array" ref="ODO28">_xlfn.XLOOKUP(ODO$11,Assumptions!$B$35:$H$35,_xlfn.XLOOKUP($C28,Assumptions!$B$36:$B$41,Assumptions!$B$36:$H$41))</f>
        <v>0</v>
      </c>
      <c r="ODP28">
        <f t="array" ref="ODP28">_xlfn.XLOOKUP(ODP$11,Assumptions!$B$35:$H$35,_xlfn.XLOOKUP($C28,Assumptions!$B$36:$B$41,Assumptions!$B$36:$H$41))</f>
        <v>0</v>
      </c>
      <c r="ODQ28">
        <f t="array" ref="ODQ28">_xlfn.XLOOKUP(ODQ$11,Assumptions!$B$35:$H$35,_xlfn.XLOOKUP($C28,Assumptions!$B$36:$B$41,Assumptions!$B$36:$H$41))</f>
        <v>0</v>
      </c>
      <c r="ODR28">
        <f t="array" ref="ODR28">_xlfn.XLOOKUP(ODR$11,Assumptions!$B$35:$H$35,_xlfn.XLOOKUP($C28,Assumptions!$B$36:$B$41,Assumptions!$B$36:$H$41))</f>
        <v>0</v>
      </c>
      <c r="ODS28">
        <f t="array" ref="ODS28">_xlfn.XLOOKUP(ODS$11,Assumptions!$B$35:$H$35,_xlfn.XLOOKUP($C28,Assumptions!$B$36:$B$41,Assumptions!$B$36:$H$41))</f>
        <v>0</v>
      </c>
      <c r="ODT28">
        <f t="array" ref="ODT28">_xlfn.XLOOKUP(ODT$11,Assumptions!$B$35:$H$35,_xlfn.XLOOKUP($C28,Assumptions!$B$36:$B$41,Assumptions!$B$36:$H$41))</f>
        <v>0</v>
      </c>
      <c r="ODU28">
        <f t="array" ref="ODU28">_xlfn.XLOOKUP(ODU$11,Assumptions!$B$35:$H$35,_xlfn.XLOOKUP($C28,Assumptions!$B$36:$B$41,Assumptions!$B$36:$H$41))</f>
        <v>0</v>
      </c>
      <c r="ODV28">
        <f t="array" ref="ODV28">_xlfn.XLOOKUP(ODV$11,Assumptions!$B$35:$H$35,_xlfn.XLOOKUP($C28,Assumptions!$B$36:$B$41,Assumptions!$B$36:$H$41))</f>
        <v>0</v>
      </c>
      <c r="ODW28">
        <f t="array" ref="ODW28">_xlfn.XLOOKUP(ODW$11,Assumptions!$B$35:$H$35,_xlfn.XLOOKUP($C28,Assumptions!$B$36:$B$41,Assumptions!$B$36:$H$41))</f>
        <v>0</v>
      </c>
      <c r="ODX28">
        <f t="array" ref="ODX28">_xlfn.XLOOKUP(ODX$11,Assumptions!$B$35:$H$35,_xlfn.XLOOKUP($C28,Assumptions!$B$36:$B$41,Assumptions!$B$36:$H$41))</f>
        <v>0</v>
      </c>
      <c r="ODY28">
        <f t="array" ref="ODY28">_xlfn.XLOOKUP(ODY$11,Assumptions!$B$35:$H$35,_xlfn.XLOOKUP($C28,Assumptions!$B$36:$B$41,Assumptions!$B$36:$H$41))</f>
        <v>0</v>
      </c>
      <c r="ODZ28">
        <f t="array" ref="ODZ28">_xlfn.XLOOKUP(ODZ$11,Assumptions!$B$35:$H$35,_xlfn.XLOOKUP($C28,Assumptions!$B$36:$B$41,Assumptions!$B$36:$H$41))</f>
        <v>0</v>
      </c>
      <c r="OEA28">
        <f t="array" ref="OEA28">_xlfn.XLOOKUP(OEA$11,Assumptions!$B$35:$H$35,_xlfn.XLOOKUP($C28,Assumptions!$B$36:$B$41,Assumptions!$B$36:$H$41))</f>
        <v>0</v>
      </c>
      <c r="OEB28">
        <f t="array" ref="OEB28">_xlfn.XLOOKUP(OEB$11,Assumptions!$B$35:$H$35,_xlfn.XLOOKUP($C28,Assumptions!$B$36:$B$41,Assumptions!$B$36:$H$41))</f>
        <v>0</v>
      </c>
      <c r="OEC28">
        <f t="array" ref="OEC28">_xlfn.XLOOKUP(OEC$11,Assumptions!$B$35:$H$35,_xlfn.XLOOKUP($C28,Assumptions!$B$36:$B$41,Assumptions!$B$36:$H$41))</f>
        <v>0</v>
      </c>
      <c r="OED28">
        <f t="array" ref="OED28">_xlfn.XLOOKUP(OED$11,Assumptions!$B$35:$H$35,_xlfn.XLOOKUP($C28,Assumptions!$B$36:$B$41,Assumptions!$B$36:$H$41))</f>
        <v>0</v>
      </c>
      <c r="OEE28">
        <f t="array" ref="OEE28">_xlfn.XLOOKUP(OEE$11,Assumptions!$B$35:$H$35,_xlfn.XLOOKUP($C28,Assumptions!$B$36:$B$41,Assumptions!$B$36:$H$41))</f>
        <v>0</v>
      </c>
      <c r="OEF28">
        <f t="array" ref="OEF28">_xlfn.XLOOKUP(OEF$11,Assumptions!$B$35:$H$35,_xlfn.XLOOKUP($C28,Assumptions!$B$36:$B$41,Assumptions!$B$36:$H$41))</f>
        <v>0</v>
      </c>
      <c r="OEG28">
        <f t="array" ref="OEG28">_xlfn.XLOOKUP(OEG$11,Assumptions!$B$35:$H$35,_xlfn.XLOOKUP($C28,Assumptions!$B$36:$B$41,Assumptions!$B$36:$H$41))</f>
        <v>0</v>
      </c>
      <c r="OEH28">
        <f t="array" ref="OEH28">_xlfn.XLOOKUP(OEH$11,Assumptions!$B$35:$H$35,_xlfn.XLOOKUP($C28,Assumptions!$B$36:$B$41,Assumptions!$B$36:$H$41))</f>
        <v>0</v>
      </c>
      <c r="OEI28">
        <f t="array" ref="OEI28">_xlfn.XLOOKUP(OEI$11,Assumptions!$B$35:$H$35,_xlfn.XLOOKUP($C28,Assumptions!$B$36:$B$41,Assumptions!$B$36:$H$41))</f>
        <v>0</v>
      </c>
      <c r="OEJ28">
        <f t="array" ref="OEJ28">_xlfn.XLOOKUP(OEJ$11,Assumptions!$B$35:$H$35,_xlfn.XLOOKUP($C28,Assumptions!$B$36:$B$41,Assumptions!$B$36:$H$41))</f>
        <v>0</v>
      </c>
      <c r="OEK28">
        <f t="array" ref="OEK28">_xlfn.XLOOKUP(OEK$11,Assumptions!$B$35:$H$35,_xlfn.XLOOKUP($C28,Assumptions!$B$36:$B$41,Assumptions!$B$36:$H$41))</f>
        <v>0</v>
      </c>
      <c r="OEL28">
        <f t="array" ref="OEL28">_xlfn.XLOOKUP(OEL$11,Assumptions!$B$35:$H$35,_xlfn.XLOOKUP($C28,Assumptions!$B$36:$B$41,Assumptions!$B$36:$H$41))</f>
        <v>0</v>
      </c>
      <c r="OEM28">
        <f t="array" ref="OEM28">_xlfn.XLOOKUP(OEM$11,Assumptions!$B$35:$H$35,_xlfn.XLOOKUP($C28,Assumptions!$B$36:$B$41,Assumptions!$B$36:$H$41))</f>
        <v>0</v>
      </c>
      <c r="OEN28">
        <f t="array" ref="OEN28">_xlfn.XLOOKUP(OEN$11,Assumptions!$B$35:$H$35,_xlfn.XLOOKUP($C28,Assumptions!$B$36:$B$41,Assumptions!$B$36:$H$41))</f>
        <v>0</v>
      </c>
      <c r="OEO28">
        <f t="array" ref="OEO28">_xlfn.XLOOKUP(OEO$11,Assumptions!$B$35:$H$35,_xlfn.XLOOKUP($C28,Assumptions!$B$36:$B$41,Assumptions!$B$36:$H$41))</f>
        <v>0</v>
      </c>
      <c r="OEP28">
        <f t="array" ref="OEP28">_xlfn.XLOOKUP(OEP$11,Assumptions!$B$35:$H$35,_xlfn.XLOOKUP($C28,Assumptions!$B$36:$B$41,Assumptions!$B$36:$H$41))</f>
        <v>0</v>
      </c>
      <c r="OEQ28">
        <f t="array" ref="OEQ28">_xlfn.XLOOKUP(OEQ$11,Assumptions!$B$35:$H$35,_xlfn.XLOOKUP($C28,Assumptions!$B$36:$B$41,Assumptions!$B$36:$H$41))</f>
        <v>0</v>
      </c>
      <c r="OER28">
        <f t="array" ref="OER28">_xlfn.XLOOKUP(OER$11,Assumptions!$B$35:$H$35,_xlfn.XLOOKUP($C28,Assumptions!$B$36:$B$41,Assumptions!$B$36:$H$41))</f>
        <v>0</v>
      </c>
      <c r="OES28">
        <f t="array" ref="OES28">_xlfn.XLOOKUP(OES$11,Assumptions!$B$35:$H$35,_xlfn.XLOOKUP($C28,Assumptions!$B$36:$B$41,Assumptions!$B$36:$H$41))</f>
        <v>0</v>
      </c>
      <c r="OET28">
        <f t="array" ref="OET28">_xlfn.XLOOKUP(OET$11,Assumptions!$B$35:$H$35,_xlfn.XLOOKUP($C28,Assumptions!$B$36:$B$41,Assumptions!$B$36:$H$41))</f>
        <v>0</v>
      </c>
      <c r="OEU28">
        <f t="array" ref="OEU28">_xlfn.XLOOKUP(OEU$11,Assumptions!$B$35:$H$35,_xlfn.XLOOKUP($C28,Assumptions!$B$36:$B$41,Assumptions!$B$36:$H$41))</f>
        <v>0</v>
      </c>
      <c r="OEV28">
        <f t="array" ref="OEV28">_xlfn.XLOOKUP(OEV$11,Assumptions!$B$35:$H$35,_xlfn.XLOOKUP($C28,Assumptions!$B$36:$B$41,Assumptions!$B$36:$H$41))</f>
        <v>0</v>
      </c>
      <c r="OEW28">
        <f t="array" ref="OEW28">_xlfn.XLOOKUP(OEW$11,Assumptions!$B$35:$H$35,_xlfn.XLOOKUP($C28,Assumptions!$B$36:$B$41,Assumptions!$B$36:$H$41))</f>
        <v>0</v>
      </c>
      <c r="OEX28">
        <f t="array" ref="OEX28">_xlfn.XLOOKUP(OEX$11,Assumptions!$B$35:$H$35,_xlfn.XLOOKUP($C28,Assumptions!$B$36:$B$41,Assumptions!$B$36:$H$41))</f>
        <v>0</v>
      </c>
      <c r="OEY28">
        <f t="array" ref="OEY28">_xlfn.XLOOKUP(OEY$11,Assumptions!$B$35:$H$35,_xlfn.XLOOKUP($C28,Assumptions!$B$36:$B$41,Assumptions!$B$36:$H$41))</f>
        <v>0</v>
      </c>
      <c r="OEZ28">
        <f t="array" ref="OEZ28">_xlfn.XLOOKUP(OEZ$11,Assumptions!$B$35:$H$35,_xlfn.XLOOKUP($C28,Assumptions!$B$36:$B$41,Assumptions!$B$36:$H$41))</f>
        <v>0</v>
      </c>
      <c r="OFA28">
        <f t="array" ref="OFA28">_xlfn.XLOOKUP(OFA$11,Assumptions!$B$35:$H$35,_xlfn.XLOOKUP($C28,Assumptions!$B$36:$B$41,Assumptions!$B$36:$H$41))</f>
        <v>0</v>
      </c>
      <c r="OFB28">
        <f t="array" ref="OFB28">_xlfn.XLOOKUP(OFB$11,Assumptions!$B$35:$H$35,_xlfn.XLOOKUP($C28,Assumptions!$B$36:$B$41,Assumptions!$B$36:$H$41))</f>
        <v>0</v>
      </c>
      <c r="OFC28">
        <f t="array" ref="OFC28">_xlfn.XLOOKUP(OFC$11,Assumptions!$B$35:$H$35,_xlfn.XLOOKUP($C28,Assumptions!$B$36:$B$41,Assumptions!$B$36:$H$41))</f>
        <v>0</v>
      </c>
      <c r="OFD28">
        <f t="array" ref="OFD28">_xlfn.XLOOKUP(OFD$11,Assumptions!$B$35:$H$35,_xlfn.XLOOKUP($C28,Assumptions!$B$36:$B$41,Assumptions!$B$36:$H$41))</f>
        <v>0</v>
      </c>
      <c r="OFE28">
        <f t="array" ref="OFE28">_xlfn.XLOOKUP(OFE$11,Assumptions!$B$35:$H$35,_xlfn.XLOOKUP($C28,Assumptions!$B$36:$B$41,Assumptions!$B$36:$H$41))</f>
        <v>0</v>
      </c>
      <c r="OFF28">
        <f t="array" ref="OFF28">_xlfn.XLOOKUP(OFF$11,Assumptions!$B$35:$H$35,_xlfn.XLOOKUP($C28,Assumptions!$B$36:$B$41,Assumptions!$B$36:$H$41))</f>
        <v>0</v>
      </c>
      <c r="OFG28">
        <f t="array" ref="OFG28">_xlfn.XLOOKUP(OFG$11,Assumptions!$B$35:$H$35,_xlfn.XLOOKUP($C28,Assumptions!$B$36:$B$41,Assumptions!$B$36:$H$41))</f>
        <v>0</v>
      </c>
      <c r="OFH28">
        <f t="array" ref="OFH28">_xlfn.XLOOKUP(OFH$11,Assumptions!$B$35:$H$35,_xlfn.XLOOKUP($C28,Assumptions!$B$36:$B$41,Assumptions!$B$36:$H$41))</f>
        <v>0</v>
      </c>
      <c r="OFI28">
        <f t="array" ref="OFI28">_xlfn.XLOOKUP(OFI$11,Assumptions!$B$35:$H$35,_xlfn.XLOOKUP($C28,Assumptions!$B$36:$B$41,Assumptions!$B$36:$H$41))</f>
        <v>0</v>
      </c>
      <c r="OFJ28">
        <f t="array" ref="OFJ28">_xlfn.XLOOKUP(OFJ$11,Assumptions!$B$35:$H$35,_xlfn.XLOOKUP($C28,Assumptions!$B$36:$B$41,Assumptions!$B$36:$H$41))</f>
        <v>0</v>
      </c>
      <c r="OFK28">
        <f t="array" ref="OFK28">_xlfn.XLOOKUP(OFK$11,Assumptions!$B$35:$H$35,_xlfn.XLOOKUP($C28,Assumptions!$B$36:$B$41,Assumptions!$B$36:$H$41))</f>
        <v>0</v>
      </c>
      <c r="OFL28">
        <f t="array" ref="OFL28">_xlfn.XLOOKUP(OFL$11,Assumptions!$B$35:$H$35,_xlfn.XLOOKUP($C28,Assumptions!$B$36:$B$41,Assumptions!$B$36:$H$41))</f>
        <v>0</v>
      </c>
      <c r="OFM28">
        <f t="array" ref="OFM28">_xlfn.XLOOKUP(OFM$11,Assumptions!$B$35:$H$35,_xlfn.XLOOKUP($C28,Assumptions!$B$36:$B$41,Assumptions!$B$36:$H$41))</f>
        <v>0</v>
      </c>
      <c r="OFN28">
        <f t="array" ref="OFN28">_xlfn.XLOOKUP(OFN$11,Assumptions!$B$35:$H$35,_xlfn.XLOOKUP($C28,Assumptions!$B$36:$B$41,Assumptions!$B$36:$H$41))</f>
        <v>0</v>
      </c>
      <c r="OFO28">
        <f t="array" ref="OFO28">_xlfn.XLOOKUP(OFO$11,Assumptions!$B$35:$H$35,_xlfn.XLOOKUP($C28,Assumptions!$B$36:$B$41,Assumptions!$B$36:$H$41))</f>
        <v>0</v>
      </c>
      <c r="OFP28">
        <f t="array" ref="OFP28">_xlfn.XLOOKUP(OFP$11,Assumptions!$B$35:$H$35,_xlfn.XLOOKUP($C28,Assumptions!$B$36:$B$41,Assumptions!$B$36:$H$41))</f>
        <v>0</v>
      </c>
      <c r="OFQ28">
        <f t="array" ref="OFQ28">_xlfn.XLOOKUP(OFQ$11,Assumptions!$B$35:$H$35,_xlfn.XLOOKUP($C28,Assumptions!$B$36:$B$41,Assumptions!$B$36:$H$41))</f>
        <v>0</v>
      </c>
      <c r="OFR28">
        <f t="array" ref="OFR28">_xlfn.XLOOKUP(OFR$11,Assumptions!$B$35:$H$35,_xlfn.XLOOKUP($C28,Assumptions!$B$36:$B$41,Assumptions!$B$36:$H$41))</f>
        <v>0</v>
      </c>
      <c r="OFS28">
        <f t="array" ref="OFS28">_xlfn.XLOOKUP(OFS$11,Assumptions!$B$35:$H$35,_xlfn.XLOOKUP($C28,Assumptions!$B$36:$B$41,Assumptions!$B$36:$H$41))</f>
        <v>0</v>
      </c>
      <c r="OFT28">
        <f t="array" ref="OFT28">_xlfn.XLOOKUP(OFT$11,Assumptions!$B$35:$H$35,_xlfn.XLOOKUP($C28,Assumptions!$B$36:$B$41,Assumptions!$B$36:$H$41))</f>
        <v>0</v>
      </c>
      <c r="OFU28">
        <f t="array" ref="OFU28">_xlfn.XLOOKUP(OFU$11,Assumptions!$B$35:$H$35,_xlfn.XLOOKUP($C28,Assumptions!$B$36:$B$41,Assumptions!$B$36:$H$41))</f>
        <v>0</v>
      </c>
      <c r="OFV28">
        <f t="array" ref="OFV28">_xlfn.XLOOKUP(OFV$11,Assumptions!$B$35:$H$35,_xlfn.XLOOKUP($C28,Assumptions!$B$36:$B$41,Assumptions!$B$36:$H$41))</f>
        <v>0</v>
      </c>
      <c r="OFW28">
        <f t="array" ref="OFW28">_xlfn.XLOOKUP(OFW$11,Assumptions!$B$35:$H$35,_xlfn.XLOOKUP($C28,Assumptions!$B$36:$B$41,Assumptions!$B$36:$H$41))</f>
        <v>0</v>
      </c>
      <c r="OFX28">
        <f t="array" ref="OFX28">_xlfn.XLOOKUP(OFX$11,Assumptions!$B$35:$H$35,_xlfn.XLOOKUP($C28,Assumptions!$B$36:$B$41,Assumptions!$B$36:$H$41))</f>
        <v>0</v>
      </c>
      <c r="OFY28">
        <f t="array" ref="OFY28">_xlfn.XLOOKUP(OFY$11,Assumptions!$B$35:$H$35,_xlfn.XLOOKUP($C28,Assumptions!$B$36:$B$41,Assumptions!$B$36:$H$41))</f>
        <v>0</v>
      </c>
      <c r="OFZ28">
        <f t="array" ref="OFZ28">_xlfn.XLOOKUP(OFZ$11,Assumptions!$B$35:$H$35,_xlfn.XLOOKUP($C28,Assumptions!$B$36:$B$41,Assumptions!$B$36:$H$41))</f>
        <v>0</v>
      </c>
      <c r="OGA28">
        <f t="array" ref="OGA28">_xlfn.XLOOKUP(OGA$11,Assumptions!$B$35:$H$35,_xlfn.XLOOKUP($C28,Assumptions!$B$36:$B$41,Assumptions!$B$36:$H$41))</f>
        <v>0</v>
      </c>
      <c r="OGB28">
        <f t="array" ref="OGB28">_xlfn.XLOOKUP(OGB$11,Assumptions!$B$35:$H$35,_xlfn.XLOOKUP($C28,Assumptions!$B$36:$B$41,Assumptions!$B$36:$H$41))</f>
        <v>0</v>
      </c>
      <c r="OGC28">
        <f t="array" ref="OGC28">_xlfn.XLOOKUP(OGC$11,Assumptions!$B$35:$H$35,_xlfn.XLOOKUP($C28,Assumptions!$B$36:$B$41,Assumptions!$B$36:$H$41))</f>
        <v>0</v>
      </c>
      <c r="OGD28">
        <f t="array" ref="OGD28">_xlfn.XLOOKUP(OGD$11,Assumptions!$B$35:$H$35,_xlfn.XLOOKUP($C28,Assumptions!$B$36:$B$41,Assumptions!$B$36:$H$41))</f>
        <v>0</v>
      </c>
      <c r="OGE28">
        <f t="array" ref="OGE28">_xlfn.XLOOKUP(OGE$11,Assumptions!$B$35:$H$35,_xlfn.XLOOKUP($C28,Assumptions!$B$36:$B$41,Assumptions!$B$36:$H$41))</f>
        <v>0</v>
      </c>
      <c r="OGF28">
        <f t="array" ref="OGF28">_xlfn.XLOOKUP(OGF$11,Assumptions!$B$35:$H$35,_xlfn.XLOOKUP($C28,Assumptions!$B$36:$B$41,Assumptions!$B$36:$H$41))</f>
        <v>0</v>
      </c>
      <c r="OGG28">
        <f t="array" ref="OGG28">_xlfn.XLOOKUP(OGG$11,Assumptions!$B$35:$H$35,_xlfn.XLOOKUP($C28,Assumptions!$B$36:$B$41,Assumptions!$B$36:$H$41))</f>
        <v>0</v>
      </c>
      <c r="OGH28">
        <f t="array" ref="OGH28">_xlfn.XLOOKUP(OGH$11,Assumptions!$B$35:$H$35,_xlfn.XLOOKUP($C28,Assumptions!$B$36:$B$41,Assumptions!$B$36:$H$41))</f>
        <v>0</v>
      </c>
      <c r="OGI28">
        <f t="array" ref="OGI28">_xlfn.XLOOKUP(OGI$11,Assumptions!$B$35:$H$35,_xlfn.XLOOKUP($C28,Assumptions!$B$36:$B$41,Assumptions!$B$36:$H$41))</f>
        <v>0</v>
      </c>
      <c r="OGJ28">
        <f t="array" ref="OGJ28">_xlfn.XLOOKUP(OGJ$11,Assumptions!$B$35:$H$35,_xlfn.XLOOKUP($C28,Assumptions!$B$36:$B$41,Assumptions!$B$36:$H$41))</f>
        <v>0</v>
      </c>
      <c r="OGK28">
        <f t="array" ref="OGK28">_xlfn.XLOOKUP(OGK$11,Assumptions!$B$35:$H$35,_xlfn.XLOOKUP($C28,Assumptions!$B$36:$B$41,Assumptions!$B$36:$H$41))</f>
        <v>0</v>
      </c>
      <c r="OGL28">
        <f t="array" ref="OGL28">_xlfn.XLOOKUP(OGL$11,Assumptions!$B$35:$H$35,_xlfn.XLOOKUP($C28,Assumptions!$B$36:$B$41,Assumptions!$B$36:$H$41))</f>
        <v>0</v>
      </c>
      <c r="OGM28">
        <f t="array" ref="OGM28">_xlfn.XLOOKUP(OGM$11,Assumptions!$B$35:$H$35,_xlfn.XLOOKUP($C28,Assumptions!$B$36:$B$41,Assumptions!$B$36:$H$41))</f>
        <v>0</v>
      </c>
      <c r="OGN28">
        <f t="array" ref="OGN28">_xlfn.XLOOKUP(OGN$11,Assumptions!$B$35:$H$35,_xlfn.XLOOKUP($C28,Assumptions!$B$36:$B$41,Assumptions!$B$36:$H$41))</f>
        <v>0</v>
      </c>
      <c r="OGO28">
        <f t="array" ref="OGO28">_xlfn.XLOOKUP(OGO$11,Assumptions!$B$35:$H$35,_xlfn.XLOOKUP($C28,Assumptions!$B$36:$B$41,Assumptions!$B$36:$H$41))</f>
        <v>0</v>
      </c>
      <c r="OGP28">
        <f t="array" ref="OGP28">_xlfn.XLOOKUP(OGP$11,Assumptions!$B$35:$H$35,_xlfn.XLOOKUP($C28,Assumptions!$B$36:$B$41,Assumptions!$B$36:$H$41))</f>
        <v>0</v>
      </c>
      <c r="OGQ28">
        <f t="array" ref="OGQ28">_xlfn.XLOOKUP(OGQ$11,Assumptions!$B$35:$H$35,_xlfn.XLOOKUP($C28,Assumptions!$B$36:$B$41,Assumptions!$B$36:$H$41))</f>
        <v>0</v>
      </c>
      <c r="OGR28">
        <f t="array" ref="OGR28">_xlfn.XLOOKUP(OGR$11,Assumptions!$B$35:$H$35,_xlfn.XLOOKUP($C28,Assumptions!$B$36:$B$41,Assumptions!$B$36:$H$41))</f>
        <v>0</v>
      </c>
      <c r="OGS28">
        <f t="array" ref="OGS28">_xlfn.XLOOKUP(OGS$11,Assumptions!$B$35:$H$35,_xlfn.XLOOKUP($C28,Assumptions!$B$36:$B$41,Assumptions!$B$36:$H$41))</f>
        <v>0</v>
      </c>
      <c r="OGT28">
        <f t="array" ref="OGT28">_xlfn.XLOOKUP(OGT$11,Assumptions!$B$35:$H$35,_xlfn.XLOOKUP($C28,Assumptions!$B$36:$B$41,Assumptions!$B$36:$H$41))</f>
        <v>0</v>
      </c>
      <c r="OGU28">
        <f t="array" ref="OGU28">_xlfn.XLOOKUP(OGU$11,Assumptions!$B$35:$H$35,_xlfn.XLOOKUP($C28,Assumptions!$B$36:$B$41,Assumptions!$B$36:$H$41))</f>
        <v>0</v>
      </c>
      <c r="OGV28">
        <f t="array" ref="OGV28">_xlfn.XLOOKUP(OGV$11,Assumptions!$B$35:$H$35,_xlfn.XLOOKUP($C28,Assumptions!$B$36:$B$41,Assumptions!$B$36:$H$41))</f>
        <v>0</v>
      </c>
      <c r="OGW28">
        <f t="array" ref="OGW28">_xlfn.XLOOKUP(OGW$11,Assumptions!$B$35:$H$35,_xlfn.XLOOKUP($C28,Assumptions!$B$36:$B$41,Assumptions!$B$36:$H$41))</f>
        <v>0</v>
      </c>
      <c r="OGX28">
        <f t="array" ref="OGX28">_xlfn.XLOOKUP(OGX$11,Assumptions!$B$35:$H$35,_xlfn.XLOOKUP($C28,Assumptions!$B$36:$B$41,Assumptions!$B$36:$H$41))</f>
        <v>0</v>
      </c>
      <c r="OGY28">
        <f t="array" ref="OGY28">_xlfn.XLOOKUP(OGY$11,Assumptions!$B$35:$H$35,_xlfn.XLOOKUP($C28,Assumptions!$B$36:$B$41,Assumptions!$B$36:$H$41))</f>
        <v>0</v>
      </c>
      <c r="OGZ28">
        <f t="array" ref="OGZ28">_xlfn.XLOOKUP(OGZ$11,Assumptions!$B$35:$H$35,_xlfn.XLOOKUP($C28,Assumptions!$B$36:$B$41,Assumptions!$B$36:$H$41))</f>
        <v>0</v>
      </c>
      <c r="OHA28">
        <f t="array" ref="OHA28">_xlfn.XLOOKUP(OHA$11,Assumptions!$B$35:$H$35,_xlfn.XLOOKUP($C28,Assumptions!$B$36:$B$41,Assumptions!$B$36:$H$41))</f>
        <v>0</v>
      </c>
      <c r="OHB28">
        <f t="array" ref="OHB28">_xlfn.XLOOKUP(OHB$11,Assumptions!$B$35:$H$35,_xlfn.XLOOKUP($C28,Assumptions!$B$36:$B$41,Assumptions!$B$36:$H$41))</f>
        <v>0</v>
      </c>
      <c r="OHC28">
        <f t="array" ref="OHC28">_xlfn.XLOOKUP(OHC$11,Assumptions!$B$35:$H$35,_xlfn.XLOOKUP($C28,Assumptions!$B$36:$B$41,Assumptions!$B$36:$H$41))</f>
        <v>0</v>
      </c>
      <c r="OHD28">
        <f t="array" ref="OHD28">_xlfn.XLOOKUP(OHD$11,Assumptions!$B$35:$H$35,_xlfn.XLOOKUP($C28,Assumptions!$B$36:$B$41,Assumptions!$B$36:$H$41))</f>
        <v>0</v>
      </c>
      <c r="OHE28">
        <f t="array" ref="OHE28">_xlfn.XLOOKUP(OHE$11,Assumptions!$B$35:$H$35,_xlfn.XLOOKUP($C28,Assumptions!$B$36:$B$41,Assumptions!$B$36:$H$41))</f>
        <v>0</v>
      </c>
      <c r="OHF28">
        <f t="array" ref="OHF28">_xlfn.XLOOKUP(OHF$11,Assumptions!$B$35:$H$35,_xlfn.XLOOKUP($C28,Assumptions!$B$36:$B$41,Assumptions!$B$36:$H$41))</f>
        <v>0</v>
      </c>
      <c r="OHG28">
        <f t="array" ref="OHG28">_xlfn.XLOOKUP(OHG$11,Assumptions!$B$35:$H$35,_xlfn.XLOOKUP($C28,Assumptions!$B$36:$B$41,Assumptions!$B$36:$H$41))</f>
        <v>0</v>
      </c>
      <c r="OHH28">
        <f t="array" ref="OHH28">_xlfn.XLOOKUP(OHH$11,Assumptions!$B$35:$H$35,_xlfn.XLOOKUP($C28,Assumptions!$B$36:$B$41,Assumptions!$B$36:$H$41))</f>
        <v>0</v>
      </c>
      <c r="OHI28">
        <f t="array" ref="OHI28">_xlfn.XLOOKUP(OHI$11,Assumptions!$B$35:$H$35,_xlfn.XLOOKUP($C28,Assumptions!$B$36:$B$41,Assumptions!$B$36:$H$41))</f>
        <v>0</v>
      </c>
      <c r="OHJ28">
        <f t="array" ref="OHJ28">_xlfn.XLOOKUP(OHJ$11,Assumptions!$B$35:$H$35,_xlfn.XLOOKUP($C28,Assumptions!$B$36:$B$41,Assumptions!$B$36:$H$41))</f>
        <v>0</v>
      </c>
      <c r="OHK28">
        <f t="array" ref="OHK28">_xlfn.XLOOKUP(OHK$11,Assumptions!$B$35:$H$35,_xlfn.XLOOKUP($C28,Assumptions!$B$36:$B$41,Assumptions!$B$36:$H$41))</f>
        <v>0</v>
      </c>
      <c r="OHL28">
        <f t="array" ref="OHL28">_xlfn.XLOOKUP(OHL$11,Assumptions!$B$35:$H$35,_xlfn.XLOOKUP($C28,Assumptions!$B$36:$B$41,Assumptions!$B$36:$H$41))</f>
        <v>0</v>
      </c>
      <c r="OHM28">
        <f t="array" ref="OHM28">_xlfn.XLOOKUP(OHM$11,Assumptions!$B$35:$H$35,_xlfn.XLOOKUP($C28,Assumptions!$B$36:$B$41,Assumptions!$B$36:$H$41))</f>
        <v>0</v>
      </c>
      <c r="OHN28">
        <f t="array" ref="OHN28">_xlfn.XLOOKUP(OHN$11,Assumptions!$B$35:$H$35,_xlfn.XLOOKUP($C28,Assumptions!$B$36:$B$41,Assumptions!$B$36:$H$41))</f>
        <v>0</v>
      </c>
      <c r="OHO28">
        <f t="array" ref="OHO28">_xlfn.XLOOKUP(OHO$11,Assumptions!$B$35:$H$35,_xlfn.XLOOKUP($C28,Assumptions!$B$36:$B$41,Assumptions!$B$36:$H$41))</f>
        <v>0</v>
      </c>
      <c r="OHP28">
        <f t="array" ref="OHP28">_xlfn.XLOOKUP(OHP$11,Assumptions!$B$35:$H$35,_xlfn.XLOOKUP($C28,Assumptions!$B$36:$B$41,Assumptions!$B$36:$H$41))</f>
        <v>0</v>
      </c>
      <c r="OHQ28">
        <f t="array" ref="OHQ28">_xlfn.XLOOKUP(OHQ$11,Assumptions!$B$35:$H$35,_xlfn.XLOOKUP($C28,Assumptions!$B$36:$B$41,Assumptions!$B$36:$H$41))</f>
        <v>0</v>
      </c>
      <c r="OHR28">
        <f t="array" ref="OHR28">_xlfn.XLOOKUP(OHR$11,Assumptions!$B$35:$H$35,_xlfn.XLOOKUP($C28,Assumptions!$B$36:$B$41,Assumptions!$B$36:$H$41))</f>
        <v>0</v>
      </c>
      <c r="OHS28">
        <f t="array" ref="OHS28">_xlfn.XLOOKUP(OHS$11,Assumptions!$B$35:$H$35,_xlfn.XLOOKUP($C28,Assumptions!$B$36:$B$41,Assumptions!$B$36:$H$41))</f>
        <v>0</v>
      </c>
      <c r="OHT28">
        <f t="array" ref="OHT28">_xlfn.XLOOKUP(OHT$11,Assumptions!$B$35:$H$35,_xlfn.XLOOKUP($C28,Assumptions!$B$36:$B$41,Assumptions!$B$36:$H$41))</f>
        <v>0</v>
      </c>
      <c r="OHU28">
        <f t="array" ref="OHU28">_xlfn.XLOOKUP(OHU$11,Assumptions!$B$35:$H$35,_xlfn.XLOOKUP($C28,Assumptions!$B$36:$B$41,Assumptions!$B$36:$H$41))</f>
        <v>0</v>
      </c>
      <c r="OHV28">
        <f t="array" ref="OHV28">_xlfn.XLOOKUP(OHV$11,Assumptions!$B$35:$H$35,_xlfn.XLOOKUP($C28,Assumptions!$B$36:$B$41,Assumptions!$B$36:$H$41))</f>
        <v>0</v>
      </c>
      <c r="OHW28">
        <f t="array" ref="OHW28">_xlfn.XLOOKUP(OHW$11,Assumptions!$B$35:$H$35,_xlfn.XLOOKUP($C28,Assumptions!$B$36:$B$41,Assumptions!$B$36:$H$41))</f>
        <v>0</v>
      </c>
      <c r="OHX28">
        <f t="array" ref="OHX28">_xlfn.XLOOKUP(OHX$11,Assumptions!$B$35:$H$35,_xlfn.XLOOKUP($C28,Assumptions!$B$36:$B$41,Assumptions!$B$36:$H$41))</f>
        <v>0</v>
      </c>
      <c r="OHY28">
        <f t="array" ref="OHY28">_xlfn.XLOOKUP(OHY$11,Assumptions!$B$35:$H$35,_xlfn.XLOOKUP($C28,Assumptions!$B$36:$B$41,Assumptions!$B$36:$H$41))</f>
        <v>0</v>
      </c>
      <c r="OHZ28">
        <f t="array" ref="OHZ28">_xlfn.XLOOKUP(OHZ$11,Assumptions!$B$35:$H$35,_xlfn.XLOOKUP($C28,Assumptions!$B$36:$B$41,Assumptions!$B$36:$H$41))</f>
        <v>0</v>
      </c>
      <c r="OIA28">
        <f t="array" ref="OIA28">_xlfn.XLOOKUP(OIA$11,Assumptions!$B$35:$H$35,_xlfn.XLOOKUP($C28,Assumptions!$B$36:$B$41,Assumptions!$B$36:$H$41))</f>
        <v>0</v>
      </c>
      <c r="OIB28">
        <f t="array" ref="OIB28">_xlfn.XLOOKUP(OIB$11,Assumptions!$B$35:$H$35,_xlfn.XLOOKUP($C28,Assumptions!$B$36:$B$41,Assumptions!$B$36:$H$41))</f>
        <v>0</v>
      </c>
      <c r="OIC28">
        <f t="array" ref="OIC28">_xlfn.XLOOKUP(OIC$11,Assumptions!$B$35:$H$35,_xlfn.XLOOKUP($C28,Assumptions!$B$36:$B$41,Assumptions!$B$36:$H$41))</f>
        <v>0</v>
      </c>
      <c r="OID28">
        <f t="array" ref="OID28">_xlfn.XLOOKUP(OID$11,Assumptions!$B$35:$H$35,_xlfn.XLOOKUP($C28,Assumptions!$B$36:$B$41,Assumptions!$B$36:$H$41))</f>
        <v>0</v>
      </c>
      <c r="OIE28">
        <f t="array" ref="OIE28">_xlfn.XLOOKUP(OIE$11,Assumptions!$B$35:$H$35,_xlfn.XLOOKUP($C28,Assumptions!$B$36:$B$41,Assumptions!$B$36:$H$41))</f>
        <v>0</v>
      </c>
      <c r="OIF28">
        <f t="array" ref="OIF28">_xlfn.XLOOKUP(OIF$11,Assumptions!$B$35:$H$35,_xlfn.XLOOKUP($C28,Assumptions!$B$36:$B$41,Assumptions!$B$36:$H$41))</f>
        <v>0</v>
      </c>
      <c r="OIG28">
        <f t="array" ref="OIG28">_xlfn.XLOOKUP(OIG$11,Assumptions!$B$35:$H$35,_xlfn.XLOOKUP($C28,Assumptions!$B$36:$B$41,Assumptions!$B$36:$H$41))</f>
        <v>0</v>
      </c>
      <c r="OIH28">
        <f t="array" ref="OIH28">_xlfn.XLOOKUP(OIH$11,Assumptions!$B$35:$H$35,_xlfn.XLOOKUP($C28,Assumptions!$B$36:$B$41,Assumptions!$B$36:$H$41))</f>
        <v>0</v>
      </c>
      <c r="OII28">
        <f t="array" ref="OII28">_xlfn.XLOOKUP(OII$11,Assumptions!$B$35:$H$35,_xlfn.XLOOKUP($C28,Assumptions!$B$36:$B$41,Assumptions!$B$36:$H$41))</f>
        <v>0</v>
      </c>
      <c r="OIJ28">
        <f t="array" ref="OIJ28">_xlfn.XLOOKUP(OIJ$11,Assumptions!$B$35:$H$35,_xlfn.XLOOKUP($C28,Assumptions!$B$36:$B$41,Assumptions!$B$36:$H$41))</f>
        <v>0</v>
      </c>
      <c r="OIK28">
        <f t="array" ref="OIK28">_xlfn.XLOOKUP(OIK$11,Assumptions!$B$35:$H$35,_xlfn.XLOOKUP($C28,Assumptions!$B$36:$B$41,Assumptions!$B$36:$H$41))</f>
        <v>0</v>
      </c>
      <c r="OIL28">
        <f t="array" ref="OIL28">_xlfn.XLOOKUP(OIL$11,Assumptions!$B$35:$H$35,_xlfn.XLOOKUP($C28,Assumptions!$B$36:$B$41,Assumptions!$B$36:$H$41))</f>
        <v>0</v>
      </c>
      <c r="OIM28">
        <f t="array" ref="OIM28">_xlfn.XLOOKUP(OIM$11,Assumptions!$B$35:$H$35,_xlfn.XLOOKUP($C28,Assumptions!$B$36:$B$41,Assumptions!$B$36:$H$41))</f>
        <v>0</v>
      </c>
      <c r="OIN28">
        <f t="array" ref="OIN28">_xlfn.XLOOKUP(OIN$11,Assumptions!$B$35:$H$35,_xlfn.XLOOKUP($C28,Assumptions!$B$36:$B$41,Assumptions!$B$36:$H$41))</f>
        <v>0</v>
      </c>
      <c r="OIO28">
        <f t="array" ref="OIO28">_xlfn.XLOOKUP(OIO$11,Assumptions!$B$35:$H$35,_xlfn.XLOOKUP($C28,Assumptions!$B$36:$B$41,Assumptions!$B$36:$H$41))</f>
        <v>0</v>
      </c>
      <c r="OIP28">
        <f t="array" ref="OIP28">_xlfn.XLOOKUP(OIP$11,Assumptions!$B$35:$H$35,_xlfn.XLOOKUP($C28,Assumptions!$B$36:$B$41,Assumptions!$B$36:$H$41))</f>
        <v>0</v>
      </c>
      <c r="OIQ28">
        <f t="array" ref="OIQ28">_xlfn.XLOOKUP(OIQ$11,Assumptions!$B$35:$H$35,_xlfn.XLOOKUP($C28,Assumptions!$B$36:$B$41,Assumptions!$B$36:$H$41))</f>
        <v>0</v>
      </c>
      <c r="OIR28">
        <f t="array" ref="OIR28">_xlfn.XLOOKUP(OIR$11,Assumptions!$B$35:$H$35,_xlfn.XLOOKUP($C28,Assumptions!$B$36:$B$41,Assumptions!$B$36:$H$41))</f>
        <v>0</v>
      </c>
      <c r="OIS28">
        <f t="array" ref="OIS28">_xlfn.XLOOKUP(OIS$11,Assumptions!$B$35:$H$35,_xlfn.XLOOKUP($C28,Assumptions!$B$36:$B$41,Assumptions!$B$36:$H$41))</f>
        <v>0</v>
      </c>
      <c r="OIT28">
        <f t="array" ref="OIT28">_xlfn.XLOOKUP(OIT$11,Assumptions!$B$35:$H$35,_xlfn.XLOOKUP($C28,Assumptions!$B$36:$B$41,Assumptions!$B$36:$H$41))</f>
        <v>0</v>
      </c>
      <c r="OIU28">
        <f t="array" ref="OIU28">_xlfn.XLOOKUP(OIU$11,Assumptions!$B$35:$H$35,_xlfn.XLOOKUP($C28,Assumptions!$B$36:$B$41,Assumptions!$B$36:$H$41))</f>
        <v>0</v>
      </c>
      <c r="OIV28">
        <f t="array" ref="OIV28">_xlfn.XLOOKUP(OIV$11,Assumptions!$B$35:$H$35,_xlfn.XLOOKUP($C28,Assumptions!$B$36:$B$41,Assumptions!$B$36:$H$41))</f>
        <v>0</v>
      </c>
      <c r="OIW28">
        <f t="array" ref="OIW28">_xlfn.XLOOKUP(OIW$11,Assumptions!$B$35:$H$35,_xlfn.XLOOKUP($C28,Assumptions!$B$36:$B$41,Assumptions!$B$36:$H$41))</f>
        <v>0</v>
      </c>
      <c r="OIX28">
        <f t="array" ref="OIX28">_xlfn.XLOOKUP(OIX$11,Assumptions!$B$35:$H$35,_xlfn.XLOOKUP($C28,Assumptions!$B$36:$B$41,Assumptions!$B$36:$H$41))</f>
        <v>0</v>
      </c>
      <c r="OIY28">
        <f t="array" ref="OIY28">_xlfn.XLOOKUP(OIY$11,Assumptions!$B$35:$H$35,_xlfn.XLOOKUP($C28,Assumptions!$B$36:$B$41,Assumptions!$B$36:$H$41))</f>
        <v>0</v>
      </c>
      <c r="OIZ28">
        <f t="array" ref="OIZ28">_xlfn.XLOOKUP(OIZ$11,Assumptions!$B$35:$H$35,_xlfn.XLOOKUP($C28,Assumptions!$B$36:$B$41,Assumptions!$B$36:$H$41))</f>
        <v>0</v>
      </c>
      <c r="OJA28">
        <f t="array" ref="OJA28">_xlfn.XLOOKUP(OJA$11,Assumptions!$B$35:$H$35,_xlfn.XLOOKUP($C28,Assumptions!$B$36:$B$41,Assumptions!$B$36:$H$41))</f>
        <v>0</v>
      </c>
      <c r="OJB28">
        <f t="array" ref="OJB28">_xlfn.XLOOKUP(OJB$11,Assumptions!$B$35:$H$35,_xlfn.XLOOKUP($C28,Assumptions!$B$36:$B$41,Assumptions!$B$36:$H$41))</f>
        <v>0</v>
      </c>
      <c r="OJC28">
        <f t="array" ref="OJC28">_xlfn.XLOOKUP(OJC$11,Assumptions!$B$35:$H$35,_xlfn.XLOOKUP($C28,Assumptions!$B$36:$B$41,Assumptions!$B$36:$H$41))</f>
        <v>0</v>
      </c>
      <c r="OJD28">
        <f t="array" ref="OJD28">_xlfn.XLOOKUP(OJD$11,Assumptions!$B$35:$H$35,_xlfn.XLOOKUP($C28,Assumptions!$B$36:$B$41,Assumptions!$B$36:$H$41))</f>
        <v>0</v>
      </c>
      <c r="OJE28">
        <f t="array" ref="OJE28">_xlfn.XLOOKUP(OJE$11,Assumptions!$B$35:$H$35,_xlfn.XLOOKUP($C28,Assumptions!$B$36:$B$41,Assumptions!$B$36:$H$41))</f>
        <v>0</v>
      </c>
      <c r="OJF28">
        <f t="array" ref="OJF28">_xlfn.XLOOKUP(OJF$11,Assumptions!$B$35:$H$35,_xlfn.XLOOKUP($C28,Assumptions!$B$36:$B$41,Assumptions!$B$36:$H$41))</f>
        <v>0</v>
      </c>
      <c r="OJG28">
        <f t="array" ref="OJG28">_xlfn.XLOOKUP(OJG$11,Assumptions!$B$35:$H$35,_xlfn.XLOOKUP($C28,Assumptions!$B$36:$B$41,Assumptions!$B$36:$H$41))</f>
        <v>0</v>
      </c>
      <c r="OJH28">
        <f t="array" ref="OJH28">_xlfn.XLOOKUP(OJH$11,Assumptions!$B$35:$H$35,_xlfn.XLOOKUP($C28,Assumptions!$B$36:$B$41,Assumptions!$B$36:$H$41))</f>
        <v>0</v>
      </c>
      <c r="OJI28">
        <f t="array" ref="OJI28">_xlfn.XLOOKUP(OJI$11,Assumptions!$B$35:$H$35,_xlfn.XLOOKUP($C28,Assumptions!$B$36:$B$41,Assumptions!$B$36:$H$41))</f>
        <v>0</v>
      </c>
      <c r="OJJ28">
        <f t="array" ref="OJJ28">_xlfn.XLOOKUP(OJJ$11,Assumptions!$B$35:$H$35,_xlfn.XLOOKUP($C28,Assumptions!$B$36:$B$41,Assumptions!$B$36:$H$41))</f>
        <v>0</v>
      </c>
      <c r="OJK28">
        <f t="array" ref="OJK28">_xlfn.XLOOKUP(OJK$11,Assumptions!$B$35:$H$35,_xlfn.XLOOKUP($C28,Assumptions!$B$36:$B$41,Assumptions!$B$36:$H$41))</f>
        <v>0</v>
      </c>
      <c r="OJL28">
        <f t="array" ref="OJL28">_xlfn.XLOOKUP(OJL$11,Assumptions!$B$35:$H$35,_xlfn.XLOOKUP($C28,Assumptions!$B$36:$B$41,Assumptions!$B$36:$H$41))</f>
        <v>0</v>
      </c>
      <c r="OJM28">
        <f t="array" ref="OJM28">_xlfn.XLOOKUP(OJM$11,Assumptions!$B$35:$H$35,_xlfn.XLOOKUP($C28,Assumptions!$B$36:$B$41,Assumptions!$B$36:$H$41))</f>
        <v>0</v>
      </c>
      <c r="OJN28">
        <f t="array" ref="OJN28">_xlfn.XLOOKUP(OJN$11,Assumptions!$B$35:$H$35,_xlfn.XLOOKUP($C28,Assumptions!$B$36:$B$41,Assumptions!$B$36:$H$41))</f>
        <v>0</v>
      </c>
      <c r="OJO28">
        <f t="array" ref="OJO28">_xlfn.XLOOKUP(OJO$11,Assumptions!$B$35:$H$35,_xlfn.XLOOKUP($C28,Assumptions!$B$36:$B$41,Assumptions!$B$36:$H$41))</f>
        <v>0</v>
      </c>
      <c r="OJP28">
        <f t="array" ref="OJP28">_xlfn.XLOOKUP(OJP$11,Assumptions!$B$35:$H$35,_xlfn.XLOOKUP($C28,Assumptions!$B$36:$B$41,Assumptions!$B$36:$H$41))</f>
        <v>0</v>
      </c>
      <c r="OJQ28">
        <f t="array" ref="OJQ28">_xlfn.XLOOKUP(OJQ$11,Assumptions!$B$35:$H$35,_xlfn.XLOOKUP($C28,Assumptions!$B$36:$B$41,Assumptions!$B$36:$H$41))</f>
        <v>0</v>
      </c>
      <c r="OJR28">
        <f t="array" ref="OJR28">_xlfn.XLOOKUP(OJR$11,Assumptions!$B$35:$H$35,_xlfn.XLOOKUP($C28,Assumptions!$B$36:$B$41,Assumptions!$B$36:$H$41))</f>
        <v>0</v>
      </c>
      <c r="OJS28">
        <f t="array" ref="OJS28">_xlfn.XLOOKUP(OJS$11,Assumptions!$B$35:$H$35,_xlfn.XLOOKUP($C28,Assumptions!$B$36:$B$41,Assumptions!$B$36:$H$41))</f>
        <v>0</v>
      </c>
      <c r="OJT28">
        <f t="array" ref="OJT28">_xlfn.XLOOKUP(OJT$11,Assumptions!$B$35:$H$35,_xlfn.XLOOKUP($C28,Assumptions!$B$36:$B$41,Assumptions!$B$36:$H$41))</f>
        <v>0</v>
      </c>
      <c r="OJU28">
        <f t="array" ref="OJU28">_xlfn.XLOOKUP(OJU$11,Assumptions!$B$35:$H$35,_xlfn.XLOOKUP($C28,Assumptions!$B$36:$B$41,Assumptions!$B$36:$H$41))</f>
        <v>0</v>
      </c>
      <c r="OJV28">
        <f t="array" ref="OJV28">_xlfn.XLOOKUP(OJV$11,Assumptions!$B$35:$H$35,_xlfn.XLOOKUP($C28,Assumptions!$B$36:$B$41,Assumptions!$B$36:$H$41))</f>
        <v>0</v>
      </c>
      <c r="OJW28">
        <f t="array" ref="OJW28">_xlfn.XLOOKUP(OJW$11,Assumptions!$B$35:$H$35,_xlfn.XLOOKUP($C28,Assumptions!$B$36:$B$41,Assumptions!$B$36:$H$41))</f>
        <v>0</v>
      </c>
      <c r="OJX28">
        <f t="array" ref="OJX28">_xlfn.XLOOKUP(OJX$11,Assumptions!$B$35:$H$35,_xlfn.XLOOKUP($C28,Assumptions!$B$36:$B$41,Assumptions!$B$36:$H$41))</f>
        <v>0</v>
      </c>
      <c r="OJY28">
        <f t="array" ref="OJY28">_xlfn.XLOOKUP(OJY$11,Assumptions!$B$35:$H$35,_xlfn.XLOOKUP($C28,Assumptions!$B$36:$B$41,Assumptions!$B$36:$H$41))</f>
        <v>0</v>
      </c>
      <c r="OJZ28">
        <f t="array" ref="OJZ28">_xlfn.XLOOKUP(OJZ$11,Assumptions!$B$35:$H$35,_xlfn.XLOOKUP($C28,Assumptions!$B$36:$B$41,Assumptions!$B$36:$H$41))</f>
        <v>0</v>
      </c>
      <c r="OKA28">
        <f t="array" ref="OKA28">_xlfn.XLOOKUP(OKA$11,Assumptions!$B$35:$H$35,_xlfn.XLOOKUP($C28,Assumptions!$B$36:$B$41,Assumptions!$B$36:$H$41))</f>
        <v>0</v>
      </c>
      <c r="OKB28">
        <f t="array" ref="OKB28">_xlfn.XLOOKUP(OKB$11,Assumptions!$B$35:$H$35,_xlfn.XLOOKUP($C28,Assumptions!$B$36:$B$41,Assumptions!$B$36:$H$41))</f>
        <v>0</v>
      </c>
      <c r="OKC28">
        <f t="array" ref="OKC28">_xlfn.XLOOKUP(OKC$11,Assumptions!$B$35:$H$35,_xlfn.XLOOKUP($C28,Assumptions!$B$36:$B$41,Assumptions!$B$36:$H$41))</f>
        <v>0</v>
      </c>
      <c r="OKD28">
        <f t="array" ref="OKD28">_xlfn.XLOOKUP(OKD$11,Assumptions!$B$35:$H$35,_xlfn.XLOOKUP($C28,Assumptions!$B$36:$B$41,Assumptions!$B$36:$H$41))</f>
        <v>0</v>
      </c>
      <c r="OKE28">
        <f t="array" ref="OKE28">_xlfn.XLOOKUP(OKE$11,Assumptions!$B$35:$H$35,_xlfn.XLOOKUP($C28,Assumptions!$B$36:$B$41,Assumptions!$B$36:$H$41))</f>
        <v>0</v>
      </c>
      <c r="OKF28">
        <f t="array" ref="OKF28">_xlfn.XLOOKUP(OKF$11,Assumptions!$B$35:$H$35,_xlfn.XLOOKUP($C28,Assumptions!$B$36:$B$41,Assumptions!$B$36:$H$41))</f>
        <v>0</v>
      </c>
      <c r="OKG28">
        <f t="array" ref="OKG28">_xlfn.XLOOKUP(OKG$11,Assumptions!$B$35:$H$35,_xlfn.XLOOKUP($C28,Assumptions!$B$36:$B$41,Assumptions!$B$36:$H$41))</f>
        <v>0</v>
      </c>
      <c r="OKH28">
        <f t="array" ref="OKH28">_xlfn.XLOOKUP(OKH$11,Assumptions!$B$35:$H$35,_xlfn.XLOOKUP($C28,Assumptions!$B$36:$B$41,Assumptions!$B$36:$H$41))</f>
        <v>0</v>
      </c>
      <c r="OKI28">
        <f t="array" ref="OKI28">_xlfn.XLOOKUP(OKI$11,Assumptions!$B$35:$H$35,_xlfn.XLOOKUP($C28,Assumptions!$B$36:$B$41,Assumptions!$B$36:$H$41))</f>
        <v>0</v>
      </c>
      <c r="OKJ28">
        <f t="array" ref="OKJ28">_xlfn.XLOOKUP(OKJ$11,Assumptions!$B$35:$H$35,_xlfn.XLOOKUP($C28,Assumptions!$B$36:$B$41,Assumptions!$B$36:$H$41))</f>
        <v>0</v>
      </c>
      <c r="OKK28">
        <f t="array" ref="OKK28">_xlfn.XLOOKUP(OKK$11,Assumptions!$B$35:$H$35,_xlfn.XLOOKUP($C28,Assumptions!$B$36:$B$41,Assumptions!$B$36:$H$41))</f>
        <v>0</v>
      </c>
      <c r="OKL28">
        <f t="array" ref="OKL28">_xlfn.XLOOKUP(OKL$11,Assumptions!$B$35:$H$35,_xlfn.XLOOKUP($C28,Assumptions!$B$36:$B$41,Assumptions!$B$36:$H$41))</f>
        <v>0</v>
      </c>
      <c r="OKM28">
        <f t="array" ref="OKM28">_xlfn.XLOOKUP(OKM$11,Assumptions!$B$35:$H$35,_xlfn.XLOOKUP($C28,Assumptions!$B$36:$B$41,Assumptions!$B$36:$H$41))</f>
        <v>0</v>
      </c>
      <c r="OKN28">
        <f t="array" ref="OKN28">_xlfn.XLOOKUP(OKN$11,Assumptions!$B$35:$H$35,_xlfn.XLOOKUP($C28,Assumptions!$B$36:$B$41,Assumptions!$B$36:$H$41))</f>
        <v>0</v>
      </c>
      <c r="OKO28">
        <f t="array" ref="OKO28">_xlfn.XLOOKUP(OKO$11,Assumptions!$B$35:$H$35,_xlfn.XLOOKUP($C28,Assumptions!$B$36:$B$41,Assumptions!$B$36:$H$41))</f>
        <v>0</v>
      </c>
      <c r="OKP28">
        <f t="array" ref="OKP28">_xlfn.XLOOKUP(OKP$11,Assumptions!$B$35:$H$35,_xlfn.XLOOKUP($C28,Assumptions!$B$36:$B$41,Assumptions!$B$36:$H$41))</f>
        <v>0</v>
      </c>
      <c r="OKQ28">
        <f t="array" ref="OKQ28">_xlfn.XLOOKUP(OKQ$11,Assumptions!$B$35:$H$35,_xlfn.XLOOKUP($C28,Assumptions!$B$36:$B$41,Assumptions!$B$36:$H$41))</f>
        <v>0</v>
      </c>
      <c r="OKR28">
        <f t="array" ref="OKR28">_xlfn.XLOOKUP(OKR$11,Assumptions!$B$35:$H$35,_xlfn.XLOOKUP($C28,Assumptions!$B$36:$B$41,Assumptions!$B$36:$H$41))</f>
        <v>0</v>
      </c>
      <c r="OKS28">
        <f t="array" ref="OKS28">_xlfn.XLOOKUP(OKS$11,Assumptions!$B$35:$H$35,_xlfn.XLOOKUP($C28,Assumptions!$B$36:$B$41,Assumptions!$B$36:$H$41))</f>
        <v>0</v>
      </c>
      <c r="OKT28">
        <f t="array" ref="OKT28">_xlfn.XLOOKUP(OKT$11,Assumptions!$B$35:$H$35,_xlfn.XLOOKUP($C28,Assumptions!$B$36:$B$41,Assumptions!$B$36:$H$41))</f>
        <v>0</v>
      </c>
      <c r="OKU28">
        <f t="array" ref="OKU28">_xlfn.XLOOKUP(OKU$11,Assumptions!$B$35:$H$35,_xlfn.XLOOKUP($C28,Assumptions!$B$36:$B$41,Assumptions!$B$36:$H$41))</f>
        <v>0</v>
      </c>
      <c r="OKV28">
        <f t="array" ref="OKV28">_xlfn.XLOOKUP(OKV$11,Assumptions!$B$35:$H$35,_xlfn.XLOOKUP($C28,Assumptions!$B$36:$B$41,Assumptions!$B$36:$H$41))</f>
        <v>0</v>
      </c>
      <c r="OKW28">
        <f t="array" ref="OKW28">_xlfn.XLOOKUP(OKW$11,Assumptions!$B$35:$H$35,_xlfn.XLOOKUP($C28,Assumptions!$B$36:$B$41,Assumptions!$B$36:$H$41))</f>
        <v>0</v>
      </c>
      <c r="OKX28">
        <f t="array" ref="OKX28">_xlfn.XLOOKUP(OKX$11,Assumptions!$B$35:$H$35,_xlfn.XLOOKUP($C28,Assumptions!$B$36:$B$41,Assumptions!$B$36:$H$41))</f>
        <v>0</v>
      </c>
      <c r="OKY28">
        <f t="array" ref="OKY28">_xlfn.XLOOKUP(OKY$11,Assumptions!$B$35:$H$35,_xlfn.XLOOKUP($C28,Assumptions!$B$36:$B$41,Assumptions!$B$36:$H$41))</f>
        <v>0</v>
      </c>
      <c r="OKZ28">
        <f t="array" ref="OKZ28">_xlfn.XLOOKUP(OKZ$11,Assumptions!$B$35:$H$35,_xlfn.XLOOKUP($C28,Assumptions!$B$36:$B$41,Assumptions!$B$36:$H$41))</f>
        <v>0</v>
      </c>
      <c r="OLA28">
        <f t="array" ref="OLA28">_xlfn.XLOOKUP(OLA$11,Assumptions!$B$35:$H$35,_xlfn.XLOOKUP($C28,Assumptions!$B$36:$B$41,Assumptions!$B$36:$H$41))</f>
        <v>0</v>
      </c>
      <c r="OLB28">
        <f t="array" ref="OLB28">_xlfn.XLOOKUP(OLB$11,Assumptions!$B$35:$H$35,_xlfn.XLOOKUP($C28,Assumptions!$B$36:$B$41,Assumptions!$B$36:$H$41))</f>
        <v>0</v>
      </c>
      <c r="OLC28">
        <f t="array" ref="OLC28">_xlfn.XLOOKUP(OLC$11,Assumptions!$B$35:$H$35,_xlfn.XLOOKUP($C28,Assumptions!$B$36:$B$41,Assumptions!$B$36:$H$41))</f>
        <v>0</v>
      </c>
      <c r="OLD28">
        <f t="array" ref="OLD28">_xlfn.XLOOKUP(OLD$11,Assumptions!$B$35:$H$35,_xlfn.XLOOKUP($C28,Assumptions!$B$36:$B$41,Assumptions!$B$36:$H$41))</f>
        <v>0</v>
      </c>
      <c r="OLE28">
        <f t="array" ref="OLE28">_xlfn.XLOOKUP(OLE$11,Assumptions!$B$35:$H$35,_xlfn.XLOOKUP($C28,Assumptions!$B$36:$B$41,Assumptions!$B$36:$H$41))</f>
        <v>0</v>
      </c>
      <c r="OLF28">
        <f t="array" ref="OLF28">_xlfn.XLOOKUP(OLF$11,Assumptions!$B$35:$H$35,_xlfn.XLOOKUP($C28,Assumptions!$B$36:$B$41,Assumptions!$B$36:$H$41))</f>
        <v>0</v>
      </c>
      <c r="OLG28">
        <f t="array" ref="OLG28">_xlfn.XLOOKUP(OLG$11,Assumptions!$B$35:$H$35,_xlfn.XLOOKUP($C28,Assumptions!$B$36:$B$41,Assumptions!$B$36:$H$41))</f>
        <v>0</v>
      </c>
      <c r="OLH28">
        <f t="array" ref="OLH28">_xlfn.XLOOKUP(OLH$11,Assumptions!$B$35:$H$35,_xlfn.XLOOKUP($C28,Assumptions!$B$36:$B$41,Assumptions!$B$36:$H$41))</f>
        <v>0</v>
      </c>
      <c r="OLI28">
        <f t="array" ref="OLI28">_xlfn.XLOOKUP(OLI$11,Assumptions!$B$35:$H$35,_xlfn.XLOOKUP($C28,Assumptions!$B$36:$B$41,Assumptions!$B$36:$H$41))</f>
        <v>0</v>
      </c>
      <c r="OLJ28">
        <f t="array" ref="OLJ28">_xlfn.XLOOKUP(OLJ$11,Assumptions!$B$35:$H$35,_xlfn.XLOOKUP($C28,Assumptions!$B$36:$B$41,Assumptions!$B$36:$H$41))</f>
        <v>0</v>
      </c>
      <c r="OLK28">
        <f t="array" ref="OLK28">_xlfn.XLOOKUP(OLK$11,Assumptions!$B$35:$H$35,_xlfn.XLOOKUP($C28,Assumptions!$B$36:$B$41,Assumptions!$B$36:$H$41))</f>
        <v>0</v>
      </c>
      <c r="OLL28">
        <f t="array" ref="OLL28">_xlfn.XLOOKUP(OLL$11,Assumptions!$B$35:$H$35,_xlfn.XLOOKUP($C28,Assumptions!$B$36:$B$41,Assumptions!$B$36:$H$41))</f>
        <v>0</v>
      </c>
      <c r="OLM28">
        <f t="array" ref="OLM28">_xlfn.XLOOKUP(OLM$11,Assumptions!$B$35:$H$35,_xlfn.XLOOKUP($C28,Assumptions!$B$36:$B$41,Assumptions!$B$36:$H$41))</f>
        <v>0</v>
      </c>
      <c r="OLN28">
        <f t="array" ref="OLN28">_xlfn.XLOOKUP(OLN$11,Assumptions!$B$35:$H$35,_xlfn.XLOOKUP($C28,Assumptions!$B$36:$B$41,Assumptions!$B$36:$H$41))</f>
        <v>0</v>
      </c>
      <c r="OLO28">
        <f t="array" ref="OLO28">_xlfn.XLOOKUP(OLO$11,Assumptions!$B$35:$H$35,_xlfn.XLOOKUP($C28,Assumptions!$B$36:$B$41,Assumptions!$B$36:$H$41))</f>
        <v>0</v>
      </c>
      <c r="OLP28">
        <f t="array" ref="OLP28">_xlfn.XLOOKUP(OLP$11,Assumptions!$B$35:$H$35,_xlfn.XLOOKUP($C28,Assumptions!$B$36:$B$41,Assumptions!$B$36:$H$41))</f>
        <v>0</v>
      </c>
      <c r="OLQ28">
        <f t="array" ref="OLQ28">_xlfn.XLOOKUP(OLQ$11,Assumptions!$B$35:$H$35,_xlfn.XLOOKUP($C28,Assumptions!$B$36:$B$41,Assumptions!$B$36:$H$41))</f>
        <v>0</v>
      </c>
      <c r="OLR28">
        <f t="array" ref="OLR28">_xlfn.XLOOKUP(OLR$11,Assumptions!$B$35:$H$35,_xlfn.XLOOKUP($C28,Assumptions!$B$36:$B$41,Assumptions!$B$36:$H$41))</f>
        <v>0</v>
      </c>
      <c r="OLS28">
        <f t="array" ref="OLS28">_xlfn.XLOOKUP(OLS$11,Assumptions!$B$35:$H$35,_xlfn.XLOOKUP($C28,Assumptions!$B$36:$B$41,Assumptions!$B$36:$H$41))</f>
        <v>0</v>
      </c>
      <c r="OLT28">
        <f t="array" ref="OLT28">_xlfn.XLOOKUP(OLT$11,Assumptions!$B$35:$H$35,_xlfn.XLOOKUP($C28,Assumptions!$B$36:$B$41,Assumptions!$B$36:$H$41))</f>
        <v>0</v>
      </c>
      <c r="OLU28">
        <f t="array" ref="OLU28">_xlfn.XLOOKUP(OLU$11,Assumptions!$B$35:$H$35,_xlfn.XLOOKUP($C28,Assumptions!$B$36:$B$41,Assumptions!$B$36:$H$41))</f>
        <v>0</v>
      </c>
      <c r="OLV28">
        <f t="array" ref="OLV28">_xlfn.XLOOKUP(OLV$11,Assumptions!$B$35:$H$35,_xlfn.XLOOKUP($C28,Assumptions!$B$36:$B$41,Assumptions!$B$36:$H$41))</f>
        <v>0</v>
      </c>
      <c r="OLW28">
        <f t="array" ref="OLW28">_xlfn.XLOOKUP(OLW$11,Assumptions!$B$35:$H$35,_xlfn.XLOOKUP($C28,Assumptions!$B$36:$B$41,Assumptions!$B$36:$H$41))</f>
        <v>0</v>
      </c>
      <c r="OLX28">
        <f t="array" ref="OLX28">_xlfn.XLOOKUP(OLX$11,Assumptions!$B$35:$H$35,_xlfn.XLOOKUP($C28,Assumptions!$B$36:$B$41,Assumptions!$B$36:$H$41))</f>
        <v>0</v>
      </c>
      <c r="OLY28">
        <f t="array" ref="OLY28">_xlfn.XLOOKUP(OLY$11,Assumptions!$B$35:$H$35,_xlfn.XLOOKUP($C28,Assumptions!$B$36:$B$41,Assumptions!$B$36:$H$41))</f>
        <v>0</v>
      </c>
      <c r="OLZ28">
        <f t="array" ref="OLZ28">_xlfn.XLOOKUP(OLZ$11,Assumptions!$B$35:$H$35,_xlfn.XLOOKUP($C28,Assumptions!$B$36:$B$41,Assumptions!$B$36:$H$41))</f>
        <v>0</v>
      </c>
      <c r="OMA28">
        <f t="array" ref="OMA28">_xlfn.XLOOKUP(OMA$11,Assumptions!$B$35:$H$35,_xlfn.XLOOKUP($C28,Assumptions!$B$36:$B$41,Assumptions!$B$36:$H$41))</f>
        <v>0</v>
      </c>
      <c r="OMB28">
        <f t="array" ref="OMB28">_xlfn.XLOOKUP(OMB$11,Assumptions!$B$35:$H$35,_xlfn.XLOOKUP($C28,Assumptions!$B$36:$B$41,Assumptions!$B$36:$H$41))</f>
        <v>0</v>
      </c>
      <c r="OMC28">
        <f t="array" ref="OMC28">_xlfn.XLOOKUP(OMC$11,Assumptions!$B$35:$H$35,_xlfn.XLOOKUP($C28,Assumptions!$B$36:$B$41,Assumptions!$B$36:$H$41))</f>
        <v>0</v>
      </c>
      <c r="OMD28">
        <f t="array" ref="OMD28">_xlfn.XLOOKUP(OMD$11,Assumptions!$B$35:$H$35,_xlfn.XLOOKUP($C28,Assumptions!$B$36:$B$41,Assumptions!$B$36:$H$41))</f>
        <v>0</v>
      </c>
      <c r="OME28">
        <f t="array" ref="OME28">_xlfn.XLOOKUP(OME$11,Assumptions!$B$35:$H$35,_xlfn.XLOOKUP($C28,Assumptions!$B$36:$B$41,Assumptions!$B$36:$H$41))</f>
        <v>0</v>
      </c>
      <c r="OMF28">
        <f t="array" ref="OMF28">_xlfn.XLOOKUP(OMF$11,Assumptions!$B$35:$H$35,_xlfn.XLOOKUP($C28,Assumptions!$B$36:$B$41,Assumptions!$B$36:$H$41))</f>
        <v>0</v>
      </c>
      <c r="OMG28">
        <f t="array" ref="OMG28">_xlfn.XLOOKUP(OMG$11,Assumptions!$B$35:$H$35,_xlfn.XLOOKUP($C28,Assumptions!$B$36:$B$41,Assumptions!$B$36:$H$41))</f>
        <v>0</v>
      </c>
      <c r="OMH28">
        <f t="array" ref="OMH28">_xlfn.XLOOKUP(OMH$11,Assumptions!$B$35:$H$35,_xlfn.XLOOKUP($C28,Assumptions!$B$36:$B$41,Assumptions!$B$36:$H$41))</f>
        <v>0</v>
      </c>
      <c r="OMI28">
        <f t="array" ref="OMI28">_xlfn.XLOOKUP(OMI$11,Assumptions!$B$35:$H$35,_xlfn.XLOOKUP($C28,Assumptions!$B$36:$B$41,Assumptions!$B$36:$H$41))</f>
        <v>0</v>
      </c>
      <c r="OMJ28">
        <f t="array" ref="OMJ28">_xlfn.XLOOKUP(OMJ$11,Assumptions!$B$35:$H$35,_xlfn.XLOOKUP($C28,Assumptions!$B$36:$B$41,Assumptions!$B$36:$H$41))</f>
        <v>0</v>
      </c>
      <c r="OMK28">
        <f t="array" ref="OMK28">_xlfn.XLOOKUP(OMK$11,Assumptions!$B$35:$H$35,_xlfn.XLOOKUP($C28,Assumptions!$B$36:$B$41,Assumptions!$B$36:$H$41))</f>
        <v>0</v>
      </c>
      <c r="OML28">
        <f t="array" ref="OML28">_xlfn.XLOOKUP(OML$11,Assumptions!$B$35:$H$35,_xlfn.XLOOKUP($C28,Assumptions!$B$36:$B$41,Assumptions!$B$36:$H$41))</f>
        <v>0</v>
      </c>
      <c r="OMM28">
        <f t="array" ref="OMM28">_xlfn.XLOOKUP(OMM$11,Assumptions!$B$35:$H$35,_xlfn.XLOOKUP($C28,Assumptions!$B$36:$B$41,Assumptions!$B$36:$H$41))</f>
        <v>0</v>
      </c>
      <c r="OMN28">
        <f t="array" ref="OMN28">_xlfn.XLOOKUP(OMN$11,Assumptions!$B$35:$H$35,_xlfn.XLOOKUP($C28,Assumptions!$B$36:$B$41,Assumptions!$B$36:$H$41))</f>
        <v>0</v>
      </c>
      <c r="OMO28">
        <f t="array" ref="OMO28">_xlfn.XLOOKUP(OMO$11,Assumptions!$B$35:$H$35,_xlfn.XLOOKUP($C28,Assumptions!$B$36:$B$41,Assumptions!$B$36:$H$41))</f>
        <v>0</v>
      </c>
      <c r="OMP28">
        <f t="array" ref="OMP28">_xlfn.XLOOKUP(OMP$11,Assumptions!$B$35:$H$35,_xlfn.XLOOKUP($C28,Assumptions!$B$36:$B$41,Assumptions!$B$36:$H$41))</f>
        <v>0</v>
      </c>
      <c r="OMQ28">
        <f t="array" ref="OMQ28">_xlfn.XLOOKUP(OMQ$11,Assumptions!$B$35:$H$35,_xlfn.XLOOKUP($C28,Assumptions!$B$36:$B$41,Assumptions!$B$36:$H$41))</f>
        <v>0</v>
      </c>
      <c r="OMR28">
        <f t="array" ref="OMR28">_xlfn.XLOOKUP(OMR$11,Assumptions!$B$35:$H$35,_xlfn.XLOOKUP($C28,Assumptions!$B$36:$B$41,Assumptions!$B$36:$H$41))</f>
        <v>0</v>
      </c>
      <c r="OMS28">
        <f t="array" ref="OMS28">_xlfn.XLOOKUP(OMS$11,Assumptions!$B$35:$H$35,_xlfn.XLOOKUP($C28,Assumptions!$B$36:$B$41,Assumptions!$B$36:$H$41))</f>
        <v>0</v>
      </c>
      <c r="OMT28">
        <f t="array" ref="OMT28">_xlfn.XLOOKUP(OMT$11,Assumptions!$B$35:$H$35,_xlfn.XLOOKUP($C28,Assumptions!$B$36:$B$41,Assumptions!$B$36:$H$41))</f>
        <v>0</v>
      </c>
      <c r="OMU28">
        <f t="array" ref="OMU28">_xlfn.XLOOKUP(OMU$11,Assumptions!$B$35:$H$35,_xlfn.XLOOKUP($C28,Assumptions!$B$36:$B$41,Assumptions!$B$36:$H$41))</f>
        <v>0</v>
      </c>
      <c r="OMV28">
        <f t="array" ref="OMV28">_xlfn.XLOOKUP(OMV$11,Assumptions!$B$35:$H$35,_xlfn.XLOOKUP($C28,Assumptions!$B$36:$B$41,Assumptions!$B$36:$H$41))</f>
        <v>0</v>
      </c>
      <c r="OMW28">
        <f t="array" ref="OMW28">_xlfn.XLOOKUP(OMW$11,Assumptions!$B$35:$H$35,_xlfn.XLOOKUP($C28,Assumptions!$B$36:$B$41,Assumptions!$B$36:$H$41))</f>
        <v>0</v>
      </c>
      <c r="OMX28">
        <f t="array" ref="OMX28">_xlfn.XLOOKUP(OMX$11,Assumptions!$B$35:$H$35,_xlfn.XLOOKUP($C28,Assumptions!$B$36:$B$41,Assumptions!$B$36:$H$41))</f>
        <v>0</v>
      </c>
      <c r="OMY28">
        <f t="array" ref="OMY28">_xlfn.XLOOKUP(OMY$11,Assumptions!$B$35:$H$35,_xlfn.XLOOKUP($C28,Assumptions!$B$36:$B$41,Assumptions!$B$36:$H$41))</f>
        <v>0</v>
      </c>
      <c r="OMZ28">
        <f t="array" ref="OMZ28">_xlfn.XLOOKUP(OMZ$11,Assumptions!$B$35:$H$35,_xlfn.XLOOKUP($C28,Assumptions!$B$36:$B$41,Assumptions!$B$36:$H$41))</f>
        <v>0</v>
      </c>
      <c r="ONA28">
        <f t="array" ref="ONA28">_xlfn.XLOOKUP(ONA$11,Assumptions!$B$35:$H$35,_xlfn.XLOOKUP($C28,Assumptions!$B$36:$B$41,Assumptions!$B$36:$H$41))</f>
        <v>0</v>
      </c>
      <c r="ONB28">
        <f t="array" ref="ONB28">_xlfn.XLOOKUP(ONB$11,Assumptions!$B$35:$H$35,_xlfn.XLOOKUP($C28,Assumptions!$B$36:$B$41,Assumptions!$B$36:$H$41))</f>
        <v>0</v>
      </c>
      <c r="ONC28">
        <f t="array" ref="ONC28">_xlfn.XLOOKUP(ONC$11,Assumptions!$B$35:$H$35,_xlfn.XLOOKUP($C28,Assumptions!$B$36:$B$41,Assumptions!$B$36:$H$41))</f>
        <v>0</v>
      </c>
      <c r="OND28">
        <f t="array" ref="OND28">_xlfn.XLOOKUP(OND$11,Assumptions!$B$35:$H$35,_xlfn.XLOOKUP($C28,Assumptions!$B$36:$B$41,Assumptions!$B$36:$H$41))</f>
        <v>0</v>
      </c>
      <c r="ONE28">
        <f t="array" ref="ONE28">_xlfn.XLOOKUP(ONE$11,Assumptions!$B$35:$H$35,_xlfn.XLOOKUP($C28,Assumptions!$B$36:$B$41,Assumptions!$B$36:$H$41))</f>
        <v>0</v>
      </c>
      <c r="ONF28">
        <f t="array" ref="ONF28">_xlfn.XLOOKUP(ONF$11,Assumptions!$B$35:$H$35,_xlfn.XLOOKUP($C28,Assumptions!$B$36:$B$41,Assumptions!$B$36:$H$41))</f>
        <v>0</v>
      </c>
      <c r="ONG28">
        <f t="array" ref="ONG28">_xlfn.XLOOKUP(ONG$11,Assumptions!$B$35:$H$35,_xlfn.XLOOKUP($C28,Assumptions!$B$36:$B$41,Assumptions!$B$36:$H$41))</f>
        <v>0</v>
      </c>
      <c r="ONH28">
        <f t="array" ref="ONH28">_xlfn.XLOOKUP(ONH$11,Assumptions!$B$35:$H$35,_xlfn.XLOOKUP($C28,Assumptions!$B$36:$B$41,Assumptions!$B$36:$H$41))</f>
        <v>0</v>
      </c>
      <c r="ONI28">
        <f t="array" ref="ONI28">_xlfn.XLOOKUP(ONI$11,Assumptions!$B$35:$H$35,_xlfn.XLOOKUP($C28,Assumptions!$B$36:$B$41,Assumptions!$B$36:$H$41))</f>
        <v>0</v>
      </c>
      <c r="ONJ28">
        <f t="array" ref="ONJ28">_xlfn.XLOOKUP(ONJ$11,Assumptions!$B$35:$H$35,_xlfn.XLOOKUP($C28,Assumptions!$B$36:$B$41,Assumptions!$B$36:$H$41))</f>
        <v>0</v>
      </c>
      <c r="ONK28">
        <f t="array" ref="ONK28">_xlfn.XLOOKUP(ONK$11,Assumptions!$B$35:$H$35,_xlfn.XLOOKUP($C28,Assumptions!$B$36:$B$41,Assumptions!$B$36:$H$41))</f>
        <v>0</v>
      </c>
      <c r="ONL28">
        <f t="array" ref="ONL28">_xlfn.XLOOKUP(ONL$11,Assumptions!$B$35:$H$35,_xlfn.XLOOKUP($C28,Assumptions!$B$36:$B$41,Assumptions!$B$36:$H$41))</f>
        <v>0</v>
      </c>
      <c r="ONM28">
        <f t="array" ref="ONM28">_xlfn.XLOOKUP(ONM$11,Assumptions!$B$35:$H$35,_xlfn.XLOOKUP($C28,Assumptions!$B$36:$B$41,Assumptions!$B$36:$H$41))</f>
        <v>0</v>
      </c>
      <c r="ONN28">
        <f t="array" ref="ONN28">_xlfn.XLOOKUP(ONN$11,Assumptions!$B$35:$H$35,_xlfn.XLOOKUP($C28,Assumptions!$B$36:$B$41,Assumptions!$B$36:$H$41))</f>
        <v>0</v>
      </c>
      <c r="ONO28">
        <f t="array" ref="ONO28">_xlfn.XLOOKUP(ONO$11,Assumptions!$B$35:$H$35,_xlfn.XLOOKUP($C28,Assumptions!$B$36:$B$41,Assumptions!$B$36:$H$41))</f>
        <v>0</v>
      </c>
      <c r="ONP28">
        <f t="array" ref="ONP28">_xlfn.XLOOKUP(ONP$11,Assumptions!$B$35:$H$35,_xlfn.XLOOKUP($C28,Assumptions!$B$36:$B$41,Assumptions!$B$36:$H$41))</f>
        <v>0</v>
      </c>
      <c r="ONQ28">
        <f t="array" ref="ONQ28">_xlfn.XLOOKUP(ONQ$11,Assumptions!$B$35:$H$35,_xlfn.XLOOKUP($C28,Assumptions!$B$36:$B$41,Assumptions!$B$36:$H$41))</f>
        <v>0</v>
      </c>
      <c r="ONR28">
        <f t="array" ref="ONR28">_xlfn.XLOOKUP(ONR$11,Assumptions!$B$35:$H$35,_xlfn.XLOOKUP($C28,Assumptions!$B$36:$B$41,Assumptions!$B$36:$H$41))</f>
        <v>0</v>
      </c>
      <c r="ONS28">
        <f t="array" ref="ONS28">_xlfn.XLOOKUP(ONS$11,Assumptions!$B$35:$H$35,_xlfn.XLOOKUP($C28,Assumptions!$B$36:$B$41,Assumptions!$B$36:$H$41))</f>
        <v>0</v>
      </c>
      <c r="ONT28">
        <f t="array" ref="ONT28">_xlfn.XLOOKUP(ONT$11,Assumptions!$B$35:$H$35,_xlfn.XLOOKUP($C28,Assumptions!$B$36:$B$41,Assumptions!$B$36:$H$41))</f>
        <v>0</v>
      </c>
      <c r="ONU28">
        <f t="array" ref="ONU28">_xlfn.XLOOKUP(ONU$11,Assumptions!$B$35:$H$35,_xlfn.XLOOKUP($C28,Assumptions!$B$36:$B$41,Assumptions!$B$36:$H$41))</f>
        <v>0</v>
      </c>
      <c r="ONV28">
        <f t="array" ref="ONV28">_xlfn.XLOOKUP(ONV$11,Assumptions!$B$35:$H$35,_xlfn.XLOOKUP($C28,Assumptions!$B$36:$B$41,Assumptions!$B$36:$H$41))</f>
        <v>0</v>
      </c>
      <c r="ONW28">
        <f t="array" ref="ONW28">_xlfn.XLOOKUP(ONW$11,Assumptions!$B$35:$H$35,_xlfn.XLOOKUP($C28,Assumptions!$B$36:$B$41,Assumptions!$B$36:$H$41))</f>
        <v>0</v>
      </c>
      <c r="ONX28">
        <f t="array" ref="ONX28">_xlfn.XLOOKUP(ONX$11,Assumptions!$B$35:$H$35,_xlfn.XLOOKUP($C28,Assumptions!$B$36:$B$41,Assumptions!$B$36:$H$41))</f>
        <v>0</v>
      </c>
      <c r="ONY28">
        <f t="array" ref="ONY28">_xlfn.XLOOKUP(ONY$11,Assumptions!$B$35:$H$35,_xlfn.XLOOKUP($C28,Assumptions!$B$36:$B$41,Assumptions!$B$36:$H$41))</f>
        <v>0</v>
      </c>
      <c r="ONZ28">
        <f t="array" ref="ONZ28">_xlfn.XLOOKUP(ONZ$11,Assumptions!$B$35:$H$35,_xlfn.XLOOKUP($C28,Assumptions!$B$36:$B$41,Assumptions!$B$36:$H$41))</f>
        <v>0</v>
      </c>
      <c r="OOA28">
        <f t="array" ref="OOA28">_xlfn.XLOOKUP(OOA$11,Assumptions!$B$35:$H$35,_xlfn.XLOOKUP($C28,Assumptions!$B$36:$B$41,Assumptions!$B$36:$H$41))</f>
        <v>0</v>
      </c>
      <c r="OOB28">
        <f t="array" ref="OOB28">_xlfn.XLOOKUP(OOB$11,Assumptions!$B$35:$H$35,_xlfn.XLOOKUP($C28,Assumptions!$B$36:$B$41,Assumptions!$B$36:$H$41))</f>
        <v>0</v>
      </c>
      <c r="OOC28">
        <f t="array" ref="OOC28">_xlfn.XLOOKUP(OOC$11,Assumptions!$B$35:$H$35,_xlfn.XLOOKUP($C28,Assumptions!$B$36:$B$41,Assumptions!$B$36:$H$41))</f>
        <v>0</v>
      </c>
      <c r="OOD28">
        <f t="array" ref="OOD28">_xlfn.XLOOKUP(OOD$11,Assumptions!$B$35:$H$35,_xlfn.XLOOKUP($C28,Assumptions!$B$36:$B$41,Assumptions!$B$36:$H$41))</f>
        <v>0</v>
      </c>
      <c r="OOE28">
        <f t="array" ref="OOE28">_xlfn.XLOOKUP(OOE$11,Assumptions!$B$35:$H$35,_xlfn.XLOOKUP($C28,Assumptions!$B$36:$B$41,Assumptions!$B$36:$H$41))</f>
        <v>0</v>
      </c>
      <c r="OOF28">
        <f t="array" ref="OOF28">_xlfn.XLOOKUP(OOF$11,Assumptions!$B$35:$H$35,_xlfn.XLOOKUP($C28,Assumptions!$B$36:$B$41,Assumptions!$B$36:$H$41))</f>
        <v>0</v>
      </c>
      <c r="OOG28">
        <f t="array" ref="OOG28">_xlfn.XLOOKUP(OOG$11,Assumptions!$B$35:$H$35,_xlfn.XLOOKUP($C28,Assumptions!$B$36:$B$41,Assumptions!$B$36:$H$41))</f>
        <v>0</v>
      </c>
      <c r="OOH28">
        <f t="array" ref="OOH28">_xlfn.XLOOKUP(OOH$11,Assumptions!$B$35:$H$35,_xlfn.XLOOKUP($C28,Assumptions!$B$36:$B$41,Assumptions!$B$36:$H$41))</f>
        <v>0</v>
      </c>
      <c r="OOI28">
        <f t="array" ref="OOI28">_xlfn.XLOOKUP(OOI$11,Assumptions!$B$35:$H$35,_xlfn.XLOOKUP($C28,Assumptions!$B$36:$B$41,Assumptions!$B$36:$H$41))</f>
        <v>0</v>
      </c>
      <c r="OOJ28">
        <f t="array" ref="OOJ28">_xlfn.XLOOKUP(OOJ$11,Assumptions!$B$35:$H$35,_xlfn.XLOOKUP($C28,Assumptions!$B$36:$B$41,Assumptions!$B$36:$H$41))</f>
        <v>0</v>
      </c>
      <c r="OOK28">
        <f t="array" ref="OOK28">_xlfn.XLOOKUP(OOK$11,Assumptions!$B$35:$H$35,_xlfn.XLOOKUP($C28,Assumptions!$B$36:$B$41,Assumptions!$B$36:$H$41))</f>
        <v>0</v>
      </c>
      <c r="OOL28">
        <f t="array" ref="OOL28">_xlfn.XLOOKUP(OOL$11,Assumptions!$B$35:$H$35,_xlfn.XLOOKUP($C28,Assumptions!$B$36:$B$41,Assumptions!$B$36:$H$41))</f>
        <v>0</v>
      </c>
      <c r="OOM28">
        <f t="array" ref="OOM28">_xlfn.XLOOKUP(OOM$11,Assumptions!$B$35:$H$35,_xlfn.XLOOKUP($C28,Assumptions!$B$36:$B$41,Assumptions!$B$36:$H$41))</f>
        <v>0</v>
      </c>
      <c r="OON28">
        <f t="array" ref="OON28">_xlfn.XLOOKUP(OON$11,Assumptions!$B$35:$H$35,_xlfn.XLOOKUP($C28,Assumptions!$B$36:$B$41,Assumptions!$B$36:$H$41))</f>
        <v>0</v>
      </c>
      <c r="OOO28">
        <f t="array" ref="OOO28">_xlfn.XLOOKUP(OOO$11,Assumptions!$B$35:$H$35,_xlfn.XLOOKUP($C28,Assumptions!$B$36:$B$41,Assumptions!$B$36:$H$41))</f>
        <v>0</v>
      </c>
      <c r="OOP28">
        <f t="array" ref="OOP28">_xlfn.XLOOKUP(OOP$11,Assumptions!$B$35:$H$35,_xlfn.XLOOKUP($C28,Assumptions!$B$36:$B$41,Assumptions!$B$36:$H$41))</f>
        <v>0</v>
      </c>
      <c r="OOQ28">
        <f t="array" ref="OOQ28">_xlfn.XLOOKUP(OOQ$11,Assumptions!$B$35:$H$35,_xlfn.XLOOKUP($C28,Assumptions!$B$36:$B$41,Assumptions!$B$36:$H$41))</f>
        <v>0</v>
      </c>
      <c r="OOR28">
        <f t="array" ref="OOR28">_xlfn.XLOOKUP(OOR$11,Assumptions!$B$35:$H$35,_xlfn.XLOOKUP($C28,Assumptions!$B$36:$B$41,Assumptions!$B$36:$H$41))</f>
        <v>0</v>
      </c>
      <c r="OOS28">
        <f t="array" ref="OOS28">_xlfn.XLOOKUP(OOS$11,Assumptions!$B$35:$H$35,_xlfn.XLOOKUP($C28,Assumptions!$B$36:$B$41,Assumptions!$B$36:$H$41))</f>
        <v>0</v>
      </c>
      <c r="OOT28">
        <f t="array" ref="OOT28">_xlfn.XLOOKUP(OOT$11,Assumptions!$B$35:$H$35,_xlfn.XLOOKUP($C28,Assumptions!$B$36:$B$41,Assumptions!$B$36:$H$41))</f>
        <v>0</v>
      </c>
      <c r="OOU28">
        <f t="array" ref="OOU28">_xlfn.XLOOKUP(OOU$11,Assumptions!$B$35:$H$35,_xlfn.XLOOKUP($C28,Assumptions!$B$36:$B$41,Assumptions!$B$36:$H$41))</f>
        <v>0</v>
      </c>
      <c r="OOV28">
        <f t="array" ref="OOV28">_xlfn.XLOOKUP(OOV$11,Assumptions!$B$35:$H$35,_xlfn.XLOOKUP($C28,Assumptions!$B$36:$B$41,Assumptions!$B$36:$H$41))</f>
        <v>0</v>
      </c>
      <c r="OOW28">
        <f t="array" ref="OOW28">_xlfn.XLOOKUP(OOW$11,Assumptions!$B$35:$H$35,_xlfn.XLOOKUP($C28,Assumptions!$B$36:$B$41,Assumptions!$B$36:$H$41))</f>
        <v>0</v>
      </c>
      <c r="OOX28">
        <f t="array" ref="OOX28">_xlfn.XLOOKUP(OOX$11,Assumptions!$B$35:$H$35,_xlfn.XLOOKUP($C28,Assumptions!$B$36:$B$41,Assumptions!$B$36:$H$41))</f>
        <v>0</v>
      </c>
      <c r="OOY28">
        <f t="array" ref="OOY28">_xlfn.XLOOKUP(OOY$11,Assumptions!$B$35:$H$35,_xlfn.XLOOKUP($C28,Assumptions!$B$36:$B$41,Assumptions!$B$36:$H$41))</f>
        <v>0</v>
      </c>
      <c r="OOZ28">
        <f t="array" ref="OOZ28">_xlfn.XLOOKUP(OOZ$11,Assumptions!$B$35:$H$35,_xlfn.XLOOKUP($C28,Assumptions!$B$36:$B$41,Assumptions!$B$36:$H$41))</f>
        <v>0</v>
      </c>
      <c r="OPA28">
        <f t="array" ref="OPA28">_xlfn.XLOOKUP(OPA$11,Assumptions!$B$35:$H$35,_xlfn.XLOOKUP($C28,Assumptions!$B$36:$B$41,Assumptions!$B$36:$H$41))</f>
        <v>0</v>
      </c>
      <c r="OPB28">
        <f t="array" ref="OPB28">_xlfn.XLOOKUP(OPB$11,Assumptions!$B$35:$H$35,_xlfn.XLOOKUP($C28,Assumptions!$B$36:$B$41,Assumptions!$B$36:$H$41))</f>
        <v>0</v>
      </c>
      <c r="OPC28">
        <f t="array" ref="OPC28">_xlfn.XLOOKUP(OPC$11,Assumptions!$B$35:$H$35,_xlfn.XLOOKUP($C28,Assumptions!$B$36:$B$41,Assumptions!$B$36:$H$41))</f>
        <v>0</v>
      </c>
      <c r="OPD28">
        <f t="array" ref="OPD28">_xlfn.XLOOKUP(OPD$11,Assumptions!$B$35:$H$35,_xlfn.XLOOKUP($C28,Assumptions!$B$36:$B$41,Assumptions!$B$36:$H$41))</f>
        <v>0</v>
      </c>
      <c r="OPE28">
        <f t="array" ref="OPE28">_xlfn.XLOOKUP(OPE$11,Assumptions!$B$35:$H$35,_xlfn.XLOOKUP($C28,Assumptions!$B$36:$B$41,Assumptions!$B$36:$H$41))</f>
        <v>0</v>
      </c>
      <c r="OPF28">
        <f t="array" ref="OPF28">_xlfn.XLOOKUP(OPF$11,Assumptions!$B$35:$H$35,_xlfn.XLOOKUP($C28,Assumptions!$B$36:$B$41,Assumptions!$B$36:$H$41))</f>
        <v>0</v>
      </c>
      <c r="OPG28">
        <f t="array" ref="OPG28">_xlfn.XLOOKUP(OPG$11,Assumptions!$B$35:$H$35,_xlfn.XLOOKUP($C28,Assumptions!$B$36:$B$41,Assumptions!$B$36:$H$41))</f>
        <v>0</v>
      </c>
      <c r="OPH28">
        <f t="array" ref="OPH28">_xlfn.XLOOKUP(OPH$11,Assumptions!$B$35:$H$35,_xlfn.XLOOKUP($C28,Assumptions!$B$36:$B$41,Assumptions!$B$36:$H$41))</f>
        <v>0</v>
      </c>
      <c r="OPI28">
        <f t="array" ref="OPI28">_xlfn.XLOOKUP(OPI$11,Assumptions!$B$35:$H$35,_xlfn.XLOOKUP($C28,Assumptions!$B$36:$B$41,Assumptions!$B$36:$H$41))</f>
        <v>0</v>
      </c>
      <c r="OPJ28">
        <f t="array" ref="OPJ28">_xlfn.XLOOKUP(OPJ$11,Assumptions!$B$35:$H$35,_xlfn.XLOOKUP($C28,Assumptions!$B$36:$B$41,Assumptions!$B$36:$H$41))</f>
        <v>0</v>
      </c>
      <c r="OPK28">
        <f t="array" ref="OPK28">_xlfn.XLOOKUP(OPK$11,Assumptions!$B$35:$H$35,_xlfn.XLOOKUP($C28,Assumptions!$B$36:$B$41,Assumptions!$B$36:$H$41))</f>
        <v>0</v>
      </c>
      <c r="OPL28">
        <f t="array" ref="OPL28">_xlfn.XLOOKUP(OPL$11,Assumptions!$B$35:$H$35,_xlfn.XLOOKUP($C28,Assumptions!$B$36:$B$41,Assumptions!$B$36:$H$41))</f>
        <v>0</v>
      </c>
      <c r="OPM28">
        <f t="array" ref="OPM28">_xlfn.XLOOKUP(OPM$11,Assumptions!$B$35:$H$35,_xlfn.XLOOKUP($C28,Assumptions!$B$36:$B$41,Assumptions!$B$36:$H$41))</f>
        <v>0</v>
      </c>
      <c r="OPN28">
        <f t="array" ref="OPN28">_xlfn.XLOOKUP(OPN$11,Assumptions!$B$35:$H$35,_xlfn.XLOOKUP($C28,Assumptions!$B$36:$B$41,Assumptions!$B$36:$H$41))</f>
        <v>0</v>
      </c>
      <c r="OPO28">
        <f t="array" ref="OPO28">_xlfn.XLOOKUP(OPO$11,Assumptions!$B$35:$H$35,_xlfn.XLOOKUP($C28,Assumptions!$B$36:$B$41,Assumptions!$B$36:$H$41))</f>
        <v>0</v>
      </c>
      <c r="OPP28">
        <f t="array" ref="OPP28">_xlfn.XLOOKUP(OPP$11,Assumptions!$B$35:$H$35,_xlfn.XLOOKUP($C28,Assumptions!$B$36:$B$41,Assumptions!$B$36:$H$41))</f>
        <v>0</v>
      </c>
      <c r="OPQ28">
        <f t="array" ref="OPQ28">_xlfn.XLOOKUP(OPQ$11,Assumptions!$B$35:$H$35,_xlfn.XLOOKUP($C28,Assumptions!$B$36:$B$41,Assumptions!$B$36:$H$41))</f>
        <v>0</v>
      </c>
      <c r="OPR28">
        <f t="array" ref="OPR28">_xlfn.XLOOKUP(OPR$11,Assumptions!$B$35:$H$35,_xlfn.XLOOKUP($C28,Assumptions!$B$36:$B$41,Assumptions!$B$36:$H$41))</f>
        <v>0</v>
      </c>
      <c r="OPS28">
        <f t="array" ref="OPS28">_xlfn.XLOOKUP(OPS$11,Assumptions!$B$35:$H$35,_xlfn.XLOOKUP($C28,Assumptions!$B$36:$B$41,Assumptions!$B$36:$H$41))</f>
        <v>0</v>
      </c>
      <c r="OPT28">
        <f t="array" ref="OPT28">_xlfn.XLOOKUP(OPT$11,Assumptions!$B$35:$H$35,_xlfn.XLOOKUP($C28,Assumptions!$B$36:$B$41,Assumptions!$B$36:$H$41))</f>
        <v>0</v>
      </c>
      <c r="OPU28">
        <f t="array" ref="OPU28">_xlfn.XLOOKUP(OPU$11,Assumptions!$B$35:$H$35,_xlfn.XLOOKUP($C28,Assumptions!$B$36:$B$41,Assumptions!$B$36:$H$41))</f>
        <v>0</v>
      </c>
      <c r="OPV28">
        <f t="array" ref="OPV28">_xlfn.XLOOKUP(OPV$11,Assumptions!$B$35:$H$35,_xlfn.XLOOKUP($C28,Assumptions!$B$36:$B$41,Assumptions!$B$36:$H$41))</f>
        <v>0</v>
      </c>
      <c r="OPW28">
        <f t="array" ref="OPW28">_xlfn.XLOOKUP(OPW$11,Assumptions!$B$35:$H$35,_xlfn.XLOOKUP($C28,Assumptions!$B$36:$B$41,Assumptions!$B$36:$H$41))</f>
        <v>0</v>
      </c>
      <c r="OPX28">
        <f t="array" ref="OPX28">_xlfn.XLOOKUP(OPX$11,Assumptions!$B$35:$H$35,_xlfn.XLOOKUP($C28,Assumptions!$B$36:$B$41,Assumptions!$B$36:$H$41))</f>
        <v>0</v>
      </c>
      <c r="OPY28">
        <f t="array" ref="OPY28">_xlfn.XLOOKUP(OPY$11,Assumptions!$B$35:$H$35,_xlfn.XLOOKUP($C28,Assumptions!$B$36:$B$41,Assumptions!$B$36:$H$41))</f>
        <v>0</v>
      </c>
      <c r="OPZ28">
        <f t="array" ref="OPZ28">_xlfn.XLOOKUP(OPZ$11,Assumptions!$B$35:$H$35,_xlfn.XLOOKUP($C28,Assumptions!$B$36:$B$41,Assumptions!$B$36:$H$41))</f>
        <v>0</v>
      </c>
      <c r="OQA28">
        <f t="array" ref="OQA28">_xlfn.XLOOKUP(OQA$11,Assumptions!$B$35:$H$35,_xlfn.XLOOKUP($C28,Assumptions!$B$36:$B$41,Assumptions!$B$36:$H$41))</f>
        <v>0</v>
      </c>
      <c r="OQB28">
        <f t="array" ref="OQB28">_xlfn.XLOOKUP(OQB$11,Assumptions!$B$35:$H$35,_xlfn.XLOOKUP($C28,Assumptions!$B$36:$B$41,Assumptions!$B$36:$H$41))</f>
        <v>0</v>
      </c>
      <c r="OQC28">
        <f t="array" ref="OQC28">_xlfn.XLOOKUP(OQC$11,Assumptions!$B$35:$H$35,_xlfn.XLOOKUP($C28,Assumptions!$B$36:$B$41,Assumptions!$B$36:$H$41))</f>
        <v>0</v>
      </c>
      <c r="OQD28">
        <f t="array" ref="OQD28">_xlfn.XLOOKUP(OQD$11,Assumptions!$B$35:$H$35,_xlfn.XLOOKUP($C28,Assumptions!$B$36:$B$41,Assumptions!$B$36:$H$41))</f>
        <v>0</v>
      </c>
      <c r="OQE28">
        <f t="array" ref="OQE28">_xlfn.XLOOKUP(OQE$11,Assumptions!$B$35:$H$35,_xlfn.XLOOKUP($C28,Assumptions!$B$36:$B$41,Assumptions!$B$36:$H$41))</f>
        <v>0</v>
      </c>
      <c r="OQF28">
        <f t="array" ref="OQF28">_xlfn.XLOOKUP(OQF$11,Assumptions!$B$35:$H$35,_xlfn.XLOOKUP($C28,Assumptions!$B$36:$B$41,Assumptions!$B$36:$H$41))</f>
        <v>0</v>
      </c>
      <c r="OQG28">
        <f t="array" ref="OQG28">_xlfn.XLOOKUP(OQG$11,Assumptions!$B$35:$H$35,_xlfn.XLOOKUP($C28,Assumptions!$B$36:$B$41,Assumptions!$B$36:$H$41))</f>
        <v>0</v>
      </c>
      <c r="OQH28">
        <f t="array" ref="OQH28">_xlfn.XLOOKUP(OQH$11,Assumptions!$B$35:$H$35,_xlfn.XLOOKUP($C28,Assumptions!$B$36:$B$41,Assumptions!$B$36:$H$41))</f>
        <v>0</v>
      </c>
      <c r="OQI28">
        <f t="array" ref="OQI28">_xlfn.XLOOKUP(OQI$11,Assumptions!$B$35:$H$35,_xlfn.XLOOKUP($C28,Assumptions!$B$36:$B$41,Assumptions!$B$36:$H$41))</f>
        <v>0</v>
      </c>
      <c r="OQJ28">
        <f t="array" ref="OQJ28">_xlfn.XLOOKUP(OQJ$11,Assumptions!$B$35:$H$35,_xlfn.XLOOKUP($C28,Assumptions!$B$36:$B$41,Assumptions!$B$36:$H$41))</f>
        <v>0</v>
      </c>
      <c r="OQK28">
        <f t="array" ref="OQK28">_xlfn.XLOOKUP(OQK$11,Assumptions!$B$35:$H$35,_xlfn.XLOOKUP($C28,Assumptions!$B$36:$B$41,Assumptions!$B$36:$H$41))</f>
        <v>0</v>
      </c>
      <c r="OQL28">
        <f t="array" ref="OQL28">_xlfn.XLOOKUP(OQL$11,Assumptions!$B$35:$H$35,_xlfn.XLOOKUP($C28,Assumptions!$B$36:$B$41,Assumptions!$B$36:$H$41))</f>
        <v>0</v>
      </c>
      <c r="OQM28">
        <f t="array" ref="OQM28">_xlfn.XLOOKUP(OQM$11,Assumptions!$B$35:$H$35,_xlfn.XLOOKUP($C28,Assumptions!$B$36:$B$41,Assumptions!$B$36:$H$41))</f>
        <v>0</v>
      </c>
      <c r="OQN28">
        <f t="array" ref="OQN28">_xlfn.XLOOKUP(OQN$11,Assumptions!$B$35:$H$35,_xlfn.XLOOKUP($C28,Assumptions!$B$36:$B$41,Assumptions!$B$36:$H$41))</f>
        <v>0</v>
      </c>
      <c r="OQO28">
        <f t="array" ref="OQO28">_xlfn.XLOOKUP(OQO$11,Assumptions!$B$35:$H$35,_xlfn.XLOOKUP($C28,Assumptions!$B$36:$B$41,Assumptions!$B$36:$H$41))</f>
        <v>0</v>
      </c>
      <c r="OQP28">
        <f t="array" ref="OQP28">_xlfn.XLOOKUP(OQP$11,Assumptions!$B$35:$H$35,_xlfn.XLOOKUP($C28,Assumptions!$B$36:$B$41,Assumptions!$B$36:$H$41))</f>
        <v>0</v>
      </c>
      <c r="OQQ28">
        <f t="array" ref="OQQ28">_xlfn.XLOOKUP(OQQ$11,Assumptions!$B$35:$H$35,_xlfn.XLOOKUP($C28,Assumptions!$B$36:$B$41,Assumptions!$B$36:$H$41))</f>
        <v>0</v>
      </c>
      <c r="OQR28">
        <f t="array" ref="OQR28">_xlfn.XLOOKUP(OQR$11,Assumptions!$B$35:$H$35,_xlfn.XLOOKUP($C28,Assumptions!$B$36:$B$41,Assumptions!$B$36:$H$41))</f>
        <v>0</v>
      </c>
      <c r="OQS28">
        <f t="array" ref="OQS28">_xlfn.XLOOKUP(OQS$11,Assumptions!$B$35:$H$35,_xlfn.XLOOKUP($C28,Assumptions!$B$36:$B$41,Assumptions!$B$36:$H$41))</f>
        <v>0</v>
      </c>
      <c r="OQT28">
        <f t="array" ref="OQT28">_xlfn.XLOOKUP(OQT$11,Assumptions!$B$35:$H$35,_xlfn.XLOOKUP($C28,Assumptions!$B$36:$B$41,Assumptions!$B$36:$H$41))</f>
        <v>0</v>
      </c>
      <c r="OQU28">
        <f t="array" ref="OQU28">_xlfn.XLOOKUP(OQU$11,Assumptions!$B$35:$H$35,_xlfn.XLOOKUP($C28,Assumptions!$B$36:$B$41,Assumptions!$B$36:$H$41))</f>
        <v>0</v>
      </c>
      <c r="OQV28">
        <f t="array" ref="OQV28">_xlfn.XLOOKUP(OQV$11,Assumptions!$B$35:$H$35,_xlfn.XLOOKUP($C28,Assumptions!$B$36:$B$41,Assumptions!$B$36:$H$41))</f>
        <v>0</v>
      </c>
      <c r="OQW28">
        <f t="array" ref="OQW28">_xlfn.XLOOKUP(OQW$11,Assumptions!$B$35:$H$35,_xlfn.XLOOKUP($C28,Assumptions!$B$36:$B$41,Assumptions!$B$36:$H$41))</f>
        <v>0</v>
      </c>
      <c r="OQX28">
        <f t="array" ref="OQX28">_xlfn.XLOOKUP(OQX$11,Assumptions!$B$35:$H$35,_xlfn.XLOOKUP($C28,Assumptions!$B$36:$B$41,Assumptions!$B$36:$H$41))</f>
        <v>0</v>
      </c>
      <c r="OQY28">
        <f t="array" ref="OQY28">_xlfn.XLOOKUP(OQY$11,Assumptions!$B$35:$H$35,_xlfn.XLOOKUP($C28,Assumptions!$B$36:$B$41,Assumptions!$B$36:$H$41))</f>
        <v>0</v>
      </c>
      <c r="OQZ28">
        <f t="array" ref="OQZ28">_xlfn.XLOOKUP(OQZ$11,Assumptions!$B$35:$H$35,_xlfn.XLOOKUP($C28,Assumptions!$B$36:$B$41,Assumptions!$B$36:$H$41))</f>
        <v>0</v>
      </c>
      <c r="ORA28">
        <f t="array" ref="ORA28">_xlfn.XLOOKUP(ORA$11,Assumptions!$B$35:$H$35,_xlfn.XLOOKUP($C28,Assumptions!$B$36:$B$41,Assumptions!$B$36:$H$41))</f>
        <v>0</v>
      </c>
      <c r="ORB28">
        <f t="array" ref="ORB28">_xlfn.XLOOKUP(ORB$11,Assumptions!$B$35:$H$35,_xlfn.XLOOKUP($C28,Assumptions!$B$36:$B$41,Assumptions!$B$36:$H$41))</f>
        <v>0</v>
      </c>
      <c r="ORC28">
        <f t="array" ref="ORC28">_xlfn.XLOOKUP(ORC$11,Assumptions!$B$35:$H$35,_xlfn.XLOOKUP($C28,Assumptions!$B$36:$B$41,Assumptions!$B$36:$H$41))</f>
        <v>0</v>
      </c>
      <c r="ORD28">
        <f t="array" ref="ORD28">_xlfn.XLOOKUP(ORD$11,Assumptions!$B$35:$H$35,_xlfn.XLOOKUP($C28,Assumptions!$B$36:$B$41,Assumptions!$B$36:$H$41))</f>
        <v>0</v>
      </c>
      <c r="ORE28">
        <f t="array" ref="ORE28">_xlfn.XLOOKUP(ORE$11,Assumptions!$B$35:$H$35,_xlfn.XLOOKUP($C28,Assumptions!$B$36:$B$41,Assumptions!$B$36:$H$41))</f>
        <v>0</v>
      </c>
      <c r="ORF28">
        <f t="array" ref="ORF28">_xlfn.XLOOKUP(ORF$11,Assumptions!$B$35:$H$35,_xlfn.XLOOKUP($C28,Assumptions!$B$36:$B$41,Assumptions!$B$36:$H$41))</f>
        <v>0</v>
      </c>
      <c r="ORG28">
        <f t="array" ref="ORG28">_xlfn.XLOOKUP(ORG$11,Assumptions!$B$35:$H$35,_xlfn.XLOOKUP($C28,Assumptions!$B$36:$B$41,Assumptions!$B$36:$H$41))</f>
        <v>0</v>
      </c>
      <c r="ORH28">
        <f t="array" ref="ORH28">_xlfn.XLOOKUP(ORH$11,Assumptions!$B$35:$H$35,_xlfn.XLOOKUP($C28,Assumptions!$B$36:$B$41,Assumptions!$B$36:$H$41))</f>
        <v>0</v>
      </c>
      <c r="ORI28">
        <f t="array" ref="ORI28">_xlfn.XLOOKUP(ORI$11,Assumptions!$B$35:$H$35,_xlfn.XLOOKUP($C28,Assumptions!$B$36:$B$41,Assumptions!$B$36:$H$41))</f>
        <v>0</v>
      </c>
      <c r="ORJ28">
        <f t="array" ref="ORJ28">_xlfn.XLOOKUP(ORJ$11,Assumptions!$B$35:$H$35,_xlfn.XLOOKUP($C28,Assumptions!$B$36:$B$41,Assumptions!$B$36:$H$41))</f>
        <v>0</v>
      </c>
      <c r="ORK28">
        <f t="array" ref="ORK28">_xlfn.XLOOKUP(ORK$11,Assumptions!$B$35:$H$35,_xlfn.XLOOKUP($C28,Assumptions!$B$36:$B$41,Assumptions!$B$36:$H$41))</f>
        <v>0</v>
      </c>
      <c r="ORL28">
        <f t="array" ref="ORL28">_xlfn.XLOOKUP(ORL$11,Assumptions!$B$35:$H$35,_xlfn.XLOOKUP($C28,Assumptions!$B$36:$B$41,Assumptions!$B$36:$H$41))</f>
        <v>0</v>
      </c>
      <c r="ORM28">
        <f t="array" ref="ORM28">_xlfn.XLOOKUP(ORM$11,Assumptions!$B$35:$H$35,_xlfn.XLOOKUP($C28,Assumptions!$B$36:$B$41,Assumptions!$B$36:$H$41))</f>
        <v>0</v>
      </c>
      <c r="ORN28">
        <f t="array" ref="ORN28">_xlfn.XLOOKUP(ORN$11,Assumptions!$B$35:$H$35,_xlfn.XLOOKUP($C28,Assumptions!$B$36:$B$41,Assumptions!$B$36:$H$41))</f>
        <v>0</v>
      </c>
      <c r="ORO28">
        <f t="array" ref="ORO28">_xlfn.XLOOKUP(ORO$11,Assumptions!$B$35:$H$35,_xlfn.XLOOKUP($C28,Assumptions!$B$36:$B$41,Assumptions!$B$36:$H$41))</f>
        <v>0</v>
      </c>
      <c r="ORP28">
        <f t="array" ref="ORP28">_xlfn.XLOOKUP(ORP$11,Assumptions!$B$35:$H$35,_xlfn.XLOOKUP($C28,Assumptions!$B$36:$B$41,Assumptions!$B$36:$H$41))</f>
        <v>0</v>
      </c>
      <c r="ORQ28">
        <f t="array" ref="ORQ28">_xlfn.XLOOKUP(ORQ$11,Assumptions!$B$35:$H$35,_xlfn.XLOOKUP($C28,Assumptions!$B$36:$B$41,Assumptions!$B$36:$H$41))</f>
        <v>0</v>
      </c>
      <c r="ORR28">
        <f t="array" ref="ORR28">_xlfn.XLOOKUP(ORR$11,Assumptions!$B$35:$H$35,_xlfn.XLOOKUP($C28,Assumptions!$B$36:$B$41,Assumptions!$B$36:$H$41))</f>
        <v>0</v>
      </c>
      <c r="ORS28">
        <f t="array" ref="ORS28">_xlfn.XLOOKUP(ORS$11,Assumptions!$B$35:$H$35,_xlfn.XLOOKUP($C28,Assumptions!$B$36:$B$41,Assumptions!$B$36:$H$41))</f>
        <v>0</v>
      </c>
      <c r="ORT28">
        <f t="array" ref="ORT28">_xlfn.XLOOKUP(ORT$11,Assumptions!$B$35:$H$35,_xlfn.XLOOKUP($C28,Assumptions!$B$36:$B$41,Assumptions!$B$36:$H$41))</f>
        <v>0</v>
      </c>
      <c r="ORU28">
        <f t="array" ref="ORU28">_xlfn.XLOOKUP(ORU$11,Assumptions!$B$35:$H$35,_xlfn.XLOOKUP($C28,Assumptions!$B$36:$B$41,Assumptions!$B$36:$H$41))</f>
        <v>0</v>
      </c>
      <c r="ORV28">
        <f t="array" ref="ORV28">_xlfn.XLOOKUP(ORV$11,Assumptions!$B$35:$H$35,_xlfn.XLOOKUP($C28,Assumptions!$B$36:$B$41,Assumptions!$B$36:$H$41))</f>
        <v>0</v>
      </c>
      <c r="ORW28">
        <f t="array" ref="ORW28">_xlfn.XLOOKUP(ORW$11,Assumptions!$B$35:$H$35,_xlfn.XLOOKUP($C28,Assumptions!$B$36:$B$41,Assumptions!$B$36:$H$41))</f>
        <v>0</v>
      </c>
      <c r="ORX28">
        <f t="array" ref="ORX28">_xlfn.XLOOKUP(ORX$11,Assumptions!$B$35:$H$35,_xlfn.XLOOKUP($C28,Assumptions!$B$36:$B$41,Assumptions!$B$36:$H$41))</f>
        <v>0</v>
      </c>
      <c r="ORY28">
        <f t="array" ref="ORY28">_xlfn.XLOOKUP(ORY$11,Assumptions!$B$35:$H$35,_xlfn.XLOOKUP($C28,Assumptions!$B$36:$B$41,Assumptions!$B$36:$H$41))</f>
        <v>0</v>
      </c>
      <c r="ORZ28">
        <f t="array" ref="ORZ28">_xlfn.XLOOKUP(ORZ$11,Assumptions!$B$35:$H$35,_xlfn.XLOOKUP($C28,Assumptions!$B$36:$B$41,Assumptions!$B$36:$H$41))</f>
        <v>0</v>
      </c>
      <c r="OSA28">
        <f t="array" ref="OSA28">_xlfn.XLOOKUP(OSA$11,Assumptions!$B$35:$H$35,_xlfn.XLOOKUP($C28,Assumptions!$B$36:$B$41,Assumptions!$B$36:$H$41))</f>
        <v>0</v>
      </c>
      <c r="OSB28">
        <f t="array" ref="OSB28">_xlfn.XLOOKUP(OSB$11,Assumptions!$B$35:$H$35,_xlfn.XLOOKUP($C28,Assumptions!$B$36:$B$41,Assumptions!$B$36:$H$41))</f>
        <v>0</v>
      </c>
      <c r="OSC28">
        <f t="array" ref="OSC28">_xlfn.XLOOKUP(OSC$11,Assumptions!$B$35:$H$35,_xlfn.XLOOKUP($C28,Assumptions!$B$36:$B$41,Assumptions!$B$36:$H$41))</f>
        <v>0</v>
      </c>
      <c r="OSD28">
        <f t="array" ref="OSD28">_xlfn.XLOOKUP(OSD$11,Assumptions!$B$35:$H$35,_xlfn.XLOOKUP($C28,Assumptions!$B$36:$B$41,Assumptions!$B$36:$H$41))</f>
        <v>0</v>
      </c>
      <c r="OSE28">
        <f t="array" ref="OSE28">_xlfn.XLOOKUP(OSE$11,Assumptions!$B$35:$H$35,_xlfn.XLOOKUP($C28,Assumptions!$B$36:$B$41,Assumptions!$B$36:$H$41))</f>
        <v>0</v>
      </c>
      <c r="OSF28">
        <f t="array" ref="OSF28">_xlfn.XLOOKUP(OSF$11,Assumptions!$B$35:$H$35,_xlfn.XLOOKUP($C28,Assumptions!$B$36:$B$41,Assumptions!$B$36:$H$41))</f>
        <v>0</v>
      </c>
      <c r="OSG28">
        <f t="array" ref="OSG28">_xlfn.XLOOKUP(OSG$11,Assumptions!$B$35:$H$35,_xlfn.XLOOKUP($C28,Assumptions!$B$36:$B$41,Assumptions!$B$36:$H$41))</f>
        <v>0</v>
      </c>
      <c r="OSH28">
        <f t="array" ref="OSH28">_xlfn.XLOOKUP(OSH$11,Assumptions!$B$35:$H$35,_xlfn.XLOOKUP($C28,Assumptions!$B$36:$B$41,Assumptions!$B$36:$H$41))</f>
        <v>0</v>
      </c>
      <c r="OSI28">
        <f t="array" ref="OSI28">_xlfn.XLOOKUP(OSI$11,Assumptions!$B$35:$H$35,_xlfn.XLOOKUP($C28,Assumptions!$B$36:$B$41,Assumptions!$B$36:$H$41))</f>
        <v>0</v>
      </c>
      <c r="OSJ28">
        <f t="array" ref="OSJ28">_xlfn.XLOOKUP(OSJ$11,Assumptions!$B$35:$H$35,_xlfn.XLOOKUP($C28,Assumptions!$B$36:$B$41,Assumptions!$B$36:$H$41))</f>
        <v>0</v>
      </c>
      <c r="OSK28">
        <f t="array" ref="OSK28">_xlfn.XLOOKUP(OSK$11,Assumptions!$B$35:$H$35,_xlfn.XLOOKUP($C28,Assumptions!$B$36:$B$41,Assumptions!$B$36:$H$41))</f>
        <v>0</v>
      </c>
      <c r="OSL28">
        <f t="array" ref="OSL28">_xlfn.XLOOKUP(OSL$11,Assumptions!$B$35:$H$35,_xlfn.XLOOKUP($C28,Assumptions!$B$36:$B$41,Assumptions!$B$36:$H$41))</f>
        <v>0</v>
      </c>
      <c r="OSM28">
        <f t="array" ref="OSM28">_xlfn.XLOOKUP(OSM$11,Assumptions!$B$35:$H$35,_xlfn.XLOOKUP($C28,Assumptions!$B$36:$B$41,Assumptions!$B$36:$H$41))</f>
        <v>0</v>
      </c>
      <c r="OSN28">
        <f t="array" ref="OSN28">_xlfn.XLOOKUP(OSN$11,Assumptions!$B$35:$H$35,_xlfn.XLOOKUP($C28,Assumptions!$B$36:$B$41,Assumptions!$B$36:$H$41))</f>
        <v>0</v>
      </c>
      <c r="OSO28">
        <f t="array" ref="OSO28">_xlfn.XLOOKUP(OSO$11,Assumptions!$B$35:$H$35,_xlfn.XLOOKUP($C28,Assumptions!$B$36:$B$41,Assumptions!$B$36:$H$41))</f>
        <v>0</v>
      </c>
      <c r="OSP28">
        <f t="array" ref="OSP28">_xlfn.XLOOKUP(OSP$11,Assumptions!$B$35:$H$35,_xlfn.XLOOKUP($C28,Assumptions!$B$36:$B$41,Assumptions!$B$36:$H$41))</f>
        <v>0</v>
      </c>
      <c r="OSQ28">
        <f t="array" ref="OSQ28">_xlfn.XLOOKUP(OSQ$11,Assumptions!$B$35:$H$35,_xlfn.XLOOKUP($C28,Assumptions!$B$36:$B$41,Assumptions!$B$36:$H$41))</f>
        <v>0</v>
      </c>
      <c r="OSR28">
        <f t="array" ref="OSR28">_xlfn.XLOOKUP(OSR$11,Assumptions!$B$35:$H$35,_xlfn.XLOOKUP($C28,Assumptions!$B$36:$B$41,Assumptions!$B$36:$H$41))</f>
        <v>0</v>
      </c>
      <c r="OSS28">
        <f t="array" ref="OSS28">_xlfn.XLOOKUP(OSS$11,Assumptions!$B$35:$H$35,_xlfn.XLOOKUP($C28,Assumptions!$B$36:$B$41,Assumptions!$B$36:$H$41))</f>
        <v>0</v>
      </c>
      <c r="OST28">
        <f t="array" ref="OST28">_xlfn.XLOOKUP(OST$11,Assumptions!$B$35:$H$35,_xlfn.XLOOKUP($C28,Assumptions!$B$36:$B$41,Assumptions!$B$36:$H$41))</f>
        <v>0</v>
      </c>
      <c r="OSU28">
        <f t="array" ref="OSU28">_xlfn.XLOOKUP(OSU$11,Assumptions!$B$35:$H$35,_xlfn.XLOOKUP($C28,Assumptions!$B$36:$B$41,Assumptions!$B$36:$H$41))</f>
        <v>0</v>
      </c>
      <c r="OSV28">
        <f t="array" ref="OSV28">_xlfn.XLOOKUP(OSV$11,Assumptions!$B$35:$H$35,_xlfn.XLOOKUP($C28,Assumptions!$B$36:$B$41,Assumptions!$B$36:$H$41))</f>
        <v>0</v>
      </c>
      <c r="OSW28">
        <f t="array" ref="OSW28">_xlfn.XLOOKUP(OSW$11,Assumptions!$B$35:$H$35,_xlfn.XLOOKUP($C28,Assumptions!$B$36:$B$41,Assumptions!$B$36:$H$41))</f>
        <v>0</v>
      </c>
      <c r="OSX28">
        <f t="array" ref="OSX28">_xlfn.XLOOKUP(OSX$11,Assumptions!$B$35:$H$35,_xlfn.XLOOKUP($C28,Assumptions!$B$36:$B$41,Assumptions!$B$36:$H$41))</f>
        <v>0</v>
      </c>
      <c r="OSY28">
        <f t="array" ref="OSY28">_xlfn.XLOOKUP(OSY$11,Assumptions!$B$35:$H$35,_xlfn.XLOOKUP($C28,Assumptions!$B$36:$B$41,Assumptions!$B$36:$H$41))</f>
        <v>0</v>
      </c>
      <c r="OSZ28">
        <f t="array" ref="OSZ28">_xlfn.XLOOKUP(OSZ$11,Assumptions!$B$35:$H$35,_xlfn.XLOOKUP($C28,Assumptions!$B$36:$B$41,Assumptions!$B$36:$H$41))</f>
        <v>0</v>
      </c>
      <c r="OTA28">
        <f t="array" ref="OTA28">_xlfn.XLOOKUP(OTA$11,Assumptions!$B$35:$H$35,_xlfn.XLOOKUP($C28,Assumptions!$B$36:$B$41,Assumptions!$B$36:$H$41))</f>
        <v>0</v>
      </c>
      <c r="OTB28">
        <f t="array" ref="OTB28">_xlfn.XLOOKUP(OTB$11,Assumptions!$B$35:$H$35,_xlfn.XLOOKUP($C28,Assumptions!$B$36:$B$41,Assumptions!$B$36:$H$41))</f>
        <v>0</v>
      </c>
      <c r="OTC28">
        <f t="array" ref="OTC28">_xlfn.XLOOKUP(OTC$11,Assumptions!$B$35:$H$35,_xlfn.XLOOKUP($C28,Assumptions!$B$36:$B$41,Assumptions!$B$36:$H$41))</f>
        <v>0</v>
      </c>
      <c r="OTD28">
        <f t="array" ref="OTD28">_xlfn.XLOOKUP(OTD$11,Assumptions!$B$35:$H$35,_xlfn.XLOOKUP($C28,Assumptions!$B$36:$B$41,Assumptions!$B$36:$H$41))</f>
        <v>0</v>
      </c>
      <c r="OTE28">
        <f t="array" ref="OTE28">_xlfn.XLOOKUP(OTE$11,Assumptions!$B$35:$H$35,_xlfn.XLOOKUP($C28,Assumptions!$B$36:$B$41,Assumptions!$B$36:$H$41))</f>
        <v>0</v>
      </c>
      <c r="OTF28">
        <f t="array" ref="OTF28">_xlfn.XLOOKUP(OTF$11,Assumptions!$B$35:$H$35,_xlfn.XLOOKUP($C28,Assumptions!$B$36:$B$41,Assumptions!$B$36:$H$41))</f>
        <v>0</v>
      </c>
      <c r="OTG28">
        <f t="array" ref="OTG28">_xlfn.XLOOKUP(OTG$11,Assumptions!$B$35:$H$35,_xlfn.XLOOKUP($C28,Assumptions!$B$36:$B$41,Assumptions!$B$36:$H$41))</f>
        <v>0</v>
      </c>
      <c r="OTH28">
        <f t="array" ref="OTH28">_xlfn.XLOOKUP(OTH$11,Assumptions!$B$35:$H$35,_xlfn.XLOOKUP($C28,Assumptions!$B$36:$B$41,Assumptions!$B$36:$H$41))</f>
        <v>0</v>
      </c>
      <c r="OTI28">
        <f t="array" ref="OTI28">_xlfn.XLOOKUP(OTI$11,Assumptions!$B$35:$H$35,_xlfn.XLOOKUP($C28,Assumptions!$B$36:$B$41,Assumptions!$B$36:$H$41))</f>
        <v>0</v>
      </c>
      <c r="OTJ28">
        <f t="array" ref="OTJ28">_xlfn.XLOOKUP(OTJ$11,Assumptions!$B$35:$H$35,_xlfn.XLOOKUP($C28,Assumptions!$B$36:$B$41,Assumptions!$B$36:$H$41))</f>
        <v>0</v>
      </c>
      <c r="OTK28">
        <f t="array" ref="OTK28">_xlfn.XLOOKUP(OTK$11,Assumptions!$B$35:$H$35,_xlfn.XLOOKUP($C28,Assumptions!$B$36:$B$41,Assumptions!$B$36:$H$41))</f>
        <v>0</v>
      </c>
      <c r="OTL28">
        <f t="array" ref="OTL28">_xlfn.XLOOKUP(OTL$11,Assumptions!$B$35:$H$35,_xlfn.XLOOKUP($C28,Assumptions!$B$36:$B$41,Assumptions!$B$36:$H$41))</f>
        <v>0</v>
      </c>
      <c r="OTM28">
        <f t="array" ref="OTM28">_xlfn.XLOOKUP(OTM$11,Assumptions!$B$35:$H$35,_xlfn.XLOOKUP($C28,Assumptions!$B$36:$B$41,Assumptions!$B$36:$H$41))</f>
        <v>0</v>
      </c>
      <c r="OTN28">
        <f t="array" ref="OTN28">_xlfn.XLOOKUP(OTN$11,Assumptions!$B$35:$H$35,_xlfn.XLOOKUP($C28,Assumptions!$B$36:$B$41,Assumptions!$B$36:$H$41))</f>
        <v>0</v>
      </c>
      <c r="OTO28">
        <f t="array" ref="OTO28">_xlfn.XLOOKUP(OTO$11,Assumptions!$B$35:$H$35,_xlfn.XLOOKUP($C28,Assumptions!$B$36:$B$41,Assumptions!$B$36:$H$41))</f>
        <v>0</v>
      </c>
      <c r="OTP28">
        <f t="array" ref="OTP28">_xlfn.XLOOKUP(OTP$11,Assumptions!$B$35:$H$35,_xlfn.XLOOKUP($C28,Assumptions!$B$36:$B$41,Assumptions!$B$36:$H$41))</f>
        <v>0</v>
      </c>
      <c r="OTQ28">
        <f t="array" ref="OTQ28">_xlfn.XLOOKUP(OTQ$11,Assumptions!$B$35:$H$35,_xlfn.XLOOKUP($C28,Assumptions!$B$36:$B$41,Assumptions!$B$36:$H$41))</f>
        <v>0</v>
      </c>
      <c r="OTR28">
        <f t="array" ref="OTR28">_xlfn.XLOOKUP(OTR$11,Assumptions!$B$35:$H$35,_xlfn.XLOOKUP($C28,Assumptions!$B$36:$B$41,Assumptions!$B$36:$H$41))</f>
        <v>0</v>
      </c>
      <c r="OTS28">
        <f t="array" ref="OTS28">_xlfn.XLOOKUP(OTS$11,Assumptions!$B$35:$H$35,_xlfn.XLOOKUP($C28,Assumptions!$B$36:$B$41,Assumptions!$B$36:$H$41))</f>
        <v>0</v>
      </c>
      <c r="OTT28">
        <f t="array" ref="OTT28">_xlfn.XLOOKUP(OTT$11,Assumptions!$B$35:$H$35,_xlfn.XLOOKUP($C28,Assumptions!$B$36:$B$41,Assumptions!$B$36:$H$41))</f>
        <v>0</v>
      </c>
      <c r="OTU28">
        <f t="array" ref="OTU28">_xlfn.XLOOKUP(OTU$11,Assumptions!$B$35:$H$35,_xlfn.XLOOKUP($C28,Assumptions!$B$36:$B$41,Assumptions!$B$36:$H$41))</f>
        <v>0</v>
      </c>
      <c r="OTV28">
        <f t="array" ref="OTV28">_xlfn.XLOOKUP(OTV$11,Assumptions!$B$35:$H$35,_xlfn.XLOOKUP($C28,Assumptions!$B$36:$B$41,Assumptions!$B$36:$H$41))</f>
        <v>0</v>
      </c>
      <c r="OTW28">
        <f t="array" ref="OTW28">_xlfn.XLOOKUP(OTW$11,Assumptions!$B$35:$H$35,_xlfn.XLOOKUP($C28,Assumptions!$B$36:$B$41,Assumptions!$B$36:$H$41))</f>
        <v>0</v>
      </c>
      <c r="OTX28">
        <f t="array" ref="OTX28">_xlfn.XLOOKUP(OTX$11,Assumptions!$B$35:$H$35,_xlfn.XLOOKUP($C28,Assumptions!$B$36:$B$41,Assumptions!$B$36:$H$41))</f>
        <v>0</v>
      </c>
      <c r="OTY28">
        <f t="array" ref="OTY28">_xlfn.XLOOKUP(OTY$11,Assumptions!$B$35:$H$35,_xlfn.XLOOKUP($C28,Assumptions!$B$36:$B$41,Assumptions!$B$36:$H$41))</f>
        <v>0</v>
      </c>
      <c r="OTZ28">
        <f t="array" ref="OTZ28">_xlfn.XLOOKUP(OTZ$11,Assumptions!$B$35:$H$35,_xlfn.XLOOKUP($C28,Assumptions!$B$36:$B$41,Assumptions!$B$36:$H$41))</f>
        <v>0</v>
      </c>
      <c r="OUA28">
        <f t="array" ref="OUA28">_xlfn.XLOOKUP(OUA$11,Assumptions!$B$35:$H$35,_xlfn.XLOOKUP($C28,Assumptions!$B$36:$B$41,Assumptions!$B$36:$H$41))</f>
        <v>0</v>
      </c>
      <c r="OUB28">
        <f t="array" ref="OUB28">_xlfn.XLOOKUP(OUB$11,Assumptions!$B$35:$H$35,_xlfn.XLOOKUP($C28,Assumptions!$B$36:$B$41,Assumptions!$B$36:$H$41))</f>
        <v>0</v>
      </c>
      <c r="OUC28">
        <f t="array" ref="OUC28">_xlfn.XLOOKUP(OUC$11,Assumptions!$B$35:$H$35,_xlfn.XLOOKUP($C28,Assumptions!$B$36:$B$41,Assumptions!$B$36:$H$41))</f>
        <v>0</v>
      </c>
      <c r="OUD28">
        <f t="array" ref="OUD28">_xlfn.XLOOKUP(OUD$11,Assumptions!$B$35:$H$35,_xlfn.XLOOKUP($C28,Assumptions!$B$36:$B$41,Assumptions!$B$36:$H$41))</f>
        <v>0</v>
      </c>
      <c r="OUE28">
        <f t="array" ref="OUE28">_xlfn.XLOOKUP(OUE$11,Assumptions!$B$35:$H$35,_xlfn.XLOOKUP($C28,Assumptions!$B$36:$B$41,Assumptions!$B$36:$H$41))</f>
        <v>0</v>
      </c>
      <c r="OUF28">
        <f t="array" ref="OUF28">_xlfn.XLOOKUP(OUF$11,Assumptions!$B$35:$H$35,_xlfn.XLOOKUP($C28,Assumptions!$B$36:$B$41,Assumptions!$B$36:$H$41))</f>
        <v>0</v>
      </c>
      <c r="OUG28">
        <f t="array" ref="OUG28">_xlfn.XLOOKUP(OUG$11,Assumptions!$B$35:$H$35,_xlfn.XLOOKUP($C28,Assumptions!$B$36:$B$41,Assumptions!$B$36:$H$41))</f>
        <v>0</v>
      </c>
      <c r="OUH28">
        <f t="array" ref="OUH28">_xlfn.XLOOKUP(OUH$11,Assumptions!$B$35:$H$35,_xlfn.XLOOKUP($C28,Assumptions!$B$36:$B$41,Assumptions!$B$36:$H$41))</f>
        <v>0</v>
      </c>
      <c r="OUI28">
        <f t="array" ref="OUI28">_xlfn.XLOOKUP(OUI$11,Assumptions!$B$35:$H$35,_xlfn.XLOOKUP($C28,Assumptions!$B$36:$B$41,Assumptions!$B$36:$H$41))</f>
        <v>0</v>
      </c>
      <c r="OUJ28">
        <f t="array" ref="OUJ28">_xlfn.XLOOKUP(OUJ$11,Assumptions!$B$35:$H$35,_xlfn.XLOOKUP($C28,Assumptions!$B$36:$B$41,Assumptions!$B$36:$H$41))</f>
        <v>0</v>
      </c>
      <c r="OUK28">
        <f t="array" ref="OUK28">_xlfn.XLOOKUP(OUK$11,Assumptions!$B$35:$H$35,_xlfn.XLOOKUP($C28,Assumptions!$B$36:$B$41,Assumptions!$B$36:$H$41))</f>
        <v>0</v>
      </c>
      <c r="OUL28">
        <f t="array" ref="OUL28">_xlfn.XLOOKUP(OUL$11,Assumptions!$B$35:$H$35,_xlfn.XLOOKUP($C28,Assumptions!$B$36:$B$41,Assumptions!$B$36:$H$41))</f>
        <v>0</v>
      </c>
      <c r="OUM28">
        <f t="array" ref="OUM28">_xlfn.XLOOKUP(OUM$11,Assumptions!$B$35:$H$35,_xlfn.XLOOKUP($C28,Assumptions!$B$36:$B$41,Assumptions!$B$36:$H$41))</f>
        <v>0</v>
      </c>
      <c r="OUN28">
        <f t="array" ref="OUN28">_xlfn.XLOOKUP(OUN$11,Assumptions!$B$35:$H$35,_xlfn.XLOOKUP($C28,Assumptions!$B$36:$B$41,Assumptions!$B$36:$H$41))</f>
        <v>0</v>
      </c>
      <c r="OUO28">
        <f t="array" ref="OUO28">_xlfn.XLOOKUP(OUO$11,Assumptions!$B$35:$H$35,_xlfn.XLOOKUP($C28,Assumptions!$B$36:$B$41,Assumptions!$B$36:$H$41))</f>
        <v>0</v>
      </c>
      <c r="OUP28">
        <f t="array" ref="OUP28">_xlfn.XLOOKUP(OUP$11,Assumptions!$B$35:$H$35,_xlfn.XLOOKUP($C28,Assumptions!$B$36:$B$41,Assumptions!$B$36:$H$41))</f>
        <v>0</v>
      </c>
      <c r="OUQ28">
        <f t="array" ref="OUQ28">_xlfn.XLOOKUP(OUQ$11,Assumptions!$B$35:$H$35,_xlfn.XLOOKUP($C28,Assumptions!$B$36:$B$41,Assumptions!$B$36:$H$41))</f>
        <v>0</v>
      </c>
      <c r="OUR28">
        <f t="array" ref="OUR28">_xlfn.XLOOKUP(OUR$11,Assumptions!$B$35:$H$35,_xlfn.XLOOKUP($C28,Assumptions!$B$36:$B$41,Assumptions!$B$36:$H$41))</f>
        <v>0</v>
      </c>
      <c r="OUS28">
        <f t="array" ref="OUS28">_xlfn.XLOOKUP(OUS$11,Assumptions!$B$35:$H$35,_xlfn.XLOOKUP($C28,Assumptions!$B$36:$B$41,Assumptions!$B$36:$H$41))</f>
        <v>0</v>
      </c>
      <c r="OUT28">
        <f t="array" ref="OUT28">_xlfn.XLOOKUP(OUT$11,Assumptions!$B$35:$H$35,_xlfn.XLOOKUP($C28,Assumptions!$B$36:$B$41,Assumptions!$B$36:$H$41))</f>
        <v>0</v>
      </c>
      <c r="OUU28">
        <f t="array" ref="OUU28">_xlfn.XLOOKUP(OUU$11,Assumptions!$B$35:$H$35,_xlfn.XLOOKUP($C28,Assumptions!$B$36:$B$41,Assumptions!$B$36:$H$41))</f>
        <v>0</v>
      </c>
      <c r="OUV28">
        <f t="array" ref="OUV28">_xlfn.XLOOKUP(OUV$11,Assumptions!$B$35:$H$35,_xlfn.XLOOKUP($C28,Assumptions!$B$36:$B$41,Assumptions!$B$36:$H$41))</f>
        <v>0</v>
      </c>
      <c r="OUW28">
        <f t="array" ref="OUW28">_xlfn.XLOOKUP(OUW$11,Assumptions!$B$35:$H$35,_xlfn.XLOOKUP($C28,Assumptions!$B$36:$B$41,Assumptions!$B$36:$H$41))</f>
        <v>0</v>
      </c>
      <c r="OUX28">
        <f t="array" ref="OUX28">_xlfn.XLOOKUP(OUX$11,Assumptions!$B$35:$H$35,_xlfn.XLOOKUP($C28,Assumptions!$B$36:$B$41,Assumptions!$B$36:$H$41))</f>
        <v>0</v>
      </c>
      <c r="OUY28">
        <f t="array" ref="OUY28">_xlfn.XLOOKUP(OUY$11,Assumptions!$B$35:$H$35,_xlfn.XLOOKUP($C28,Assumptions!$B$36:$B$41,Assumptions!$B$36:$H$41))</f>
        <v>0</v>
      </c>
      <c r="OUZ28">
        <f t="array" ref="OUZ28">_xlfn.XLOOKUP(OUZ$11,Assumptions!$B$35:$H$35,_xlfn.XLOOKUP($C28,Assumptions!$B$36:$B$41,Assumptions!$B$36:$H$41))</f>
        <v>0</v>
      </c>
      <c r="OVA28">
        <f t="array" ref="OVA28">_xlfn.XLOOKUP(OVA$11,Assumptions!$B$35:$H$35,_xlfn.XLOOKUP($C28,Assumptions!$B$36:$B$41,Assumptions!$B$36:$H$41))</f>
        <v>0</v>
      </c>
      <c r="OVB28">
        <f t="array" ref="OVB28">_xlfn.XLOOKUP(OVB$11,Assumptions!$B$35:$H$35,_xlfn.XLOOKUP($C28,Assumptions!$B$36:$B$41,Assumptions!$B$36:$H$41))</f>
        <v>0</v>
      </c>
      <c r="OVC28">
        <f t="array" ref="OVC28">_xlfn.XLOOKUP(OVC$11,Assumptions!$B$35:$H$35,_xlfn.XLOOKUP($C28,Assumptions!$B$36:$B$41,Assumptions!$B$36:$H$41))</f>
        <v>0</v>
      </c>
      <c r="OVD28">
        <f t="array" ref="OVD28">_xlfn.XLOOKUP(OVD$11,Assumptions!$B$35:$H$35,_xlfn.XLOOKUP($C28,Assumptions!$B$36:$B$41,Assumptions!$B$36:$H$41))</f>
        <v>0</v>
      </c>
      <c r="OVE28">
        <f t="array" ref="OVE28">_xlfn.XLOOKUP(OVE$11,Assumptions!$B$35:$H$35,_xlfn.XLOOKUP($C28,Assumptions!$B$36:$B$41,Assumptions!$B$36:$H$41))</f>
        <v>0</v>
      </c>
      <c r="OVF28">
        <f t="array" ref="OVF28">_xlfn.XLOOKUP(OVF$11,Assumptions!$B$35:$H$35,_xlfn.XLOOKUP($C28,Assumptions!$B$36:$B$41,Assumptions!$B$36:$H$41))</f>
        <v>0</v>
      </c>
      <c r="OVG28">
        <f t="array" ref="OVG28">_xlfn.XLOOKUP(OVG$11,Assumptions!$B$35:$H$35,_xlfn.XLOOKUP($C28,Assumptions!$B$36:$B$41,Assumptions!$B$36:$H$41))</f>
        <v>0</v>
      </c>
      <c r="OVH28">
        <f t="array" ref="OVH28">_xlfn.XLOOKUP(OVH$11,Assumptions!$B$35:$H$35,_xlfn.XLOOKUP($C28,Assumptions!$B$36:$B$41,Assumptions!$B$36:$H$41))</f>
        <v>0</v>
      </c>
      <c r="OVI28">
        <f t="array" ref="OVI28">_xlfn.XLOOKUP(OVI$11,Assumptions!$B$35:$H$35,_xlfn.XLOOKUP($C28,Assumptions!$B$36:$B$41,Assumptions!$B$36:$H$41))</f>
        <v>0</v>
      </c>
      <c r="OVJ28">
        <f t="array" ref="OVJ28">_xlfn.XLOOKUP(OVJ$11,Assumptions!$B$35:$H$35,_xlfn.XLOOKUP($C28,Assumptions!$B$36:$B$41,Assumptions!$B$36:$H$41))</f>
        <v>0</v>
      </c>
      <c r="OVK28">
        <f t="array" ref="OVK28">_xlfn.XLOOKUP(OVK$11,Assumptions!$B$35:$H$35,_xlfn.XLOOKUP($C28,Assumptions!$B$36:$B$41,Assumptions!$B$36:$H$41))</f>
        <v>0</v>
      </c>
      <c r="OVL28">
        <f t="array" ref="OVL28">_xlfn.XLOOKUP(OVL$11,Assumptions!$B$35:$H$35,_xlfn.XLOOKUP($C28,Assumptions!$B$36:$B$41,Assumptions!$B$36:$H$41))</f>
        <v>0</v>
      </c>
      <c r="OVM28">
        <f t="array" ref="OVM28">_xlfn.XLOOKUP(OVM$11,Assumptions!$B$35:$H$35,_xlfn.XLOOKUP($C28,Assumptions!$B$36:$B$41,Assumptions!$B$36:$H$41))</f>
        <v>0</v>
      </c>
      <c r="OVN28">
        <f t="array" ref="OVN28">_xlfn.XLOOKUP(OVN$11,Assumptions!$B$35:$H$35,_xlfn.XLOOKUP($C28,Assumptions!$B$36:$B$41,Assumptions!$B$36:$H$41))</f>
        <v>0</v>
      </c>
      <c r="OVO28">
        <f t="array" ref="OVO28">_xlfn.XLOOKUP(OVO$11,Assumptions!$B$35:$H$35,_xlfn.XLOOKUP($C28,Assumptions!$B$36:$B$41,Assumptions!$B$36:$H$41))</f>
        <v>0</v>
      </c>
      <c r="OVP28">
        <f t="array" ref="OVP28">_xlfn.XLOOKUP(OVP$11,Assumptions!$B$35:$H$35,_xlfn.XLOOKUP($C28,Assumptions!$B$36:$B$41,Assumptions!$B$36:$H$41))</f>
        <v>0</v>
      </c>
      <c r="OVQ28">
        <f t="array" ref="OVQ28">_xlfn.XLOOKUP(OVQ$11,Assumptions!$B$35:$H$35,_xlfn.XLOOKUP($C28,Assumptions!$B$36:$B$41,Assumptions!$B$36:$H$41))</f>
        <v>0</v>
      </c>
      <c r="OVR28">
        <f t="array" ref="OVR28">_xlfn.XLOOKUP(OVR$11,Assumptions!$B$35:$H$35,_xlfn.XLOOKUP($C28,Assumptions!$B$36:$B$41,Assumptions!$B$36:$H$41))</f>
        <v>0</v>
      </c>
      <c r="OVS28">
        <f t="array" ref="OVS28">_xlfn.XLOOKUP(OVS$11,Assumptions!$B$35:$H$35,_xlfn.XLOOKUP($C28,Assumptions!$B$36:$B$41,Assumptions!$B$36:$H$41))</f>
        <v>0</v>
      </c>
      <c r="OVT28">
        <f t="array" ref="OVT28">_xlfn.XLOOKUP(OVT$11,Assumptions!$B$35:$H$35,_xlfn.XLOOKUP($C28,Assumptions!$B$36:$B$41,Assumptions!$B$36:$H$41))</f>
        <v>0</v>
      </c>
      <c r="OVU28">
        <f t="array" ref="OVU28">_xlfn.XLOOKUP(OVU$11,Assumptions!$B$35:$H$35,_xlfn.XLOOKUP($C28,Assumptions!$B$36:$B$41,Assumptions!$B$36:$H$41))</f>
        <v>0</v>
      </c>
      <c r="OVV28">
        <f t="array" ref="OVV28">_xlfn.XLOOKUP(OVV$11,Assumptions!$B$35:$H$35,_xlfn.XLOOKUP($C28,Assumptions!$B$36:$B$41,Assumptions!$B$36:$H$41))</f>
        <v>0</v>
      </c>
      <c r="OVW28">
        <f t="array" ref="OVW28">_xlfn.XLOOKUP(OVW$11,Assumptions!$B$35:$H$35,_xlfn.XLOOKUP($C28,Assumptions!$B$36:$B$41,Assumptions!$B$36:$H$41))</f>
        <v>0</v>
      </c>
      <c r="OVX28">
        <f t="array" ref="OVX28">_xlfn.XLOOKUP(OVX$11,Assumptions!$B$35:$H$35,_xlfn.XLOOKUP($C28,Assumptions!$B$36:$B$41,Assumptions!$B$36:$H$41))</f>
        <v>0</v>
      </c>
      <c r="OVY28">
        <f t="array" ref="OVY28">_xlfn.XLOOKUP(OVY$11,Assumptions!$B$35:$H$35,_xlfn.XLOOKUP($C28,Assumptions!$B$36:$B$41,Assumptions!$B$36:$H$41))</f>
        <v>0</v>
      </c>
      <c r="OVZ28">
        <f t="array" ref="OVZ28">_xlfn.XLOOKUP(OVZ$11,Assumptions!$B$35:$H$35,_xlfn.XLOOKUP($C28,Assumptions!$B$36:$B$41,Assumptions!$B$36:$H$41))</f>
        <v>0</v>
      </c>
      <c r="OWA28">
        <f t="array" ref="OWA28">_xlfn.XLOOKUP(OWA$11,Assumptions!$B$35:$H$35,_xlfn.XLOOKUP($C28,Assumptions!$B$36:$B$41,Assumptions!$B$36:$H$41))</f>
        <v>0</v>
      </c>
      <c r="OWB28">
        <f t="array" ref="OWB28">_xlfn.XLOOKUP(OWB$11,Assumptions!$B$35:$H$35,_xlfn.XLOOKUP($C28,Assumptions!$B$36:$B$41,Assumptions!$B$36:$H$41))</f>
        <v>0</v>
      </c>
      <c r="OWC28">
        <f t="array" ref="OWC28">_xlfn.XLOOKUP(OWC$11,Assumptions!$B$35:$H$35,_xlfn.XLOOKUP($C28,Assumptions!$B$36:$B$41,Assumptions!$B$36:$H$41))</f>
        <v>0</v>
      </c>
      <c r="OWD28">
        <f t="array" ref="OWD28">_xlfn.XLOOKUP(OWD$11,Assumptions!$B$35:$H$35,_xlfn.XLOOKUP($C28,Assumptions!$B$36:$B$41,Assumptions!$B$36:$H$41))</f>
        <v>0</v>
      </c>
      <c r="OWE28">
        <f t="array" ref="OWE28">_xlfn.XLOOKUP(OWE$11,Assumptions!$B$35:$H$35,_xlfn.XLOOKUP($C28,Assumptions!$B$36:$B$41,Assumptions!$B$36:$H$41))</f>
        <v>0</v>
      </c>
      <c r="OWF28">
        <f t="array" ref="OWF28">_xlfn.XLOOKUP(OWF$11,Assumptions!$B$35:$H$35,_xlfn.XLOOKUP($C28,Assumptions!$B$36:$B$41,Assumptions!$B$36:$H$41))</f>
        <v>0</v>
      </c>
      <c r="OWG28">
        <f t="array" ref="OWG28">_xlfn.XLOOKUP(OWG$11,Assumptions!$B$35:$H$35,_xlfn.XLOOKUP($C28,Assumptions!$B$36:$B$41,Assumptions!$B$36:$H$41))</f>
        <v>0</v>
      </c>
      <c r="OWH28">
        <f t="array" ref="OWH28">_xlfn.XLOOKUP(OWH$11,Assumptions!$B$35:$H$35,_xlfn.XLOOKUP($C28,Assumptions!$B$36:$B$41,Assumptions!$B$36:$H$41))</f>
        <v>0</v>
      </c>
      <c r="OWI28">
        <f t="array" ref="OWI28">_xlfn.XLOOKUP(OWI$11,Assumptions!$B$35:$H$35,_xlfn.XLOOKUP($C28,Assumptions!$B$36:$B$41,Assumptions!$B$36:$H$41))</f>
        <v>0</v>
      </c>
      <c r="OWJ28">
        <f t="array" ref="OWJ28">_xlfn.XLOOKUP(OWJ$11,Assumptions!$B$35:$H$35,_xlfn.XLOOKUP($C28,Assumptions!$B$36:$B$41,Assumptions!$B$36:$H$41))</f>
        <v>0</v>
      </c>
      <c r="OWK28">
        <f t="array" ref="OWK28">_xlfn.XLOOKUP(OWK$11,Assumptions!$B$35:$H$35,_xlfn.XLOOKUP($C28,Assumptions!$B$36:$B$41,Assumptions!$B$36:$H$41))</f>
        <v>0</v>
      </c>
      <c r="OWL28">
        <f t="array" ref="OWL28">_xlfn.XLOOKUP(OWL$11,Assumptions!$B$35:$H$35,_xlfn.XLOOKUP($C28,Assumptions!$B$36:$B$41,Assumptions!$B$36:$H$41))</f>
        <v>0</v>
      </c>
      <c r="OWM28">
        <f t="array" ref="OWM28">_xlfn.XLOOKUP(OWM$11,Assumptions!$B$35:$H$35,_xlfn.XLOOKUP($C28,Assumptions!$B$36:$B$41,Assumptions!$B$36:$H$41))</f>
        <v>0</v>
      </c>
      <c r="OWN28">
        <f t="array" ref="OWN28">_xlfn.XLOOKUP(OWN$11,Assumptions!$B$35:$H$35,_xlfn.XLOOKUP($C28,Assumptions!$B$36:$B$41,Assumptions!$B$36:$H$41))</f>
        <v>0</v>
      </c>
      <c r="OWO28">
        <f t="array" ref="OWO28">_xlfn.XLOOKUP(OWO$11,Assumptions!$B$35:$H$35,_xlfn.XLOOKUP($C28,Assumptions!$B$36:$B$41,Assumptions!$B$36:$H$41))</f>
        <v>0</v>
      </c>
      <c r="OWP28">
        <f t="array" ref="OWP28">_xlfn.XLOOKUP(OWP$11,Assumptions!$B$35:$H$35,_xlfn.XLOOKUP($C28,Assumptions!$B$36:$B$41,Assumptions!$B$36:$H$41))</f>
        <v>0</v>
      </c>
      <c r="OWQ28">
        <f t="array" ref="OWQ28">_xlfn.XLOOKUP(OWQ$11,Assumptions!$B$35:$H$35,_xlfn.XLOOKUP($C28,Assumptions!$B$36:$B$41,Assumptions!$B$36:$H$41))</f>
        <v>0</v>
      </c>
      <c r="OWR28">
        <f t="array" ref="OWR28">_xlfn.XLOOKUP(OWR$11,Assumptions!$B$35:$H$35,_xlfn.XLOOKUP($C28,Assumptions!$B$36:$B$41,Assumptions!$B$36:$H$41))</f>
        <v>0</v>
      </c>
      <c r="OWS28">
        <f t="array" ref="OWS28">_xlfn.XLOOKUP(OWS$11,Assumptions!$B$35:$H$35,_xlfn.XLOOKUP($C28,Assumptions!$B$36:$B$41,Assumptions!$B$36:$H$41))</f>
        <v>0</v>
      </c>
      <c r="OWT28">
        <f t="array" ref="OWT28">_xlfn.XLOOKUP(OWT$11,Assumptions!$B$35:$H$35,_xlfn.XLOOKUP($C28,Assumptions!$B$36:$B$41,Assumptions!$B$36:$H$41))</f>
        <v>0</v>
      </c>
      <c r="OWU28">
        <f t="array" ref="OWU28">_xlfn.XLOOKUP(OWU$11,Assumptions!$B$35:$H$35,_xlfn.XLOOKUP($C28,Assumptions!$B$36:$B$41,Assumptions!$B$36:$H$41))</f>
        <v>0</v>
      </c>
      <c r="OWV28">
        <f t="array" ref="OWV28">_xlfn.XLOOKUP(OWV$11,Assumptions!$B$35:$H$35,_xlfn.XLOOKUP($C28,Assumptions!$B$36:$B$41,Assumptions!$B$36:$H$41))</f>
        <v>0</v>
      </c>
      <c r="OWW28">
        <f t="array" ref="OWW28">_xlfn.XLOOKUP(OWW$11,Assumptions!$B$35:$H$35,_xlfn.XLOOKUP($C28,Assumptions!$B$36:$B$41,Assumptions!$B$36:$H$41))</f>
        <v>0</v>
      </c>
      <c r="OWX28">
        <f t="array" ref="OWX28">_xlfn.XLOOKUP(OWX$11,Assumptions!$B$35:$H$35,_xlfn.XLOOKUP($C28,Assumptions!$B$36:$B$41,Assumptions!$B$36:$H$41))</f>
        <v>0</v>
      </c>
      <c r="OWY28">
        <f t="array" ref="OWY28">_xlfn.XLOOKUP(OWY$11,Assumptions!$B$35:$H$35,_xlfn.XLOOKUP($C28,Assumptions!$B$36:$B$41,Assumptions!$B$36:$H$41))</f>
        <v>0</v>
      </c>
      <c r="OWZ28">
        <f t="array" ref="OWZ28">_xlfn.XLOOKUP(OWZ$11,Assumptions!$B$35:$H$35,_xlfn.XLOOKUP($C28,Assumptions!$B$36:$B$41,Assumptions!$B$36:$H$41))</f>
        <v>0</v>
      </c>
      <c r="OXA28">
        <f t="array" ref="OXA28">_xlfn.XLOOKUP(OXA$11,Assumptions!$B$35:$H$35,_xlfn.XLOOKUP($C28,Assumptions!$B$36:$B$41,Assumptions!$B$36:$H$41))</f>
        <v>0</v>
      </c>
      <c r="OXB28">
        <f t="array" ref="OXB28">_xlfn.XLOOKUP(OXB$11,Assumptions!$B$35:$H$35,_xlfn.XLOOKUP($C28,Assumptions!$B$36:$B$41,Assumptions!$B$36:$H$41))</f>
        <v>0</v>
      </c>
      <c r="OXC28">
        <f t="array" ref="OXC28">_xlfn.XLOOKUP(OXC$11,Assumptions!$B$35:$H$35,_xlfn.XLOOKUP($C28,Assumptions!$B$36:$B$41,Assumptions!$B$36:$H$41))</f>
        <v>0</v>
      </c>
      <c r="OXD28">
        <f t="array" ref="OXD28">_xlfn.XLOOKUP(OXD$11,Assumptions!$B$35:$H$35,_xlfn.XLOOKUP($C28,Assumptions!$B$36:$B$41,Assumptions!$B$36:$H$41))</f>
        <v>0</v>
      </c>
      <c r="OXE28">
        <f t="array" ref="OXE28">_xlfn.XLOOKUP(OXE$11,Assumptions!$B$35:$H$35,_xlfn.XLOOKUP($C28,Assumptions!$B$36:$B$41,Assumptions!$B$36:$H$41))</f>
        <v>0</v>
      </c>
      <c r="OXF28">
        <f t="array" ref="OXF28">_xlfn.XLOOKUP(OXF$11,Assumptions!$B$35:$H$35,_xlfn.XLOOKUP($C28,Assumptions!$B$36:$B$41,Assumptions!$B$36:$H$41))</f>
        <v>0</v>
      </c>
      <c r="OXG28">
        <f t="array" ref="OXG28">_xlfn.XLOOKUP(OXG$11,Assumptions!$B$35:$H$35,_xlfn.XLOOKUP($C28,Assumptions!$B$36:$B$41,Assumptions!$B$36:$H$41))</f>
        <v>0</v>
      </c>
      <c r="OXH28">
        <f t="array" ref="OXH28">_xlfn.XLOOKUP(OXH$11,Assumptions!$B$35:$H$35,_xlfn.XLOOKUP($C28,Assumptions!$B$36:$B$41,Assumptions!$B$36:$H$41))</f>
        <v>0</v>
      </c>
      <c r="OXI28">
        <f t="array" ref="OXI28">_xlfn.XLOOKUP(OXI$11,Assumptions!$B$35:$H$35,_xlfn.XLOOKUP($C28,Assumptions!$B$36:$B$41,Assumptions!$B$36:$H$41))</f>
        <v>0</v>
      </c>
      <c r="OXJ28">
        <f t="array" ref="OXJ28">_xlfn.XLOOKUP(OXJ$11,Assumptions!$B$35:$H$35,_xlfn.XLOOKUP($C28,Assumptions!$B$36:$B$41,Assumptions!$B$36:$H$41))</f>
        <v>0</v>
      </c>
      <c r="OXK28">
        <f t="array" ref="OXK28">_xlfn.XLOOKUP(OXK$11,Assumptions!$B$35:$H$35,_xlfn.XLOOKUP($C28,Assumptions!$B$36:$B$41,Assumptions!$B$36:$H$41))</f>
        <v>0</v>
      </c>
      <c r="OXL28">
        <f t="array" ref="OXL28">_xlfn.XLOOKUP(OXL$11,Assumptions!$B$35:$H$35,_xlfn.XLOOKUP($C28,Assumptions!$B$36:$B$41,Assumptions!$B$36:$H$41))</f>
        <v>0</v>
      </c>
      <c r="OXM28">
        <f t="array" ref="OXM28">_xlfn.XLOOKUP(OXM$11,Assumptions!$B$35:$H$35,_xlfn.XLOOKUP($C28,Assumptions!$B$36:$B$41,Assumptions!$B$36:$H$41))</f>
        <v>0</v>
      </c>
      <c r="OXN28">
        <f t="array" ref="OXN28">_xlfn.XLOOKUP(OXN$11,Assumptions!$B$35:$H$35,_xlfn.XLOOKUP($C28,Assumptions!$B$36:$B$41,Assumptions!$B$36:$H$41))</f>
        <v>0</v>
      </c>
      <c r="OXO28">
        <f t="array" ref="OXO28">_xlfn.XLOOKUP(OXO$11,Assumptions!$B$35:$H$35,_xlfn.XLOOKUP($C28,Assumptions!$B$36:$B$41,Assumptions!$B$36:$H$41))</f>
        <v>0</v>
      </c>
      <c r="OXP28">
        <f t="array" ref="OXP28">_xlfn.XLOOKUP(OXP$11,Assumptions!$B$35:$H$35,_xlfn.XLOOKUP($C28,Assumptions!$B$36:$B$41,Assumptions!$B$36:$H$41))</f>
        <v>0</v>
      </c>
      <c r="OXQ28">
        <f t="array" ref="OXQ28">_xlfn.XLOOKUP(OXQ$11,Assumptions!$B$35:$H$35,_xlfn.XLOOKUP($C28,Assumptions!$B$36:$B$41,Assumptions!$B$36:$H$41))</f>
        <v>0</v>
      </c>
      <c r="OXR28">
        <f t="array" ref="OXR28">_xlfn.XLOOKUP(OXR$11,Assumptions!$B$35:$H$35,_xlfn.XLOOKUP($C28,Assumptions!$B$36:$B$41,Assumptions!$B$36:$H$41))</f>
        <v>0</v>
      </c>
      <c r="OXS28">
        <f t="array" ref="OXS28">_xlfn.XLOOKUP(OXS$11,Assumptions!$B$35:$H$35,_xlfn.XLOOKUP($C28,Assumptions!$B$36:$B$41,Assumptions!$B$36:$H$41))</f>
        <v>0</v>
      </c>
      <c r="OXT28">
        <f t="array" ref="OXT28">_xlfn.XLOOKUP(OXT$11,Assumptions!$B$35:$H$35,_xlfn.XLOOKUP($C28,Assumptions!$B$36:$B$41,Assumptions!$B$36:$H$41))</f>
        <v>0</v>
      </c>
      <c r="OXU28">
        <f t="array" ref="OXU28">_xlfn.XLOOKUP(OXU$11,Assumptions!$B$35:$H$35,_xlfn.XLOOKUP($C28,Assumptions!$B$36:$B$41,Assumptions!$B$36:$H$41))</f>
        <v>0</v>
      </c>
      <c r="OXV28">
        <f t="array" ref="OXV28">_xlfn.XLOOKUP(OXV$11,Assumptions!$B$35:$H$35,_xlfn.XLOOKUP($C28,Assumptions!$B$36:$B$41,Assumptions!$B$36:$H$41))</f>
        <v>0</v>
      </c>
      <c r="OXW28">
        <f t="array" ref="OXW28">_xlfn.XLOOKUP(OXW$11,Assumptions!$B$35:$H$35,_xlfn.XLOOKUP($C28,Assumptions!$B$36:$B$41,Assumptions!$B$36:$H$41))</f>
        <v>0</v>
      </c>
      <c r="OXX28">
        <f t="array" ref="OXX28">_xlfn.XLOOKUP(OXX$11,Assumptions!$B$35:$H$35,_xlfn.XLOOKUP($C28,Assumptions!$B$36:$B$41,Assumptions!$B$36:$H$41))</f>
        <v>0</v>
      </c>
      <c r="OXY28">
        <f t="array" ref="OXY28">_xlfn.XLOOKUP(OXY$11,Assumptions!$B$35:$H$35,_xlfn.XLOOKUP($C28,Assumptions!$B$36:$B$41,Assumptions!$B$36:$H$41))</f>
        <v>0</v>
      </c>
      <c r="OXZ28">
        <f t="array" ref="OXZ28">_xlfn.XLOOKUP(OXZ$11,Assumptions!$B$35:$H$35,_xlfn.XLOOKUP($C28,Assumptions!$B$36:$B$41,Assumptions!$B$36:$H$41))</f>
        <v>0</v>
      </c>
      <c r="OYA28">
        <f t="array" ref="OYA28">_xlfn.XLOOKUP(OYA$11,Assumptions!$B$35:$H$35,_xlfn.XLOOKUP($C28,Assumptions!$B$36:$B$41,Assumptions!$B$36:$H$41))</f>
        <v>0</v>
      </c>
      <c r="OYB28">
        <f t="array" ref="OYB28">_xlfn.XLOOKUP(OYB$11,Assumptions!$B$35:$H$35,_xlfn.XLOOKUP($C28,Assumptions!$B$36:$B$41,Assumptions!$B$36:$H$41))</f>
        <v>0</v>
      </c>
      <c r="OYC28">
        <f t="array" ref="OYC28">_xlfn.XLOOKUP(OYC$11,Assumptions!$B$35:$H$35,_xlfn.XLOOKUP($C28,Assumptions!$B$36:$B$41,Assumptions!$B$36:$H$41))</f>
        <v>0</v>
      </c>
      <c r="OYD28">
        <f t="array" ref="OYD28">_xlfn.XLOOKUP(OYD$11,Assumptions!$B$35:$H$35,_xlfn.XLOOKUP($C28,Assumptions!$B$36:$B$41,Assumptions!$B$36:$H$41))</f>
        <v>0</v>
      </c>
      <c r="OYE28">
        <f t="array" ref="OYE28">_xlfn.XLOOKUP(OYE$11,Assumptions!$B$35:$H$35,_xlfn.XLOOKUP($C28,Assumptions!$B$36:$B$41,Assumptions!$B$36:$H$41))</f>
        <v>0</v>
      </c>
      <c r="OYF28">
        <f t="array" ref="OYF28">_xlfn.XLOOKUP(OYF$11,Assumptions!$B$35:$H$35,_xlfn.XLOOKUP($C28,Assumptions!$B$36:$B$41,Assumptions!$B$36:$H$41))</f>
        <v>0</v>
      </c>
      <c r="OYG28">
        <f t="array" ref="OYG28">_xlfn.XLOOKUP(OYG$11,Assumptions!$B$35:$H$35,_xlfn.XLOOKUP($C28,Assumptions!$B$36:$B$41,Assumptions!$B$36:$H$41))</f>
        <v>0</v>
      </c>
      <c r="OYH28">
        <f t="array" ref="OYH28">_xlfn.XLOOKUP(OYH$11,Assumptions!$B$35:$H$35,_xlfn.XLOOKUP($C28,Assumptions!$B$36:$B$41,Assumptions!$B$36:$H$41))</f>
        <v>0</v>
      </c>
      <c r="OYI28">
        <f t="array" ref="OYI28">_xlfn.XLOOKUP(OYI$11,Assumptions!$B$35:$H$35,_xlfn.XLOOKUP($C28,Assumptions!$B$36:$B$41,Assumptions!$B$36:$H$41))</f>
        <v>0</v>
      </c>
      <c r="OYJ28">
        <f t="array" ref="OYJ28">_xlfn.XLOOKUP(OYJ$11,Assumptions!$B$35:$H$35,_xlfn.XLOOKUP($C28,Assumptions!$B$36:$B$41,Assumptions!$B$36:$H$41))</f>
        <v>0</v>
      </c>
      <c r="OYK28">
        <f t="array" ref="OYK28">_xlfn.XLOOKUP(OYK$11,Assumptions!$B$35:$H$35,_xlfn.XLOOKUP($C28,Assumptions!$B$36:$B$41,Assumptions!$B$36:$H$41))</f>
        <v>0</v>
      </c>
      <c r="OYL28">
        <f t="array" ref="OYL28">_xlfn.XLOOKUP(OYL$11,Assumptions!$B$35:$H$35,_xlfn.XLOOKUP($C28,Assumptions!$B$36:$B$41,Assumptions!$B$36:$H$41))</f>
        <v>0</v>
      </c>
      <c r="OYM28">
        <f t="array" ref="OYM28">_xlfn.XLOOKUP(OYM$11,Assumptions!$B$35:$H$35,_xlfn.XLOOKUP($C28,Assumptions!$B$36:$B$41,Assumptions!$B$36:$H$41))</f>
        <v>0</v>
      </c>
      <c r="OYN28">
        <f t="array" ref="OYN28">_xlfn.XLOOKUP(OYN$11,Assumptions!$B$35:$H$35,_xlfn.XLOOKUP($C28,Assumptions!$B$36:$B$41,Assumptions!$B$36:$H$41))</f>
        <v>0</v>
      </c>
      <c r="OYO28">
        <f t="array" ref="OYO28">_xlfn.XLOOKUP(OYO$11,Assumptions!$B$35:$H$35,_xlfn.XLOOKUP($C28,Assumptions!$B$36:$B$41,Assumptions!$B$36:$H$41))</f>
        <v>0</v>
      </c>
      <c r="OYP28">
        <f t="array" ref="OYP28">_xlfn.XLOOKUP(OYP$11,Assumptions!$B$35:$H$35,_xlfn.XLOOKUP($C28,Assumptions!$B$36:$B$41,Assumptions!$B$36:$H$41))</f>
        <v>0</v>
      </c>
      <c r="OYQ28">
        <f t="array" ref="OYQ28">_xlfn.XLOOKUP(OYQ$11,Assumptions!$B$35:$H$35,_xlfn.XLOOKUP($C28,Assumptions!$B$36:$B$41,Assumptions!$B$36:$H$41))</f>
        <v>0</v>
      </c>
      <c r="OYR28">
        <f t="array" ref="OYR28">_xlfn.XLOOKUP(OYR$11,Assumptions!$B$35:$H$35,_xlfn.XLOOKUP($C28,Assumptions!$B$36:$B$41,Assumptions!$B$36:$H$41))</f>
        <v>0</v>
      </c>
      <c r="OYS28">
        <f t="array" ref="OYS28">_xlfn.XLOOKUP(OYS$11,Assumptions!$B$35:$H$35,_xlfn.XLOOKUP($C28,Assumptions!$B$36:$B$41,Assumptions!$B$36:$H$41))</f>
        <v>0</v>
      </c>
      <c r="OYT28">
        <f t="array" ref="OYT28">_xlfn.XLOOKUP(OYT$11,Assumptions!$B$35:$H$35,_xlfn.XLOOKUP($C28,Assumptions!$B$36:$B$41,Assumptions!$B$36:$H$41))</f>
        <v>0</v>
      </c>
      <c r="OYU28">
        <f t="array" ref="OYU28">_xlfn.XLOOKUP(OYU$11,Assumptions!$B$35:$H$35,_xlfn.XLOOKUP($C28,Assumptions!$B$36:$B$41,Assumptions!$B$36:$H$41))</f>
        <v>0</v>
      </c>
      <c r="OYV28">
        <f t="array" ref="OYV28">_xlfn.XLOOKUP(OYV$11,Assumptions!$B$35:$H$35,_xlfn.XLOOKUP($C28,Assumptions!$B$36:$B$41,Assumptions!$B$36:$H$41))</f>
        <v>0</v>
      </c>
      <c r="OYW28">
        <f t="array" ref="OYW28">_xlfn.XLOOKUP(OYW$11,Assumptions!$B$35:$H$35,_xlfn.XLOOKUP($C28,Assumptions!$B$36:$B$41,Assumptions!$B$36:$H$41))</f>
        <v>0</v>
      </c>
      <c r="OYX28">
        <f t="array" ref="OYX28">_xlfn.XLOOKUP(OYX$11,Assumptions!$B$35:$H$35,_xlfn.XLOOKUP($C28,Assumptions!$B$36:$B$41,Assumptions!$B$36:$H$41))</f>
        <v>0</v>
      </c>
      <c r="OYY28">
        <f t="array" ref="OYY28">_xlfn.XLOOKUP(OYY$11,Assumptions!$B$35:$H$35,_xlfn.XLOOKUP($C28,Assumptions!$B$36:$B$41,Assumptions!$B$36:$H$41))</f>
        <v>0</v>
      </c>
      <c r="OYZ28">
        <f t="array" ref="OYZ28">_xlfn.XLOOKUP(OYZ$11,Assumptions!$B$35:$H$35,_xlfn.XLOOKUP($C28,Assumptions!$B$36:$B$41,Assumptions!$B$36:$H$41))</f>
        <v>0</v>
      </c>
      <c r="OZA28">
        <f t="array" ref="OZA28">_xlfn.XLOOKUP(OZA$11,Assumptions!$B$35:$H$35,_xlfn.XLOOKUP($C28,Assumptions!$B$36:$B$41,Assumptions!$B$36:$H$41))</f>
        <v>0</v>
      </c>
      <c r="OZB28">
        <f t="array" ref="OZB28">_xlfn.XLOOKUP(OZB$11,Assumptions!$B$35:$H$35,_xlfn.XLOOKUP($C28,Assumptions!$B$36:$B$41,Assumptions!$B$36:$H$41))</f>
        <v>0</v>
      </c>
      <c r="OZC28">
        <f t="array" ref="OZC28">_xlfn.XLOOKUP(OZC$11,Assumptions!$B$35:$H$35,_xlfn.XLOOKUP($C28,Assumptions!$B$36:$B$41,Assumptions!$B$36:$H$41))</f>
        <v>0</v>
      </c>
      <c r="OZD28">
        <f t="array" ref="OZD28">_xlfn.XLOOKUP(OZD$11,Assumptions!$B$35:$H$35,_xlfn.XLOOKUP($C28,Assumptions!$B$36:$B$41,Assumptions!$B$36:$H$41))</f>
        <v>0</v>
      </c>
      <c r="OZE28">
        <f t="array" ref="OZE28">_xlfn.XLOOKUP(OZE$11,Assumptions!$B$35:$H$35,_xlfn.XLOOKUP($C28,Assumptions!$B$36:$B$41,Assumptions!$B$36:$H$41))</f>
        <v>0</v>
      </c>
      <c r="OZF28">
        <f t="array" ref="OZF28">_xlfn.XLOOKUP(OZF$11,Assumptions!$B$35:$H$35,_xlfn.XLOOKUP($C28,Assumptions!$B$36:$B$41,Assumptions!$B$36:$H$41))</f>
        <v>0</v>
      </c>
      <c r="OZG28">
        <f t="array" ref="OZG28">_xlfn.XLOOKUP(OZG$11,Assumptions!$B$35:$H$35,_xlfn.XLOOKUP($C28,Assumptions!$B$36:$B$41,Assumptions!$B$36:$H$41))</f>
        <v>0</v>
      </c>
      <c r="OZH28">
        <f t="array" ref="OZH28">_xlfn.XLOOKUP(OZH$11,Assumptions!$B$35:$H$35,_xlfn.XLOOKUP($C28,Assumptions!$B$36:$B$41,Assumptions!$B$36:$H$41))</f>
        <v>0</v>
      </c>
      <c r="OZI28">
        <f t="array" ref="OZI28">_xlfn.XLOOKUP(OZI$11,Assumptions!$B$35:$H$35,_xlfn.XLOOKUP($C28,Assumptions!$B$36:$B$41,Assumptions!$B$36:$H$41))</f>
        <v>0</v>
      </c>
      <c r="OZJ28">
        <f t="array" ref="OZJ28">_xlfn.XLOOKUP(OZJ$11,Assumptions!$B$35:$H$35,_xlfn.XLOOKUP($C28,Assumptions!$B$36:$B$41,Assumptions!$B$36:$H$41))</f>
        <v>0</v>
      </c>
      <c r="OZK28">
        <f t="array" ref="OZK28">_xlfn.XLOOKUP(OZK$11,Assumptions!$B$35:$H$35,_xlfn.XLOOKUP($C28,Assumptions!$B$36:$B$41,Assumptions!$B$36:$H$41))</f>
        <v>0</v>
      </c>
      <c r="OZL28">
        <f t="array" ref="OZL28">_xlfn.XLOOKUP(OZL$11,Assumptions!$B$35:$H$35,_xlfn.XLOOKUP($C28,Assumptions!$B$36:$B$41,Assumptions!$B$36:$H$41))</f>
        <v>0</v>
      </c>
      <c r="OZM28">
        <f t="array" ref="OZM28">_xlfn.XLOOKUP(OZM$11,Assumptions!$B$35:$H$35,_xlfn.XLOOKUP($C28,Assumptions!$B$36:$B$41,Assumptions!$B$36:$H$41))</f>
        <v>0</v>
      </c>
      <c r="OZN28">
        <f t="array" ref="OZN28">_xlfn.XLOOKUP(OZN$11,Assumptions!$B$35:$H$35,_xlfn.XLOOKUP($C28,Assumptions!$B$36:$B$41,Assumptions!$B$36:$H$41))</f>
        <v>0</v>
      </c>
      <c r="OZO28">
        <f t="array" ref="OZO28">_xlfn.XLOOKUP(OZO$11,Assumptions!$B$35:$H$35,_xlfn.XLOOKUP($C28,Assumptions!$B$36:$B$41,Assumptions!$B$36:$H$41))</f>
        <v>0</v>
      </c>
      <c r="OZP28">
        <f t="array" ref="OZP28">_xlfn.XLOOKUP(OZP$11,Assumptions!$B$35:$H$35,_xlfn.XLOOKUP($C28,Assumptions!$B$36:$B$41,Assumptions!$B$36:$H$41))</f>
        <v>0</v>
      </c>
      <c r="OZQ28">
        <f t="array" ref="OZQ28">_xlfn.XLOOKUP(OZQ$11,Assumptions!$B$35:$H$35,_xlfn.XLOOKUP($C28,Assumptions!$B$36:$B$41,Assumptions!$B$36:$H$41))</f>
        <v>0</v>
      </c>
      <c r="OZR28">
        <f t="array" ref="OZR28">_xlfn.XLOOKUP(OZR$11,Assumptions!$B$35:$H$35,_xlfn.XLOOKUP($C28,Assumptions!$B$36:$B$41,Assumptions!$B$36:$H$41))</f>
        <v>0</v>
      </c>
      <c r="OZS28">
        <f t="array" ref="OZS28">_xlfn.XLOOKUP(OZS$11,Assumptions!$B$35:$H$35,_xlfn.XLOOKUP($C28,Assumptions!$B$36:$B$41,Assumptions!$B$36:$H$41))</f>
        <v>0</v>
      </c>
      <c r="OZT28">
        <f t="array" ref="OZT28">_xlfn.XLOOKUP(OZT$11,Assumptions!$B$35:$H$35,_xlfn.XLOOKUP($C28,Assumptions!$B$36:$B$41,Assumptions!$B$36:$H$41))</f>
        <v>0</v>
      </c>
      <c r="OZU28">
        <f t="array" ref="OZU28">_xlfn.XLOOKUP(OZU$11,Assumptions!$B$35:$H$35,_xlfn.XLOOKUP($C28,Assumptions!$B$36:$B$41,Assumptions!$B$36:$H$41))</f>
        <v>0</v>
      </c>
      <c r="OZV28">
        <f t="array" ref="OZV28">_xlfn.XLOOKUP(OZV$11,Assumptions!$B$35:$H$35,_xlfn.XLOOKUP($C28,Assumptions!$B$36:$B$41,Assumptions!$B$36:$H$41))</f>
        <v>0</v>
      </c>
      <c r="OZW28">
        <f t="array" ref="OZW28">_xlfn.XLOOKUP(OZW$11,Assumptions!$B$35:$H$35,_xlfn.XLOOKUP($C28,Assumptions!$B$36:$B$41,Assumptions!$B$36:$H$41))</f>
        <v>0</v>
      </c>
      <c r="OZX28">
        <f t="array" ref="OZX28">_xlfn.XLOOKUP(OZX$11,Assumptions!$B$35:$H$35,_xlfn.XLOOKUP($C28,Assumptions!$B$36:$B$41,Assumptions!$B$36:$H$41))</f>
        <v>0</v>
      </c>
      <c r="OZY28">
        <f t="array" ref="OZY28">_xlfn.XLOOKUP(OZY$11,Assumptions!$B$35:$H$35,_xlfn.XLOOKUP($C28,Assumptions!$B$36:$B$41,Assumptions!$B$36:$H$41))</f>
        <v>0</v>
      </c>
      <c r="OZZ28">
        <f t="array" ref="OZZ28">_xlfn.XLOOKUP(OZZ$11,Assumptions!$B$35:$H$35,_xlfn.XLOOKUP($C28,Assumptions!$B$36:$B$41,Assumptions!$B$36:$H$41))</f>
        <v>0</v>
      </c>
      <c r="PAA28">
        <f t="array" ref="PAA28">_xlfn.XLOOKUP(PAA$11,Assumptions!$B$35:$H$35,_xlfn.XLOOKUP($C28,Assumptions!$B$36:$B$41,Assumptions!$B$36:$H$41))</f>
        <v>0</v>
      </c>
      <c r="PAB28">
        <f t="array" ref="PAB28">_xlfn.XLOOKUP(PAB$11,Assumptions!$B$35:$H$35,_xlfn.XLOOKUP($C28,Assumptions!$B$36:$B$41,Assumptions!$B$36:$H$41))</f>
        <v>0</v>
      </c>
      <c r="PAC28">
        <f t="array" ref="PAC28">_xlfn.XLOOKUP(PAC$11,Assumptions!$B$35:$H$35,_xlfn.XLOOKUP($C28,Assumptions!$B$36:$B$41,Assumptions!$B$36:$H$41))</f>
        <v>0</v>
      </c>
      <c r="PAD28">
        <f t="array" ref="PAD28">_xlfn.XLOOKUP(PAD$11,Assumptions!$B$35:$H$35,_xlfn.XLOOKUP($C28,Assumptions!$B$36:$B$41,Assumptions!$B$36:$H$41))</f>
        <v>0</v>
      </c>
      <c r="PAE28">
        <f t="array" ref="PAE28">_xlfn.XLOOKUP(PAE$11,Assumptions!$B$35:$H$35,_xlfn.XLOOKUP($C28,Assumptions!$B$36:$B$41,Assumptions!$B$36:$H$41))</f>
        <v>0</v>
      </c>
      <c r="PAF28">
        <f t="array" ref="PAF28">_xlfn.XLOOKUP(PAF$11,Assumptions!$B$35:$H$35,_xlfn.XLOOKUP($C28,Assumptions!$B$36:$B$41,Assumptions!$B$36:$H$41))</f>
        <v>0</v>
      </c>
      <c r="PAG28">
        <f t="array" ref="PAG28">_xlfn.XLOOKUP(PAG$11,Assumptions!$B$35:$H$35,_xlfn.XLOOKUP($C28,Assumptions!$B$36:$B$41,Assumptions!$B$36:$H$41))</f>
        <v>0</v>
      </c>
      <c r="PAH28">
        <f t="array" ref="PAH28">_xlfn.XLOOKUP(PAH$11,Assumptions!$B$35:$H$35,_xlfn.XLOOKUP($C28,Assumptions!$B$36:$B$41,Assumptions!$B$36:$H$41))</f>
        <v>0</v>
      </c>
      <c r="PAI28">
        <f t="array" ref="PAI28">_xlfn.XLOOKUP(PAI$11,Assumptions!$B$35:$H$35,_xlfn.XLOOKUP($C28,Assumptions!$B$36:$B$41,Assumptions!$B$36:$H$41))</f>
        <v>0</v>
      </c>
      <c r="PAJ28">
        <f t="array" ref="PAJ28">_xlfn.XLOOKUP(PAJ$11,Assumptions!$B$35:$H$35,_xlfn.XLOOKUP($C28,Assumptions!$B$36:$B$41,Assumptions!$B$36:$H$41))</f>
        <v>0</v>
      </c>
      <c r="PAK28">
        <f t="array" ref="PAK28">_xlfn.XLOOKUP(PAK$11,Assumptions!$B$35:$H$35,_xlfn.XLOOKUP($C28,Assumptions!$B$36:$B$41,Assumptions!$B$36:$H$41))</f>
        <v>0</v>
      </c>
      <c r="PAL28">
        <f t="array" ref="PAL28">_xlfn.XLOOKUP(PAL$11,Assumptions!$B$35:$H$35,_xlfn.XLOOKUP($C28,Assumptions!$B$36:$B$41,Assumptions!$B$36:$H$41))</f>
        <v>0</v>
      </c>
      <c r="PAM28">
        <f t="array" ref="PAM28">_xlfn.XLOOKUP(PAM$11,Assumptions!$B$35:$H$35,_xlfn.XLOOKUP($C28,Assumptions!$B$36:$B$41,Assumptions!$B$36:$H$41))</f>
        <v>0</v>
      </c>
      <c r="PAN28">
        <f t="array" ref="PAN28">_xlfn.XLOOKUP(PAN$11,Assumptions!$B$35:$H$35,_xlfn.XLOOKUP($C28,Assumptions!$B$36:$B$41,Assumptions!$B$36:$H$41))</f>
        <v>0</v>
      </c>
      <c r="PAO28">
        <f t="array" ref="PAO28">_xlfn.XLOOKUP(PAO$11,Assumptions!$B$35:$H$35,_xlfn.XLOOKUP($C28,Assumptions!$B$36:$B$41,Assumptions!$B$36:$H$41))</f>
        <v>0</v>
      </c>
      <c r="PAP28">
        <f t="array" ref="PAP28">_xlfn.XLOOKUP(PAP$11,Assumptions!$B$35:$H$35,_xlfn.XLOOKUP($C28,Assumptions!$B$36:$B$41,Assumptions!$B$36:$H$41))</f>
        <v>0</v>
      </c>
      <c r="PAQ28">
        <f t="array" ref="PAQ28">_xlfn.XLOOKUP(PAQ$11,Assumptions!$B$35:$H$35,_xlfn.XLOOKUP($C28,Assumptions!$B$36:$B$41,Assumptions!$B$36:$H$41))</f>
        <v>0</v>
      </c>
      <c r="PAR28">
        <f t="array" ref="PAR28">_xlfn.XLOOKUP(PAR$11,Assumptions!$B$35:$H$35,_xlfn.XLOOKUP($C28,Assumptions!$B$36:$B$41,Assumptions!$B$36:$H$41))</f>
        <v>0</v>
      </c>
      <c r="PAS28">
        <f t="array" ref="PAS28">_xlfn.XLOOKUP(PAS$11,Assumptions!$B$35:$H$35,_xlfn.XLOOKUP($C28,Assumptions!$B$36:$B$41,Assumptions!$B$36:$H$41))</f>
        <v>0</v>
      </c>
      <c r="PAT28">
        <f t="array" ref="PAT28">_xlfn.XLOOKUP(PAT$11,Assumptions!$B$35:$H$35,_xlfn.XLOOKUP($C28,Assumptions!$B$36:$B$41,Assumptions!$B$36:$H$41))</f>
        <v>0</v>
      </c>
      <c r="PAU28">
        <f t="array" ref="PAU28">_xlfn.XLOOKUP(PAU$11,Assumptions!$B$35:$H$35,_xlfn.XLOOKUP($C28,Assumptions!$B$36:$B$41,Assumptions!$B$36:$H$41))</f>
        <v>0</v>
      </c>
      <c r="PAV28">
        <f t="array" ref="PAV28">_xlfn.XLOOKUP(PAV$11,Assumptions!$B$35:$H$35,_xlfn.XLOOKUP($C28,Assumptions!$B$36:$B$41,Assumptions!$B$36:$H$41))</f>
        <v>0</v>
      </c>
      <c r="PAW28">
        <f t="array" ref="PAW28">_xlfn.XLOOKUP(PAW$11,Assumptions!$B$35:$H$35,_xlfn.XLOOKUP($C28,Assumptions!$B$36:$B$41,Assumptions!$B$36:$H$41))</f>
        <v>0</v>
      </c>
      <c r="PAX28">
        <f t="array" ref="PAX28">_xlfn.XLOOKUP(PAX$11,Assumptions!$B$35:$H$35,_xlfn.XLOOKUP($C28,Assumptions!$B$36:$B$41,Assumptions!$B$36:$H$41))</f>
        <v>0</v>
      </c>
      <c r="PAY28">
        <f t="array" ref="PAY28">_xlfn.XLOOKUP(PAY$11,Assumptions!$B$35:$H$35,_xlfn.XLOOKUP($C28,Assumptions!$B$36:$B$41,Assumptions!$B$36:$H$41))</f>
        <v>0</v>
      </c>
      <c r="PAZ28">
        <f t="array" ref="PAZ28">_xlfn.XLOOKUP(PAZ$11,Assumptions!$B$35:$H$35,_xlfn.XLOOKUP($C28,Assumptions!$B$36:$B$41,Assumptions!$B$36:$H$41))</f>
        <v>0</v>
      </c>
      <c r="PBA28">
        <f t="array" ref="PBA28">_xlfn.XLOOKUP(PBA$11,Assumptions!$B$35:$H$35,_xlfn.XLOOKUP($C28,Assumptions!$B$36:$B$41,Assumptions!$B$36:$H$41))</f>
        <v>0</v>
      </c>
      <c r="PBB28">
        <f t="array" ref="PBB28">_xlfn.XLOOKUP(PBB$11,Assumptions!$B$35:$H$35,_xlfn.XLOOKUP($C28,Assumptions!$B$36:$B$41,Assumptions!$B$36:$H$41))</f>
        <v>0</v>
      </c>
      <c r="PBC28">
        <f t="array" ref="PBC28">_xlfn.XLOOKUP(PBC$11,Assumptions!$B$35:$H$35,_xlfn.XLOOKUP($C28,Assumptions!$B$36:$B$41,Assumptions!$B$36:$H$41))</f>
        <v>0</v>
      </c>
      <c r="PBD28">
        <f t="array" ref="PBD28">_xlfn.XLOOKUP(PBD$11,Assumptions!$B$35:$H$35,_xlfn.XLOOKUP($C28,Assumptions!$B$36:$B$41,Assumptions!$B$36:$H$41))</f>
        <v>0</v>
      </c>
      <c r="PBE28">
        <f t="array" ref="PBE28">_xlfn.XLOOKUP(PBE$11,Assumptions!$B$35:$H$35,_xlfn.XLOOKUP($C28,Assumptions!$B$36:$B$41,Assumptions!$B$36:$H$41))</f>
        <v>0</v>
      </c>
      <c r="PBF28">
        <f t="array" ref="PBF28">_xlfn.XLOOKUP(PBF$11,Assumptions!$B$35:$H$35,_xlfn.XLOOKUP($C28,Assumptions!$B$36:$B$41,Assumptions!$B$36:$H$41))</f>
        <v>0</v>
      </c>
      <c r="PBG28">
        <f t="array" ref="PBG28">_xlfn.XLOOKUP(PBG$11,Assumptions!$B$35:$H$35,_xlfn.XLOOKUP($C28,Assumptions!$B$36:$B$41,Assumptions!$B$36:$H$41))</f>
        <v>0</v>
      </c>
      <c r="PBH28">
        <f t="array" ref="PBH28">_xlfn.XLOOKUP(PBH$11,Assumptions!$B$35:$H$35,_xlfn.XLOOKUP($C28,Assumptions!$B$36:$B$41,Assumptions!$B$36:$H$41))</f>
        <v>0</v>
      </c>
      <c r="PBI28">
        <f t="array" ref="PBI28">_xlfn.XLOOKUP(PBI$11,Assumptions!$B$35:$H$35,_xlfn.XLOOKUP($C28,Assumptions!$B$36:$B$41,Assumptions!$B$36:$H$41))</f>
        <v>0</v>
      </c>
      <c r="PBJ28">
        <f t="array" ref="PBJ28">_xlfn.XLOOKUP(PBJ$11,Assumptions!$B$35:$H$35,_xlfn.XLOOKUP($C28,Assumptions!$B$36:$B$41,Assumptions!$B$36:$H$41))</f>
        <v>0</v>
      </c>
      <c r="PBK28">
        <f t="array" ref="PBK28">_xlfn.XLOOKUP(PBK$11,Assumptions!$B$35:$H$35,_xlfn.XLOOKUP($C28,Assumptions!$B$36:$B$41,Assumptions!$B$36:$H$41))</f>
        <v>0</v>
      </c>
      <c r="PBL28">
        <f t="array" ref="PBL28">_xlfn.XLOOKUP(PBL$11,Assumptions!$B$35:$H$35,_xlfn.XLOOKUP($C28,Assumptions!$B$36:$B$41,Assumptions!$B$36:$H$41))</f>
        <v>0</v>
      </c>
      <c r="PBM28">
        <f t="array" ref="PBM28">_xlfn.XLOOKUP(PBM$11,Assumptions!$B$35:$H$35,_xlfn.XLOOKUP($C28,Assumptions!$B$36:$B$41,Assumptions!$B$36:$H$41))</f>
        <v>0</v>
      </c>
      <c r="PBN28">
        <f t="array" ref="PBN28">_xlfn.XLOOKUP(PBN$11,Assumptions!$B$35:$H$35,_xlfn.XLOOKUP($C28,Assumptions!$B$36:$B$41,Assumptions!$B$36:$H$41))</f>
        <v>0</v>
      </c>
      <c r="PBO28">
        <f t="array" ref="PBO28">_xlfn.XLOOKUP(PBO$11,Assumptions!$B$35:$H$35,_xlfn.XLOOKUP($C28,Assumptions!$B$36:$B$41,Assumptions!$B$36:$H$41))</f>
        <v>0</v>
      </c>
      <c r="PBP28">
        <f t="array" ref="PBP28">_xlfn.XLOOKUP(PBP$11,Assumptions!$B$35:$H$35,_xlfn.XLOOKUP($C28,Assumptions!$B$36:$B$41,Assumptions!$B$36:$H$41))</f>
        <v>0</v>
      </c>
      <c r="PBQ28">
        <f t="array" ref="PBQ28">_xlfn.XLOOKUP(PBQ$11,Assumptions!$B$35:$H$35,_xlfn.XLOOKUP($C28,Assumptions!$B$36:$B$41,Assumptions!$B$36:$H$41))</f>
        <v>0</v>
      </c>
      <c r="PBR28">
        <f t="array" ref="PBR28">_xlfn.XLOOKUP(PBR$11,Assumptions!$B$35:$H$35,_xlfn.XLOOKUP($C28,Assumptions!$B$36:$B$41,Assumptions!$B$36:$H$41))</f>
        <v>0</v>
      </c>
      <c r="PBS28">
        <f t="array" ref="PBS28">_xlfn.XLOOKUP(PBS$11,Assumptions!$B$35:$H$35,_xlfn.XLOOKUP($C28,Assumptions!$B$36:$B$41,Assumptions!$B$36:$H$41))</f>
        <v>0</v>
      </c>
      <c r="PBT28">
        <f t="array" ref="PBT28">_xlfn.XLOOKUP(PBT$11,Assumptions!$B$35:$H$35,_xlfn.XLOOKUP($C28,Assumptions!$B$36:$B$41,Assumptions!$B$36:$H$41))</f>
        <v>0</v>
      </c>
      <c r="PBU28">
        <f t="array" ref="PBU28">_xlfn.XLOOKUP(PBU$11,Assumptions!$B$35:$H$35,_xlfn.XLOOKUP($C28,Assumptions!$B$36:$B$41,Assumptions!$B$36:$H$41))</f>
        <v>0</v>
      </c>
      <c r="PBV28">
        <f t="array" ref="PBV28">_xlfn.XLOOKUP(PBV$11,Assumptions!$B$35:$H$35,_xlfn.XLOOKUP($C28,Assumptions!$B$36:$B$41,Assumptions!$B$36:$H$41))</f>
        <v>0</v>
      </c>
      <c r="PBW28">
        <f t="array" ref="PBW28">_xlfn.XLOOKUP(PBW$11,Assumptions!$B$35:$H$35,_xlfn.XLOOKUP($C28,Assumptions!$B$36:$B$41,Assumptions!$B$36:$H$41))</f>
        <v>0</v>
      </c>
      <c r="PBX28">
        <f t="array" ref="PBX28">_xlfn.XLOOKUP(PBX$11,Assumptions!$B$35:$H$35,_xlfn.XLOOKUP($C28,Assumptions!$B$36:$B$41,Assumptions!$B$36:$H$41))</f>
        <v>0</v>
      </c>
      <c r="PBY28">
        <f t="array" ref="PBY28">_xlfn.XLOOKUP(PBY$11,Assumptions!$B$35:$H$35,_xlfn.XLOOKUP($C28,Assumptions!$B$36:$B$41,Assumptions!$B$36:$H$41))</f>
        <v>0</v>
      </c>
      <c r="PBZ28">
        <f t="array" ref="PBZ28">_xlfn.XLOOKUP(PBZ$11,Assumptions!$B$35:$H$35,_xlfn.XLOOKUP($C28,Assumptions!$B$36:$B$41,Assumptions!$B$36:$H$41))</f>
        <v>0</v>
      </c>
      <c r="PCA28">
        <f t="array" ref="PCA28">_xlfn.XLOOKUP(PCA$11,Assumptions!$B$35:$H$35,_xlfn.XLOOKUP($C28,Assumptions!$B$36:$B$41,Assumptions!$B$36:$H$41))</f>
        <v>0</v>
      </c>
      <c r="PCB28">
        <f t="array" ref="PCB28">_xlfn.XLOOKUP(PCB$11,Assumptions!$B$35:$H$35,_xlfn.XLOOKUP($C28,Assumptions!$B$36:$B$41,Assumptions!$B$36:$H$41))</f>
        <v>0</v>
      </c>
      <c r="PCC28">
        <f t="array" ref="PCC28">_xlfn.XLOOKUP(PCC$11,Assumptions!$B$35:$H$35,_xlfn.XLOOKUP($C28,Assumptions!$B$36:$B$41,Assumptions!$B$36:$H$41))</f>
        <v>0</v>
      </c>
      <c r="PCD28">
        <f t="array" ref="PCD28">_xlfn.XLOOKUP(PCD$11,Assumptions!$B$35:$H$35,_xlfn.XLOOKUP($C28,Assumptions!$B$36:$B$41,Assumptions!$B$36:$H$41))</f>
        <v>0</v>
      </c>
      <c r="PCE28">
        <f t="array" ref="PCE28">_xlfn.XLOOKUP(PCE$11,Assumptions!$B$35:$H$35,_xlfn.XLOOKUP($C28,Assumptions!$B$36:$B$41,Assumptions!$B$36:$H$41))</f>
        <v>0</v>
      </c>
      <c r="PCF28">
        <f t="array" ref="PCF28">_xlfn.XLOOKUP(PCF$11,Assumptions!$B$35:$H$35,_xlfn.XLOOKUP($C28,Assumptions!$B$36:$B$41,Assumptions!$B$36:$H$41))</f>
        <v>0</v>
      </c>
      <c r="PCG28">
        <f t="array" ref="PCG28">_xlfn.XLOOKUP(PCG$11,Assumptions!$B$35:$H$35,_xlfn.XLOOKUP($C28,Assumptions!$B$36:$B$41,Assumptions!$B$36:$H$41))</f>
        <v>0</v>
      </c>
      <c r="PCH28">
        <f t="array" ref="PCH28">_xlfn.XLOOKUP(PCH$11,Assumptions!$B$35:$H$35,_xlfn.XLOOKUP($C28,Assumptions!$B$36:$B$41,Assumptions!$B$36:$H$41))</f>
        <v>0</v>
      </c>
      <c r="PCI28">
        <f t="array" ref="PCI28">_xlfn.XLOOKUP(PCI$11,Assumptions!$B$35:$H$35,_xlfn.XLOOKUP($C28,Assumptions!$B$36:$B$41,Assumptions!$B$36:$H$41))</f>
        <v>0</v>
      </c>
      <c r="PCJ28">
        <f t="array" ref="PCJ28">_xlfn.XLOOKUP(PCJ$11,Assumptions!$B$35:$H$35,_xlfn.XLOOKUP($C28,Assumptions!$B$36:$B$41,Assumptions!$B$36:$H$41))</f>
        <v>0</v>
      </c>
      <c r="PCK28">
        <f t="array" ref="PCK28">_xlfn.XLOOKUP(PCK$11,Assumptions!$B$35:$H$35,_xlfn.XLOOKUP($C28,Assumptions!$B$36:$B$41,Assumptions!$B$36:$H$41))</f>
        <v>0</v>
      </c>
      <c r="PCL28">
        <f t="array" ref="PCL28">_xlfn.XLOOKUP(PCL$11,Assumptions!$B$35:$H$35,_xlfn.XLOOKUP($C28,Assumptions!$B$36:$B$41,Assumptions!$B$36:$H$41))</f>
        <v>0</v>
      </c>
      <c r="PCM28">
        <f t="array" ref="PCM28">_xlfn.XLOOKUP(PCM$11,Assumptions!$B$35:$H$35,_xlfn.XLOOKUP($C28,Assumptions!$B$36:$B$41,Assumptions!$B$36:$H$41))</f>
        <v>0</v>
      </c>
      <c r="PCN28">
        <f t="array" ref="PCN28">_xlfn.XLOOKUP(PCN$11,Assumptions!$B$35:$H$35,_xlfn.XLOOKUP($C28,Assumptions!$B$36:$B$41,Assumptions!$B$36:$H$41))</f>
        <v>0</v>
      </c>
      <c r="PCO28">
        <f t="array" ref="PCO28">_xlfn.XLOOKUP(PCO$11,Assumptions!$B$35:$H$35,_xlfn.XLOOKUP($C28,Assumptions!$B$36:$B$41,Assumptions!$B$36:$H$41))</f>
        <v>0</v>
      </c>
      <c r="PCP28">
        <f t="array" ref="PCP28">_xlfn.XLOOKUP(PCP$11,Assumptions!$B$35:$H$35,_xlfn.XLOOKUP($C28,Assumptions!$B$36:$B$41,Assumptions!$B$36:$H$41))</f>
        <v>0</v>
      </c>
      <c r="PCQ28">
        <f t="array" ref="PCQ28">_xlfn.XLOOKUP(PCQ$11,Assumptions!$B$35:$H$35,_xlfn.XLOOKUP($C28,Assumptions!$B$36:$B$41,Assumptions!$B$36:$H$41))</f>
        <v>0</v>
      </c>
      <c r="PCR28">
        <f t="array" ref="PCR28">_xlfn.XLOOKUP(PCR$11,Assumptions!$B$35:$H$35,_xlfn.XLOOKUP($C28,Assumptions!$B$36:$B$41,Assumptions!$B$36:$H$41))</f>
        <v>0</v>
      </c>
      <c r="PCS28">
        <f t="array" ref="PCS28">_xlfn.XLOOKUP(PCS$11,Assumptions!$B$35:$H$35,_xlfn.XLOOKUP($C28,Assumptions!$B$36:$B$41,Assumptions!$B$36:$H$41))</f>
        <v>0</v>
      </c>
      <c r="PCT28">
        <f t="array" ref="PCT28">_xlfn.XLOOKUP(PCT$11,Assumptions!$B$35:$H$35,_xlfn.XLOOKUP($C28,Assumptions!$B$36:$B$41,Assumptions!$B$36:$H$41))</f>
        <v>0</v>
      </c>
      <c r="PCU28">
        <f t="array" ref="PCU28">_xlfn.XLOOKUP(PCU$11,Assumptions!$B$35:$H$35,_xlfn.XLOOKUP($C28,Assumptions!$B$36:$B$41,Assumptions!$B$36:$H$41))</f>
        <v>0</v>
      </c>
      <c r="PCV28">
        <f t="array" ref="PCV28">_xlfn.XLOOKUP(PCV$11,Assumptions!$B$35:$H$35,_xlfn.XLOOKUP($C28,Assumptions!$B$36:$B$41,Assumptions!$B$36:$H$41))</f>
        <v>0</v>
      </c>
      <c r="PCW28">
        <f t="array" ref="PCW28">_xlfn.XLOOKUP(PCW$11,Assumptions!$B$35:$H$35,_xlfn.XLOOKUP($C28,Assumptions!$B$36:$B$41,Assumptions!$B$36:$H$41))</f>
        <v>0</v>
      </c>
      <c r="PCX28">
        <f t="array" ref="PCX28">_xlfn.XLOOKUP(PCX$11,Assumptions!$B$35:$H$35,_xlfn.XLOOKUP($C28,Assumptions!$B$36:$B$41,Assumptions!$B$36:$H$41))</f>
        <v>0</v>
      </c>
      <c r="PCY28">
        <f t="array" ref="PCY28">_xlfn.XLOOKUP(PCY$11,Assumptions!$B$35:$H$35,_xlfn.XLOOKUP($C28,Assumptions!$B$36:$B$41,Assumptions!$B$36:$H$41))</f>
        <v>0</v>
      </c>
      <c r="PCZ28">
        <f t="array" ref="PCZ28">_xlfn.XLOOKUP(PCZ$11,Assumptions!$B$35:$H$35,_xlfn.XLOOKUP($C28,Assumptions!$B$36:$B$41,Assumptions!$B$36:$H$41))</f>
        <v>0</v>
      </c>
      <c r="PDA28">
        <f t="array" ref="PDA28">_xlfn.XLOOKUP(PDA$11,Assumptions!$B$35:$H$35,_xlfn.XLOOKUP($C28,Assumptions!$B$36:$B$41,Assumptions!$B$36:$H$41))</f>
        <v>0</v>
      </c>
      <c r="PDB28">
        <f t="array" ref="PDB28">_xlfn.XLOOKUP(PDB$11,Assumptions!$B$35:$H$35,_xlfn.XLOOKUP($C28,Assumptions!$B$36:$B$41,Assumptions!$B$36:$H$41))</f>
        <v>0</v>
      </c>
      <c r="PDC28">
        <f t="array" ref="PDC28">_xlfn.XLOOKUP(PDC$11,Assumptions!$B$35:$H$35,_xlfn.XLOOKUP($C28,Assumptions!$B$36:$B$41,Assumptions!$B$36:$H$41))</f>
        <v>0</v>
      </c>
      <c r="PDD28">
        <f t="array" ref="PDD28">_xlfn.XLOOKUP(PDD$11,Assumptions!$B$35:$H$35,_xlfn.XLOOKUP($C28,Assumptions!$B$36:$B$41,Assumptions!$B$36:$H$41))</f>
        <v>0</v>
      </c>
      <c r="PDE28">
        <f t="array" ref="PDE28">_xlfn.XLOOKUP(PDE$11,Assumptions!$B$35:$H$35,_xlfn.XLOOKUP($C28,Assumptions!$B$36:$B$41,Assumptions!$B$36:$H$41))</f>
        <v>0</v>
      </c>
      <c r="PDF28">
        <f t="array" ref="PDF28">_xlfn.XLOOKUP(PDF$11,Assumptions!$B$35:$H$35,_xlfn.XLOOKUP($C28,Assumptions!$B$36:$B$41,Assumptions!$B$36:$H$41))</f>
        <v>0</v>
      </c>
      <c r="PDG28">
        <f t="array" ref="PDG28">_xlfn.XLOOKUP(PDG$11,Assumptions!$B$35:$H$35,_xlfn.XLOOKUP($C28,Assumptions!$B$36:$B$41,Assumptions!$B$36:$H$41))</f>
        <v>0</v>
      </c>
      <c r="PDH28">
        <f t="array" ref="PDH28">_xlfn.XLOOKUP(PDH$11,Assumptions!$B$35:$H$35,_xlfn.XLOOKUP($C28,Assumptions!$B$36:$B$41,Assumptions!$B$36:$H$41))</f>
        <v>0</v>
      </c>
      <c r="PDI28">
        <f t="array" ref="PDI28">_xlfn.XLOOKUP(PDI$11,Assumptions!$B$35:$H$35,_xlfn.XLOOKUP($C28,Assumptions!$B$36:$B$41,Assumptions!$B$36:$H$41))</f>
        <v>0</v>
      </c>
      <c r="PDJ28">
        <f t="array" ref="PDJ28">_xlfn.XLOOKUP(PDJ$11,Assumptions!$B$35:$H$35,_xlfn.XLOOKUP($C28,Assumptions!$B$36:$B$41,Assumptions!$B$36:$H$41))</f>
        <v>0</v>
      </c>
      <c r="PDK28">
        <f t="array" ref="PDK28">_xlfn.XLOOKUP(PDK$11,Assumptions!$B$35:$H$35,_xlfn.XLOOKUP($C28,Assumptions!$B$36:$B$41,Assumptions!$B$36:$H$41))</f>
        <v>0</v>
      </c>
      <c r="PDL28">
        <f t="array" ref="PDL28">_xlfn.XLOOKUP(PDL$11,Assumptions!$B$35:$H$35,_xlfn.XLOOKUP($C28,Assumptions!$B$36:$B$41,Assumptions!$B$36:$H$41))</f>
        <v>0</v>
      </c>
      <c r="PDM28">
        <f t="array" ref="PDM28">_xlfn.XLOOKUP(PDM$11,Assumptions!$B$35:$H$35,_xlfn.XLOOKUP($C28,Assumptions!$B$36:$B$41,Assumptions!$B$36:$H$41))</f>
        <v>0</v>
      </c>
      <c r="PDN28">
        <f t="array" ref="PDN28">_xlfn.XLOOKUP(PDN$11,Assumptions!$B$35:$H$35,_xlfn.XLOOKUP($C28,Assumptions!$B$36:$B$41,Assumptions!$B$36:$H$41))</f>
        <v>0</v>
      </c>
      <c r="PDO28">
        <f t="array" ref="PDO28">_xlfn.XLOOKUP(PDO$11,Assumptions!$B$35:$H$35,_xlfn.XLOOKUP($C28,Assumptions!$B$36:$B$41,Assumptions!$B$36:$H$41))</f>
        <v>0</v>
      </c>
      <c r="PDP28">
        <f t="array" ref="PDP28">_xlfn.XLOOKUP(PDP$11,Assumptions!$B$35:$H$35,_xlfn.XLOOKUP($C28,Assumptions!$B$36:$B$41,Assumptions!$B$36:$H$41))</f>
        <v>0</v>
      </c>
      <c r="PDQ28">
        <f t="array" ref="PDQ28">_xlfn.XLOOKUP(PDQ$11,Assumptions!$B$35:$H$35,_xlfn.XLOOKUP($C28,Assumptions!$B$36:$B$41,Assumptions!$B$36:$H$41))</f>
        <v>0</v>
      </c>
      <c r="PDR28">
        <f t="array" ref="PDR28">_xlfn.XLOOKUP(PDR$11,Assumptions!$B$35:$H$35,_xlfn.XLOOKUP($C28,Assumptions!$B$36:$B$41,Assumptions!$B$36:$H$41))</f>
        <v>0</v>
      </c>
      <c r="PDS28">
        <f t="array" ref="PDS28">_xlfn.XLOOKUP(PDS$11,Assumptions!$B$35:$H$35,_xlfn.XLOOKUP($C28,Assumptions!$B$36:$B$41,Assumptions!$B$36:$H$41))</f>
        <v>0</v>
      </c>
      <c r="PDT28">
        <f t="array" ref="PDT28">_xlfn.XLOOKUP(PDT$11,Assumptions!$B$35:$H$35,_xlfn.XLOOKUP($C28,Assumptions!$B$36:$B$41,Assumptions!$B$36:$H$41))</f>
        <v>0</v>
      </c>
      <c r="PDU28">
        <f t="array" ref="PDU28">_xlfn.XLOOKUP(PDU$11,Assumptions!$B$35:$H$35,_xlfn.XLOOKUP($C28,Assumptions!$B$36:$B$41,Assumptions!$B$36:$H$41))</f>
        <v>0</v>
      </c>
      <c r="PDV28">
        <f t="array" ref="PDV28">_xlfn.XLOOKUP(PDV$11,Assumptions!$B$35:$H$35,_xlfn.XLOOKUP($C28,Assumptions!$B$36:$B$41,Assumptions!$B$36:$H$41))</f>
        <v>0</v>
      </c>
      <c r="PDW28">
        <f t="array" ref="PDW28">_xlfn.XLOOKUP(PDW$11,Assumptions!$B$35:$H$35,_xlfn.XLOOKUP($C28,Assumptions!$B$36:$B$41,Assumptions!$B$36:$H$41))</f>
        <v>0</v>
      </c>
      <c r="PDX28">
        <f t="array" ref="PDX28">_xlfn.XLOOKUP(PDX$11,Assumptions!$B$35:$H$35,_xlfn.XLOOKUP($C28,Assumptions!$B$36:$B$41,Assumptions!$B$36:$H$41))</f>
        <v>0</v>
      </c>
      <c r="PDY28">
        <f t="array" ref="PDY28">_xlfn.XLOOKUP(PDY$11,Assumptions!$B$35:$H$35,_xlfn.XLOOKUP($C28,Assumptions!$B$36:$B$41,Assumptions!$B$36:$H$41))</f>
        <v>0</v>
      </c>
      <c r="PDZ28">
        <f t="array" ref="PDZ28">_xlfn.XLOOKUP(PDZ$11,Assumptions!$B$35:$H$35,_xlfn.XLOOKUP($C28,Assumptions!$B$36:$B$41,Assumptions!$B$36:$H$41))</f>
        <v>0</v>
      </c>
      <c r="PEA28">
        <f t="array" ref="PEA28">_xlfn.XLOOKUP(PEA$11,Assumptions!$B$35:$H$35,_xlfn.XLOOKUP($C28,Assumptions!$B$36:$B$41,Assumptions!$B$36:$H$41))</f>
        <v>0</v>
      </c>
      <c r="PEB28">
        <f t="array" ref="PEB28">_xlfn.XLOOKUP(PEB$11,Assumptions!$B$35:$H$35,_xlfn.XLOOKUP($C28,Assumptions!$B$36:$B$41,Assumptions!$B$36:$H$41))</f>
        <v>0</v>
      </c>
      <c r="PEC28">
        <f t="array" ref="PEC28">_xlfn.XLOOKUP(PEC$11,Assumptions!$B$35:$H$35,_xlfn.XLOOKUP($C28,Assumptions!$B$36:$B$41,Assumptions!$B$36:$H$41))</f>
        <v>0</v>
      </c>
      <c r="PED28">
        <f t="array" ref="PED28">_xlfn.XLOOKUP(PED$11,Assumptions!$B$35:$H$35,_xlfn.XLOOKUP($C28,Assumptions!$B$36:$B$41,Assumptions!$B$36:$H$41))</f>
        <v>0</v>
      </c>
      <c r="PEE28">
        <f t="array" ref="PEE28">_xlfn.XLOOKUP(PEE$11,Assumptions!$B$35:$H$35,_xlfn.XLOOKUP($C28,Assumptions!$B$36:$B$41,Assumptions!$B$36:$H$41))</f>
        <v>0</v>
      </c>
      <c r="PEF28">
        <f t="array" ref="PEF28">_xlfn.XLOOKUP(PEF$11,Assumptions!$B$35:$H$35,_xlfn.XLOOKUP($C28,Assumptions!$B$36:$B$41,Assumptions!$B$36:$H$41))</f>
        <v>0</v>
      </c>
      <c r="PEG28">
        <f t="array" ref="PEG28">_xlfn.XLOOKUP(PEG$11,Assumptions!$B$35:$H$35,_xlfn.XLOOKUP($C28,Assumptions!$B$36:$B$41,Assumptions!$B$36:$H$41))</f>
        <v>0</v>
      </c>
      <c r="PEH28">
        <f t="array" ref="PEH28">_xlfn.XLOOKUP(PEH$11,Assumptions!$B$35:$H$35,_xlfn.XLOOKUP($C28,Assumptions!$B$36:$B$41,Assumptions!$B$36:$H$41))</f>
        <v>0</v>
      </c>
      <c r="PEI28">
        <f t="array" ref="PEI28">_xlfn.XLOOKUP(PEI$11,Assumptions!$B$35:$H$35,_xlfn.XLOOKUP($C28,Assumptions!$B$36:$B$41,Assumptions!$B$36:$H$41))</f>
        <v>0</v>
      </c>
      <c r="PEJ28">
        <f t="array" ref="PEJ28">_xlfn.XLOOKUP(PEJ$11,Assumptions!$B$35:$H$35,_xlfn.XLOOKUP($C28,Assumptions!$B$36:$B$41,Assumptions!$B$36:$H$41))</f>
        <v>0</v>
      </c>
      <c r="PEK28">
        <f t="array" ref="PEK28">_xlfn.XLOOKUP(PEK$11,Assumptions!$B$35:$H$35,_xlfn.XLOOKUP($C28,Assumptions!$B$36:$B$41,Assumptions!$B$36:$H$41))</f>
        <v>0</v>
      </c>
      <c r="PEL28">
        <f t="array" ref="PEL28">_xlfn.XLOOKUP(PEL$11,Assumptions!$B$35:$H$35,_xlfn.XLOOKUP($C28,Assumptions!$B$36:$B$41,Assumptions!$B$36:$H$41))</f>
        <v>0</v>
      </c>
      <c r="PEM28">
        <f t="array" ref="PEM28">_xlfn.XLOOKUP(PEM$11,Assumptions!$B$35:$H$35,_xlfn.XLOOKUP($C28,Assumptions!$B$36:$B$41,Assumptions!$B$36:$H$41))</f>
        <v>0</v>
      </c>
      <c r="PEN28">
        <f t="array" ref="PEN28">_xlfn.XLOOKUP(PEN$11,Assumptions!$B$35:$H$35,_xlfn.XLOOKUP($C28,Assumptions!$B$36:$B$41,Assumptions!$B$36:$H$41))</f>
        <v>0</v>
      </c>
      <c r="PEO28">
        <f t="array" ref="PEO28">_xlfn.XLOOKUP(PEO$11,Assumptions!$B$35:$H$35,_xlfn.XLOOKUP($C28,Assumptions!$B$36:$B$41,Assumptions!$B$36:$H$41))</f>
        <v>0</v>
      </c>
      <c r="PEP28">
        <f t="array" ref="PEP28">_xlfn.XLOOKUP(PEP$11,Assumptions!$B$35:$H$35,_xlfn.XLOOKUP($C28,Assumptions!$B$36:$B$41,Assumptions!$B$36:$H$41))</f>
        <v>0</v>
      </c>
      <c r="PEQ28">
        <f t="array" ref="PEQ28">_xlfn.XLOOKUP(PEQ$11,Assumptions!$B$35:$H$35,_xlfn.XLOOKUP($C28,Assumptions!$B$36:$B$41,Assumptions!$B$36:$H$41))</f>
        <v>0</v>
      </c>
      <c r="PER28">
        <f t="array" ref="PER28">_xlfn.XLOOKUP(PER$11,Assumptions!$B$35:$H$35,_xlfn.XLOOKUP($C28,Assumptions!$B$36:$B$41,Assumptions!$B$36:$H$41))</f>
        <v>0</v>
      </c>
      <c r="PES28">
        <f t="array" ref="PES28">_xlfn.XLOOKUP(PES$11,Assumptions!$B$35:$H$35,_xlfn.XLOOKUP($C28,Assumptions!$B$36:$B$41,Assumptions!$B$36:$H$41))</f>
        <v>0</v>
      </c>
      <c r="PET28">
        <f t="array" ref="PET28">_xlfn.XLOOKUP(PET$11,Assumptions!$B$35:$H$35,_xlfn.XLOOKUP($C28,Assumptions!$B$36:$B$41,Assumptions!$B$36:$H$41))</f>
        <v>0</v>
      </c>
      <c r="PEU28">
        <f t="array" ref="PEU28">_xlfn.XLOOKUP(PEU$11,Assumptions!$B$35:$H$35,_xlfn.XLOOKUP($C28,Assumptions!$B$36:$B$41,Assumptions!$B$36:$H$41))</f>
        <v>0</v>
      </c>
      <c r="PEV28">
        <f t="array" ref="PEV28">_xlfn.XLOOKUP(PEV$11,Assumptions!$B$35:$H$35,_xlfn.XLOOKUP($C28,Assumptions!$B$36:$B$41,Assumptions!$B$36:$H$41))</f>
        <v>0</v>
      </c>
      <c r="PEW28">
        <f t="array" ref="PEW28">_xlfn.XLOOKUP(PEW$11,Assumptions!$B$35:$H$35,_xlfn.XLOOKUP($C28,Assumptions!$B$36:$B$41,Assumptions!$B$36:$H$41))</f>
        <v>0</v>
      </c>
      <c r="PEX28">
        <f t="array" ref="PEX28">_xlfn.XLOOKUP(PEX$11,Assumptions!$B$35:$H$35,_xlfn.XLOOKUP($C28,Assumptions!$B$36:$B$41,Assumptions!$B$36:$H$41))</f>
        <v>0</v>
      </c>
      <c r="PEY28">
        <f t="array" ref="PEY28">_xlfn.XLOOKUP(PEY$11,Assumptions!$B$35:$H$35,_xlfn.XLOOKUP($C28,Assumptions!$B$36:$B$41,Assumptions!$B$36:$H$41))</f>
        <v>0</v>
      </c>
      <c r="PEZ28">
        <f t="array" ref="PEZ28">_xlfn.XLOOKUP(PEZ$11,Assumptions!$B$35:$H$35,_xlfn.XLOOKUP($C28,Assumptions!$B$36:$B$41,Assumptions!$B$36:$H$41))</f>
        <v>0</v>
      </c>
      <c r="PFA28">
        <f t="array" ref="PFA28">_xlfn.XLOOKUP(PFA$11,Assumptions!$B$35:$H$35,_xlfn.XLOOKUP($C28,Assumptions!$B$36:$B$41,Assumptions!$B$36:$H$41))</f>
        <v>0</v>
      </c>
      <c r="PFB28">
        <f t="array" ref="PFB28">_xlfn.XLOOKUP(PFB$11,Assumptions!$B$35:$H$35,_xlfn.XLOOKUP($C28,Assumptions!$B$36:$B$41,Assumptions!$B$36:$H$41))</f>
        <v>0</v>
      </c>
      <c r="PFC28">
        <f t="array" ref="PFC28">_xlfn.XLOOKUP(PFC$11,Assumptions!$B$35:$H$35,_xlfn.XLOOKUP($C28,Assumptions!$B$36:$B$41,Assumptions!$B$36:$H$41))</f>
        <v>0</v>
      </c>
      <c r="PFD28">
        <f t="array" ref="PFD28">_xlfn.XLOOKUP(PFD$11,Assumptions!$B$35:$H$35,_xlfn.XLOOKUP($C28,Assumptions!$B$36:$B$41,Assumptions!$B$36:$H$41))</f>
        <v>0</v>
      </c>
      <c r="PFE28">
        <f t="array" ref="PFE28">_xlfn.XLOOKUP(PFE$11,Assumptions!$B$35:$H$35,_xlfn.XLOOKUP($C28,Assumptions!$B$36:$B$41,Assumptions!$B$36:$H$41))</f>
        <v>0</v>
      </c>
      <c r="PFF28">
        <f t="array" ref="PFF28">_xlfn.XLOOKUP(PFF$11,Assumptions!$B$35:$H$35,_xlfn.XLOOKUP($C28,Assumptions!$B$36:$B$41,Assumptions!$B$36:$H$41))</f>
        <v>0</v>
      </c>
      <c r="PFG28">
        <f t="array" ref="PFG28">_xlfn.XLOOKUP(PFG$11,Assumptions!$B$35:$H$35,_xlfn.XLOOKUP($C28,Assumptions!$B$36:$B$41,Assumptions!$B$36:$H$41))</f>
        <v>0</v>
      </c>
      <c r="PFH28">
        <f t="array" ref="PFH28">_xlfn.XLOOKUP(PFH$11,Assumptions!$B$35:$H$35,_xlfn.XLOOKUP($C28,Assumptions!$B$36:$B$41,Assumptions!$B$36:$H$41))</f>
        <v>0</v>
      </c>
      <c r="PFI28">
        <f t="array" ref="PFI28">_xlfn.XLOOKUP(PFI$11,Assumptions!$B$35:$H$35,_xlfn.XLOOKUP($C28,Assumptions!$B$36:$B$41,Assumptions!$B$36:$H$41))</f>
        <v>0</v>
      </c>
      <c r="PFJ28">
        <f t="array" ref="PFJ28">_xlfn.XLOOKUP(PFJ$11,Assumptions!$B$35:$H$35,_xlfn.XLOOKUP($C28,Assumptions!$B$36:$B$41,Assumptions!$B$36:$H$41))</f>
        <v>0</v>
      </c>
      <c r="PFK28">
        <f t="array" ref="PFK28">_xlfn.XLOOKUP(PFK$11,Assumptions!$B$35:$H$35,_xlfn.XLOOKUP($C28,Assumptions!$B$36:$B$41,Assumptions!$B$36:$H$41))</f>
        <v>0</v>
      </c>
      <c r="PFL28">
        <f t="array" ref="PFL28">_xlfn.XLOOKUP(PFL$11,Assumptions!$B$35:$H$35,_xlfn.XLOOKUP($C28,Assumptions!$B$36:$B$41,Assumptions!$B$36:$H$41))</f>
        <v>0</v>
      </c>
      <c r="PFM28">
        <f t="array" ref="PFM28">_xlfn.XLOOKUP(PFM$11,Assumptions!$B$35:$H$35,_xlfn.XLOOKUP($C28,Assumptions!$B$36:$B$41,Assumptions!$B$36:$H$41))</f>
        <v>0</v>
      </c>
      <c r="PFN28">
        <f t="array" ref="PFN28">_xlfn.XLOOKUP(PFN$11,Assumptions!$B$35:$H$35,_xlfn.XLOOKUP($C28,Assumptions!$B$36:$B$41,Assumptions!$B$36:$H$41))</f>
        <v>0</v>
      </c>
      <c r="PFO28">
        <f t="array" ref="PFO28">_xlfn.XLOOKUP(PFO$11,Assumptions!$B$35:$H$35,_xlfn.XLOOKUP($C28,Assumptions!$B$36:$B$41,Assumptions!$B$36:$H$41))</f>
        <v>0</v>
      </c>
      <c r="PFP28">
        <f t="array" ref="PFP28">_xlfn.XLOOKUP(PFP$11,Assumptions!$B$35:$H$35,_xlfn.XLOOKUP($C28,Assumptions!$B$36:$B$41,Assumptions!$B$36:$H$41))</f>
        <v>0</v>
      </c>
      <c r="PFQ28">
        <f t="array" ref="PFQ28">_xlfn.XLOOKUP(PFQ$11,Assumptions!$B$35:$H$35,_xlfn.XLOOKUP($C28,Assumptions!$B$36:$B$41,Assumptions!$B$36:$H$41))</f>
        <v>0</v>
      </c>
      <c r="PFR28">
        <f t="array" ref="PFR28">_xlfn.XLOOKUP(PFR$11,Assumptions!$B$35:$H$35,_xlfn.XLOOKUP($C28,Assumptions!$B$36:$B$41,Assumptions!$B$36:$H$41))</f>
        <v>0</v>
      </c>
      <c r="PFS28">
        <f t="array" ref="PFS28">_xlfn.XLOOKUP(PFS$11,Assumptions!$B$35:$H$35,_xlfn.XLOOKUP($C28,Assumptions!$B$36:$B$41,Assumptions!$B$36:$H$41))</f>
        <v>0</v>
      </c>
      <c r="PFT28">
        <f t="array" ref="PFT28">_xlfn.XLOOKUP(PFT$11,Assumptions!$B$35:$H$35,_xlfn.XLOOKUP($C28,Assumptions!$B$36:$B$41,Assumptions!$B$36:$H$41))</f>
        <v>0</v>
      </c>
      <c r="PFU28">
        <f t="array" ref="PFU28">_xlfn.XLOOKUP(PFU$11,Assumptions!$B$35:$H$35,_xlfn.XLOOKUP($C28,Assumptions!$B$36:$B$41,Assumptions!$B$36:$H$41))</f>
        <v>0</v>
      </c>
      <c r="PFV28">
        <f t="array" ref="PFV28">_xlfn.XLOOKUP(PFV$11,Assumptions!$B$35:$H$35,_xlfn.XLOOKUP($C28,Assumptions!$B$36:$B$41,Assumptions!$B$36:$H$41))</f>
        <v>0</v>
      </c>
      <c r="PFW28">
        <f t="array" ref="PFW28">_xlfn.XLOOKUP(PFW$11,Assumptions!$B$35:$H$35,_xlfn.XLOOKUP($C28,Assumptions!$B$36:$B$41,Assumptions!$B$36:$H$41))</f>
        <v>0</v>
      </c>
      <c r="PFX28">
        <f t="array" ref="PFX28">_xlfn.XLOOKUP(PFX$11,Assumptions!$B$35:$H$35,_xlfn.XLOOKUP($C28,Assumptions!$B$36:$B$41,Assumptions!$B$36:$H$41))</f>
        <v>0</v>
      </c>
      <c r="PFY28">
        <f t="array" ref="PFY28">_xlfn.XLOOKUP(PFY$11,Assumptions!$B$35:$H$35,_xlfn.XLOOKUP($C28,Assumptions!$B$36:$B$41,Assumptions!$B$36:$H$41))</f>
        <v>0</v>
      </c>
      <c r="PFZ28">
        <f t="array" ref="PFZ28">_xlfn.XLOOKUP(PFZ$11,Assumptions!$B$35:$H$35,_xlfn.XLOOKUP($C28,Assumptions!$B$36:$B$41,Assumptions!$B$36:$H$41))</f>
        <v>0</v>
      </c>
      <c r="PGA28">
        <f t="array" ref="PGA28">_xlfn.XLOOKUP(PGA$11,Assumptions!$B$35:$H$35,_xlfn.XLOOKUP($C28,Assumptions!$B$36:$B$41,Assumptions!$B$36:$H$41))</f>
        <v>0</v>
      </c>
      <c r="PGB28">
        <f t="array" ref="PGB28">_xlfn.XLOOKUP(PGB$11,Assumptions!$B$35:$H$35,_xlfn.XLOOKUP($C28,Assumptions!$B$36:$B$41,Assumptions!$B$36:$H$41))</f>
        <v>0</v>
      </c>
      <c r="PGC28">
        <f t="array" ref="PGC28">_xlfn.XLOOKUP(PGC$11,Assumptions!$B$35:$H$35,_xlfn.XLOOKUP($C28,Assumptions!$B$36:$B$41,Assumptions!$B$36:$H$41))</f>
        <v>0</v>
      </c>
      <c r="PGD28">
        <f t="array" ref="PGD28">_xlfn.XLOOKUP(PGD$11,Assumptions!$B$35:$H$35,_xlfn.XLOOKUP($C28,Assumptions!$B$36:$B$41,Assumptions!$B$36:$H$41))</f>
        <v>0</v>
      </c>
      <c r="PGE28">
        <f t="array" ref="PGE28">_xlfn.XLOOKUP(PGE$11,Assumptions!$B$35:$H$35,_xlfn.XLOOKUP($C28,Assumptions!$B$36:$B$41,Assumptions!$B$36:$H$41))</f>
        <v>0</v>
      </c>
      <c r="PGF28">
        <f t="array" ref="PGF28">_xlfn.XLOOKUP(PGF$11,Assumptions!$B$35:$H$35,_xlfn.XLOOKUP($C28,Assumptions!$B$36:$B$41,Assumptions!$B$36:$H$41))</f>
        <v>0</v>
      </c>
      <c r="PGG28">
        <f t="array" ref="PGG28">_xlfn.XLOOKUP(PGG$11,Assumptions!$B$35:$H$35,_xlfn.XLOOKUP($C28,Assumptions!$B$36:$B$41,Assumptions!$B$36:$H$41))</f>
        <v>0</v>
      </c>
      <c r="PGH28">
        <f t="array" ref="PGH28">_xlfn.XLOOKUP(PGH$11,Assumptions!$B$35:$H$35,_xlfn.XLOOKUP($C28,Assumptions!$B$36:$B$41,Assumptions!$B$36:$H$41))</f>
        <v>0</v>
      </c>
      <c r="PGI28">
        <f t="array" ref="PGI28">_xlfn.XLOOKUP(PGI$11,Assumptions!$B$35:$H$35,_xlfn.XLOOKUP($C28,Assumptions!$B$36:$B$41,Assumptions!$B$36:$H$41))</f>
        <v>0</v>
      </c>
      <c r="PGJ28">
        <f t="array" ref="PGJ28">_xlfn.XLOOKUP(PGJ$11,Assumptions!$B$35:$H$35,_xlfn.XLOOKUP($C28,Assumptions!$B$36:$B$41,Assumptions!$B$36:$H$41))</f>
        <v>0</v>
      </c>
      <c r="PGK28">
        <f t="array" ref="PGK28">_xlfn.XLOOKUP(PGK$11,Assumptions!$B$35:$H$35,_xlfn.XLOOKUP($C28,Assumptions!$B$36:$B$41,Assumptions!$B$36:$H$41))</f>
        <v>0</v>
      </c>
      <c r="PGL28">
        <f t="array" ref="PGL28">_xlfn.XLOOKUP(PGL$11,Assumptions!$B$35:$H$35,_xlfn.XLOOKUP($C28,Assumptions!$B$36:$B$41,Assumptions!$B$36:$H$41))</f>
        <v>0</v>
      </c>
      <c r="PGM28">
        <f t="array" ref="PGM28">_xlfn.XLOOKUP(PGM$11,Assumptions!$B$35:$H$35,_xlfn.XLOOKUP($C28,Assumptions!$B$36:$B$41,Assumptions!$B$36:$H$41))</f>
        <v>0</v>
      </c>
      <c r="PGN28">
        <f t="array" ref="PGN28">_xlfn.XLOOKUP(PGN$11,Assumptions!$B$35:$H$35,_xlfn.XLOOKUP($C28,Assumptions!$B$36:$B$41,Assumptions!$B$36:$H$41))</f>
        <v>0</v>
      </c>
      <c r="PGO28">
        <f t="array" ref="PGO28">_xlfn.XLOOKUP(PGO$11,Assumptions!$B$35:$H$35,_xlfn.XLOOKUP($C28,Assumptions!$B$36:$B$41,Assumptions!$B$36:$H$41))</f>
        <v>0</v>
      </c>
      <c r="PGP28">
        <f t="array" ref="PGP28">_xlfn.XLOOKUP(PGP$11,Assumptions!$B$35:$H$35,_xlfn.XLOOKUP($C28,Assumptions!$B$36:$B$41,Assumptions!$B$36:$H$41))</f>
        <v>0</v>
      </c>
      <c r="PGQ28">
        <f t="array" ref="PGQ28">_xlfn.XLOOKUP(PGQ$11,Assumptions!$B$35:$H$35,_xlfn.XLOOKUP($C28,Assumptions!$B$36:$B$41,Assumptions!$B$36:$H$41))</f>
        <v>0</v>
      </c>
      <c r="PGR28">
        <f t="array" ref="PGR28">_xlfn.XLOOKUP(PGR$11,Assumptions!$B$35:$H$35,_xlfn.XLOOKUP($C28,Assumptions!$B$36:$B$41,Assumptions!$B$36:$H$41))</f>
        <v>0</v>
      </c>
      <c r="PGS28">
        <f t="array" ref="PGS28">_xlfn.XLOOKUP(PGS$11,Assumptions!$B$35:$H$35,_xlfn.XLOOKUP($C28,Assumptions!$B$36:$B$41,Assumptions!$B$36:$H$41))</f>
        <v>0</v>
      </c>
      <c r="PGT28">
        <f t="array" ref="PGT28">_xlfn.XLOOKUP(PGT$11,Assumptions!$B$35:$H$35,_xlfn.XLOOKUP($C28,Assumptions!$B$36:$B$41,Assumptions!$B$36:$H$41))</f>
        <v>0</v>
      </c>
      <c r="PGU28">
        <f t="array" ref="PGU28">_xlfn.XLOOKUP(PGU$11,Assumptions!$B$35:$H$35,_xlfn.XLOOKUP($C28,Assumptions!$B$36:$B$41,Assumptions!$B$36:$H$41))</f>
        <v>0</v>
      </c>
      <c r="PGV28">
        <f t="array" ref="PGV28">_xlfn.XLOOKUP(PGV$11,Assumptions!$B$35:$H$35,_xlfn.XLOOKUP($C28,Assumptions!$B$36:$B$41,Assumptions!$B$36:$H$41))</f>
        <v>0</v>
      </c>
      <c r="PGW28">
        <f t="array" ref="PGW28">_xlfn.XLOOKUP(PGW$11,Assumptions!$B$35:$H$35,_xlfn.XLOOKUP($C28,Assumptions!$B$36:$B$41,Assumptions!$B$36:$H$41))</f>
        <v>0</v>
      </c>
      <c r="PGX28">
        <f t="array" ref="PGX28">_xlfn.XLOOKUP(PGX$11,Assumptions!$B$35:$H$35,_xlfn.XLOOKUP($C28,Assumptions!$B$36:$B$41,Assumptions!$B$36:$H$41))</f>
        <v>0</v>
      </c>
      <c r="PGY28">
        <f t="array" ref="PGY28">_xlfn.XLOOKUP(PGY$11,Assumptions!$B$35:$H$35,_xlfn.XLOOKUP($C28,Assumptions!$B$36:$B$41,Assumptions!$B$36:$H$41))</f>
        <v>0</v>
      </c>
      <c r="PGZ28">
        <f t="array" ref="PGZ28">_xlfn.XLOOKUP(PGZ$11,Assumptions!$B$35:$H$35,_xlfn.XLOOKUP($C28,Assumptions!$B$36:$B$41,Assumptions!$B$36:$H$41))</f>
        <v>0</v>
      </c>
      <c r="PHA28">
        <f t="array" ref="PHA28">_xlfn.XLOOKUP(PHA$11,Assumptions!$B$35:$H$35,_xlfn.XLOOKUP($C28,Assumptions!$B$36:$B$41,Assumptions!$B$36:$H$41))</f>
        <v>0</v>
      </c>
      <c r="PHB28">
        <f t="array" ref="PHB28">_xlfn.XLOOKUP(PHB$11,Assumptions!$B$35:$H$35,_xlfn.XLOOKUP($C28,Assumptions!$B$36:$B$41,Assumptions!$B$36:$H$41))</f>
        <v>0</v>
      </c>
      <c r="PHC28">
        <f t="array" ref="PHC28">_xlfn.XLOOKUP(PHC$11,Assumptions!$B$35:$H$35,_xlfn.XLOOKUP($C28,Assumptions!$B$36:$B$41,Assumptions!$B$36:$H$41))</f>
        <v>0</v>
      </c>
      <c r="PHD28">
        <f t="array" ref="PHD28">_xlfn.XLOOKUP(PHD$11,Assumptions!$B$35:$H$35,_xlfn.XLOOKUP($C28,Assumptions!$B$36:$B$41,Assumptions!$B$36:$H$41))</f>
        <v>0</v>
      </c>
      <c r="PHE28">
        <f t="array" ref="PHE28">_xlfn.XLOOKUP(PHE$11,Assumptions!$B$35:$H$35,_xlfn.XLOOKUP($C28,Assumptions!$B$36:$B$41,Assumptions!$B$36:$H$41))</f>
        <v>0</v>
      </c>
      <c r="PHF28">
        <f t="array" ref="PHF28">_xlfn.XLOOKUP(PHF$11,Assumptions!$B$35:$H$35,_xlfn.XLOOKUP($C28,Assumptions!$B$36:$B$41,Assumptions!$B$36:$H$41))</f>
        <v>0</v>
      </c>
      <c r="PHG28">
        <f t="array" ref="PHG28">_xlfn.XLOOKUP(PHG$11,Assumptions!$B$35:$H$35,_xlfn.XLOOKUP($C28,Assumptions!$B$36:$B$41,Assumptions!$B$36:$H$41))</f>
        <v>0</v>
      </c>
      <c r="PHH28">
        <f t="array" ref="PHH28">_xlfn.XLOOKUP(PHH$11,Assumptions!$B$35:$H$35,_xlfn.XLOOKUP($C28,Assumptions!$B$36:$B$41,Assumptions!$B$36:$H$41))</f>
        <v>0</v>
      </c>
      <c r="PHI28">
        <f t="array" ref="PHI28">_xlfn.XLOOKUP(PHI$11,Assumptions!$B$35:$H$35,_xlfn.XLOOKUP($C28,Assumptions!$B$36:$B$41,Assumptions!$B$36:$H$41))</f>
        <v>0</v>
      </c>
      <c r="PHJ28">
        <f t="array" ref="PHJ28">_xlfn.XLOOKUP(PHJ$11,Assumptions!$B$35:$H$35,_xlfn.XLOOKUP($C28,Assumptions!$B$36:$B$41,Assumptions!$B$36:$H$41))</f>
        <v>0</v>
      </c>
      <c r="PHK28">
        <f t="array" ref="PHK28">_xlfn.XLOOKUP(PHK$11,Assumptions!$B$35:$H$35,_xlfn.XLOOKUP($C28,Assumptions!$B$36:$B$41,Assumptions!$B$36:$H$41))</f>
        <v>0</v>
      </c>
      <c r="PHL28">
        <f t="array" ref="PHL28">_xlfn.XLOOKUP(PHL$11,Assumptions!$B$35:$H$35,_xlfn.XLOOKUP($C28,Assumptions!$B$36:$B$41,Assumptions!$B$36:$H$41))</f>
        <v>0</v>
      </c>
      <c r="PHM28">
        <f t="array" ref="PHM28">_xlfn.XLOOKUP(PHM$11,Assumptions!$B$35:$H$35,_xlfn.XLOOKUP($C28,Assumptions!$B$36:$B$41,Assumptions!$B$36:$H$41))</f>
        <v>0</v>
      </c>
      <c r="PHN28">
        <f t="array" ref="PHN28">_xlfn.XLOOKUP(PHN$11,Assumptions!$B$35:$H$35,_xlfn.XLOOKUP($C28,Assumptions!$B$36:$B$41,Assumptions!$B$36:$H$41))</f>
        <v>0</v>
      </c>
      <c r="PHO28">
        <f t="array" ref="PHO28">_xlfn.XLOOKUP(PHO$11,Assumptions!$B$35:$H$35,_xlfn.XLOOKUP($C28,Assumptions!$B$36:$B$41,Assumptions!$B$36:$H$41))</f>
        <v>0</v>
      </c>
      <c r="PHP28">
        <f t="array" ref="PHP28">_xlfn.XLOOKUP(PHP$11,Assumptions!$B$35:$H$35,_xlfn.XLOOKUP($C28,Assumptions!$B$36:$B$41,Assumptions!$B$36:$H$41))</f>
        <v>0</v>
      </c>
      <c r="PHQ28">
        <f t="array" ref="PHQ28">_xlfn.XLOOKUP(PHQ$11,Assumptions!$B$35:$H$35,_xlfn.XLOOKUP($C28,Assumptions!$B$36:$B$41,Assumptions!$B$36:$H$41))</f>
        <v>0</v>
      </c>
      <c r="PHR28">
        <f t="array" ref="PHR28">_xlfn.XLOOKUP(PHR$11,Assumptions!$B$35:$H$35,_xlfn.XLOOKUP($C28,Assumptions!$B$36:$B$41,Assumptions!$B$36:$H$41))</f>
        <v>0</v>
      </c>
      <c r="PHS28">
        <f t="array" ref="PHS28">_xlfn.XLOOKUP(PHS$11,Assumptions!$B$35:$H$35,_xlfn.XLOOKUP($C28,Assumptions!$B$36:$B$41,Assumptions!$B$36:$H$41))</f>
        <v>0</v>
      </c>
      <c r="PHT28">
        <f t="array" ref="PHT28">_xlfn.XLOOKUP(PHT$11,Assumptions!$B$35:$H$35,_xlfn.XLOOKUP($C28,Assumptions!$B$36:$B$41,Assumptions!$B$36:$H$41))</f>
        <v>0</v>
      </c>
      <c r="PHU28">
        <f t="array" ref="PHU28">_xlfn.XLOOKUP(PHU$11,Assumptions!$B$35:$H$35,_xlfn.XLOOKUP($C28,Assumptions!$B$36:$B$41,Assumptions!$B$36:$H$41))</f>
        <v>0</v>
      </c>
      <c r="PHV28">
        <f t="array" ref="PHV28">_xlfn.XLOOKUP(PHV$11,Assumptions!$B$35:$H$35,_xlfn.XLOOKUP($C28,Assumptions!$B$36:$B$41,Assumptions!$B$36:$H$41))</f>
        <v>0</v>
      </c>
      <c r="PHW28">
        <f t="array" ref="PHW28">_xlfn.XLOOKUP(PHW$11,Assumptions!$B$35:$H$35,_xlfn.XLOOKUP($C28,Assumptions!$B$36:$B$41,Assumptions!$B$36:$H$41))</f>
        <v>0</v>
      </c>
      <c r="PHX28">
        <f t="array" ref="PHX28">_xlfn.XLOOKUP(PHX$11,Assumptions!$B$35:$H$35,_xlfn.XLOOKUP($C28,Assumptions!$B$36:$B$41,Assumptions!$B$36:$H$41))</f>
        <v>0</v>
      </c>
      <c r="PHY28">
        <f t="array" ref="PHY28">_xlfn.XLOOKUP(PHY$11,Assumptions!$B$35:$H$35,_xlfn.XLOOKUP($C28,Assumptions!$B$36:$B$41,Assumptions!$B$36:$H$41))</f>
        <v>0</v>
      </c>
      <c r="PHZ28">
        <f t="array" ref="PHZ28">_xlfn.XLOOKUP(PHZ$11,Assumptions!$B$35:$H$35,_xlfn.XLOOKUP($C28,Assumptions!$B$36:$B$41,Assumptions!$B$36:$H$41))</f>
        <v>0</v>
      </c>
      <c r="PIA28">
        <f t="array" ref="PIA28">_xlfn.XLOOKUP(PIA$11,Assumptions!$B$35:$H$35,_xlfn.XLOOKUP($C28,Assumptions!$B$36:$B$41,Assumptions!$B$36:$H$41))</f>
        <v>0</v>
      </c>
      <c r="PIB28">
        <f t="array" ref="PIB28">_xlfn.XLOOKUP(PIB$11,Assumptions!$B$35:$H$35,_xlfn.XLOOKUP($C28,Assumptions!$B$36:$B$41,Assumptions!$B$36:$H$41))</f>
        <v>0</v>
      </c>
      <c r="PIC28">
        <f t="array" ref="PIC28">_xlfn.XLOOKUP(PIC$11,Assumptions!$B$35:$H$35,_xlfn.XLOOKUP($C28,Assumptions!$B$36:$B$41,Assumptions!$B$36:$H$41))</f>
        <v>0</v>
      </c>
      <c r="PID28">
        <f t="array" ref="PID28">_xlfn.XLOOKUP(PID$11,Assumptions!$B$35:$H$35,_xlfn.XLOOKUP($C28,Assumptions!$B$36:$B$41,Assumptions!$B$36:$H$41))</f>
        <v>0</v>
      </c>
      <c r="PIE28">
        <f t="array" ref="PIE28">_xlfn.XLOOKUP(PIE$11,Assumptions!$B$35:$H$35,_xlfn.XLOOKUP($C28,Assumptions!$B$36:$B$41,Assumptions!$B$36:$H$41))</f>
        <v>0</v>
      </c>
      <c r="PIF28">
        <f t="array" ref="PIF28">_xlfn.XLOOKUP(PIF$11,Assumptions!$B$35:$H$35,_xlfn.XLOOKUP($C28,Assumptions!$B$36:$B$41,Assumptions!$B$36:$H$41))</f>
        <v>0</v>
      </c>
      <c r="PIG28">
        <f t="array" ref="PIG28">_xlfn.XLOOKUP(PIG$11,Assumptions!$B$35:$H$35,_xlfn.XLOOKUP($C28,Assumptions!$B$36:$B$41,Assumptions!$B$36:$H$41))</f>
        <v>0</v>
      </c>
      <c r="PIH28">
        <f t="array" ref="PIH28">_xlfn.XLOOKUP(PIH$11,Assumptions!$B$35:$H$35,_xlfn.XLOOKUP($C28,Assumptions!$B$36:$B$41,Assumptions!$B$36:$H$41))</f>
        <v>0</v>
      </c>
      <c r="PII28">
        <f t="array" ref="PII28">_xlfn.XLOOKUP(PII$11,Assumptions!$B$35:$H$35,_xlfn.XLOOKUP($C28,Assumptions!$B$36:$B$41,Assumptions!$B$36:$H$41))</f>
        <v>0</v>
      </c>
      <c r="PIJ28">
        <f t="array" ref="PIJ28">_xlfn.XLOOKUP(PIJ$11,Assumptions!$B$35:$H$35,_xlfn.XLOOKUP($C28,Assumptions!$B$36:$B$41,Assumptions!$B$36:$H$41))</f>
        <v>0</v>
      </c>
      <c r="PIK28">
        <f t="array" ref="PIK28">_xlfn.XLOOKUP(PIK$11,Assumptions!$B$35:$H$35,_xlfn.XLOOKUP($C28,Assumptions!$B$36:$B$41,Assumptions!$B$36:$H$41))</f>
        <v>0</v>
      </c>
      <c r="PIL28">
        <f t="array" ref="PIL28">_xlfn.XLOOKUP(PIL$11,Assumptions!$B$35:$H$35,_xlfn.XLOOKUP($C28,Assumptions!$B$36:$B$41,Assumptions!$B$36:$H$41))</f>
        <v>0</v>
      </c>
      <c r="PIM28">
        <f t="array" ref="PIM28">_xlfn.XLOOKUP(PIM$11,Assumptions!$B$35:$H$35,_xlfn.XLOOKUP($C28,Assumptions!$B$36:$B$41,Assumptions!$B$36:$H$41))</f>
        <v>0</v>
      </c>
      <c r="PIN28">
        <f t="array" ref="PIN28">_xlfn.XLOOKUP(PIN$11,Assumptions!$B$35:$H$35,_xlfn.XLOOKUP($C28,Assumptions!$B$36:$B$41,Assumptions!$B$36:$H$41))</f>
        <v>0</v>
      </c>
      <c r="PIO28">
        <f t="array" ref="PIO28">_xlfn.XLOOKUP(PIO$11,Assumptions!$B$35:$H$35,_xlfn.XLOOKUP($C28,Assumptions!$B$36:$B$41,Assumptions!$B$36:$H$41))</f>
        <v>0</v>
      </c>
      <c r="PIP28">
        <f t="array" ref="PIP28">_xlfn.XLOOKUP(PIP$11,Assumptions!$B$35:$H$35,_xlfn.XLOOKUP($C28,Assumptions!$B$36:$B$41,Assumptions!$B$36:$H$41))</f>
        <v>0</v>
      </c>
      <c r="PIQ28">
        <f t="array" ref="PIQ28">_xlfn.XLOOKUP(PIQ$11,Assumptions!$B$35:$H$35,_xlfn.XLOOKUP($C28,Assumptions!$B$36:$B$41,Assumptions!$B$36:$H$41))</f>
        <v>0</v>
      </c>
      <c r="PIR28">
        <f t="array" ref="PIR28">_xlfn.XLOOKUP(PIR$11,Assumptions!$B$35:$H$35,_xlfn.XLOOKUP($C28,Assumptions!$B$36:$B$41,Assumptions!$B$36:$H$41))</f>
        <v>0</v>
      </c>
      <c r="PIS28">
        <f t="array" ref="PIS28">_xlfn.XLOOKUP(PIS$11,Assumptions!$B$35:$H$35,_xlfn.XLOOKUP($C28,Assumptions!$B$36:$B$41,Assumptions!$B$36:$H$41))</f>
        <v>0</v>
      </c>
      <c r="PIT28">
        <f t="array" ref="PIT28">_xlfn.XLOOKUP(PIT$11,Assumptions!$B$35:$H$35,_xlfn.XLOOKUP($C28,Assumptions!$B$36:$B$41,Assumptions!$B$36:$H$41))</f>
        <v>0</v>
      </c>
      <c r="PIU28">
        <f t="array" ref="PIU28">_xlfn.XLOOKUP(PIU$11,Assumptions!$B$35:$H$35,_xlfn.XLOOKUP($C28,Assumptions!$B$36:$B$41,Assumptions!$B$36:$H$41))</f>
        <v>0</v>
      </c>
      <c r="PIV28">
        <f t="array" ref="PIV28">_xlfn.XLOOKUP(PIV$11,Assumptions!$B$35:$H$35,_xlfn.XLOOKUP($C28,Assumptions!$B$36:$B$41,Assumptions!$B$36:$H$41))</f>
        <v>0</v>
      </c>
      <c r="PIW28">
        <f t="array" ref="PIW28">_xlfn.XLOOKUP(PIW$11,Assumptions!$B$35:$H$35,_xlfn.XLOOKUP($C28,Assumptions!$B$36:$B$41,Assumptions!$B$36:$H$41))</f>
        <v>0</v>
      </c>
      <c r="PIX28">
        <f t="array" ref="PIX28">_xlfn.XLOOKUP(PIX$11,Assumptions!$B$35:$H$35,_xlfn.XLOOKUP($C28,Assumptions!$B$36:$B$41,Assumptions!$B$36:$H$41))</f>
        <v>0</v>
      </c>
      <c r="PIY28">
        <f t="array" ref="PIY28">_xlfn.XLOOKUP(PIY$11,Assumptions!$B$35:$H$35,_xlfn.XLOOKUP($C28,Assumptions!$B$36:$B$41,Assumptions!$B$36:$H$41))</f>
        <v>0</v>
      </c>
      <c r="PIZ28">
        <f t="array" ref="PIZ28">_xlfn.XLOOKUP(PIZ$11,Assumptions!$B$35:$H$35,_xlfn.XLOOKUP($C28,Assumptions!$B$36:$B$41,Assumptions!$B$36:$H$41))</f>
        <v>0</v>
      </c>
      <c r="PJA28">
        <f t="array" ref="PJA28">_xlfn.XLOOKUP(PJA$11,Assumptions!$B$35:$H$35,_xlfn.XLOOKUP($C28,Assumptions!$B$36:$B$41,Assumptions!$B$36:$H$41))</f>
        <v>0</v>
      </c>
      <c r="PJB28">
        <f t="array" ref="PJB28">_xlfn.XLOOKUP(PJB$11,Assumptions!$B$35:$H$35,_xlfn.XLOOKUP($C28,Assumptions!$B$36:$B$41,Assumptions!$B$36:$H$41))</f>
        <v>0</v>
      </c>
      <c r="PJC28">
        <f t="array" ref="PJC28">_xlfn.XLOOKUP(PJC$11,Assumptions!$B$35:$H$35,_xlfn.XLOOKUP($C28,Assumptions!$B$36:$B$41,Assumptions!$B$36:$H$41))</f>
        <v>0</v>
      </c>
      <c r="PJD28">
        <f t="array" ref="PJD28">_xlfn.XLOOKUP(PJD$11,Assumptions!$B$35:$H$35,_xlfn.XLOOKUP($C28,Assumptions!$B$36:$B$41,Assumptions!$B$36:$H$41))</f>
        <v>0</v>
      </c>
      <c r="PJE28">
        <f t="array" ref="PJE28">_xlfn.XLOOKUP(PJE$11,Assumptions!$B$35:$H$35,_xlfn.XLOOKUP($C28,Assumptions!$B$36:$B$41,Assumptions!$B$36:$H$41))</f>
        <v>0</v>
      </c>
      <c r="PJF28">
        <f t="array" ref="PJF28">_xlfn.XLOOKUP(PJF$11,Assumptions!$B$35:$H$35,_xlfn.XLOOKUP($C28,Assumptions!$B$36:$B$41,Assumptions!$B$36:$H$41))</f>
        <v>0</v>
      </c>
      <c r="PJG28">
        <f t="array" ref="PJG28">_xlfn.XLOOKUP(PJG$11,Assumptions!$B$35:$H$35,_xlfn.XLOOKUP($C28,Assumptions!$B$36:$B$41,Assumptions!$B$36:$H$41))</f>
        <v>0</v>
      </c>
      <c r="PJH28">
        <f t="array" ref="PJH28">_xlfn.XLOOKUP(PJH$11,Assumptions!$B$35:$H$35,_xlfn.XLOOKUP($C28,Assumptions!$B$36:$B$41,Assumptions!$B$36:$H$41))</f>
        <v>0</v>
      </c>
      <c r="PJI28">
        <f t="array" ref="PJI28">_xlfn.XLOOKUP(PJI$11,Assumptions!$B$35:$H$35,_xlfn.XLOOKUP($C28,Assumptions!$B$36:$B$41,Assumptions!$B$36:$H$41))</f>
        <v>0</v>
      </c>
      <c r="PJJ28">
        <f t="array" ref="PJJ28">_xlfn.XLOOKUP(PJJ$11,Assumptions!$B$35:$H$35,_xlfn.XLOOKUP($C28,Assumptions!$B$36:$B$41,Assumptions!$B$36:$H$41))</f>
        <v>0</v>
      </c>
      <c r="PJK28">
        <f t="array" ref="PJK28">_xlfn.XLOOKUP(PJK$11,Assumptions!$B$35:$H$35,_xlfn.XLOOKUP($C28,Assumptions!$B$36:$B$41,Assumptions!$B$36:$H$41))</f>
        <v>0</v>
      </c>
      <c r="PJL28">
        <f t="array" ref="PJL28">_xlfn.XLOOKUP(PJL$11,Assumptions!$B$35:$H$35,_xlfn.XLOOKUP($C28,Assumptions!$B$36:$B$41,Assumptions!$B$36:$H$41))</f>
        <v>0</v>
      </c>
      <c r="PJM28">
        <f t="array" ref="PJM28">_xlfn.XLOOKUP(PJM$11,Assumptions!$B$35:$H$35,_xlfn.XLOOKUP($C28,Assumptions!$B$36:$B$41,Assumptions!$B$36:$H$41))</f>
        <v>0</v>
      </c>
      <c r="PJN28">
        <f t="array" ref="PJN28">_xlfn.XLOOKUP(PJN$11,Assumptions!$B$35:$H$35,_xlfn.XLOOKUP($C28,Assumptions!$B$36:$B$41,Assumptions!$B$36:$H$41))</f>
        <v>0</v>
      </c>
      <c r="PJO28">
        <f t="array" ref="PJO28">_xlfn.XLOOKUP(PJO$11,Assumptions!$B$35:$H$35,_xlfn.XLOOKUP($C28,Assumptions!$B$36:$B$41,Assumptions!$B$36:$H$41))</f>
        <v>0</v>
      </c>
      <c r="PJP28">
        <f t="array" ref="PJP28">_xlfn.XLOOKUP(PJP$11,Assumptions!$B$35:$H$35,_xlfn.XLOOKUP($C28,Assumptions!$B$36:$B$41,Assumptions!$B$36:$H$41))</f>
        <v>0</v>
      </c>
      <c r="PJQ28">
        <f t="array" ref="PJQ28">_xlfn.XLOOKUP(PJQ$11,Assumptions!$B$35:$H$35,_xlfn.XLOOKUP($C28,Assumptions!$B$36:$B$41,Assumptions!$B$36:$H$41))</f>
        <v>0</v>
      </c>
      <c r="PJR28">
        <f t="array" ref="PJR28">_xlfn.XLOOKUP(PJR$11,Assumptions!$B$35:$H$35,_xlfn.XLOOKUP($C28,Assumptions!$B$36:$B$41,Assumptions!$B$36:$H$41))</f>
        <v>0</v>
      </c>
      <c r="PJS28">
        <f t="array" ref="PJS28">_xlfn.XLOOKUP(PJS$11,Assumptions!$B$35:$H$35,_xlfn.XLOOKUP($C28,Assumptions!$B$36:$B$41,Assumptions!$B$36:$H$41))</f>
        <v>0</v>
      </c>
      <c r="PJT28">
        <f t="array" ref="PJT28">_xlfn.XLOOKUP(PJT$11,Assumptions!$B$35:$H$35,_xlfn.XLOOKUP($C28,Assumptions!$B$36:$B$41,Assumptions!$B$36:$H$41))</f>
        <v>0</v>
      </c>
      <c r="PJU28">
        <f t="array" ref="PJU28">_xlfn.XLOOKUP(PJU$11,Assumptions!$B$35:$H$35,_xlfn.XLOOKUP($C28,Assumptions!$B$36:$B$41,Assumptions!$B$36:$H$41))</f>
        <v>0</v>
      </c>
      <c r="PJV28">
        <f t="array" ref="PJV28">_xlfn.XLOOKUP(PJV$11,Assumptions!$B$35:$H$35,_xlfn.XLOOKUP($C28,Assumptions!$B$36:$B$41,Assumptions!$B$36:$H$41))</f>
        <v>0</v>
      </c>
      <c r="PJW28">
        <f t="array" ref="PJW28">_xlfn.XLOOKUP(PJW$11,Assumptions!$B$35:$H$35,_xlfn.XLOOKUP($C28,Assumptions!$B$36:$B$41,Assumptions!$B$36:$H$41))</f>
        <v>0</v>
      </c>
      <c r="PJX28">
        <f t="array" ref="PJX28">_xlfn.XLOOKUP(PJX$11,Assumptions!$B$35:$H$35,_xlfn.XLOOKUP($C28,Assumptions!$B$36:$B$41,Assumptions!$B$36:$H$41))</f>
        <v>0</v>
      </c>
      <c r="PJY28">
        <f t="array" ref="PJY28">_xlfn.XLOOKUP(PJY$11,Assumptions!$B$35:$H$35,_xlfn.XLOOKUP($C28,Assumptions!$B$36:$B$41,Assumptions!$B$36:$H$41))</f>
        <v>0</v>
      </c>
      <c r="PJZ28">
        <f t="array" ref="PJZ28">_xlfn.XLOOKUP(PJZ$11,Assumptions!$B$35:$H$35,_xlfn.XLOOKUP($C28,Assumptions!$B$36:$B$41,Assumptions!$B$36:$H$41))</f>
        <v>0</v>
      </c>
      <c r="PKA28">
        <f t="array" ref="PKA28">_xlfn.XLOOKUP(PKA$11,Assumptions!$B$35:$H$35,_xlfn.XLOOKUP($C28,Assumptions!$B$36:$B$41,Assumptions!$B$36:$H$41))</f>
        <v>0</v>
      </c>
      <c r="PKB28">
        <f t="array" ref="PKB28">_xlfn.XLOOKUP(PKB$11,Assumptions!$B$35:$H$35,_xlfn.XLOOKUP($C28,Assumptions!$B$36:$B$41,Assumptions!$B$36:$H$41))</f>
        <v>0</v>
      </c>
      <c r="PKC28">
        <f t="array" ref="PKC28">_xlfn.XLOOKUP(PKC$11,Assumptions!$B$35:$H$35,_xlfn.XLOOKUP($C28,Assumptions!$B$36:$B$41,Assumptions!$B$36:$H$41))</f>
        <v>0</v>
      </c>
      <c r="PKD28">
        <f t="array" ref="PKD28">_xlfn.XLOOKUP(PKD$11,Assumptions!$B$35:$H$35,_xlfn.XLOOKUP($C28,Assumptions!$B$36:$B$41,Assumptions!$B$36:$H$41))</f>
        <v>0</v>
      </c>
      <c r="PKE28">
        <f t="array" ref="PKE28">_xlfn.XLOOKUP(PKE$11,Assumptions!$B$35:$H$35,_xlfn.XLOOKUP($C28,Assumptions!$B$36:$B$41,Assumptions!$B$36:$H$41))</f>
        <v>0</v>
      </c>
      <c r="PKF28">
        <f t="array" ref="PKF28">_xlfn.XLOOKUP(PKF$11,Assumptions!$B$35:$H$35,_xlfn.XLOOKUP($C28,Assumptions!$B$36:$B$41,Assumptions!$B$36:$H$41))</f>
        <v>0</v>
      </c>
      <c r="PKG28">
        <f t="array" ref="PKG28">_xlfn.XLOOKUP(PKG$11,Assumptions!$B$35:$H$35,_xlfn.XLOOKUP($C28,Assumptions!$B$36:$B$41,Assumptions!$B$36:$H$41))</f>
        <v>0</v>
      </c>
      <c r="PKH28">
        <f t="array" ref="PKH28">_xlfn.XLOOKUP(PKH$11,Assumptions!$B$35:$H$35,_xlfn.XLOOKUP($C28,Assumptions!$B$36:$B$41,Assumptions!$B$36:$H$41))</f>
        <v>0</v>
      </c>
      <c r="PKI28">
        <f t="array" ref="PKI28">_xlfn.XLOOKUP(PKI$11,Assumptions!$B$35:$H$35,_xlfn.XLOOKUP($C28,Assumptions!$B$36:$B$41,Assumptions!$B$36:$H$41))</f>
        <v>0</v>
      </c>
      <c r="PKJ28">
        <f t="array" ref="PKJ28">_xlfn.XLOOKUP(PKJ$11,Assumptions!$B$35:$H$35,_xlfn.XLOOKUP($C28,Assumptions!$B$36:$B$41,Assumptions!$B$36:$H$41))</f>
        <v>0</v>
      </c>
      <c r="PKK28">
        <f t="array" ref="PKK28">_xlfn.XLOOKUP(PKK$11,Assumptions!$B$35:$H$35,_xlfn.XLOOKUP($C28,Assumptions!$B$36:$B$41,Assumptions!$B$36:$H$41))</f>
        <v>0</v>
      </c>
      <c r="PKL28">
        <f t="array" ref="PKL28">_xlfn.XLOOKUP(PKL$11,Assumptions!$B$35:$H$35,_xlfn.XLOOKUP($C28,Assumptions!$B$36:$B$41,Assumptions!$B$36:$H$41))</f>
        <v>0</v>
      </c>
      <c r="PKM28">
        <f t="array" ref="PKM28">_xlfn.XLOOKUP(PKM$11,Assumptions!$B$35:$H$35,_xlfn.XLOOKUP($C28,Assumptions!$B$36:$B$41,Assumptions!$B$36:$H$41))</f>
        <v>0</v>
      </c>
      <c r="PKN28">
        <f t="array" ref="PKN28">_xlfn.XLOOKUP(PKN$11,Assumptions!$B$35:$H$35,_xlfn.XLOOKUP($C28,Assumptions!$B$36:$B$41,Assumptions!$B$36:$H$41))</f>
        <v>0</v>
      </c>
      <c r="PKO28">
        <f t="array" ref="PKO28">_xlfn.XLOOKUP(PKO$11,Assumptions!$B$35:$H$35,_xlfn.XLOOKUP($C28,Assumptions!$B$36:$B$41,Assumptions!$B$36:$H$41))</f>
        <v>0</v>
      </c>
      <c r="PKP28">
        <f t="array" ref="PKP28">_xlfn.XLOOKUP(PKP$11,Assumptions!$B$35:$H$35,_xlfn.XLOOKUP($C28,Assumptions!$B$36:$B$41,Assumptions!$B$36:$H$41))</f>
        <v>0</v>
      </c>
      <c r="PKQ28">
        <f t="array" ref="PKQ28">_xlfn.XLOOKUP(PKQ$11,Assumptions!$B$35:$H$35,_xlfn.XLOOKUP($C28,Assumptions!$B$36:$B$41,Assumptions!$B$36:$H$41))</f>
        <v>0</v>
      </c>
      <c r="PKR28">
        <f t="array" ref="PKR28">_xlfn.XLOOKUP(PKR$11,Assumptions!$B$35:$H$35,_xlfn.XLOOKUP($C28,Assumptions!$B$36:$B$41,Assumptions!$B$36:$H$41))</f>
        <v>0</v>
      </c>
      <c r="PKS28">
        <f t="array" ref="PKS28">_xlfn.XLOOKUP(PKS$11,Assumptions!$B$35:$H$35,_xlfn.XLOOKUP($C28,Assumptions!$B$36:$B$41,Assumptions!$B$36:$H$41))</f>
        <v>0</v>
      </c>
      <c r="PKT28">
        <f t="array" ref="PKT28">_xlfn.XLOOKUP(PKT$11,Assumptions!$B$35:$H$35,_xlfn.XLOOKUP($C28,Assumptions!$B$36:$B$41,Assumptions!$B$36:$H$41))</f>
        <v>0</v>
      </c>
      <c r="PKU28">
        <f t="array" ref="PKU28">_xlfn.XLOOKUP(PKU$11,Assumptions!$B$35:$H$35,_xlfn.XLOOKUP($C28,Assumptions!$B$36:$B$41,Assumptions!$B$36:$H$41))</f>
        <v>0</v>
      </c>
      <c r="PKV28">
        <f t="array" ref="PKV28">_xlfn.XLOOKUP(PKV$11,Assumptions!$B$35:$H$35,_xlfn.XLOOKUP($C28,Assumptions!$B$36:$B$41,Assumptions!$B$36:$H$41))</f>
        <v>0</v>
      </c>
      <c r="PKW28">
        <f t="array" ref="PKW28">_xlfn.XLOOKUP(PKW$11,Assumptions!$B$35:$H$35,_xlfn.XLOOKUP($C28,Assumptions!$B$36:$B$41,Assumptions!$B$36:$H$41))</f>
        <v>0</v>
      </c>
      <c r="PKX28">
        <f t="array" ref="PKX28">_xlfn.XLOOKUP(PKX$11,Assumptions!$B$35:$H$35,_xlfn.XLOOKUP($C28,Assumptions!$B$36:$B$41,Assumptions!$B$36:$H$41))</f>
        <v>0</v>
      </c>
      <c r="PKY28">
        <f t="array" ref="PKY28">_xlfn.XLOOKUP(PKY$11,Assumptions!$B$35:$H$35,_xlfn.XLOOKUP($C28,Assumptions!$B$36:$B$41,Assumptions!$B$36:$H$41))</f>
        <v>0</v>
      </c>
      <c r="PKZ28">
        <f t="array" ref="PKZ28">_xlfn.XLOOKUP(PKZ$11,Assumptions!$B$35:$H$35,_xlfn.XLOOKUP($C28,Assumptions!$B$36:$B$41,Assumptions!$B$36:$H$41))</f>
        <v>0</v>
      </c>
      <c r="PLA28">
        <f t="array" ref="PLA28">_xlfn.XLOOKUP(PLA$11,Assumptions!$B$35:$H$35,_xlfn.XLOOKUP($C28,Assumptions!$B$36:$B$41,Assumptions!$B$36:$H$41))</f>
        <v>0</v>
      </c>
      <c r="PLB28">
        <f t="array" ref="PLB28">_xlfn.XLOOKUP(PLB$11,Assumptions!$B$35:$H$35,_xlfn.XLOOKUP($C28,Assumptions!$B$36:$B$41,Assumptions!$B$36:$H$41))</f>
        <v>0</v>
      </c>
      <c r="PLC28">
        <f t="array" ref="PLC28">_xlfn.XLOOKUP(PLC$11,Assumptions!$B$35:$H$35,_xlfn.XLOOKUP($C28,Assumptions!$B$36:$B$41,Assumptions!$B$36:$H$41))</f>
        <v>0</v>
      </c>
      <c r="PLD28">
        <f t="array" ref="PLD28">_xlfn.XLOOKUP(PLD$11,Assumptions!$B$35:$H$35,_xlfn.XLOOKUP($C28,Assumptions!$B$36:$B$41,Assumptions!$B$36:$H$41))</f>
        <v>0</v>
      </c>
      <c r="PLE28">
        <f t="array" ref="PLE28">_xlfn.XLOOKUP(PLE$11,Assumptions!$B$35:$H$35,_xlfn.XLOOKUP($C28,Assumptions!$B$36:$B$41,Assumptions!$B$36:$H$41))</f>
        <v>0</v>
      </c>
      <c r="PLF28">
        <f t="array" ref="PLF28">_xlfn.XLOOKUP(PLF$11,Assumptions!$B$35:$H$35,_xlfn.XLOOKUP($C28,Assumptions!$B$36:$B$41,Assumptions!$B$36:$H$41))</f>
        <v>0</v>
      </c>
      <c r="PLG28">
        <f t="array" ref="PLG28">_xlfn.XLOOKUP(PLG$11,Assumptions!$B$35:$H$35,_xlfn.XLOOKUP($C28,Assumptions!$B$36:$B$41,Assumptions!$B$36:$H$41))</f>
        <v>0</v>
      </c>
      <c r="PLH28">
        <f t="array" ref="PLH28">_xlfn.XLOOKUP(PLH$11,Assumptions!$B$35:$H$35,_xlfn.XLOOKUP($C28,Assumptions!$B$36:$B$41,Assumptions!$B$36:$H$41))</f>
        <v>0</v>
      </c>
      <c r="PLI28">
        <f t="array" ref="PLI28">_xlfn.XLOOKUP(PLI$11,Assumptions!$B$35:$H$35,_xlfn.XLOOKUP($C28,Assumptions!$B$36:$B$41,Assumptions!$B$36:$H$41))</f>
        <v>0</v>
      </c>
      <c r="PLJ28">
        <f t="array" ref="PLJ28">_xlfn.XLOOKUP(PLJ$11,Assumptions!$B$35:$H$35,_xlfn.XLOOKUP($C28,Assumptions!$B$36:$B$41,Assumptions!$B$36:$H$41))</f>
        <v>0</v>
      </c>
      <c r="PLK28">
        <f t="array" ref="PLK28">_xlfn.XLOOKUP(PLK$11,Assumptions!$B$35:$H$35,_xlfn.XLOOKUP($C28,Assumptions!$B$36:$B$41,Assumptions!$B$36:$H$41))</f>
        <v>0</v>
      </c>
      <c r="PLL28">
        <f t="array" ref="PLL28">_xlfn.XLOOKUP(PLL$11,Assumptions!$B$35:$H$35,_xlfn.XLOOKUP($C28,Assumptions!$B$36:$B$41,Assumptions!$B$36:$H$41))</f>
        <v>0</v>
      </c>
      <c r="PLM28">
        <f t="array" ref="PLM28">_xlfn.XLOOKUP(PLM$11,Assumptions!$B$35:$H$35,_xlfn.XLOOKUP($C28,Assumptions!$B$36:$B$41,Assumptions!$B$36:$H$41))</f>
        <v>0</v>
      </c>
      <c r="PLN28">
        <f t="array" ref="PLN28">_xlfn.XLOOKUP(PLN$11,Assumptions!$B$35:$H$35,_xlfn.XLOOKUP($C28,Assumptions!$B$36:$B$41,Assumptions!$B$36:$H$41))</f>
        <v>0</v>
      </c>
      <c r="PLO28">
        <f t="array" ref="PLO28">_xlfn.XLOOKUP(PLO$11,Assumptions!$B$35:$H$35,_xlfn.XLOOKUP($C28,Assumptions!$B$36:$B$41,Assumptions!$B$36:$H$41))</f>
        <v>0</v>
      </c>
      <c r="PLP28">
        <f t="array" ref="PLP28">_xlfn.XLOOKUP(PLP$11,Assumptions!$B$35:$H$35,_xlfn.XLOOKUP($C28,Assumptions!$B$36:$B$41,Assumptions!$B$36:$H$41))</f>
        <v>0</v>
      </c>
      <c r="PLQ28">
        <f t="array" ref="PLQ28">_xlfn.XLOOKUP(PLQ$11,Assumptions!$B$35:$H$35,_xlfn.XLOOKUP($C28,Assumptions!$B$36:$B$41,Assumptions!$B$36:$H$41))</f>
        <v>0</v>
      </c>
      <c r="PLR28">
        <f t="array" ref="PLR28">_xlfn.XLOOKUP(PLR$11,Assumptions!$B$35:$H$35,_xlfn.XLOOKUP($C28,Assumptions!$B$36:$B$41,Assumptions!$B$36:$H$41))</f>
        <v>0</v>
      </c>
      <c r="PLS28">
        <f t="array" ref="PLS28">_xlfn.XLOOKUP(PLS$11,Assumptions!$B$35:$H$35,_xlfn.XLOOKUP($C28,Assumptions!$B$36:$B$41,Assumptions!$B$36:$H$41))</f>
        <v>0</v>
      </c>
      <c r="PLT28">
        <f t="array" ref="PLT28">_xlfn.XLOOKUP(PLT$11,Assumptions!$B$35:$H$35,_xlfn.XLOOKUP($C28,Assumptions!$B$36:$B$41,Assumptions!$B$36:$H$41))</f>
        <v>0</v>
      </c>
      <c r="PLU28">
        <f t="array" ref="PLU28">_xlfn.XLOOKUP(PLU$11,Assumptions!$B$35:$H$35,_xlfn.XLOOKUP($C28,Assumptions!$B$36:$B$41,Assumptions!$B$36:$H$41))</f>
        <v>0</v>
      </c>
      <c r="PLV28">
        <f t="array" ref="PLV28">_xlfn.XLOOKUP(PLV$11,Assumptions!$B$35:$H$35,_xlfn.XLOOKUP($C28,Assumptions!$B$36:$B$41,Assumptions!$B$36:$H$41))</f>
        <v>0</v>
      </c>
      <c r="PLW28">
        <f t="array" ref="PLW28">_xlfn.XLOOKUP(PLW$11,Assumptions!$B$35:$H$35,_xlfn.XLOOKUP($C28,Assumptions!$B$36:$B$41,Assumptions!$B$36:$H$41))</f>
        <v>0</v>
      </c>
      <c r="PLX28">
        <f t="array" ref="PLX28">_xlfn.XLOOKUP(PLX$11,Assumptions!$B$35:$H$35,_xlfn.XLOOKUP($C28,Assumptions!$B$36:$B$41,Assumptions!$B$36:$H$41))</f>
        <v>0</v>
      </c>
      <c r="PLY28">
        <f t="array" ref="PLY28">_xlfn.XLOOKUP(PLY$11,Assumptions!$B$35:$H$35,_xlfn.XLOOKUP($C28,Assumptions!$B$36:$B$41,Assumptions!$B$36:$H$41))</f>
        <v>0</v>
      </c>
      <c r="PLZ28">
        <f t="array" ref="PLZ28">_xlfn.XLOOKUP(PLZ$11,Assumptions!$B$35:$H$35,_xlfn.XLOOKUP($C28,Assumptions!$B$36:$B$41,Assumptions!$B$36:$H$41))</f>
        <v>0</v>
      </c>
      <c r="PMA28">
        <f t="array" ref="PMA28">_xlfn.XLOOKUP(PMA$11,Assumptions!$B$35:$H$35,_xlfn.XLOOKUP($C28,Assumptions!$B$36:$B$41,Assumptions!$B$36:$H$41))</f>
        <v>0</v>
      </c>
      <c r="PMB28">
        <f t="array" ref="PMB28">_xlfn.XLOOKUP(PMB$11,Assumptions!$B$35:$H$35,_xlfn.XLOOKUP($C28,Assumptions!$B$36:$B$41,Assumptions!$B$36:$H$41))</f>
        <v>0</v>
      </c>
      <c r="PMC28">
        <f t="array" ref="PMC28">_xlfn.XLOOKUP(PMC$11,Assumptions!$B$35:$H$35,_xlfn.XLOOKUP($C28,Assumptions!$B$36:$B$41,Assumptions!$B$36:$H$41))</f>
        <v>0</v>
      </c>
      <c r="PMD28">
        <f t="array" ref="PMD28">_xlfn.XLOOKUP(PMD$11,Assumptions!$B$35:$H$35,_xlfn.XLOOKUP($C28,Assumptions!$B$36:$B$41,Assumptions!$B$36:$H$41))</f>
        <v>0</v>
      </c>
      <c r="PME28">
        <f t="array" ref="PME28">_xlfn.XLOOKUP(PME$11,Assumptions!$B$35:$H$35,_xlfn.XLOOKUP($C28,Assumptions!$B$36:$B$41,Assumptions!$B$36:$H$41))</f>
        <v>0</v>
      </c>
      <c r="PMF28">
        <f t="array" ref="PMF28">_xlfn.XLOOKUP(PMF$11,Assumptions!$B$35:$H$35,_xlfn.XLOOKUP($C28,Assumptions!$B$36:$B$41,Assumptions!$B$36:$H$41))</f>
        <v>0</v>
      </c>
      <c r="PMG28">
        <f t="array" ref="PMG28">_xlfn.XLOOKUP(PMG$11,Assumptions!$B$35:$H$35,_xlfn.XLOOKUP($C28,Assumptions!$B$36:$B$41,Assumptions!$B$36:$H$41))</f>
        <v>0</v>
      </c>
      <c r="PMH28">
        <f t="array" ref="PMH28">_xlfn.XLOOKUP(PMH$11,Assumptions!$B$35:$H$35,_xlfn.XLOOKUP($C28,Assumptions!$B$36:$B$41,Assumptions!$B$36:$H$41))</f>
        <v>0</v>
      </c>
      <c r="PMI28">
        <f t="array" ref="PMI28">_xlfn.XLOOKUP(PMI$11,Assumptions!$B$35:$H$35,_xlfn.XLOOKUP($C28,Assumptions!$B$36:$B$41,Assumptions!$B$36:$H$41))</f>
        <v>0</v>
      </c>
      <c r="PMJ28">
        <f t="array" ref="PMJ28">_xlfn.XLOOKUP(PMJ$11,Assumptions!$B$35:$H$35,_xlfn.XLOOKUP($C28,Assumptions!$B$36:$B$41,Assumptions!$B$36:$H$41))</f>
        <v>0</v>
      </c>
      <c r="PMK28">
        <f t="array" ref="PMK28">_xlfn.XLOOKUP(PMK$11,Assumptions!$B$35:$H$35,_xlfn.XLOOKUP($C28,Assumptions!$B$36:$B$41,Assumptions!$B$36:$H$41))</f>
        <v>0</v>
      </c>
      <c r="PML28">
        <f t="array" ref="PML28">_xlfn.XLOOKUP(PML$11,Assumptions!$B$35:$H$35,_xlfn.XLOOKUP($C28,Assumptions!$B$36:$B$41,Assumptions!$B$36:$H$41))</f>
        <v>0</v>
      </c>
      <c r="PMM28">
        <f t="array" ref="PMM28">_xlfn.XLOOKUP(PMM$11,Assumptions!$B$35:$H$35,_xlfn.XLOOKUP($C28,Assumptions!$B$36:$B$41,Assumptions!$B$36:$H$41))</f>
        <v>0</v>
      </c>
      <c r="PMN28">
        <f t="array" ref="PMN28">_xlfn.XLOOKUP(PMN$11,Assumptions!$B$35:$H$35,_xlfn.XLOOKUP($C28,Assumptions!$B$36:$B$41,Assumptions!$B$36:$H$41))</f>
        <v>0</v>
      </c>
      <c r="PMO28">
        <f t="array" ref="PMO28">_xlfn.XLOOKUP(PMO$11,Assumptions!$B$35:$H$35,_xlfn.XLOOKUP($C28,Assumptions!$B$36:$B$41,Assumptions!$B$36:$H$41))</f>
        <v>0</v>
      </c>
      <c r="PMP28">
        <f t="array" ref="PMP28">_xlfn.XLOOKUP(PMP$11,Assumptions!$B$35:$H$35,_xlfn.XLOOKUP($C28,Assumptions!$B$36:$B$41,Assumptions!$B$36:$H$41))</f>
        <v>0</v>
      </c>
      <c r="PMQ28">
        <f t="array" ref="PMQ28">_xlfn.XLOOKUP(PMQ$11,Assumptions!$B$35:$H$35,_xlfn.XLOOKUP($C28,Assumptions!$B$36:$B$41,Assumptions!$B$36:$H$41))</f>
        <v>0</v>
      </c>
      <c r="PMR28">
        <f t="array" ref="PMR28">_xlfn.XLOOKUP(PMR$11,Assumptions!$B$35:$H$35,_xlfn.XLOOKUP($C28,Assumptions!$B$36:$B$41,Assumptions!$B$36:$H$41))</f>
        <v>0</v>
      </c>
      <c r="PMS28">
        <f t="array" ref="PMS28">_xlfn.XLOOKUP(PMS$11,Assumptions!$B$35:$H$35,_xlfn.XLOOKUP($C28,Assumptions!$B$36:$B$41,Assumptions!$B$36:$H$41))</f>
        <v>0</v>
      </c>
      <c r="PMT28">
        <f t="array" ref="PMT28">_xlfn.XLOOKUP(PMT$11,Assumptions!$B$35:$H$35,_xlfn.XLOOKUP($C28,Assumptions!$B$36:$B$41,Assumptions!$B$36:$H$41))</f>
        <v>0</v>
      </c>
      <c r="PMU28">
        <f t="array" ref="PMU28">_xlfn.XLOOKUP(PMU$11,Assumptions!$B$35:$H$35,_xlfn.XLOOKUP($C28,Assumptions!$B$36:$B$41,Assumptions!$B$36:$H$41))</f>
        <v>0</v>
      </c>
      <c r="PMV28">
        <f t="array" ref="PMV28">_xlfn.XLOOKUP(PMV$11,Assumptions!$B$35:$H$35,_xlfn.XLOOKUP($C28,Assumptions!$B$36:$B$41,Assumptions!$B$36:$H$41))</f>
        <v>0</v>
      </c>
      <c r="PMW28">
        <f t="array" ref="PMW28">_xlfn.XLOOKUP(PMW$11,Assumptions!$B$35:$H$35,_xlfn.XLOOKUP($C28,Assumptions!$B$36:$B$41,Assumptions!$B$36:$H$41))</f>
        <v>0</v>
      </c>
      <c r="PMX28">
        <f t="array" ref="PMX28">_xlfn.XLOOKUP(PMX$11,Assumptions!$B$35:$H$35,_xlfn.XLOOKUP($C28,Assumptions!$B$36:$B$41,Assumptions!$B$36:$H$41))</f>
        <v>0</v>
      </c>
      <c r="PMY28">
        <f t="array" ref="PMY28">_xlfn.XLOOKUP(PMY$11,Assumptions!$B$35:$H$35,_xlfn.XLOOKUP($C28,Assumptions!$B$36:$B$41,Assumptions!$B$36:$H$41))</f>
        <v>0</v>
      </c>
      <c r="PMZ28">
        <f t="array" ref="PMZ28">_xlfn.XLOOKUP(PMZ$11,Assumptions!$B$35:$H$35,_xlfn.XLOOKUP($C28,Assumptions!$B$36:$B$41,Assumptions!$B$36:$H$41))</f>
        <v>0</v>
      </c>
      <c r="PNA28">
        <f t="array" ref="PNA28">_xlfn.XLOOKUP(PNA$11,Assumptions!$B$35:$H$35,_xlfn.XLOOKUP($C28,Assumptions!$B$36:$B$41,Assumptions!$B$36:$H$41))</f>
        <v>0</v>
      </c>
      <c r="PNB28">
        <f t="array" ref="PNB28">_xlfn.XLOOKUP(PNB$11,Assumptions!$B$35:$H$35,_xlfn.XLOOKUP($C28,Assumptions!$B$36:$B$41,Assumptions!$B$36:$H$41))</f>
        <v>0</v>
      </c>
      <c r="PNC28">
        <f t="array" ref="PNC28">_xlfn.XLOOKUP(PNC$11,Assumptions!$B$35:$H$35,_xlfn.XLOOKUP($C28,Assumptions!$B$36:$B$41,Assumptions!$B$36:$H$41))</f>
        <v>0</v>
      </c>
      <c r="PND28">
        <f t="array" ref="PND28">_xlfn.XLOOKUP(PND$11,Assumptions!$B$35:$H$35,_xlfn.XLOOKUP($C28,Assumptions!$B$36:$B$41,Assumptions!$B$36:$H$41))</f>
        <v>0</v>
      </c>
      <c r="PNE28">
        <f t="array" ref="PNE28">_xlfn.XLOOKUP(PNE$11,Assumptions!$B$35:$H$35,_xlfn.XLOOKUP($C28,Assumptions!$B$36:$B$41,Assumptions!$B$36:$H$41))</f>
        <v>0</v>
      </c>
      <c r="PNF28">
        <f t="array" ref="PNF28">_xlfn.XLOOKUP(PNF$11,Assumptions!$B$35:$H$35,_xlfn.XLOOKUP($C28,Assumptions!$B$36:$B$41,Assumptions!$B$36:$H$41))</f>
        <v>0</v>
      </c>
      <c r="PNG28">
        <f t="array" ref="PNG28">_xlfn.XLOOKUP(PNG$11,Assumptions!$B$35:$H$35,_xlfn.XLOOKUP($C28,Assumptions!$B$36:$B$41,Assumptions!$B$36:$H$41))</f>
        <v>0</v>
      </c>
      <c r="PNH28">
        <f t="array" ref="PNH28">_xlfn.XLOOKUP(PNH$11,Assumptions!$B$35:$H$35,_xlfn.XLOOKUP($C28,Assumptions!$B$36:$B$41,Assumptions!$B$36:$H$41))</f>
        <v>0</v>
      </c>
      <c r="PNI28">
        <f t="array" ref="PNI28">_xlfn.XLOOKUP(PNI$11,Assumptions!$B$35:$H$35,_xlfn.XLOOKUP($C28,Assumptions!$B$36:$B$41,Assumptions!$B$36:$H$41))</f>
        <v>0</v>
      </c>
      <c r="PNJ28">
        <f t="array" ref="PNJ28">_xlfn.XLOOKUP(PNJ$11,Assumptions!$B$35:$H$35,_xlfn.XLOOKUP($C28,Assumptions!$B$36:$B$41,Assumptions!$B$36:$H$41))</f>
        <v>0</v>
      </c>
      <c r="PNK28">
        <f t="array" ref="PNK28">_xlfn.XLOOKUP(PNK$11,Assumptions!$B$35:$H$35,_xlfn.XLOOKUP($C28,Assumptions!$B$36:$B$41,Assumptions!$B$36:$H$41))</f>
        <v>0</v>
      </c>
      <c r="PNL28">
        <f t="array" ref="PNL28">_xlfn.XLOOKUP(PNL$11,Assumptions!$B$35:$H$35,_xlfn.XLOOKUP($C28,Assumptions!$B$36:$B$41,Assumptions!$B$36:$H$41))</f>
        <v>0</v>
      </c>
      <c r="PNM28">
        <f t="array" ref="PNM28">_xlfn.XLOOKUP(PNM$11,Assumptions!$B$35:$H$35,_xlfn.XLOOKUP($C28,Assumptions!$B$36:$B$41,Assumptions!$B$36:$H$41))</f>
        <v>0</v>
      </c>
      <c r="PNN28">
        <f t="array" ref="PNN28">_xlfn.XLOOKUP(PNN$11,Assumptions!$B$35:$H$35,_xlfn.XLOOKUP($C28,Assumptions!$B$36:$B$41,Assumptions!$B$36:$H$41))</f>
        <v>0</v>
      </c>
      <c r="PNO28">
        <f t="array" ref="PNO28">_xlfn.XLOOKUP(PNO$11,Assumptions!$B$35:$H$35,_xlfn.XLOOKUP($C28,Assumptions!$B$36:$B$41,Assumptions!$B$36:$H$41))</f>
        <v>0</v>
      </c>
      <c r="PNP28">
        <f t="array" ref="PNP28">_xlfn.XLOOKUP(PNP$11,Assumptions!$B$35:$H$35,_xlfn.XLOOKUP($C28,Assumptions!$B$36:$B$41,Assumptions!$B$36:$H$41))</f>
        <v>0</v>
      </c>
      <c r="PNQ28">
        <f t="array" ref="PNQ28">_xlfn.XLOOKUP(PNQ$11,Assumptions!$B$35:$H$35,_xlfn.XLOOKUP($C28,Assumptions!$B$36:$B$41,Assumptions!$B$36:$H$41))</f>
        <v>0</v>
      </c>
      <c r="PNR28">
        <f t="array" ref="PNR28">_xlfn.XLOOKUP(PNR$11,Assumptions!$B$35:$H$35,_xlfn.XLOOKUP($C28,Assumptions!$B$36:$B$41,Assumptions!$B$36:$H$41))</f>
        <v>0</v>
      </c>
      <c r="PNS28">
        <f t="array" ref="PNS28">_xlfn.XLOOKUP(PNS$11,Assumptions!$B$35:$H$35,_xlfn.XLOOKUP($C28,Assumptions!$B$36:$B$41,Assumptions!$B$36:$H$41))</f>
        <v>0</v>
      </c>
      <c r="PNT28">
        <f t="array" ref="PNT28">_xlfn.XLOOKUP(PNT$11,Assumptions!$B$35:$H$35,_xlfn.XLOOKUP($C28,Assumptions!$B$36:$B$41,Assumptions!$B$36:$H$41))</f>
        <v>0</v>
      </c>
      <c r="PNU28">
        <f t="array" ref="PNU28">_xlfn.XLOOKUP(PNU$11,Assumptions!$B$35:$H$35,_xlfn.XLOOKUP($C28,Assumptions!$B$36:$B$41,Assumptions!$B$36:$H$41))</f>
        <v>0</v>
      </c>
      <c r="PNV28">
        <f t="array" ref="PNV28">_xlfn.XLOOKUP(PNV$11,Assumptions!$B$35:$H$35,_xlfn.XLOOKUP($C28,Assumptions!$B$36:$B$41,Assumptions!$B$36:$H$41))</f>
        <v>0</v>
      </c>
      <c r="PNW28">
        <f t="array" ref="PNW28">_xlfn.XLOOKUP(PNW$11,Assumptions!$B$35:$H$35,_xlfn.XLOOKUP($C28,Assumptions!$B$36:$B$41,Assumptions!$B$36:$H$41))</f>
        <v>0</v>
      </c>
      <c r="PNX28">
        <f t="array" ref="PNX28">_xlfn.XLOOKUP(PNX$11,Assumptions!$B$35:$H$35,_xlfn.XLOOKUP($C28,Assumptions!$B$36:$B$41,Assumptions!$B$36:$H$41))</f>
        <v>0</v>
      </c>
      <c r="PNY28">
        <f t="array" ref="PNY28">_xlfn.XLOOKUP(PNY$11,Assumptions!$B$35:$H$35,_xlfn.XLOOKUP($C28,Assumptions!$B$36:$B$41,Assumptions!$B$36:$H$41))</f>
        <v>0</v>
      </c>
      <c r="PNZ28">
        <f t="array" ref="PNZ28">_xlfn.XLOOKUP(PNZ$11,Assumptions!$B$35:$H$35,_xlfn.XLOOKUP($C28,Assumptions!$B$36:$B$41,Assumptions!$B$36:$H$41))</f>
        <v>0</v>
      </c>
      <c r="POA28">
        <f t="array" ref="POA28">_xlfn.XLOOKUP(POA$11,Assumptions!$B$35:$H$35,_xlfn.XLOOKUP($C28,Assumptions!$B$36:$B$41,Assumptions!$B$36:$H$41))</f>
        <v>0</v>
      </c>
      <c r="POB28">
        <f t="array" ref="POB28">_xlfn.XLOOKUP(POB$11,Assumptions!$B$35:$H$35,_xlfn.XLOOKUP($C28,Assumptions!$B$36:$B$41,Assumptions!$B$36:$H$41))</f>
        <v>0</v>
      </c>
      <c r="POC28">
        <f t="array" ref="POC28">_xlfn.XLOOKUP(POC$11,Assumptions!$B$35:$H$35,_xlfn.XLOOKUP($C28,Assumptions!$B$36:$B$41,Assumptions!$B$36:$H$41))</f>
        <v>0</v>
      </c>
      <c r="POD28">
        <f t="array" ref="POD28">_xlfn.XLOOKUP(POD$11,Assumptions!$B$35:$H$35,_xlfn.XLOOKUP($C28,Assumptions!$B$36:$B$41,Assumptions!$B$36:$H$41))</f>
        <v>0</v>
      </c>
      <c r="POE28">
        <f t="array" ref="POE28">_xlfn.XLOOKUP(POE$11,Assumptions!$B$35:$H$35,_xlfn.XLOOKUP($C28,Assumptions!$B$36:$B$41,Assumptions!$B$36:$H$41))</f>
        <v>0</v>
      </c>
      <c r="POF28">
        <f t="array" ref="POF28">_xlfn.XLOOKUP(POF$11,Assumptions!$B$35:$H$35,_xlfn.XLOOKUP($C28,Assumptions!$B$36:$B$41,Assumptions!$B$36:$H$41))</f>
        <v>0</v>
      </c>
      <c r="POG28">
        <f t="array" ref="POG28">_xlfn.XLOOKUP(POG$11,Assumptions!$B$35:$H$35,_xlfn.XLOOKUP($C28,Assumptions!$B$36:$B$41,Assumptions!$B$36:$H$41))</f>
        <v>0</v>
      </c>
      <c r="POH28">
        <f t="array" ref="POH28">_xlfn.XLOOKUP(POH$11,Assumptions!$B$35:$H$35,_xlfn.XLOOKUP($C28,Assumptions!$B$36:$B$41,Assumptions!$B$36:$H$41))</f>
        <v>0</v>
      </c>
      <c r="POI28">
        <f t="array" ref="POI28">_xlfn.XLOOKUP(POI$11,Assumptions!$B$35:$H$35,_xlfn.XLOOKUP($C28,Assumptions!$B$36:$B$41,Assumptions!$B$36:$H$41))</f>
        <v>0</v>
      </c>
      <c r="POJ28">
        <f t="array" ref="POJ28">_xlfn.XLOOKUP(POJ$11,Assumptions!$B$35:$H$35,_xlfn.XLOOKUP($C28,Assumptions!$B$36:$B$41,Assumptions!$B$36:$H$41))</f>
        <v>0</v>
      </c>
      <c r="POK28">
        <f t="array" ref="POK28">_xlfn.XLOOKUP(POK$11,Assumptions!$B$35:$H$35,_xlfn.XLOOKUP($C28,Assumptions!$B$36:$B$41,Assumptions!$B$36:$H$41))</f>
        <v>0</v>
      </c>
      <c r="POL28">
        <f t="array" ref="POL28">_xlfn.XLOOKUP(POL$11,Assumptions!$B$35:$H$35,_xlfn.XLOOKUP($C28,Assumptions!$B$36:$B$41,Assumptions!$B$36:$H$41))</f>
        <v>0</v>
      </c>
      <c r="POM28">
        <f t="array" ref="POM28">_xlfn.XLOOKUP(POM$11,Assumptions!$B$35:$H$35,_xlfn.XLOOKUP($C28,Assumptions!$B$36:$B$41,Assumptions!$B$36:$H$41))</f>
        <v>0</v>
      </c>
      <c r="PON28">
        <f t="array" ref="PON28">_xlfn.XLOOKUP(PON$11,Assumptions!$B$35:$H$35,_xlfn.XLOOKUP($C28,Assumptions!$B$36:$B$41,Assumptions!$B$36:$H$41))</f>
        <v>0</v>
      </c>
      <c r="POO28">
        <f t="array" ref="POO28">_xlfn.XLOOKUP(POO$11,Assumptions!$B$35:$H$35,_xlfn.XLOOKUP($C28,Assumptions!$B$36:$B$41,Assumptions!$B$36:$H$41))</f>
        <v>0</v>
      </c>
      <c r="POP28">
        <f t="array" ref="POP28">_xlfn.XLOOKUP(POP$11,Assumptions!$B$35:$H$35,_xlfn.XLOOKUP($C28,Assumptions!$B$36:$B$41,Assumptions!$B$36:$H$41))</f>
        <v>0</v>
      </c>
      <c r="POQ28">
        <f t="array" ref="POQ28">_xlfn.XLOOKUP(POQ$11,Assumptions!$B$35:$H$35,_xlfn.XLOOKUP($C28,Assumptions!$B$36:$B$41,Assumptions!$B$36:$H$41))</f>
        <v>0</v>
      </c>
      <c r="POR28">
        <f t="array" ref="POR28">_xlfn.XLOOKUP(POR$11,Assumptions!$B$35:$H$35,_xlfn.XLOOKUP($C28,Assumptions!$B$36:$B$41,Assumptions!$B$36:$H$41))</f>
        <v>0</v>
      </c>
      <c r="POS28">
        <f t="array" ref="POS28">_xlfn.XLOOKUP(POS$11,Assumptions!$B$35:$H$35,_xlfn.XLOOKUP($C28,Assumptions!$B$36:$B$41,Assumptions!$B$36:$H$41))</f>
        <v>0</v>
      </c>
      <c r="POT28">
        <f t="array" ref="POT28">_xlfn.XLOOKUP(POT$11,Assumptions!$B$35:$H$35,_xlfn.XLOOKUP($C28,Assumptions!$B$36:$B$41,Assumptions!$B$36:$H$41))</f>
        <v>0</v>
      </c>
      <c r="POU28">
        <f t="array" ref="POU28">_xlfn.XLOOKUP(POU$11,Assumptions!$B$35:$H$35,_xlfn.XLOOKUP($C28,Assumptions!$B$36:$B$41,Assumptions!$B$36:$H$41))</f>
        <v>0</v>
      </c>
      <c r="POV28">
        <f t="array" ref="POV28">_xlfn.XLOOKUP(POV$11,Assumptions!$B$35:$H$35,_xlfn.XLOOKUP($C28,Assumptions!$B$36:$B$41,Assumptions!$B$36:$H$41))</f>
        <v>0</v>
      </c>
      <c r="POW28">
        <f t="array" ref="POW28">_xlfn.XLOOKUP(POW$11,Assumptions!$B$35:$H$35,_xlfn.XLOOKUP($C28,Assumptions!$B$36:$B$41,Assumptions!$B$36:$H$41))</f>
        <v>0</v>
      </c>
      <c r="POX28">
        <f t="array" ref="POX28">_xlfn.XLOOKUP(POX$11,Assumptions!$B$35:$H$35,_xlfn.XLOOKUP($C28,Assumptions!$B$36:$B$41,Assumptions!$B$36:$H$41))</f>
        <v>0</v>
      </c>
      <c r="POY28">
        <f t="array" ref="POY28">_xlfn.XLOOKUP(POY$11,Assumptions!$B$35:$H$35,_xlfn.XLOOKUP($C28,Assumptions!$B$36:$B$41,Assumptions!$B$36:$H$41))</f>
        <v>0</v>
      </c>
      <c r="POZ28">
        <f t="array" ref="POZ28">_xlfn.XLOOKUP(POZ$11,Assumptions!$B$35:$H$35,_xlfn.XLOOKUP($C28,Assumptions!$B$36:$B$41,Assumptions!$B$36:$H$41))</f>
        <v>0</v>
      </c>
      <c r="PPA28">
        <f t="array" ref="PPA28">_xlfn.XLOOKUP(PPA$11,Assumptions!$B$35:$H$35,_xlfn.XLOOKUP($C28,Assumptions!$B$36:$B$41,Assumptions!$B$36:$H$41))</f>
        <v>0</v>
      </c>
      <c r="PPB28">
        <f t="array" ref="PPB28">_xlfn.XLOOKUP(PPB$11,Assumptions!$B$35:$H$35,_xlfn.XLOOKUP($C28,Assumptions!$B$36:$B$41,Assumptions!$B$36:$H$41))</f>
        <v>0</v>
      </c>
      <c r="PPC28">
        <f t="array" ref="PPC28">_xlfn.XLOOKUP(PPC$11,Assumptions!$B$35:$H$35,_xlfn.XLOOKUP($C28,Assumptions!$B$36:$B$41,Assumptions!$B$36:$H$41))</f>
        <v>0</v>
      </c>
      <c r="PPD28">
        <f t="array" ref="PPD28">_xlfn.XLOOKUP(PPD$11,Assumptions!$B$35:$H$35,_xlfn.XLOOKUP($C28,Assumptions!$B$36:$B$41,Assumptions!$B$36:$H$41))</f>
        <v>0</v>
      </c>
      <c r="PPE28">
        <f t="array" ref="PPE28">_xlfn.XLOOKUP(PPE$11,Assumptions!$B$35:$H$35,_xlfn.XLOOKUP($C28,Assumptions!$B$36:$B$41,Assumptions!$B$36:$H$41))</f>
        <v>0</v>
      </c>
      <c r="PPF28">
        <f t="array" ref="PPF28">_xlfn.XLOOKUP(PPF$11,Assumptions!$B$35:$H$35,_xlfn.XLOOKUP($C28,Assumptions!$B$36:$B$41,Assumptions!$B$36:$H$41))</f>
        <v>0</v>
      </c>
      <c r="PPG28">
        <f t="array" ref="PPG28">_xlfn.XLOOKUP(PPG$11,Assumptions!$B$35:$H$35,_xlfn.XLOOKUP($C28,Assumptions!$B$36:$B$41,Assumptions!$B$36:$H$41))</f>
        <v>0</v>
      </c>
      <c r="PPH28">
        <f t="array" ref="PPH28">_xlfn.XLOOKUP(PPH$11,Assumptions!$B$35:$H$35,_xlfn.XLOOKUP($C28,Assumptions!$B$36:$B$41,Assumptions!$B$36:$H$41))</f>
        <v>0</v>
      </c>
      <c r="PPI28">
        <f t="array" ref="PPI28">_xlfn.XLOOKUP(PPI$11,Assumptions!$B$35:$H$35,_xlfn.XLOOKUP($C28,Assumptions!$B$36:$B$41,Assumptions!$B$36:$H$41))</f>
        <v>0</v>
      </c>
      <c r="PPJ28">
        <f t="array" ref="PPJ28">_xlfn.XLOOKUP(PPJ$11,Assumptions!$B$35:$H$35,_xlfn.XLOOKUP($C28,Assumptions!$B$36:$B$41,Assumptions!$B$36:$H$41))</f>
        <v>0</v>
      </c>
      <c r="PPK28">
        <f t="array" ref="PPK28">_xlfn.XLOOKUP(PPK$11,Assumptions!$B$35:$H$35,_xlfn.XLOOKUP($C28,Assumptions!$B$36:$B$41,Assumptions!$B$36:$H$41))</f>
        <v>0</v>
      </c>
      <c r="PPL28">
        <f t="array" ref="PPL28">_xlfn.XLOOKUP(PPL$11,Assumptions!$B$35:$H$35,_xlfn.XLOOKUP($C28,Assumptions!$B$36:$B$41,Assumptions!$B$36:$H$41))</f>
        <v>0</v>
      </c>
      <c r="PPM28">
        <f t="array" ref="PPM28">_xlfn.XLOOKUP(PPM$11,Assumptions!$B$35:$H$35,_xlfn.XLOOKUP($C28,Assumptions!$B$36:$B$41,Assumptions!$B$36:$H$41))</f>
        <v>0</v>
      </c>
      <c r="PPN28">
        <f t="array" ref="PPN28">_xlfn.XLOOKUP(PPN$11,Assumptions!$B$35:$H$35,_xlfn.XLOOKUP($C28,Assumptions!$B$36:$B$41,Assumptions!$B$36:$H$41))</f>
        <v>0</v>
      </c>
      <c r="PPO28">
        <f t="array" ref="PPO28">_xlfn.XLOOKUP(PPO$11,Assumptions!$B$35:$H$35,_xlfn.XLOOKUP($C28,Assumptions!$B$36:$B$41,Assumptions!$B$36:$H$41))</f>
        <v>0</v>
      </c>
      <c r="PPP28">
        <f t="array" ref="PPP28">_xlfn.XLOOKUP(PPP$11,Assumptions!$B$35:$H$35,_xlfn.XLOOKUP($C28,Assumptions!$B$36:$B$41,Assumptions!$B$36:$H$41))</f>
        <v>0</v>
      </c>
      <c r="PPQ28">
        <f t="array" ref="PPQ28">_xlfn.XLOOKUP(PPQ$11,Assumptions!$B$35:$H$35,_xlfn.XLOOKUP($C28,Assumptions!$B$36:$B$41,Assumptions!$B$36:$H$41))</f>
        <v>0</v>
      </c>
      <c r="PPR28">
        <f t="array" ref="PPR28">_xlfn.XLOOKUP(PPR$11,Assumptions!$B$35:$H$35,_xlfn.XLOOKUP($C28,Assumptions!$B$36:$B$41,Assumptions!$B$36:$H$41))</f>
        <v>0</v>
      </c>
      <c r="PPS28">
        <f t="array" ref="PPS28">_xlfn.XLOOKUP(PPS$11,Assumptions!$B$35:$H$35,_xlfn.XLOOKUP($C28,Assumptions!$B$36:$B$41,Assumptions!$B$36:$H$41))</f>
        <v>0</v>
      </c>
      <c r="PPT28">
        <f t="array" ref="PPT28">_xlfn.XLOOKUP(PPT$11,Assumptions!$B$35:$H$35,_xlfn.XLOOKUP($C28,Assumptions!$B$36:$B$41,Assumptions!$B$36:$H$41))</f>
        <v>0</v>
      </c>
      <c r="PPU28">
        <f t="array" ref="PPU28">_xlfn.XLOOKUP(PPU$11,Assumptions!$B$35:$H$35,_xlfn.XLOOKUP($C28,Assumptions!$B$36:$B$41,Assumptions!$B$36:$H$41))</f>
        <v>0</v>
      </c>
      <c r="PPV28">
        <f t="array" ref="PPV28">_xlfn.XLOOKUP(PPV$11,Assumptions!$B$35:$H$35,_xlfn.XLOOKUP($C28,Assumptions!$B$36:$B$41,Assumptions!$B$36:$H$41))</f>
        <v>0</v>
      </c>
      <c r="PPW28">
        <f t="array" ref="PPW28">_xlfn.XLOOKUP(PPW$11,Assumptions!$B$35:$H$35,_xlfn.XLOOKUP($C28,Assumptions!$B$36:$B$41,Assumptions!$B$36:$H$41))</f>
        <v>0</v>
      </c>
      <c r="PPX28">
        <f t="array" ref="PPX28">_xlfn.XLOOKUP(PPX$11,Assumptions!$B$35:$H$35,_xlfn.XLOOKUP($C28,Assumptions!$B$36:$B$41,Assumptions!$B$36:$H$41))</f>
        <v>0</v>
      </c>
      <c r="PPY28">
        <f t="array" ref="PPY28">_xlfn.XLOOKUP(PPY$11,Assumptions!$B$35:$H$35,_xlfn.XLOOKUP($C28,Assumptions!$B$36:$B$41,Assumptions!$B$36:$H$41))</f>
        <v>0</v>
      </c>
      <c r="PPZ28">
        <f t="array" ref="PPZ28">_xlfn.XLOOKUP(PPZ$11,Assumptions!$B$35:$H$35,_xlfn.XLOOKUP($C28,Assumptions!$B$36:$B$41,Assumptions!$B$36:$H$41))</f>
        <v>0</v>
      </c>
      <c r="PQA28">
        <f t="array" ref="PQA28">_xlfn.XLOOKUP(PQA$11,Assumptions!$B$35:$H$35,_xlfn.XLOOKUP($C28,Assumptions!$B$36:$B$41,Assumptions!$B$36:$H$41))</f>
        <v>0</v>
      </c>
      <c r="PQB28">
        <f t="array" ref="PQB28">_xlfn.XLOOKUP(PQB$11,Assumptions!$B$35:$H$35,_xlfn.XLOOKUP($C28,Assumptions!$B$36:$B$41,Assumptions!$B$36:$H$41))</f>
        <v>0</v>
      </c>
      <c r="PQC28">
        <f t="array" ref="PQC28">_xlfn.XLOOKUP(PQC$11,Assumptions!$B$35:$H$35,_xlfn.XLOOKUP($C28,Assumptions!$B$36:$B$41,Assumptions!$B$36:$H$41))</f>
        <v>0</v>
      </c>
      <c r="PQD28">
        <f t="array" ref="PQD28">_xlfn.XLOOKUP(PQD$11,Assumptions!$B$35:$H$35,_xlfn.XLOOKUP($C28,Assumptions!$B$36:$B$41,Assumptions!$B$36:$H$41))</f>
        <v>0</v>
      </c>
      <c r="PQE28">
        <f t="array" ref="PQE28">_xlfn.XLOOKUP(PQE$11,Assumptions!$B$35:$H$35,_xlfn.XLOOKUP($C28,Assumptions!$B$36:$B$41,Assumptions!$B$36:$H$41))</f>
        <v>0</v>
      </c>
      <c r="PQF28">
        <f t="array" ref="PQF28">_xlfn.XLOOKUP(PQF$11,Assumptions!$B$35:$H$35,_xlfn.XLOOKUP($C28,Assumptions!$B$36:$B$41,Assumptions!$B$36:$H$41))</f>
        <v>0</v>
      </c>
      <c r="PQG28">
        <f t="array" ref="PQG28">_xlfn.XLOOKUP(PQG$11,Assumptions!$B$35:$H$35,_xlfn.XLOOKUP($C28,Assumptions!$B$36:$B$41,Assumptions!$B$36:$H$41))</f>
        <v>0</v>
      </c>
      <c r="PQH28">
        <f t="array" ref="PQH28">_xlfn.XLOOKUP(PQH$11,Assumptions!$B$35:$H$35,_xlfn.XLOOKUP($C28,Assumptions!$B$36:$B$41,Assumptions!$B$36:$H$41))</f>
        <v>0</v>
      </c>
      <c r="PQI28">
        <f t="array" ref="PQI28">_xlfn.XLOOKUP(PQI$11,Assumptions!$B$35:$H$35,_xlfn.XLOOKUP($C28,Assumptions!$B$36:$B$41,Assumptions!$B$36:$H$41))</f>
        <v>0</v>
      </c>
      <c r="PQJ28">
        <f t="array" ref="PQJ28">_xlfn.XLOOKUP(PQJ$11,Assumptions!$B$35:$H$35,_xlfn.XLOOKUP($C28,Assumptions!$B$36:$B$41,Assumptions!$B$36:$H$41))</f>
        <v>0</v>
      </c>
      <c r="PQK28">
        <f t="array" ref="PQK28">_xlfn.XLOOKUP(PQK$11,Assumptions!$B$35:$H$35,_xlfn.XLOOKUP($C28,Assumptions!$B$36:$B$41,Assumptions!$B$36:$H$41))</f>
        <v>0</v>
      </c>
      <c r="PQL28">
        <f t="array" ref="PQL28">_xlfn.XLOOKUP(PQL$11,Assumptions!$B$35:$H$35,_xlfn.XLOOKUP($C28,Assumptions!$B$36:$B$41,Assumptions!$B$36:$H$41))</f>
        <v>0</v>
      </c>
      <c r="PQM28">
        <f t="array" ref="PQM28">_xlfn.XLOOKUP(PQM$11,Assumptions!$B$35:$H$35,_xlfn.XLOOKUP($C28,Assumptions!$B$36:$B$41,Assumptions!$B$36:$H$41))</f>
        <v>0</v>
      </c>
      <c r="PQN28">
        <f t="array" ref="PQN28">_xlfn.XLOOKUP(PQN$11,Assumptions!$B$35:$H$35,_xlfn.XLOOKUP($C28,Assumptions!$B$36:$B$41,Assumptions!$B$36:$H$41))</f>
        <v>0</v>
      </c>
      <c r="PQO28">
        <f t="array" ref="PQO28">_xlfn.XLOOKUP(PQO$11,Assumptions!$B$35:$H$35,_xlfn.XLOOKUP($C28,Assumptions!$B$36:$B$41,Assumptions!$B$36:$H$41))</f>
        <v>0</v>
      </c>
      <c r="PQP28">
        <f t="array" ref="PQP28">_xlfn.XLOOKUP(PQP$11,Assumptions!$B$35:$H$35,_xlfn.XLOOKUP($C28,Assumptions!$B$36:$B$41,Assumptions!$B$36:$H$41))</f>
        <v>0</v>
      </c>
      <c r="PQQ28">
        <f t="array" ref="PQQ28">_xlfn.XLOOKUP(PQQ$11,Assumptions!$B$35:$H$35,_xlfn.XLOOKUP($C28,Assumptions!$B$36:$B$41,Assumptions!$B$36:$H$41))</f>
        <v>0</v>
      </c>
      <c r="PQR28">
        <f t="array" ref="PQR28">_xlfn.XLOOKUP(PQR$11,Assumptions!$B$35:$H$35,_xlfn.XLOOKUP($C28,Assumptions!$B$36:$B$41,Assumptions!$B$36:$H$41))</f>
        <v>0</v>
      </c>
      <c r="PQS28">
        <f t="array" ref="PQS28">_xlfn.XLOOKUP(PQS$11,Assumptions!$B$35:$H$35,_xlfn.XLOOKUP($C28,Assumptions!$B$36:$B$41,Assumptions!$B$36:$H$41))</f>
        <v>0</v>
      </c>
      <c r="PQT28">
        <f t="array" ref="PQT28">_xlfn.XLOOKUP(PQT$11,Assumptions!$B$35:$H$35,_xlfn.XLOOKUP($C28,Assumptions!$B$36:$B$41,Assumptions!$B$36:$H$41))</f>
        <v>0</v>
      </c>
      <c r="PQU28">
        <f t="array" ref="PQU28">_xlfn.XLOOKUP(PQU$11,Assumptions!$B$35:$H$35,_xlfn.XLOOKUP($C28,Assumptions!$B$36:$B$41,Assumptions!$B$36:$H$41))</f>
        <v>0</v>
      </c>
      <c r="PQV28">
        <f t="array" ref="PQV28">_xlfn.XLOOKUP(PQV$11,Assumptions!$B$35:$H$35,_xlfn.XLOOKUP($C28,Assumptions!$B$36:$B$41,Assumptions!$B$36:$H$41))</f>
        <v>0</v>
      </c>
      <c r="PQW28">
        <f t="array" ref="PQW28">_xlfn.XLOOKUP(PQW$11,Assumptions!$B$35:$H$35,_xlfn.XLOOKUP($C28,Assumptions!$B$36:$B$41,Assumptions!$B$36:$H$41))</f>
        <v>0</v>
      </c>
      <c r="PQX28">
        <f t="array" ref="PQX28">_xlfn.XLOOKUP(PQX$11,Assumptions!$B$35:$H$35,_xlfn.XLOOKUP($C28,Assumptions!$B$36:$B$41,Assumptions!$B$36:$H$41))</f>
        <v>0</v>
      </c>
      <c r="PQY28">
        <f t="array" ref="PQY28">_xlfn.XLOOKUP(PQY$11,Assumptions!$B$35:$H$35,_xlfn.XLOOKUP($C28,Assumptions!$B$36:$B$41,Assumptions!$B$36:$H$41))</f>
        <v>0</v>
      </c>
      <c r="PQZ28">
        <f t="array" ref="PQZ28">_xlfn.XLOOKUP(PQZ$11,Assumptions!$B$35:$H$35,_xlfn.XLOOKUP($C28,Assumptions!$B$36:$B$41,Assumptions!$B$36:$H$41))</f>
        <v>0</v>
      </c>
      <c r="PRA28">
        <f t="array" ref="PRA28">_xlfn.XLOOKUP(PRA$11,Assumptions!$B$35:$H$35,_xlfn.XLOOKUP($C28,Assumptions!$B$36:$B$41,Assumptions!$B$36:$H$41))</f>
        <v>0</v>
      </c>
      <c r="PRB28">
        <f t="array" ref="PRB28">_xlfn.XLOOKUP(PRB$11,Assumptions!$B$35:$H$35,_xlfn.XLOOKUP($C28,Assumptions!$B$36:$B$41,Assumptions!$B$36:$H$41))</f>
        <v>0</v>
      </c>
      <c r="PRC28">
        <f t="array" ref="PRC28">_xlfn.XLOOKUP(PRC$11,Assumptions!$B$35:$H$35,_xlfn.XLOOKUP($C28,Assumptions!$B$36:$B$41,Assumptions!$B$36:$H$41))</f>
        <v>0</v>
      </c>
      <c r="PRD28">
        <f t="array" ref="PRD28">_xlfn.XLOOKUP(PRD$11,Assumptions!$B$35:$H$35,_xlfn.XLOOKUP($C28,Assumptions!$B$36:$B$41,Assumptions!$B$36:$H$41))</f>
        <v>0</v>
      </c>
      <c r="PRE28">
        <f t="array" ref="PRE28">_xlfn.XLOOKUP(PRE$11,Assumptions!$B$35:$H$35,_xlfn.XLOOKUP($C28,Assumptions!$B$36:$B$41,Assumptions!$B$36:$H$41))</f>
        <v>0</v>
      </c>
      <c r="PRF28">
        <f t="array" ref="PRF28">_xlfn.XLOOKUP(PRF$11,Assumptions!$B$35:$H$35,_xlfn.XLOOKUP($C28,Assumptions!$B$36:$B$41,Assumptions!$B$36:$H$41))</f>
        <v>0</v>
      </c>
      <c r="PRG28">
        <f t="array" ref="PRG28">_xlfn.XLOOKUP(PRG$11,Assumptions!$B$35:$H$35,_xlfn.XLOOKUP($C28,Assumptions!$B$36:$B$41,Assumptions!$B$36:$H$41))</f>
        <v>0</v>
      </c>
      <c r="PRH28">
        <f t="array" ref="PRH28">_xlfn.XLOOKUP(PRH$11,Assumptions!$B$35:$H$35,_xlfn.XLOOKUP($C28,Assumptions!$B$36:$B$41,Assumptions!$B$36:$H$41))</f>
        <v>0</v>
      </c>
      <c r="PRI28">
        <f t="array" ref="PRI28">_xlfn.XLOOKUP(PRI$11,Assumptions!$B$35:$H$35,_xlfn.XLOOKUP($C28,Assumptions!$B$36:$B$41,Assumptions!$B$36:$H$41))</f>
        <v>0</v>
      </c>
      <c r="PRJ28">
        <f t="array" ref="PRJ28">_xlfn.XLOOKUP(PRJ$11,Assumptions!$B$35:$H$35,_xlfn.XLOOKUP($C28,Assumptions!$B$36:$B$41,Assumptions!$B$36:$H$41))</f>
        <v>0</v>
      </c>
      <c r="PRK28">
        <f t="array" ref="PRK28">_xlfn.XLOOKUP(PRK$11,Assumptions!$B$35:$H$35,_xlfn.XLOOKUP($C28,Assumptions!$B$36:$B$41,Assumptions!$B$36:$H$41))</f>
        <v>0</v>
      </c>
      <c r="PRL28">
        <f t="array" ref="PRL28">_xlfn.XLOOKUP(PRL$11,Assumptions!$B$35:$H$35,_xlfn.XLOOKUP($C28,Assumptions!$B$36:$B$41,Assumptions!$B$36:$H$41))</f>
        <v>0</v>
      </c>
      <c r="PRM28">
        <f t="array" ref="PRM28">_xlfn.XLOOKUP(PRM$11,Assumptions!$B$35:$H$35,_xlfn.XLOOKUP($C28,Assumptions!$B$36:$B$41,Assumptions!$B$36:$H$41))</f>
        <v>0</v>
      </c>
      <c r="PRN28">
        <f t="array" ref="PRN28">_xlfn.XLOOKUP(PRN$11,Assumptions!$B$35:$H$35,_xlfn.XLOOKUP($C28,Assumptions!$B$36:$B$41,Assumptions!$B$36:$H$41))</f>
        <v>0</v>
      </c>
      <c r="PRO28">
        <f t="array" ref="PRO28">_xlfn.XLOOKUP(PRO$11,Assumptions!$B$35:$H$35,_xlfn.XLOOKUP($C28,Assumptions!$B$36:$B$41,Assumptions!$B$36:$H$41))</f>
        <v>0</v>
      </c>
      <c r="PRP28">
        <f t="array" ref="PRP28">_xlfn.XLOOKUP(PRP$11,Assumptions!$B$35:$H$35,_xlfn.XLOOKUP($C28,Assumptions!$B$36:$B$41,Assumptions!$B$36:$H$41))</f>
        <v>0</v>
      </c>
      <c r="PRQ28">
        <f t="array" ref="PRQ28">_xlfn.XLOOKUP(PRQ$11,Assumptions!$B$35:$H$35,_xlfn.XLOOKUP($C28,Assumptions!$B$36:$B$41,Assumptions!$B$36:$H$41))</f>
        <v>0</v>
      </c>
      <c r="PRR28">
        <f t="array" ref="PRR28">_xlfn.XLOOKUP(PRR$11,Assumptions!$B$35:$H$35,_xlfn.XLOOKUP($C28,Assumptions!$B$36:$B$41,Assumptions!$B$36:$H$41))</f>
        <v>0</v>
      </c>
      <c r="PRS28">
        <f t="array" ref="PRS28">_xlfn.XLOOKUP(PRS$11,Assumptions!$B$35:$H$35,_xlfn.XLOOKUP($C28,Assumptions!$B$36:$B$41,Assumptions!$B$36:$H$41))</f>
        <v>0</v>
      </c>
      <c r="PRT28">
        <f t="array" ref="PRT28">_xlfn.XLOOKUP(PRT$11,Assumptions!$B$35:$H$35,_xlfn.XLOOKUP($C28,Assumptions!$B$36:$B$41,Assumptions!$B$36:$H$41))</f>
        <v>0</v>
      </c>
      <c r="PRU28">
        <f t="array" ref="PRU28">_xlfn.XLOOKUP(PRU$11,Assumptions!$B$35:$H$35,_xlfn.XLOOKUP($C28,Assumptions!$B$36:$B$41,Assumptions!$B$36:$H$41))</f>
        <v>0</v>
      </c>
      <c r="PRV28">
        <f t="array" ref="PRV28">_xlfn.XLOOKUP(PRV$11,Assumptions!$B$35:$H$35,_xlfn.XLOOKUP($C28,Assumptions!$B$36:$B$41,Assumptions!$B$36:$H$41))</f>
        <v>0</v>
      </c>
      <c r="PRW28">
        <f t="array" ref="PRW28">_xlfn.XLOOKUP(PRW$11,Assumptions!$B$35:$H$35,_xlfn.XLOOKUP($C28,Assumptions!$B$36:$B$41,Assumptions!$B$36:$H$41))</f>
        <v>0</v>
      </c>
      <c r="PRX28">
        <f t="array" ref="PRX28">_xlfn.XLOOKUP(PRX$11,Assumptions!$B$35:$H$35,_xlfn.XLOOKUP($C28,Assumptions!$B$36:$B$41,Assumptions!$B$36:$H$41))</f>
        <v>0</v>
      </c>
      <c r="PRY28">
        <f t="array" ref="PRY28">_xlfn.XLOOKUP(PRY$11,Assumptions!$B$35:$H$35,_xlfn.XLOOKUP($C28,Assumptions!$B$36:$B$41,Assumptions!$B$36:$H$41))</f>
        <v>0</v>
      </c>
      <c r="PRZ28">
        <f t="array" ref="PRZ28">_xlfn.XLOOKUP(PRZ$11,Assumptions!$B$35:$H$35,_xlfn.XLOOKUP($C28,Assumptions!$B$36:$B$41,Assumptions!$B$36:$H$41))</f>
        <v>0</v>
      </c>
      <c r="PSA28">
        <f t="array" ref="PSA28">_xlfn.XLOOKUP(PSA$11,Assumptions!$B$35:$H$35,_xlfn.XLOOKUP($C28,Assumptions!$B$36:$B$41,Assumptions!$B$36:$H$41))</f>
        <v>0</v>
      </c>
      <c r="PSB28">
        <f t="array" ref="PSB28">_xlfn.XLOOKUP(PSB$11,Assumptions!$B$35:$H$35,_xlfn.XLOOKUP($C28,Assumptions!$B$36:$B$41,Assumptions!$B$36:$H$41))</f>
        <v>0</v>
      </c>
      <c r="PSC28">
        <f t="array" ref="PSC28">_xlfn.XLOOKUP(PSC$11,Assumptions!$B$35:$H$35,_xlfn.XLOOKUP($C28,Assumptions!$B$36:$B$41,Assumptions!$B$36:$H$41))</f>
        <v>0</v>
      </c>
      <c r="PSD28">
        <f t="array" ref="PSD28">_xlfn.XLOOKUP(PSD$11,Assumptions!$B$35:$H$35,_xlfn.XLOOKUP($C28,Assumptions!$B$36:$B$41,Assumptions!$B$36:$H$41))</f>
        <v>0</v>
      </c>
      <c r="PSE28">
        <f t="array" ref="PSE28">_xlfn.XLOOKUP(PSE$11,Assumptions!$B$35:$H$35,_xlfn.XLOOKUP($C28,Assumptions!$B$36:$B$41,Assumptions!$B$36:$H$41))</f>
        <v>0</v>
      </c>
      <c r="PSF28">
        <f t="array" ref="PSF28">_xlfn.XLOOKUP(PSF$11,Assumptions!$B$35:$H$35,_xlfn.XLOOKUP($C28,Assumptions!$B$36:$B$41,Assumptions!$B$36:$H$41))</f>
        <v>0</v>
      </c>
      <c r="PSG28">
        <f t="array" ref="PSG28">_xlfn.XLOOKUP(PSG$11,Assumptions!$B$35:$H$35,_xlfn.XLOOKUP($C28,Assumptions!$B$36:$B$41,Assumptions!$B$36:$H$41))</f>
        <v>0</v>
      </c>
      <c r="PSH28">
        <f t="array" ref="PSH28">_xlfn.XLOOKUP(PSH$11,Assumptions!$B$35:$H$35,_xlfn.XLOOKUP($C28,Assumptions!$B$36:$B$41,Assumptions!$B$36:$H$41))</f>
        <v>0</v>
      </c>
      <c r="PSI28">
        <f t="array" ref="PSI28">_xlfn.XLOOKUP(PSI$11,Assumptions!$B$35:$H$35,_xlfn.XLOOKUP($C28,Assumptions!$B$36:$B$41,Assumptions!$B$36:$H$41))</f>
        <v>0</v>
      </c>
      <c r="PSJ28">
        <f t="array" ref="PSJ28">_xlfn.XLOOKUP(PSJ$11,Assumptions!$B$35:$H$35,_xlfn.XLOOKUP($C28,Assumptions!$B$36:$B$41,Assumptions!$B$36:$H$41))</f>
        <v>0</v>
      </c>
      <c r="PSK28">
        <f t="array" ref="PSK28">_xlfn.XLOOKUP(PSK$11,Assumptions!$B$35:$H$35,_xlfn.XLOOKUP($C28,Assumptions!$B$36:$B$41,Assumptions!$B$36:$H$41))</f>
        <v>0</v>
      </c>
      <c r="PSL28">
        <f t="array" ref="PSL28">_xlfn.XLOOKUP(PSL$11,Assumptions!$B$35:$H$35,_xlfn.XLOOKUP($C28,Assumptions!$B$36:$B$41,Assumptions!$B$36:$H$41))</f>
        <v>0</v>
      </c>
      <c r="PSM28">
        <f t="array" ref="PSM28">_xlfn.XLOOKUP(PSM$11,Assumptions!$B$35:$H$35,_xlfn.XLOOKUP($C28,Assumptions!$B$36:$B$41,Assumptions!$B$36:$H$41))</f>
        <v>0</v>
      </c>
      <c r="PSN28">
        <f t="array" ref="PSN28">_xlfn.XLOOKUP(PSN$11,Assumptions!$B$35:$H$35,_xlfn.XLOOKUP($C28,Assumptions!$B$36:$B$41,Assumptions!$B$36:$H$41))</f>
        <v>0</v>
      </c>
      <c r="PSO28">
        <f t="array" ref="PSO28">_xlfn.XLOOKUP(PSO$11,Assumptions!$B$35:$H$35,_xlfn.XLOOKUP($C28,Assumptions!$B$36:$B$41,Assumptions!$B$36:$H$41))</f>
        <v>0</v>
      </c>
      <c r="PSP28">
        <f t="array" ref="PSP28">_xlfn.XLOOKUP(PSP$11,Assumptions!$B$35:$H$35,_xlfn.XLOOKUP($C28,Assumptions!$B$36:$B$41,Assumptions!$B$36:$H$41))</f>
        <v>0</v>
      </c>
      <c r="PSQ28">
        <f t="array" ref="PSQ28">_xlfn.XLOOKUP(PSQ$11,Assumptions!$B$35:$H$35,_xlfn.XLOOKUP($C28,Assumptions!$B$36:$B$41,Assumptions!$B$36:$H$41))</f>
        <v>0</v>
      </c>
      <c r="PSR28">
        <f t="array" ref="PSR28">_xlfn.XLOOKUP(PSR$11,Assumptions!$B$35:$H$35,_xlfn.XLOOKUP($C28,Assumptions!$B$36:$B$41,Assumptions!$B$36:$H$41))</f>
        <v>0</v>
      </c>
      <c r="PSS28">
        <f t="array" ref="PSS28">_xlfn.XLOOKUP(PSS$11,Assumptions!$B$35:$H$35,_xlfn.XLOOKUP($C28,Assumptions!$B$36:$B$41,Assumptions!$B$36:$H$41))</f>
        <v>0</v>
      </c>
      <c r="PST28">
        <f t="array" ref="PST28">_xlfn.XLOOKUP(PST$11,Assumptions!$B$35:$H$35,_xlfn.XLOOKUP($C28,Assumptions!$B$36:$B$41,Assumptions!$B$36:$H$41))</f>
        <v>0</v>
      </c>
      <c r="PSU28">
        <f t="array" ref="PSU28">_xlfn.XLOOKUP(PSU$11,Assumptions!$B$35:$H$35,_xlfn.XLOOKUP($C28,Assumptions!$B$36:$B$41,Assumptions!$B$36:$H$41))</f>
        <v>0</v>
      </c>
      <c r="PSV28">
        <f t="array" ref="PSV28">_xlfn.XLOOKUP(PSV$11,Assumptions!$B$35:$H$35,_xlfn.XLOOKUP($C28,Assumptions!$B$36:$B$41,Assumptions!$B$36:$H$41))</f>
        <v>0</v>
      </c>
      <c r="PSW28">
        <f t="array" ref="PSW28">_xlfn.XLOOKUP(PSW$11,Assumptions!$B$35:$H$35,_xlfn.XLOOKUP($C28,Assumptions!$B$36:$B$41,Assumptions!$B$36:$H$41))</f>
        <v>0</v>
      </c>
      <c r="PSX28">
        <f t="array" ref="PSX28">_xlfn.XLOOKUP(PSX$11,Assumptions!$B$35:$H$35,_xlfn.XLOOKUP($C28,Assumptions!$B$36:$B$41,Assumptions!$B$36:$H$41))</f>
        <v>0</v>
      </c>
      <c r="PSY28">
        <f t="array" ref="PSY28">_xlfn.XLOOKUP(PSY$11,Assumptions!$B$35:$H$35,_xlfn.XLOOKUP($C28,Assumptions!$B$36:$B$41,Assumptions!$B$36:$H$41))</f>
        <v>0</v>
      </c>
      <c r="PSZ28">
        <f t="array" ref="PSZ28">_xlfn.XLOOKUP(PSZ$11,Assumptions!$B$35:$H$35,_xlfn.XLOOKUP($C28,Assumptions!$B$36:$B$41,Assumptions!$B$36:$H$41))</f>
        <v>0</v>
      </c>
      <c r="PTA28">
        <f t="array" ref="PTA28">_xlfn.XLOOKUP(PTA$11,Assumptions!$B$35:$H$35,_xlfn.XLOOKUP($C28,Assumptions!$B$36:$B$41,Assumptions!$B$36:$H$41))</f>
        <v>0</v>
      </c>
      <c r="PTB28">
        <f t="array" ref="PTB28">_xlfn.XLOOKUP(PTB$11,Assumptions!$B$35:$H$35,_xlfn.XLOOKUP($C28,Assumptions!$B$36:$B$41,Assumptions!$B$36:$H$41))</f>
        <v>0</v>
      </c>
      <c r="PTC28">
        <f t="array" ref="PTC28">_xlfn.XLOOKUP(PTC$11,Assumptions!$B$35:$H$35,_xlfn.XLOOKUP($C28,Assumptions!$B$36:$B$41,Assumptions!$B$36:$H$41))</f>
        <v>0</v>
      </c>
      <c r="PTD28">
        <f t="array" ref="PTD28">_xlfn.XLOOKUP(PTD$11,Assumptions!$B$35:$H$35,_xlfn.XLOOKUP($C28,Assumptions!$B$36:$B$41,Assumptions!$B$36:$H$41))</f>
        <v>0</v>
      </c>
      <c r="PTE28">
        <f t="array" ref="PTE28">_xlfn.XLOOKUP(PTE$11,Assumptions!$B$35:$H$35,_xlfn.XLOOKUP($C28,Assumptions!$B$36:$B$41,Assumptions!$B$36:$H$41))</f>
        <v>0</v>
      </c>
      <c r="PTF28">
        <f t="array" ref="PTF28">_xlfn.XLOOKUP(PTF$11,Assumptions!$B$35:$H$35,_xlfn.XLOOKUP($C28,Assumptions!$B$36:$B$41,Assumptions!$B$36:$H$41))</f>
        <v>0</v>
      </c>
      <c r="PTG28">
        <f t="array" ref="PTG28">_xlfn.XLOOKUP(PTG$11,Assumptions!$B$35:$H$35,_xlfn.XLOOKUP($C28,Assumptions!$B$36:$B$41,Assumptions!$B$36:$H$41))</f>
        <v>0</v>
      </c>
      <c r="PTH28">
        <f t="array" ref="PTH28">_xlfn.XLOOKUP(PTH$11,Assumptions!$B$35:$H$35,_xlfn.XLOOKUP($C28,Assumptions!$B$36:$B$41,Assumptions!$B$36:$H$41))</f>
        <v>0</v>
      </c>
      <c r="PTI28">
        <f t="array" ref="PTI28">_xlfn.XLOOKUP(PTI$11,Assumptions!$B$35:$H$35,_xlfn.XLOOKUP($C28,Assumptions!$B$36:$B$41,Assumptions!$B$36:$H$41))</f>
        <v>0</v>
      </c>
      <c r="PTJ28">
        <f t="array" ref="PTJ28">_xlfn.XLOOKUP(PTJ$11,Assumptions!$B$35:$H$35,_xlfn.XLOOKUP($C28,Assumptions!$B$36:$B$41,Assumptions!$B$36:$H$41))</f>
        <v>0</v>
      </c>
      <c r="PTK28">
        <f t="array" ref="PTK28">_xlfn.XLOOKUP(PTK$11,Assumptions!$B$35:$H$35,_xlfn.XLOOKUP($C28,Assumptions!$B$36:$B$41,Assumptions!$B$36:$H$41))</f>
        <v>0</v>
      </c>
      <c r="PTL28">
        <f t="array" ref="PTL28">_xlfn.XLOOKUP(PTL$11,Assumptions!$B$35:$H$35,_xlfn.XLOOKUP($C28,Assumptions!$B$36:$B$41,Assumptions!$B$36:$H$41))</f>
        <v>0</v>
      </c>
      <c r="PTM28">
        <f t="array" ref="PTM28">_xlfn.XLOOKUP(PTM$11,Assumptions!$B$35:$H$35,_xlfn.XLOOKUP($C28,Assumptions!$B$36:$B$41,Assumptions!$B$36:$H$41))</f>
        <v>0</v>
      </c>
      <c r="PTN28">
        <f t="array" ref="PTN28">_xlfn.XLOOKUP(PTN$11,Assumptions!$B$35:$H$35,_xlfn.XLOOKUP($C28,Assumptions!$B$36:$B$41,Assumptions!$B$36:$H$41))</f>
        <v>0</v>
      </c>
      <c r="PTO28">
        <f t="array" ref="PTO28">_xlfn.XLOOKUP(PTO$11,Assumptions!$B$35:$H$35,_xlfn.XLOOKUP($C28,Assumptions!$B$36:$B$41,Assumptions!$B$36:$H$41))</f>
        <v>0</v>
      </c>
      <c r="PTP28">
        <f t="array" ref="PTP28">_xlfn.XLOOKUP(PTP$11,Assumptions!$B$35:$H$35,_xlfn.XLOOKUP($C28,Assumptions!$B$36:$B$41,Assumptions!$B$36:$H$41))</f>
        <v>0</v>
      </c>
      <c r="PTQ28">
        <f t="array" ref="PTQ28">_xlfn.XLOOKUP(PTQ$11,Assumptions!$B$35:$H$35,_xlfn.XLOOKUP($C28,Assumptions!$B$36:$B$41,Assumptions!$B$36:$H$41))</f>
        <v>0</v>
      </c>
      <c r="PTR28">
        <f t="array" ref="PTR28">_xlfn.XLOOKUP(PTR$11,Assumptions!$B$35:$H$35,_xlfn.XLOOKUP($C28,Assumptions!$B$36:$B$41,Assumptions!$B$36:$H$41))</f>
        <v>0</v>
      </c>
      <c r="PTS28">
        <f t="array" ref="PTS28">_xlfn.XLOOKUP(PTS$11,Assumptions!$B$35:$H$35,_xlfn.XLOOKUP($C28,Assumptions!$B$36:$B$41,Assumptions!$B$36:$H$41))</f>
        <v>0</v>
      </c>
      <c r="PTT28">
        <f t="array" ref="PTT28">_xlfn.XLOOKUP(PTT$11,Assumptions!$B$35:$H$35,_xlfn.XLOOKUP($C28,Assumptions!$B$36:$B$41,Assumptions!$B$36:$H$41))</f>
        <v>0</v>
      </c>
      <c r="PTU28">
        <f t="array" ref="PTU28">_xlfn.XLOOKUP(PTU$11,Assumptions!$B$35:$H$35,_xlfn.XLOOKUP($C28,Assumptions!$B$36:$B$41,Assumptions!$B$36:$H$41))</f>
        <v>0</v>
      </c>
      <c r="PTV28">
        <f t="array" ref="PTV28">_xlfn.XLOOKUP(PTV$11,Assumptions!$B$35:$H$35,_xlfn.XLOOKUP($C28,Assumptions!$B$36:$B$41,Assumptions!$B$36:$H$41))</f>
        <v>0</v>
      </c>
      <c r="PTW28">
        <f t="array" ref="PTW28">_xlfn.XLOOKUP(PTW$11,Assumptions!$B$35:$H$35,_xlfn.XLOOKUP($C28,Assumptions!$B$36:$B$41,Assumptions!$B$36:$H$41))</f>
        <v>0</v>
      </c>
      <c r="PTX28">
        <f t="array" ref="PTX28">_xlfn.XLOOKUP(PTX$11,Assumptions!$B$35:$H$35,_xlfn.XLOOKUP($C28,Assumptions!$B$36:$B$41,Assumptions!$B$36:$H$41))</f>
        <v>0</v>
      </c>
      <c r="PTY28">
        <f t="array" ref="PTY28">_xlfn.XLOOKUP(PTY$11,Assumptions!$B$35:$H$35,_xlfn.XLOOKUP($C28,Assumptions!$B$36:$B$41,Assumptions!$B$36:$H$41))</f>
        <v>0</v>
      </c>
      <c r="PTZ28">
        <f t="array" ref="PTZ28">_xlfn.XLOOKUP(PTZ$11,Assumptions!$B$35:$H$35,_xlfn.XLOOKUP($C28,Assumptions!$B$36:$B$41,Assumptions!$B$36:$H$41))</f>
        <v>0</v>
      </c>
      <c r="PUA28">
        <f t="array" ref="PUA28">_xlfn.XLOOKUP(PUA$11,Assumptions!$B$35:$H$35,_xlfn.XLOOKUP($C28,Assumptions!$B$36:$B$41,Assumptions!$B$36:$H$41))</f>
        <v>0</v>
      </c>
      <c r="PUB28">
        <f t="array" ref="PUB28">_xlfn.XLOOKUP(PUB$11,Assumptions!$B$35:$H$35,_xlfn.XLOOKUP($C28,Assumptions!$B$36:$B$41,Assumptions!$B$36:$H$41))</f>
        <v>0</v>
      </c>
      <c r="PUC28">
        <f t="array" ref="PUC28">_xlfn.XLOOKUP(PUC$11,Assumptions!$B$35:$H$35,_xlfn.XLOOKUP($C28,Assumptions!$B$36:$B$41,Assumptions!$B$36:$H$41))</f>
        <v>0</v>
      </c>
      <c r="PUD28">
        <f t="array" ref="PUD28">_xlfn.XLOOKUP(PUD$11,Assumptions!$B$35:$H$35,_xlfn.XLOOKUP($C28,Assumptions!$B$36:$B$41,Assumptions!$B$36:$H$41))</f>
        <v>0</v>
      </c>
      <c r="PUE28">
        <f t="array" ref="PUE28">_xlfn.XLOOKUP(PUE$11,Assumptions!$B$35:$H$35,_xlfn.XLOOKUP($C28,Assumptions!$B$36:$B$41,Assumptions!$B$36:$H$41))</f>
        <v>0</v>
      </c>
      <c r="PUF28">
        <f t="array" ref="PUF28">_xlfn.XLOOKUP(PUF$11,Assumptions!$B$35:$H$35,_xlfn.XLOOKUP($C28,Assumptions!$B$36:$B$41,Assumptions!$B$36:$H$41))</f>
        <v>0</v>
      </c>
      <c r="PUG28">
        <f t="array" ref="PUG28">_xlfn.XLOOKUP(PUG$11,Assumptions!$B$35:$H$35,_xlfn.XLOOKUP($C28,Assumptions!$B$36:$B$41,Assumptions!$B$36:$H$41))</f>
        <v>0</v>
      </c>
      <c r="PUH28">
        <f t="array" ref="PUH28">_xlfn.XLOOKUP(PUH$11,Assumptions!$B$35:$H$35,_xlfn.XLOOKUP($C28,Assumptions!$B$36:$B$41,Assumptions!$B$36:$H$41))</f>
        <v>0</v>
      </c>
      <c r="PUI28">
        <f t="array" ref="PUI28">_xlfn.XLOOKUP(PUI$11,Assumptions!$B$35:$H$35,_xlfn.XLOOKUP($C28,Assumptions!$B$36:$B$41,Assumptions!$B$36:$H$41))</f>
        <v>0</v>
      </c>
      <c r="PUJ28">
        <f t="array" ref="PUJ28">_xlfn.XLOOKUP(PUJ$11,Assumptions!$B$35:$H$35,_xlfn.XLOOKUP($C28,Assumptions!$B$36:$B$41,Assumptions!$B$36:$H$41))</f>
        <v>0</v>
      </c>
      <c r="PUK28">
        <f t="array" ref="PUK28">_xlfn.XLOOKUP(PUK$11,Assumptions!$B$35:$H$35,_xlfn.XLOOKUP($C28,Assumptions!$B$36:$B$41,Assumptions!$B$36:$H$41))</f>
        <v>0</v>
      </c>
      <c r="PUL28">
        <f t="array" ref="PUL28">_xlfn.XLOOKUP(PUL$11,Assumptions!$B$35:$H$35,_xlfn.XLOOKUP($C28,Assumptions!$B$36:$B$41,Assumptions!$B$36:$H$41))</f>
        <v>0</v>
      </c>
      <c r="PUM28">
        <f t="array" ref="PUM28">_xlfn.XLOOKUP(PUM$11,Assumptions!$B$35:$H$35,_xlfn.XLOOKUP($C28,Assumptions!$B$36:$B$41,Assumptions!$B$36:$H$41))</f>
        <v>0</v>
      </c>
      <c r="PUN28">
        <f t="array" ref="PUN28">_xlfn.XLOOKUP(PUN$11,Assumptions!$B$35:$H$35,_xlfn.XLOOKUP($C28,Assumptions!$B$36:$B$41,Assumptions!$B$36:$H$41))</f>
        <v>0</v>
      </c>
      <c r="PUO28">
        <f t="array" ref="PUO28">_xlfn.XLOOKUP(PUO$11,Assumptions!$B$35:$H$35,_xlfn.XLOOKUP($C28,Assumptions!$B$36:$B$41,Assumptions!$B$36:$H$41))</f>
        <v>0</v>
      </c>
      <c r="PUP28">
        <f t="array" ref="PUP28">_xlfn.XLOOKUP(PUP$11,Assumptions!$B$35:$H$35,_xlfn.XLOOKUP($C28,Assumptions!$B$36:$B$41,Assumptions!$B$36:$H$41))</f>
        <v>0</v>
      </c>
      <c r="PUQ28">
        <f t="array" ref="PUQ28">_xlfn.XLOOKUP(PUQ$11,Assumptions!$B$35:$H$35,_xlfn.XLOOKUP($C28,Assumptions!$B$36:$B$41,Assumptions!$B$36:$H$41))</f>
        <v>0</v>
      </c>
      <c r="PUR28">
        <f t="array" ref="PUR28">_xlfn.XLOOKUP(PUR$11,Assumptions!$B$35:$H$35,_xlfn.XLOOKUP($C28,Assumptions!$B$36:$B$41,Assumptions!$B$36:$H$41))</f>
        <v>0</v>
      </c>
      <c r="PUS28">
        <f t="array" ref="PUS28">_xlfn.XLOOKUP(PUS$11,Assumptions!$B$35:$H$35,_xlfn.XLOOKUP($C28,Assumptions!$B$36:$B$41,Assumptions!$B$36:$H$41))</f>
        <v>0</v>
      </c>
      <c r="PUT28">
        <f t="array" ref="PUT28">_xlfn.XLOOKUP(PUT$11,Assumptions!$B$35:$H$35,_xlfn.XLOOKUP($C28,Assumptions!$B$36:$B$41,Assumptions!$B$36:$H$41))</f>
        <v>0</v>
      </c>
      <c r="PUU28">
        <f t="array" ref="PUU28">_xlfn.XLOOKUP(PUU$11,Assumptions!$B$35:$H$35,_xlfn.XLOOKUP($C28,Assumptions!$B$36:$B$41,Assumptions!$B$36:$H$41))</f>
        <v>0</v>
      </c>
      <c r="PUV28">
        <f t="array" ref="PUV28">_xlfn.XLOOKUP(PUV$11,Assumptions!$B$35:$H$35,_xlfn.XLOOKUP($C28,Assumptions!$B$36:$B$41,Assumptions!$B$36:$H$41))</f>
        <v>0</v>
      </c>
      <c r="PUW28">
        <f t="array" ref="PUW28">_xlfn.XLOOKUP(PUW$11,Assumptions!$B$35:$H$35,_xlfn.XLOOKUP($C28,Assumptions!$B$36:$B$41,Assumptions!$B$36:$H$41))</f>
        <v>0</v>
      </c>
      <c r="PUX28">
        <f t="array" ref="PUX28">_xlfn.XLOOKUP(PUX$11,Assumptions!$B$35:$H$35,_xlfn.XLOOKUP($C28,Assumptions!$B$36:$B$41,Assumptions!$B$36:$H$41))</f>
        <v>0</v>
      </c>
      <c r="PUY28">
        <f t="array" ref="PUY28">_xlfn.XLOOKUP(PUY$11,Assumptions!$B$35:$H$35,_xlfn.XLOOKUP($C28,Assumptions!$B$36:$B$41,Assumptions!$B$36:$H$41))</f>
        <v>0</v>
      </c>
      <c r="PUZ28">
        <f t="array" ref="PUZ28">_xlfn.XLOOKUP(PUZ$11,Assumptions!$B$35:$H$35,_xlfn.XLOOKUP($C28,Assumptions!$B$36:$B$41,Assumptions!$B$36:$H$41))</f>
        <v>0</v>
      </c>
      <c r="PVA28">
        <f t="array" ref="PVA28">_xlfn.XLOOKUP(PVA$11,Assumptions!$B$35:$H$35,_xlfn.XLOOKUP($C28,Assumptions!$B$36:$B$41,Assumptions!$B$36:$H$41))</f>
        <v>0</v>
      </c>
      <c r="PVB28">
        <f t="array" ref="PVB28">_xlfn.XLOOKUP(PVB$11,Assumptions!$B$35:$H$35,_xlfn.XLOOKUP($C28,Assumptions!$B$36:$B$41,Assumptions!$B$36:$H$41))</f>
        <v>0</v>
      </c>
      <c r="PVC28">
        <f t="array" ref="PVC28">_xlfn.XLOOKUP(PVC$11,Assumptions!$B$35:$H$35,_xlfn.XLOOKUP($C28,Assumptions!$B$36:$B$41,Assumptions!$B$36:$H$41))</f>
        <v>0</v>
      </c>
      <c r="PVD28">
        <f t="array" ref="PVD28">_xlfn.XLOOKUP(PVD$11,Assumptions!$B$35:$H$35,_xlfn.XLOOKUP($C28,Assumptions!$B$36:$B$41,Assumptions!$B$36:$H$41))</f>
        <v>0</v>
      </c>
      <c r="PVE28">
        <f t="array" ref="PVE28">_xlfn.XLOOKUP(PVE$11,Assumptions!$B$35:$H$35,_xlfn.XLOOKUP($C28,Assumptions!$B$36:$B$41,Assumptions!$B$36:$H$41))</f>
        <v>0</v>
      </c>
      <c r="PVF28">
        <f t="array" ref="PVF28">_xlfn.XLOOKUP(PVF$11,Assumptions!$B$35:$H$35,_xlfn.XLOOKUP($C28,Assumptions!$B$36:$B$41,Assumptions!$B$36:$H$41))</f>
        <v>0</v>
      </c>
      <c r="PVG28">
        <f t="array" ref="PVG28">_xlfn.XLOOKUP(PVG$11,Assumptions!$B$35:$H$35,_xlfn.XLOOKUP($C28,Assumptions!$B$36:$B$41,Assumptions!$B$36:$H$41))</f>
        <v>0</v>
      </c>
      <c r="PVH28">
        <f t="array" ref="PVH28">_xlfn.XLOOKUP(PVH$11,Assumptions!$B$35:$H$35,_xlfn.XLOOKUP($C28,Assumptions!$B$36:$B$41,Assumptions!$B$36:$H$41))</f>
        <v>0</v>
      </c>
      <c r="PVI28">
        <f t="array" ref="PVI28">_xlfn.XLOOKUP(PVI$11,Assumptions!$B$35:$H$35,_xlfn.XLOOKUP($C28,Assumptions!$B$36:$B$41,Assumptions!$B$36:$H$41))</f>
        <v>0</v>
      </c>
      <c r="PVJ28">
        <f t="array" ref="PVJ28">_xlfn.XLOOKUP(PVJ$11,Assumptions!$B$35:$H$35,_xlfn.XLOOKUP($C28,Assumptions!$B$36:$B$41,Assumptions!$B$36:$H$41))</f>
        <v>0</v>
      </c>
      <c r="PVK28">
        <f t="array" ref="PVK28">_xlfn.XLOOKUP(PVK$11,Assumptions!$B$35:$H$35,_xlfn.XLOOKUP($C28,Assumptions!$B$36:$B$41,Assumptions!$B$36:$H$41))</f>
        <v>0</v>
      </c>
      <c r="PVL28">
        <f t="array" ref="PVL28">_xlfn.XLOOKUP(PVL$11,Assumptions!$B$35:$H$35,_xlfn.XLOOKUP($C28,Assumptions!$B$36:$B$41,Assumptions!$B$36:$H$41))</f>
        <v>0</v>
      </c>
      <c r="PVM28">
        <f t="array" ref="PVM28">_xlfn.XLOOKUP(PVM$11,Assumptions!$B$35:$H$35,_xlfn.XLOOKUP($C28,Assumptions!$B$36:$B$41,Assumptions!$B$36:$H$41))</f>
        <v>0</v>
      </c>
      <c r="PVN28">
        <f t="array" ref="PVN28">_xlfn.XLOOKUP(PVN$11,Assumptions!$B$35:$H$35,_xlfn.XLOOKUP($C28,Assumptions!$B$36:$B$41,Assumptions!$B$36:$H$41))</f>
        <v>0</v>
      </c>
      <c r="PVO28">
        <f t="array" ref="PVO28">_xlfn.XLOOKUP(PVO$11,Assumptions!$B$35:$H$35,_xlfn.XLOOKUP($C28,Assumptions!$B$36:$B$41,Assumptions!$B$36:$H$41))</f>
        <v>0</v>
      </c>
      <c r="PVP28">
        <f t="array" ref="PVP28">_xlfn.XLOOKUP(PVP$11,Assumptions!$B$35:$H$35,_xlfn.XLOOKUP($C28,Assumptions!$B$36:$B$41,Assumptions!$B$36:$H$41))</f>
        <v>0</v>
      </c>
      <c r="PVQ28">
        <f t="array" ref="PVQ28">_xlfn.XLOOKUP(PVQ$11,Assumptions!$B$35:$H$35,_xlfn.XLOOKUP($C28,Assumptions!$B$36:$B$41,Assumptions!$B$36:$H$41))</f>
        <v>0</v>
      </c>
      <c r="PVR28">
        <f t="array" ref="PVR28">_xlfn.XLOOKUP(PVR$11,Assumptions!$B$35:$H$35,_xlfn.XLOOKUP($C28,Assumptions!$B$36:$B$41,Assumptions!$B$36:$H$41))</f>
        <v>0</v>
      </c>
      <c r="PVS28">
        <f t="array" ref="PVS28">_xlfn.XLOOKUP(PVS$11,Assumptions!$B$35:$H$35,_xlfn.XLOOKUP($C28,Assumptions!$B$36:$B$41,Assumptions!$B$36:$H$41))</f>
        <v>0</v>
      </c>
      <c r="PVT28">
        <f t="array" ref="PVT28">_xlfn.XLOOKUP(PVT$11,Assumptions!$B$35:$H$35,_xlfn.XLOOKUP($C28,Assumptions!$B$36:$B$41,Assumptions!$B$36:$H$41))</f>
        <v>0</v>
      </c>
      <c r="PVU28">
        <f t="array" ref="PVU28">_xlfn.XLOOKUP(PVU$11,Assumptions!$B$35:$H$35,_xlfn.XLOOKUP($C28,Assumptions!$B$36:$B$41,Assumptions!$B$36:$H$41))</f>
        <v>0</v>
      </c>
      <c r="PVV28">
        <f t="array" ref="PVV28">_xlfn.XLOOKUP(PVV$11,Assumptions!$B$35:$H$35,_xlfn.XLOOKUP($C28,Assumptions!$B$36:$B$41,Assumptions!$B$36:$H$41))</f>
        <v>0</v>
      </c>
      <c r="PVW28">
        <f t="array" ref="PVW28">_xlfn.XLOOKUP(PVW$11,Assumptions!$B$35:$H$35,_xlfn.XLOOKUP($C28,Assumptions!$B$36:$B$41,Assumptions!$B$36:$H$41))</f>
        <v>0</v>
      </c>
      <c r="PVX28">
        <f t="array" ref="PVX28">_xlfn.XLOOKUP(PVX$11,Assumptions!$B$35:$H$35,_xlfn.XLOOKUP($C28,Assumptions!$B$36:$B$41,Assumptions!$B$36:$H$41))</f>
        <v>0</v>
      </c>
      <c r="PVY28">
        <f t="array" ref="PVY28">_xlfn.XLOOKUP(PVY$11,Assumptions!$B$35:$H$35,_xlfn.XLOOKUP($C28,Assumptions!$B$36:$B$41,Assumptions!$B$36:$H$41))</f>
        <v>0</v>
      </c>
      <c r="PVZ28">
        <f t="array" ref="PVZ28">_xlfn.XLOOKUP(PVZ$11,Assumptions!$B$35:$H$35,_xlfn.XLOOKUP($C28,Assumptions!$B$36:$B$41,Assumptions!$B$36:$H$41))</f>
        <v>0</v>
      </c>
      <c r="PWA28">
        <f t="array" ref="PWA28">_xlfn.XLOOKUP(PWA$11,Assumptions!$B$35:$H$35,_xlfn.XLOOKUP($C28,Assumptions!$B$36:$B$41,Assumptions!$B$36:$H$41))</f>
        <v>0</v>
      </c>
      <c r="PWB28">
        <f t="array" ref="PWB28">_xlfn.XLOOKUP(PWB$11,Assumptions!$B$35:$H$35,_xlfn.XLOOKUP($C28,Assumptions!$B$36:$B$41,Assumptions!$B$36:$H$41))</f>
        <v>0</v>
      </c>
      <c r="PWC28">
        <f t="array" ref="PWC28">_xlfn.XLOOKUP(PWC$11,Assumptions!$B$35:$H$35,_xlfn.XLOOKUP($C28,Assumptions!$B$36:$B$41,Assumptions!$B$36:$H$41))</f>
        <v>0</v>
      </c>
      <c r="PWD28">
        <f t="array" ref="PWD28">_xlfn.XLOOKUP(PWD$11,Assumptions!$B$35:$H$35,_xlfn.XLOOKUP($C28,Assumptions!$B$36:$B$41,Assumptions!$B$36:$H$41))</f>
        <v>0</v>
      </c>
      <c r="PWE28">
        <f t="array" ref="PWE28">_xlfn.XLOOKUP(PWE$11,Assumptions!$B$35:$H$35,_xlfn.XLOOKUP($C28,Assumptions!$B$36:$B$41,Assumptions!$B$36:$H$41))</f>
        <v>0</v>
      </c>
      <c r="PWF28">
        <f t="array" ref="PWF28">_xlfn.XLOOKUP(PWF$11,Assumptions!$B$35:$H$35,_xlfn.XLOOKUP($C28,Assumptions!$B$36:$B$41,Assumptions!$B$36:$H$41))</f>
        <v>0</v>
      </c>
      <c r="PWG28">
        <f t="array" ref="PWG28">_xlfn.XLOOKUP(PWG$11,Assumptions!$B$35:$H$35,_xlfn.XLOOKUP($C28,Assumptions!$B$36:$B$41,Assumptions!$B$36:$H$41))</f>
        <v>0</v>
      </c>
      <c r="PWH28">
        <f t="array" ref="PWH28">_xlfn.XLOOKUP(PWH$11,Assumptions!$B$35:$H$35,_xlfn.XLOOKUP($C28,Assumptions!$B$36:$B$41,Assumptions!$B$36:$H$41))</f>
        <v>0</v>
      </c>
      <c r="PWI28">
        <f t="array" ref="PWI28">_xlfn.XLOOKUP(PWI$11,Assumptions!$B$35:$H$35,_xlfn.XLOOKUP($C28,Assumptions!$B$36:$B$41,Assumptions!$B$36:$H$41))</f>
        <v>0</v>
      </c>
      <c r="PWJ28">
        <f t="array" ref="PWJ28">_xlfn.XLOOKUP(PWJ$11,Assumptions!$B$35:$H$35,_xlfn.XLOOKUP($C28,Assumptions!$B$36:$B$41,Assumptions!$B$36:$H$41))</f>
        <v>0</v>
      </c>
      <c r="PWK28">
        <f t="array" ref="PWK28">_xlfn.XLOOKUP(PWK$11,Assumptions!$B$35:$H$35,_xlfn.XLOOKUP($C28,Assumptions!$B$36:$B$41,Assumptions!$B$36:$H$41))</f>
        <v>0</v>
      </c>
      <c r="PWL28">
        <f t="array" ref="PWL28">_xlfn.XLOOKUP(PWL$11,Assumptions!$B$35:$H$35,_xlfn.XLOOKUP($C28,Assumptions!$B$36:$B$41,Assumptions!$B$36:$H$41))</f>
        <v>0</v>
      </c>
      <c r="PWM28">
        <f t="array" ref="PWM28">_xlfn.XLOOKUP(PWM$11,Assumptions!$B$35:$H$35,_xlfn.XLOOKUP($C28,Assumptions!$B$36:$B$41,Assumptions!$B$36:$H$41))</f>
        <v>0</v>
      </c>
      <c r="PWN28">
        <f t="array" ref="PWN28">_xlfn.XLOOKUP(PWN$11,Assumptions!$B$35:$H$35,_xlfn.XLOOKUP($C28,Assumptions!$B$36:$B$41,Assumptions!$B$36:$H$41))</f>
        <v>0</v>
      </c>
      <c r="PWO28">
        <f t="array" ref="PWO28">_xlfn.XLOOKUP(PWO$11,Assumptions!$B$35:$H$35,_xlfn.XLOOKUP($C28,Assumptions!$B$36:$B$41,Assumptions!$B$36:$H$41))</f>
        <v>0</v>
      </c>
      <c r="PWP28">
        <f t="array" ref="PWP28">_xlfn.XLOOKUP(PWP$11,Assumptions!$B$35:$H$35,_xlfn.XLOOKUP($C28,Assumptions!$B$36:$B$41,Assumptions!$B$36:$H$41))</f>
        <v>0</v>
      </c>
      <c r="PWQ28">
        <f t="array" ref="PWQ28">_xlfn.XLOOKUP(PWQ$11,Assumptions!$B$35:$H$35,_xlfn.XLOOKUP($C28,Assumptions!$B$36:$B$41,Assumptions!$B$36:$H$41))</f>
        <v>0</v>
      </c>
      <c r="PWR28">
        <f t="array" ref="PWR28">_xlfn.XLOOKUP(PWR$11,Assumptions!$B$35:$H$35,_xlfn.XLOOKUP($C28,Assumptions!$B$36:$B$41,Assumptions!$B$36:$H$41))</f>
        <v>0</v>
      </c>
      <c r="PWS28">
        <f t="array" ref="PWS28">_xlfn.XLOOKUP(PWS$11,Assumptions!$B$35:$H$35,_xlfn.XLOOKUP($C28,Assumptions!$B$36:$B$41,Assumptions!$B$36:$H$41))</f>
        <v>0</v>
      </c>
      <c r="PWT28">
        <f t="array" ref="PWT28">_xlfn.XLOOKUP(PWT$11,Assumptions!$B$35:$H$35,_xlfn.XLOOKUP($C28,Assumptions!$B$36:$B$41,Assumptions!$B$36:$H$41))</f>
        <v>0</v>
      </c>
      <c r="PWU28">
        <f t="array" ref="PWU28">_xlfn.XLOOKUP(PWU$11,Assumptions!$B$35:$H$35,_xlfn.XLOOKUP($C28,Assumptions!$B$36:$B$41,Assumptions!$B$36:$H$41))</f>
        <v>0</v>
      </c>
      <c r="PWV28">
        <f t="array" ref="PWV28">_xlfn.XLOOKUP(PWV$11,Assumptions!$B$35:$H$35,_xlfn.XLOOKUP($C28,Assumptions!$B$36:$B$41,Assumptions!$B$36:$H$41))</f>
        <v>0</v>
      </c>
      <c r="PWW28">
        <f t="array" ref="PWW28">_xlfn.XLOOKUP(PWW$11,Assumptions!$B$35:$H$35,_xlfn.XLOOKUP($C28,Assumptions!$B$36:$B$41,Assumptions!$B$36:$H$41))</f>
        <v>0</v>
      </c>
      <c r="PWX28">
        <f t="array" ref="PWX28">_xlfn.XLOOKUP(PWX$11,Assumptions!$B$35:$H$35,_xlfn.XLOOKUP($C28,Assumptions!$B$36:$B$41,Assumptions!$B$36:$H$41))</f>
        <v>0</v>
      </c>
      <c r="PWY28">
        <f t="array" ref="PWY28">_xlfn.XLOOKUP(PWY$11,Assumptions!$B$35:$H$35,_xlfn.XLOOKUP($C28,Assumptions!$B$36:$B$41,Assumptions!$B$36:$H$41))</f>
        <v>0</v>
      </c>
      <c r="PWZ28">
        <f t="array" ref="PWZ28">_xlfn.XLOOKUP(PWZ$11,Assumptions!$B$35:$H$35,_xlfn.XLOOKUP($C28,Assumptions!$B$36:$B$41,Assumptions!$B$36:$H$41))</f>
        <v>0</v>
      </c>
      <c r="PXA28">
        <f t="array" ref="PXA28">_xlfn.XLOOKUP(PXA$11,Assumptions!$B$35:$H$35,_xlfn.XLOOKUP($C28,Assumptions!$B$36:$B$41,Assumptions!$B$36:$H$41))</f>
        <v>0</v>
      </c>
      <c r="PXB28">
        <f t="array" ref="PXB28">_xlfn.XLOOKUP(PXB$11,Assumptions!$B$35:$H$35,_xlfn.XLOOKUP($C28,Assumptions!$B$36:$B$41,Assumptions!$B$36:$H$41))</f>
        <v>0</v>
      </c>
      <c r="PXC28">
        <f t="array" ref="PXC28">_xlfn.XLOOKUP(PXC$11,Assumptions!$B$35:$H$35,_xlfn.XLOOKUP($C28,Assumptions!$B$36:$B$41,Assumptions!$B$36:$H$41))</f>
        <v>0</v>
      </c>
      <c r="PXD28">
        <f t="array" ref="PXD28">_xlfn.XLOOKUP(PXD$11,Assumptions!$B$35:$H$35,_xlfn.XLOOKUP($C28,Assumptions!$B$36:$B$41,Assumptions!$B$36:$H$41))</f>
        <v>0</v>
      </c>
      <c r="PXE28">
        <f t="array" ref="PXE28">_xlfn.XLOOKUP(PXE$11,Assumptions!$B$35:$H$35,_xlfn.XLOOKUP($C28,Assumptions!$B$36:$B$41,Assumptions!$B$36:$H$41))</f>
        <v>0</v>
      </c>
      <c r="PXF28">
        <f t="array" ref="PXF28">_xlfn.XLOOKUP(PXF$11,Assumptions!$B$35:$H$35,_xlfn.XLOOKUP($C28,Assumptions!$B$36:$B$41,Assumptions!$B$36:$H$41))</f>
        <v>0</v>
      </c>
      <c r="PXG28">
        <f t="array" ref="PXG28">_xlfn.XLOOKUP(PXG$11,Assumptions!$B$35:$H$35,_xlfn.XLOOKUP($C28,Assumptions!$B$36:$B$41,Assumptions!$B$36:$H$41))</f>
        <v>0</v>
      </c>
      <c r="PXH28">
        <f t="array" ref="PXH28">_xlfn.XLOOKUP(PXH$11,Assumptions!$B$35:$H$35,_xlfn.XLOOKUP($C28,Assumptions!$B$36:$B$41,Assumptions!$B$36:$H$41))</f>
        <v>0</v>
      </c>
      <c r="PXI28">
        <f t="array" ref="PXI28">_xlfn.XLOOKUP(PXI$11,Assumptions!$B$35:$H$35,_xlfn.XLOOKUP($C28,Assumptions!$B$36:$B$41,Assumptions!$B$36:$H$41))</f>
        <v>0</v>
      </c>
      <c r="PXJ28">
        <f t="array" ref="PXJ28">_xlfn.XLOOKUP(PXJ$11,Assumptions!$B$35:$H$35,_xlfn.XLOOKUP($C28,Assumptions!$B$36:$B$41,Assumptions!$B$36:$H$41))</f>
        <v>0</v>
      </c>
      <c r="PXK28">
        <f t="array" ref="PXK28">_xlfn.XLOOKUP(PXK$11,Assumptions!$B$35:$H$35,_xlfn.XLOOKUP($C28,Assumptions!$B$36:$B$41,Assumptions!$B$36:$H$41))</f>
        <v>0</v>
      </c>
      <c r="PXL28">
        <f t="array" ref="PXL28">_xlfn.XLOOKUP(PXL$11,Assumptions!$B$35:$H$35,_xlfn.XLOOKUP($C28,Assumptions!$B$36:$B$41,Assumptions!$B$36:$H$41))</f>
        <v>0</v>
      </c>
      <c r="PXM28">
        <f t="array" ref="PXM28">_xlfn.XLOOKUP(PXM$11,Assumptions!$B$35:$H$35,_xlfn.XLOOKUP($C28,Assumptions!$B$36:$B$41,Assumptions!$B$36:$H$41))</f>
        <v>0</v>
      </c>
      <c r="PXN28">
        <f t="array" ref="PXN28">_xlfn.XLOOKUP(PXN$11,Assumptions!$B$35:$H$35,_xlfn.XLOOKUP($C28,Assumptions!$B$36:$B$41,Assumptions!$B$36:$H$41))</f>
        <v>0</v>
      </c>
      <c r="PXO28">
        <f t="array" ref="PXO28">_xlfn.XLOOKUP(PXO$11,Assumptions!$B$35:$H$35,_xlfn.XLOOKUP($C28,Assumptions!$B$36:$B$41,Assumptions!$B$36:$H$41))</f>
        <v>0</v>
      </c>
      <c r="PXP28">
        <f t="array" ref="PXP28">_xlfn.XLOOKUP(PXP$11,Assumptions!$B$35:$H$35,_xlfn.XLOOKUP($C28,Assumptions!$B$36:$B$41,Assumptions!$B$36:$H$41))</f>
        <v>0</v>
      </c>
      <c r="PXQ28">
        <f t="array" ref="PXQ28">_xlfn.XLOOKUP(PXQ$11,Assumptions!$B$35:$H$35,_xlfn.XLOOKUP($C28,Assumptions!$B$36:$B$41,Assumptions!$B$36:$H$41))</f>
        <v>0</v>
      </c>
      <c r="PXR28">
        <f t="array" ref="PXR28">_xlfn.XLOOKUP(PXR$11,Assumptions!$B$35:$H$35,_xlfn.XLOOKUP($C28,Assumptions!$B$36:$B$41,Assumptions!$B$36:$H$41))</f>
        <v>0</v>
      </c>
      <c r="PXS28">
        <f t="array" ref="PXS28">_xlfn.XLOOKUP(PXS$11,Assumptions!$B$35:$H$35,_xlfn.XLOOKUP($C28,Assumptions!$B$36:$B$41,Assumptions!$B$36:$H$41))</f>
        <v>0</v>
      </c>
      <c r="PXT28">
        <f t="array" ref="PXT28">_xlfn.XLOOKUP(PXT$11,Assumptions!$B$35:$H$35,_xlfn.XLOOKUP($C28,Assumptions!$B$36:$B$41,Assumptions!$B$36:$H$41))</f>
        <v>0</v>
      </c>
      <c r="PXU28">
        <f t="array" ref="PXU28">_xlfn.XLOOKUP(PXU$11,Assumptions!$B$35:$H$35,_xlfn.XLOOKUP($C28,Assumptions!$B$36:$B$41,Assumptions!$B$36:$H$41))</f>
        <v>0</v>
      </c>
      <c r="PXV28">
        <f t="array" ref="PXV28">_xlfn.XLOOKUP(PXV$11,Assumptions!$B$35:$H$35,_xlfn.XLOOKUP($C28,Assumptions!$B$36:$B$41,Assumptions!$B$36:$H$41))</f>
        <v>0</v>
      </c>
      <c r="PXW28">
        <f t="array" ref="PXW28">_xlfn.XLOOKUP(PXW$11,Assumptions!$B$35:$H$35,_xlfn.XLOOKUP($C28,Assumptions!$B$36:$B$41,Assumptions!$B$36:$H$41))</f>
        <v>0</v>
      </c>
      <c r="PXX28">
        <f t="array" ref="PXX28">_xlfn.XLOOKUP(PXX$11,Assumptions!$B$35:$H$35,_xlfn.XLOOKUP($C28,Assumptions!$B$36:$B$41,Assumptions!$B$36:$H$41))</f>
        <v>0</v>
      </c>
      <c r="PXY28">
        <f t="array" ref="PXY28">_xlfn.XLOOKUP(PXY$11,Assumptions!$B$35:$H$35,_xlfn.XLOOKUP($C28,Assumptions!$B$36:$B$41,Assumptions!$B$36:$H$41))</f>
        <v>0</v>
      </c>
      <c r="PXZ28">
        <f t="array" ref="PXZ28">_xlfn.XLOOKUP(PXZ$11,Assumptions!$B$35:$H$35,_xlfn.XLOOKUP($C28,Assumptions!$B$36:$B$41,Assumptions!$B$36:$H$41))</f>
        <v>0</v>
      </c>
      <c r="PYA28">
        <f t="array" ref="PYA28">_xlfn.XLOOKUP(PYA$11,Assumptions!$B$35:$H$35,_xlfn.XLOOKUP($C28,Assumptions!$B$36:$B$41,Assumptions!$B$36:$H$41))</f>
        <v>0</v>
      </c>
      <c r="PYB28">
        <f t="array" ref="PYB28">_xlfn.XLOOKUP(PYB$11,Assumptions!$B$35:$H$35,_xlfn.XLOOKUP($C28,Assumptions!$B$36:$B$41,Assumptions!$B$36:$H$41))</f>
        <v>0</v>
      </c>
      <c r="PYC28">
        <f t="array" ref="PYC28">_xlfn.XLOOKUP(PYC$11,Assumptions!$B$35:$H$35,_xlfn.XLOOKUP($C28,Assumptions!$B$36:$B$41,Assumptions!$B$36:$H$41))</f>
        <v>0</v>
      </c>
      <c r="PYD28">
        <f t="array" ref="PYD28">_xlfn.XLOOKUP(PYD$11,Assumptions!$B$35:$H$35,_xlfn.XLOOKUP($C28,Assumptions!$B$36:$B$41,Assumptions!$B$36:$H$41))</f>
        <v>0</v>
      </c>
      <c r="PYE28">
        <f t="array" ref="PYE28">_xlfn.XLOOKUP(PYE$11,Assumptions!$B$35:$H$35,_xlfn.XLOOKUP($C28,Assumptions!$B$36:$B$41,Assumptions!$B$36:$H$41))</f>
        <v>0</v>
      </c>
      <c r="PYF28">
        <f t="array" ref="PYF28">_xlfn.XLOOKUP(PYF$11,Assumptions!$B$35:$H$35,_xlfn.XLOOKUP($C28,Assumptions!$B$36:$B$41,Assumptions!$B$36:$H$41))</f>
        <v>0</v>
      </c>
      <c r="PYG28">
        <f t="array" ref="PYG28">_xlfn.XLOOKUP(PYG$11,Assumptions!$B$35:$H$35,_xlfn.XLOOKUP($C28,Assumptions!$B$36:$B$41,Assumptions!$B$36:$H$41))</f>
        <v>0</v>
      </c>
      <c r="PYH28">
        <f t="array" ref="PYH28">_xlfn.XLOOKUP(PYH$11,Assumptions!$B$35:$H$35,_xlfn.XLOOKUP($C28,Assumptions!$B$36:$B$41,Assumptions!$B$36:$H$41))</f>
        <v>0</v>
      </c>
      <c r="PYI28">
        <f t="array" ref="PYI28">_xlfn.XLOOKUP(PYI$11,Assumptions!$B$35:$H$35,_xlfn.XLOOKUP($C28,Assumptions!$B$36:$B$41,Assumptions!$B$36:$H$41))</f>
        <v>0</v>
      </c>
      <c r="PYJ28">
        <f t="array" ref="PYJ28">_xlfn.XLOOKUP(PYJ$11,Assumptions!$B$35:$H$35,_xlfn.XLOOKUP($C28,Assumptions!$B$36:$B$41,Assumptions!$B$36:$H$41))</f>
        <v>0</v>
      </c>
      <c r="PYK28">
        <f t="array" ref="PYK28">_xlfn.XLOOKUP(PYK$11,Assumptions!$B$35:$H$35,_xlfn.XLOOKUP($C28,Assumptions!$B$36:$B$41,Assumptions!$B$36:$H$41))</f>
        <v>0</v>
      </c>
      <c r="PYL28">
        <f t="array" ref="PYL28">_xlfn.XLOOKUP(PYL$11,Assumptions!$B$35:$H$35,_xlfn.XLOOKUP($C28,Assumptions!$B$36:$B$41,Assumptions!$B$36:$H$41))</f>
        <v>0</v>
      </c>
      <c r="PYM28">
        <f t="array" ref="PYM28">_xlfn.XLOOKUP(PYM$11,Assumptions!$B$35:$H$35,_xlfn.XLOOKUP($C28,Assumptions!$B$36:$B$41,Assumptions!$B$36:$H$41))</f>
        <v>0</v>
      </c>
      <c r="PYN28">
        <f t="array" ref="PYN28">_xlfn.XLOOKUP(PYN$11,Assumptions!$B$35:$H$35,_xlfn.XLOOKUP($C28,Assumptions!$B$36:$B$41,Assumptions!$B$36:$H$41))</f>
        <v>0</v>
      </c>
      <c r="PYO28">
        <f t="array" ref="PYO28">_xlfn.XLOOKUP(PYO$11,Assumptions!$B$35:$H$35,_xlfn.XLOOKUP($C28,Assumptions!$B$36:$B$41,Assumptions!$B$36:$H$41))</f>
        <v>0</v>
      </c>
      <c r="PYP28">
        <f t="array" ref="PYP28">_xlfn.XLOOKUP(PYP$11,Assumptions!$B$35:$H$35,_xlfn.XLOOKUP($C28,Assumptions!$B$36:$B$41,Assumptions!$B$36:$H$41))</f>
        <v>0</v>
      </c>
      <c r="PYQ28">
        <f t="array" ref="PYQ28">_xlfn.XLOOKUP(PYQ$11,Assumptions!$B$35:$H$35,_xlfn.XLOOKUP($C28,Assumptions!$B$36:$B$41,Assumptions!$B$36:$H$41))</f>
        <v>0</v>
      </c>
      <c r="PYR28">
        <f t="array" ref="PYR28">_xlfn.XLOOKUP(PYR$11,Assumptions!$B$35:$H$35,_xlfn.XLOOKUP($C28,Assumptions!$B$36:$B$41,Assumptions!$B$36:$H$41))</f>
        <v>0</v>
      </c>
      <c r="PYS28">
        <f t="array" ref="PYS28">_xlfn.XLOOKUP(PYS$11,Assumptions!$B$35:$H$35,_xlfn.XLOOKUP($C28,Assumptions!$B$36:$B$41,Assumptions!$B$36:$H$41))</f>
        <v>0</v>
      </c>
      <c r="PYT28">
        <f t="array" ref="PYT28">_xlfn.XLOOKUP(PYT$11,Assumptions!$B$35:$H$35,_xlfn.XLOOKUP($C28,Assumptions!$B$36:$B$41,Assumptions!$B$36:$H$41))</f>
        <v>0</v>
      </c>
      <c r="PYU28">
        <f t="array" ref="PYU28">_xlfn.XLOOKUP(PYU$11,Assumptions!$B$35:$H$35,_xlfn.XLOOKUP($C28,Assumptions!$B$36:$B$41,Assumptions!$B$36:$H$41))</f>
        <v>0</v>
      </c>
      <c r="PYV28">
        <f t="array" ref="PYV28">_xlfn.XLOOKUP(PYV$11,Assumptions!$B$35:$H$35,_xlfn.XLOOKUP($C28,Assumptions!$B$36:$B$41,Assumptions!$B$36:$H$41))</f>
        <v>0</v>
      </c>
      <c r="PYW28">
        <f t="array" ref="PYW28">_xlfn.XLOOKUP(PYW$11,Assumptions!$B$35:$H$35,_xlfn.XLOOKUP($C28,Assumptions!$B$36:$B$41,Assumptions!$B$36:$H$41))</f>
        <v>0</v>
      </c>
      <c r="PYX28">
        <f t="array" ref="PYX28">_xlfn.XLOOKUP(PYX$11,Assumptions!$B$35:$H$35,_xlfn.XLOOKUP($C28,Assumptions!$B$36:$B$41,Assumptions!$B$36:$H$41))</f>
        <v>0</v>
      </c>
      <c r="PYY28">
        <f t="array" ref="PYY28">_xlfn.XLOOKUP(PYY$11,Assumptions!$B$35:$H$35,_xlfn.XLOOKUP($C28,Assumptions!$B$36:$B$41,Assumptions!$B$36:$H$41))</f>
        <v>0</v>
      </c>
      <c r="PYZ28">
        <f t="array" ref="PYZ28">_xlfn.XLOOKUP(PYZ$11,Assumptions!$B$35:$H$35,_xlfn.XLOOKUP($C28,Assumptions!$B$36:$B$41,Assumptions!$B$36:$H$41))</f>
        <v>0</v>
      </c>
      <c r="PZA28">
        <f t="array" ref="PZA28">_xlfn.XLOOKUP(PZA$11,Assumptions!$B$35:$H$35,_xlfn.XLOOKUP($C28,Assumptions!$B$36:$B$41,Assumptions!$B$36:$H$41))</f>
        <v>0</v>
      </c>
      <c r="PZB28">
        <f t="array" ref="PZB28">_xlfn.XLOOKUP(PZB$11,Assumptions!$B$35:$H$35,_xlfn.XLOOKUP($C28,Assumptions!$B$36:$B$41,Assumptions!$B$36:$H$41))</f>
        <v>0</v>
      </c>
      <c r="PZC28">
        <f t="array" ref="PZC28">_xlfn.XLOOKUP(PZC$11,Assumptions!$B$35:$H$35,_xlfn.XLOOKUP($C28,Assumptions!$B$36:$B$41,Assumptions!$B$36:$H$41))</f>
        <v>0</v>
      </c>
      <c r="PZD28">
        <f t="array" ref="PZD28">_xlfn.XLOOKUP(PZD$11,Assumptions!$B$35:$H$35,_xlfn.XLOOKUP($C28,Assumptions!$B$36:$B$41,Assumptions!$B$36:$H$41))</f>
        <v>0</v>
      </c>
      <c r="PZE28">
        <f t="array" ref="PZE28">_xlfn.XLOOKUP(PZE$11,Assumptions!$B$35:$H$35,_xlfn.XLOOKUP($C28,Assumptions!$B$36:$B$41,Assumptions!$B$36:$H$41))</f>
        <v>0</v>
      </c>
      <c r="PZF28">
        <f t="array" ref="PZF28">_xlfn.XLOOKUP(PZF$11,Assumptions!$B$35:$H$35,_xlfn.XLOOKUP($C28,Assumptions!$B$36:$B$41,Assumptions!$B$36:$H$41))</f>
        <v>0</v>
      </c>
      <c r="PZG28">
        <f t="array" ref="PZG28">_xlfn.XLOOKUP(PZG$11,Assumptions!$B$35:$H$35,_xlfn.XLOOKUP($C28,Assumptions!$B$36:$B$41,Assumptions!$B$36:$H$41))</f>
        <v>0</v>
      </c>
      <c r="PZH28">
        <f t="array" ref="PZH28">_xlfn.XLOOKUP(PZH$11,Assumptions!$B$35:$H$35,_xlfn.XLOOKUP($C28,Assumptions!$B$36:$B$41,Assumptions!$B$36:$H$41))</f>
        <v>0</v>
      </c>
      <c r="PZI28">
        <f t="array" ref="PZI28">_xlfn.XLOOKUP(PZI$11,Assumptions!$B$35:$H$35,_xlfn.XLOOKUP($C28,Assumptions!$B$36:$B$41,Assumptions!$B$36:$H$41))</f>
        <v>0</v>
      </c>
      <c r="PZJ28">
        <f t="array" ref="PZJ28">_xlfn.XLOOKUP(PZJ$11,Assumptions!$B$35:$H$35,_xlfn.XLOOKUP($C28,Assumptions!$B$36:$B$41,Assumptions!$B$36:$H$41))</f>
        <v>0</v>
      </c>
      <c r="PZK28">
        <f t="array" ref="PZK28">_xlfn.XLOOKUP(PZK$11,Assumptions!$B$35:$H$35,_xlfn.XLOOKUP($C28,Assumptions!$B$36:$B$41,Assumptions!$B$36:$H$41))</f>
        <v>0</v>
      </c>
      <c r="PZL28">
        <f t="array" ref="PZL28">_xlfn.XLOOKUP(PZL$11,Assumptions!$B$35:$H$35,_xlfn.XLOOKUP($C28,Assumptions!$B$36:$B$41,Assumptions!$B$36:$H$41))</f>
        <v>0</v>
      </c>
      <c r="PZM28">
        <f t="array" ref="PZM28">_xlfn.XLOOKUP(PZM$11,Assumptions!$B$35:$H$35,_xlfn.XLOOKUP($C28,Assumptions!$B$36:$B$41,Assumptions!$B$36:$H$41))</f>
        <v>0</v>
      </c>
      <c r="PZN28">
        <f t="array" ref="PZN28">_xlfn.XLOOKUP(PZN$11,Assumptions!$B$35:$H$35,_xlfn.XLOOKUP($C28,Assumptions!$B$36:$B$41,Assumptions!$B$36:$H$41))</f>
        <v>0</v>
      </c>
      <c r="PZO28">
        <f t="array" ref="PZO28">_xlfn.XLOOKUP(PZO$11,Assumptions!$B$35:$H$35,_xlfn.XLOOKUP($C28,Assumptions!$B$36:$B$41,Assumptions!$B$36:$H$41))</f>
        <v>0</v>
      </c>
      <c r="PZP28">
        <f t="array" ref="PZP28">_xlfn.XLOOKUP(PZP$11,Assumptions!$B$35:$H$35,_xlfn.XLOOKUP($C28,Assumptions!$B$36:$B$41,Assumptions!$B$36:$H$41))</f>
        <v>0</v>
      </c>
      <c r="PZQ28">
        <f t="array" ref="PZQ28">_xlfn.XLOOKUP(PZQ$11,Assumptions!$B$35:$H$35,_xlfn.XLOOKUP($C28,Assumptions!$B$36:$B$41,Assumptions!$B$36:$H$41))</f>
        <v>0</v>
      </c>
      <c r="PZR28">
        <f t="array" ref="PZR28">_xlfn.XLOOKUP(PZR$11,Assumptions!$B$35:$H$35,_xlfn.XLOOKUP($C28,Assumptions!$B$36:$B$41,Assumptions!$B$36:$H$41))</f>
        <v>0</v>
      </c>
      <c r="PZS28">
        <f t="array" ref="PZS28">_xlfn.XLOOKUP(PZS$11,Assumptions!$B$35:$H$35,_xlfn.XLOOKUP($C28,Assumptions!$B$36:$B$41,Assumptions!$B$36:$H$41))</f>
        <v>0</v>
      </c>
      <c r="PZT28">
        <f t="array" ref="PZT28">_xlfn.XLOOKUP(PZT$11,Assumptions!$B$35:$H$35,_xlfn.XLOOKUP($C28,Assumptions!$B$36:$B$41,Assumptions!$B$36:$H$41))</f>
        <v>0</v>
      </c>
      <c r="PZU28">
        <f t="array" ref="PZU28">_xlfn.XLOOKUP(PZU$11,Assumptions!$B$35:$H$35,_xlfn.XLOOKUP($C28,Assumptions!$B$36:$B$41,Assumptions!$B$36:$H$41))</f>
        <v>0</v>
      </c>
      <c r="PZV28">
        <f t="array" ref="PZV28">_xlfn.XLOOKUP(PZV$11,Assumptions!$B$35:$H$35,_xlfn.XLOOKUP($C28,Assumptions!$B$36:$B$41,Assumptions!$B$36:$H$41))</f>
        <v>0</v>
      </c>
      <c r="PZW28">
        <f t="array" ref="PZW28">_xlfn.XLOOKUP(PZW$11,Assumptions!$B$35:$H$35,_xlfn.XLOOKUP($C28,Assumptions!$B$36:$B$41,Assumptions!$B$36:$H$41))</f>
        <v>0</v>
      </c>
      <c r="PZX28">
        <f t="array" ref="PZX28">_xlfn.XLOOKUP(PZX$11,Assumptions!$B$35:$H$35,_xlfn.XLOOKUP($C28,Assumptions!$B$36:$B$41,Assumptions!$B$36:$H$41))</f>
        <v>0</v>
      </c>
      <c r="PZY28">
        <f t="array" ref="PZY28">_xlfn.XLOOKUP(PZY$11,Assumptions!$B$35:$H$35,_xlfn.XLOOKUP($C28,Assumptions!$B$36:$B$41,Assumptions!$B$36:$H$41))</f>
        <v>0</v>
      </c>
      <c r="PZZ28">
        <f t="array" ref="PZZ28">_xlfn.XLOOKUP(PZZ$11,Assumptions!$B$35:$H$35,_xlfn.XLOOKUP($C28,Assumptions!$B$36:$B$41,Assumptions!$B$36:$H$41))</f>
        <v>0</v>
      </c>
      <c r="QAA28">
        <f t="array" ref="QAA28">_xlfn.XLOOKUP(QAA$11,Assumptions!$B$35:$H$35,_xlfn.XLOOKUP($C28,Assumptions!$B$36:$B$41,Assumptions!$B$36:$H$41))</f>
        <v>0</v>
      </c>
      <c r="QAB28">
        <f t="array" ref="QAB28">_xlfn.XLOOKUP(QAB$11,Assumptions!$B$35:$H$35,_xlfn.XLOOKUP($C28,Assumptions!$B$36:$B$41,Assumptions!$B$36:$H$41))</f>
        <v>0</v>
      </c>
      <c r="QAC28">
        <f t="array" ref="QAC28">_xlfn.XLOOKUP(QAC$11,Assumptions!$B$35:$H$35,_xlfn.XLOOKUP($C28,Assumptions!$B$36:$B$41,Assumptions!$B$36:$H$41))</f>
        <v>0</v>
      </c>
      <c r="QAD28">
        <f t="array" ref="QAD28">_xlfn.XLOOKUP(QAD$11,Assumptions!$B$35:$H$35,_xlfn.XLOOKUP($C28,Assumptions!$B$36:$B$41,Assumptions!$B$36:$H$41))</f>
        <v>0</v>
      </c>
      <c r="QAE28">
        <f t="array" ref="QAE28">_xlfn.XLOOKUP(QAE$11,Assumptions!$B$35:$H$35,_xlfn.XLOOKUP($C28,Assumptions!$B$36:$B$41,Assumptions!$B$36:$H$41))</f>
        <v>0</v>
      </c>
      <c r="QAF28">
        <f t="array" ref="QAF28">_xlfn.XLOOKUP(QAF$11,Assumptions!$B$35:$H$35,_xlfn.XLOOKUP($C28,Assumptions!$B$36:$B$41,Assumptions!$B$36:$H$41))</f>
        <v>0</v>
      </c>
      <c r="QAG28">
        <f t="array" ref="QAG28">_xlfn.XLOOKUP(QAG$11,Assumptions!$B$35:$H$35,_xlfn.XLOOKUP($C28,Assumptions!$B$36:$B$41,Assumptions!$B$36:$H$41))</f>
        <v>0</v>
      </c>
      <c r="QAH28">
        <f t="array" ref="QAH28">_xlfn.XLOOKUP(QAH$11,Assumptions!$B$35:$H$35,_xlfn.XLOOKUP($C28,Assumptions!$B$36:$B$41,Assumptions!$B$36:$H$41))</f>
        <v>0</v>
      </c>
      <c r="QAI28">
        <f t="array" ref="QAI28">_xlfn.XLOOKUP(QAI$11,Assumptions!$B$35:$H$35,_xlfn.XLOOKUP($C28,Assumptions!$B$36:$B$41,Assumptions!$B$36:$H$41))</f>
        <v>0</v>
      </c>
      <c r="QAJ28">
        <f t="array" ref="QAJ28">_xlfn.XLOOKUP(QAJ$11,Assumptions!$B$35:$H$35,_xlfn.XLOOKUP($C28,Assumptions!$B$36:$B$41,Assumptions!$B$36:$H$41))</f>
        <v>0</v>
      </c>
      <c r="QAK28">
        <f t="array" ref="QAK28">_xlfn.XLOOKUP(QAK$11,Assumptions!$B$35:$H$35,_xlfn.XLOOKUP($C28,Assumptions!$B$36:$B$41,Assumptions!$B$36:$H$41))</f>
        <v>0</v>
      </c>
      <c r="QAL28">
        <f t="array" ref="QAL28">_xlfn.XLOOKUP(QAL$11,Assumptions!$B$35:$H$35,_xlfn.XLOOKUP($C28,Assumptions!$B$36:$B$41,Assumptions!$B$36:$H$41))</f>
        <v>0</v>
      </c>
      <c r="QAM28">
        <f t="array" ref="QAM28">_xlfn.XLOOKUP(QAM$11,Assumptions!$B$35:$H$35,_xlfn.XLOOKUP($C28,Assumptions!$B$36:$B$41,Assumptions!$B$36:$H$41))</f>
        <v>0</v>
      </c>
      <c r="QAN28">
        <f t="array" ref="QAN28">_xlfn.XLOOKUP(QAN$11,Assumptions!$B$35:$H$35,_xlfn.XLOOKUP($C28,Assumptions!$B$36:$B$41,Assumptions!$B$36:$H$41))</f>
        <v>0</v>
      </c>
      <c r="QAO28">
        <f t="array" ref="QAO28">_xlfn.XLOOKUP(QAO$11,Assumptions!$B$35:$H$35,_xlfn.XLOOKUP($C28,Assumptions!$B$36:$B$41,Assumptions!$B$36:$H$41))</f>
        <v>0</v>
      </c>
      <c r="QAP28">
        <f t="array" ref="QAP28">_xlfn.XLOOKUP(QAP$11,Assumptions!$B$35:$H$35,_xlfn.XLOOKUP($C28,Assumptions!$B$36:$B$41,Assumptions!$B$36:$H$41))</f>
        <v>0</v>
      </c>
      <c r="QAQ28">
        <f t="array" ref="QAQ28">_xlfn.XLOOKUP(QAQ$11,Assumptions!$B$35:$H$35,_xlfn.XLOOKUP($C28,Assumptions!$B$36:$B$41,Assumptions!$B$36:$H$41))</f>
        <v>0</v>
      </c>
      <c r="QAR28">
        <f t="array" ref="QAR28">_xlfn.XLOOKUP(QAR$11,Assumptions!$B$35:$H$35,_xlfn.XLOOKUP($C28,Assumptions!$B$36:$B$41,Assumptions!$B$36:$H$41))</f>
        <v>0</v>
      </c>
      <c r="QAS28">
        <f t="array" ref="QAS28">_xlfn.XLOOKUP(QAS$11,Assumptions!$B$35:$H$35,_xlfn.XLOOKUP($C28,Assumptions!$B$36:$B$41,Assumptions!$B$36:$H$41))</f>
        <v>0</v>
      </c>
      <c r="QAT28">
        <f t="array" ref="QAT28">_xlfn.XLOOKUP(QAT$11,Assumptions!$B$35:$H$35,_xlfn.XLOOKUP($C28,Assumptions!$B$36:$B$41,Assumptions!$B$36:$H$41))</f>
        <v>0</v>
      </c>
      <c r="QAU28">
        <f t="array" ref="QAU28">_xlfn.XLOOKUP(QAU$11,Assumptions!$B$35:$H$35,_xlfn.XLOOKUP($C28,Assumptions!$B$36:$B$41,Assumptions!$B$36:$H$41))</f>
        <v>0</v>
      </c>
      <c r="QAV28">
        <f t="array" ref="QAV28">_xlfn.XLOOKUP(QAV$11,Assumptions!$B$35:$H$35,_xlfn.XLOOKUP($C28,Assumptions!$B$36:$B$41,Assumptions!$B$36:$H$41))</f>
        <v>0</v>
      </c>
      <c r="QAW28">
        <f t="array" ref="QAW28">_xlfn.XLOOKUP(QAW$11,Assumptions!$B$35:$H$35,_xlfn.XLOOKUP($C28,Assumptions!$B$36:$B$41,Assumptions!$B$36:$H$41))</f>
        <v>0</v>
      </c>
      <c r="QAX28">
        <f t="array" ref="QAX28">_xlfn.XLOOKUP(QAX$11,Assumptions!$B$35:$H$35,_xlfn.XLOOKUP($C28,Assumptions!$B$36:$B$41,Assumptions!$B$36:$H$41))</f>
        <v>0</v>
      </c>
      <c r="QAY28">
        <f t="array" ref="QAY28">_xlfn.XLOOKUP(QAY$11,Assumptions!$B$35:$H$35,_xlfn.XLOOKUP($C28,Assumptions!$B$36:$B$41,Assumptions!$B$36:$H$41))</f>
        <v>0</v>
      </c>
      <c r="QAZ28">
        <f t="array" ref="QAZ28">_xlfn.XLOOKUP(QAZ$11,Assumptions!$B$35:$H$35,_xlfn.XLOOKUP($C28,Assumptions!$B$36:$B$41,Assumptions!$B$36:$H$41))</f>
        <v>0</v>
      </c>
      <c r="QBA28">
        <f t="array" ref="QBA28">_xlfn.XLOOKUP(QBA$11,Assumptions!$B$35:$H$35,_xlfn.XLOOKUP($C28,Assumptions!$B$36:$B$41,Assumptions!$B$36:$H$41))</f>
        <v>0</v>
      </c>
      <c r="QBB28">
        <f t="array" ref="QBB28">_xlfn.XLOOKUP(QBB$11,Assumptions!$B$35:$H$35,_xlfn.XLOOKUP($C28,Assumptions!$B$36:$B$41,Assumptions!$B$36:$H$41))</f>
        <v>0</v>
      </c>
      <c r="QBC28">
        <f t="array" ref="QBC28">_xlfn.XLOOKUP(QBC$11,Assumptions!$B$35:$H$35,_xlfn.XLOOKUP($C28,Assumptions!$B$36:$B$41,Assumptions!$B$36:$H$41))</f>
        <v>0</v>
      </c>
      <c r="QBD28">
        <f t="array" ref="QBD28">_xlfn.XLOOKUP(QBD$11,Assumptions!$B$35:$H$35,_xlfn.XLOOKUP($C28,Assumptions!$B$36:$B$41,Assumptions!$B$36:$H$41))</f>
        <v>0</v>
      </c>
      <c r="QBE28">
        <f t="array" ref="QBE28">_xlfn.XLOOKUP(QBE$11,Assumptions!$B$35:$H$35,_xlfn.XLOOKUP($C28,Assumptions!$B$36:$B$41,Assumptions!$B$36:$H$41))</f>
        <v>0</v>
      </c>
      <c r="QBF28">
        <f t="array" ref="QBF28">_xlfn.XLOOKUP(QBF$11,Assumptions!$B$35:$H$35,_xlfn.XLOOKUP($C28,Assumptions!$B$36:$B$41,Assumptions!$B$36:$H$41))</f>
        <v>0</v>
      </c>
      <c r="QBG28">
        <f t="array" ref="QBG28">_xlfn.XLOOKUP(QBG$11,Assumptions!$B$35:$H$35,_xlfn.XLOOKUP($C28,Assumptions!$B$36:$B$41,Assumptions!$B$36:$H$41))</f>
        <v>0</v>
      </c>
      <c r="QBH28">
        <f t="array" ref="QBH28">_xlfn.XLOOKUP(QBH$11,Assumptions!$B$35:$H$35,_xlfn.XLOOKUP($C28,Assumptions!$B$36:$B$41,Assumptions!$B$36:$H$41))</f>
        <v>0</v>
      </c>
      <c r="QBI28">
        <f t="array" ref="QBI28">_xlfn.XLOOKUP(QBI$11,Assumptions!$B$35:$H$35,_xlfn.XLOOKUP($C28,Assumptions!$B$36:$B$41,Assumptions!$B$36:$H$41))</f>
        <v>0</v>
      </c>
      <c r="QBJ28">
        <f t="array" ref="QBJ28">_xlfn.XLOOKUP(QBJ$11,Assumptions!$B$35:$H$35,_xlfn.XLOOKUP($C28,Assumptions!$B$36:$B$41,Assumptions!$B$36:$H$41))</f>
        <v>0</v>
      </c>
      <c r="QBK28">
        <f t="array" ref="QBK28">_xlfn.XLOOKUP(QBK$11,Assumptions!$B$35:$H$35,_xlfn.XLOOKUP($C28,Assumptions!$B$36:$B$41,Assumptions!$B$36:$H$41))</f>
        <v>0</v>
      </c>
      <c r="QBL28">
        <f t="array" ref="QBL28">_xlfn.XLOOKUP(QBL$11,Assumptions!$B$35:$H$35,_xlfn.XLOOKUP($C28,Assumptions!$B$36:$B$41,Assumptions!$B$36:$H$41))</f>
        <v>0</v>
      </c>
      <c r="QBM28">
        <f t="array" ref="QBM28">_xlfn.XLOOKUP(QBM$11,Assumptions!$B$35:$H$35,_xlfn.XLOOKUP($C28,Assumptions!$B$36:$B$41,Assumptions!$B$36:$H$41))</f>
        <v>0</v>
      </c>
      <c r="QBN28">
        <f t="array" ref="QBN28">_xlfn.XLOOKUP(QBN$11,Assumptions!$B$35:$H$35,_xlfn.XLOOKUP($C28,Assumptions!$B$36:$B$41,Assumptions!$B$36:$H$41))</f>
        <v>0</v>
      </c>
      <c r="QBO28">
        <f t="array" ref="QBO28">_xlfn.XLOOKUP(QBO$11,Assumptions!$B$35:$H$35,_xlfn.XLOOKUP($C28,Assumptions!$B$36:$B$41,Assumptions!$B$36:$H$41))</f>
        <v>0</v>
      </c>
      <c r="QBP28">
        <f t="array" ref="QBP28">_xlfn.XLOOKUP(QBP$11,Assumptions!$B$35:$H$35,_xlfn.XLOOKUP($C28,Assumptions!$B$36:$B$41,Assumptions!$B$36:$H$41))</f>
        <v>0</v>
      </c>
      <c r="QBQ28">
        <f t="array" ref="QBQ28">_xlfn.XLOOKUP(QBQ$11,Assumptions!$B$35:$H$35,_xlfn.XLOOKUP($C28,Assumptions!$B$36:$B$41,Assumptions!$B$36:$H$41))</f>
        <v>0</v>
      </c>
      <c r="QBR28">
        <f t="array" ref="QBR28">_xlfn.XLOOKUP(QBR$11,Assumptions!$B$35:$H$35,_xlfn.XLOOKUP($C28,Assumptions!$B$36:$B$41,Assumptions!$B$36:$H$41))</f>
        <v>0</v>
      </c>
      <c r="QBS28">
        <f t="array" ref="QBS28">_xlfn.XLOOKUP(QBS$11,Assumptions!$B$35:$H$35,_xlfn.XLOOKUP($C28,Assumptions!$B$36:$B$41,Assumptions!$B$36:$H$41))</f>
        <v>0</v>
      </c>
      <c r="QBT28">
        <f t="array" ref="QBT28">_xlfn.XLOOKUP(QBT$11,Assumptions!$B$35:$H$35,_xlfn.XLOOKUP($C28,Assumptions!$B$36:$B$41,Assumptions!$B$36:$H$41))</f>
        <v>0</v>
      </c>
      <c r="QBU28">
        <f t="array" ref="QBU28">_xlfn.XLOOKUP(QBU$11,Assumptions!$B$35:$H$35,_xlfn.XLOOKUP($C28,Assumptions!$B$36:$B$41,Assumptions!$B$36:$H$41))</f>
        <v>0</v>
      </c>
      <c r="QBV28">
        <f t="array" ref="QBV28">_xlfn.XLOOKUP(QBV$11,Assumptions!$B$35:$H$35,_xlfn.XLOOKUP($C28,Assumptions!$B$36:$B$41,Assumptions!$B$36:$H$41))</f>
        <v>0</v>
      </c>
      <c r="QBW28">
        <f t="array" ref="QBW28">_xlfn.XLOOKUP(QBW$11,Assumptions!$B$35:$H$35,_xlfn.XLOOKUP($C28,Assumptions!$B$36:$B$41,Assumptions!$B$36:$H$41))</f>
        <v>0</v>
      </c>
      <c r="QBX28">
        <f t="array" ref="QBX28">_xlfn.XLOOKUP(QBX$11,Assumptions!$B$35:$H$35,_xlfn.XLOOKUP($C28,Assumptions!$B$36:$B$41,Assumptions!$B$36:$H$41))</f>
        <v>0</v>
      </c>
      <c r="QBY28">
        <f t="array" ref="QBY28">_xlfn.XLOOKUP(QBY$11,Assumptions!$B$35:$H$35,_xlfn.XLOOKUP($C28,Assumptions!$B$36:$B$41,Assumptions!$B$36:$H$41))</f>
        <v>0</v>
      </c>
      <c r="QBZ28">
        <f t="array" ref="QBZ28">_xlfn.XLOOKUP(QBZ$11,Assumptions!$B$35:$H$35,_xlfn.XLOOKUP($C28,Assumptions!$B$36:$B$41,Assumptions!$B$36:$H$41))</f>
        <v>0</v>
      </c>
      <c r="QCA28">
        <f t="array" ref="QCA28">_xlfn.XLOOKUP(QCA$11,Assumptions!$B$35:$H$35,_xlfn.XLOOKUP($C28,Assumptions!$B$36:$B$41,Assumptions!$B$36:$H$41))</f>
        <v>0</v>
      </c>
      <c r="QCB28">
        <f t="array" ref="QCB28">_xlfn.XLOOKUP(QCB$11,Assumptions!$B$35:$H$35,_xlfn.XLOOKUP($C28,Assumptions!$B$36:$B$41,Assumptions!$B$36:$H$41))</f>
        <v>0</v>
      </c>
      <c r="QCC28">
        <f t="array" ref="QCC28">_xlfn.XLOOKUP(QCC$11,Assumptions!$B$35:$H$35,_xlfn.XLOOKUP($C28,Assumptions!$B$36:$B$41,Assumptions!$B$36:$H$41))</f>
        <v>0</v>
      </c>
      <c r="QCD28">
        <f t="array" ref="QCD28">_xlfn.XLOOKUP(QCD$11,Assumptions!$B$35:$H$35,_xlfn.XLOOKUP($C28,Assumptions!$B$36:$B$41,Assumptions!$B$36:$H$41))</f>
        <v>0</v>
      </c>
      <c r="QCE28">
        <f t="array" ref="QCE28">_xlfn.XLOOKUP(QCE$11,Assumptions!$B$35:$H$35,_xlfn.XLOOKUP($C28,Assumptions!$B$36:$B$41,Assumptions!$B$36:$H$41))</f>
        <v>0</v>
      </c>
      <c r="QCF28">
        <f t="array" ref="QCF28">_xlfn.XLOOKUP(QCF$11,Assumptions!$B$35:$H$35,_xlfn.XLOOKUP($C28,Assumptions!$B$36:$B$41,Assumptions!$B$36:$H$41))</f>
        <v>0</v>
      </c>
      <c r="QCG28">
        <f t="array" ref="QCG28">_xlfn.XLOOKUP(QCG$11,Assumptions!$B$35:$H$35,_xlfn.XLOOKUP($C28,Assumptions!$B$36:$B$41,Assumptions!$B$36:$H$41))</f>
        <v>0</v>
      </c>
      <c r="QCH28">
        <f t="array" ref="QCH28">_xlfn.XLOOKUP(QCH$11,Assumptions!$B$35:$H$35,_xlfn.XLOOKUP($C28,Assumptions!$B$36:$B$41,Assumptions!$B$36:$H$41))</f>
        <v>0</v>
      </c>
      <c r="QCI28">
        <f t="array" ref="QCI28">_xlfn.XLOOKUP(QCI$11,Assumptions!$B$35:$H$35,_xlfn.XLOOKUP($C28,Assumptions!$B$36:$B$41,Assumptions!$B$36:$H$41))</f>
        <v>0</v>
      </c>
      <c r="QCJ28">
        <f t="array" ref="QCJ28">_xlfn.XLOOKUP(QCJ$11,Assumptions!$B$35:$H$35,_xlfn.XLOOKUP($C28,Assumptions!$B$36:$B$41,Assumptions!$B$36:$H$41))</f>
        <v>0</v>
      </c>
      <c r="QCK28">
        <f t="array" ref="QCK28">_xlfn.XLOOKUP(QCK$11,Assumptions!$B$35:$H$35,_xlfn.XLOOKUP($C28,Assumptions!$B$36:$B$41,Assumptions!$B$36:$H$41))</f>
        <v>0</v>
      </c>
      <c r="QCL28">
        <f t="array" ref="QCL28">_xlfn.XLOOKUP(QCL$11,Assumptions!$B$35:$H$35,_xlfn.XLOOKUP($C28,Assumptions!$B$36:$B$41,Assumptions!$B$36:$H$41))</f>
        <v>0</v>
      </c>
      <c r="QCM28">
        <f t="array" ref="QCM28">_xlfn.XLOOKUP(QCM$11,Assumptions!$B$35:$H$35,_xlfn.XLOOKUP($C28,Assumptions!$B$36:$B$41,Assumptions!$B$36:$H$41))</f>
        <v>0</v>
      </c>
      <c r="QCN28">
        <f t="array" ref="QCN28">_xlfn.XLOOKUP(QCN$11,Assumptions!$B$35:$H$35,_xlfn.XLOOKUP($C28,Assumptions!$B$36:$B$41,Assumptions!$B$36:$H$41))</f>
        <v>0</v>
      </c>
      <c r="QCO28">
        <f t="array" ref="QCO28">_xlfn.XLOOKUP(QCO$11,Assumptions!$B$35:$H$35,_xlfn.XLOOKUP($C28,Assumptions!$B$36:$B$41,Assumptions!$B$36:$H$41))</f>
        <v>0</v>
      </c>
      <c r="QCP28">
        <f t="array" ref="QCP28">_xlfn.XLOOKUP(QCP$11,Assumptions!$B$35:$H$35,_xlfn.XLOOKUP($C28,Assumptions!$B$36:$B$41,Assumptions!$B$36:$H$41))</f>
        <v>0</v>
      </c>
      <c r="QCQ28">
        <f t="array" ref="QCQ28">_xlfn.XLOOKUP(QCQ$11,Assumptions!$B$35:$H$35,_xlfn.XLOOKUP($C28,Assumptions!$B$36:$B$41,Assumptions!$B$36:$H$41))</f>
        <v>0</v>
      </c>
      <c r="QCR28">
        <f t="array" ref="QCR28">_xlfn.XLOOKUP(QCR$11,Assumptions!$B$35:$H$35,_xlfn.XLOOKUP($C28,Assumptions!$B$36:$B$41,Assumptions!$B$36:$H$41))</f>
        <v>0</v>
      </c>
      <c r="QCS28">
        <f t="array" ref="QCS28">_xlfn.XLOOKUP(QCS$11,Assumptions!$B$35:$H$35,_xlfn.XLOOKUP($C28,Assumptions!$B$36:$B$41,Assumptions!$B$36:$H$41))</f>
        <v>0</v>
      </c>
      <c r="QCT28">
        <f t="array" ref="QCT28">_xlfn.XLOOKUP(QCT$11,Assumptions!$B$35:$H$35,_xlfn.XLOOKUP($C28,Assumptions!$B$36:$B$41,Assumptions!$B$36:$H$41))</f>
        <v>0</v>
      </c>
      <c r="QCU28">
        <f t="array" ref="QCU28">_xlfn.XLOOKUP(QCU$11,Assumptions!$B$35:$H$35,_xlfn.XLOOKUP($C28,Assumptions!$B$36:$B$41,Assumptions!$B$36:$H$41))</f>
        <v>0</v>
      </c>
      <c r="QCV28">
        <f t="array" ref="QCV28">_xlfn.XLOOKUP(QCV$11,Assumptions!$B$35:$H$35,_xlfn.XLOOKUP($C28,Assumptions!$B$36:$B$41,Assumptions!$B$36:$H$41))</f>
        <v>0</v>
      </c>
      <c r="QCW28">
        <f t="array" ref="QCW28">_xlfn.XLOOKUP(QCW$11,Assumptions!$B$35:$H$35,_xlfn.XLOOKUP($C28,Assumptions!$B$36:$B$41,Assumptions!$B$36:$H$41))</f>
        <v>0</v>
      </c>
      <c r="QCX28">
        <f t="array" ref="QCX28">_xlfn.XLOOKUP(QCX$11,Assumptions!$B$35:$H$35,_xlfn.XLOOKUP($C28,Assumptions!$B$36:$B$41,Assumptions!$B$36:$H$41))</f>
        <v>0</v>
      </c>
      <c r="QCY28">
        <f t="array" ref="QCY28">_xlfn.XLOOKUP(QCY$11,Assumptions!$B$35:$H$35,_xlfn.XLOOKUP($C28,Assumptions!$B$36:$B$41,Assumptions!$B$36:$H$41))</f>
        <v>0</v>
      </c>
      <c r="QCZ28">
        <f t="array" ref="QCZ28">_xlfn.XLOOKUP(QCZ$11,Assumptions!$B$35:$H$35,_xlfn.XLOOKUP($C28,Assumptions!$B$36:$B$41,Assumptions!$B$36:$H$41))</f>
        <v>0</v>
      </c>
      <c r="QDA28">
        <f t="array" ref="QDA28">_xlfn.XLOOKUP(QDA$11,Assumptions!$B$35:$H$35,_xlfn.XLOOKUP($C28,Assumptions!$B$36:$B$41,Assumptions!$B$36:$H$41))</f>
        <v>0</v>
      </c>
      <c r="QDB28">
        <f t="array" ref="QDB28">_xlfn.XLOOKUP(QDB$11,Assumptions!$B$35:$H$35,_xlfn.XLOOKUP($C28,Assumptions!$B$36:$B$41,Assumptions!$B$36:$H$41))</f>
        <v>0</v>
      </c>
      <c r="QDC28">
        <f t="array" ref="QDC28">_xlfn.XLOOKUP(QDC$11,Assumptions!$B$35:$H$35,_xlfn.XLOOKUP($C28,Assumptions!$B$36:$B$41,Assumptions!$B$36:$H$41))</f>
        <v>0</v>
      </c>
      <c r="QDD28">
        <f t="array" ref="QDD28">_xlfn.XLOOKUP(QDD$11,Assumptions!$B$35:$H$35,_xlfn.XLOOKUP($C28,Assumptions!$B$36:$B$41,Assumptions!$B$36:$H$41))</f>
        <v>0</v>
      </c>
      <c r="QDE28">
        <f t="array" ref="QDE28">_xlfn.XLOOKUP(QDE$11,Assumptions!$B$35:$H$35,_xlfn.XLOOKUP($C28,Assumptions!$B$36:$B$41,Assumptions!$B$36:$H$41))</f>
        <v>0</v>
      </c>
      <c r="QDF28">
        <f t="array" ref="QDF28">_xlfn.XLOOKUP(QDF$11,Assumptions!$B$35:$H$35,_xlfn.XLOOKUP($C28,Assumptions!$B$36:$B$41,Assumptions!$B$36:$H$41))</f>
        <v>0</v>
      </c>
      <c r="QDG28">
        <f t="array" ref="QDG28">_xlfn.XLOOKUP(QDG$11,Assumptions!$B$35:$H$35,_xlfn.XLOOKUP($C28,Assumptions!$B$36:$B$41,Assumptions!$B$36:$H$41))</f>
        <v>0</v>
      </c>
      <c r="QDH28">
        <f t="array" ref="QDH28">_xlfn.XLOOKUP(QDH$11,Assumptions!$B$35:$H$35,_xlfn.XLOOKUP($C28,Assumptions!$B$36:$B$41,Assumptions!$B$36:$H$41))</f>
        <v>0</v>
      </c>
      <c r="QDI28">
        <f t="array" ref="QDI28">_xlfn.XLOOKUP(QDI$11,Assumptions!$B$35:$H$35,_xlfn.XLOOKUP($C28,Assumptions!$B$36:$B$41,Assumptions!$B$36:$H$41))</f>
        <v>0</v>
      </c>
      <c r="QDJ28">
        <f t="array" ref="QDJ28">_xlfn.XLOOKUP(QDJ$11,Assumptions!$B$35:$H$35,_xlfn.XLOOKUP($C28,Assumptions!$B$36:$B$41,Assumptions!$B$36:$H$41))</f>
        <v>0</v>
      </c>
      <c r="QDK28">
        <f t="array" ref="QDK28">_xlfn.XLOOKUP(QDK$11,Assumptions!$B$35:$H$35,_xlfn.XLOOKUP($C28,Assumptions!$B$36:$B$41,Assumptions!$B$36:$H$41))</f>
        <v>0</v>
      </c>
      <c r="QDL28">
        <f t="array" ref="QDL28">_xlfn.XLOOKUP(QDL$11,Assumptions!$B$35:$H$35,_xlfn.XLOOKUP($C28,Assumptions!$B$36:$B$41,Assumptions!$B$36:$H$41))</f>
        <v>0</v>
      </c>
      <c r="QDM28">
        <f t="array" ref="QDM28">_xlfn.XLOOKUP(QDM$11,Assumptions!$B$35:$H$35,_xlfn.XLOOKUP($C28,Assumptions!$B$36:$B$41,Assumptions!$B$36:$H$41))</f>
        <v>0</v>
      </c>
      <c r="QDN28">
        <f t="array" ref="QDN28">_xlfn.XLOOKUP(QDN$11,Assumptions!$B$35:$H$35,_xlfn.XLOOKUP($C28,Assumptions!$B$36:$B$41,Assumptions!$B$36:$H$41))</f>
        <v>0</v>
      </c>
      <c r="QDO28">
        <f t="array" ref="QDO28">_xlfn.XLOOKUP(QDO$11,Assumptions!$B$35:$H$35,_xlfn.XLOOKUP($C28,Assumptions!$B$36:$B$41,Assumptions!$B$36:$H$41))</f>
        <v>0</v>
      </c>
      <c r="QDP28">
        <f t="array" ref="QDP28">_xlfn.XLOOKUP(QDP$11,Assumptions!$B$35:$H$35,_xlfn.XLOOKUP($C28,Assumptions!$B$36:$B$41,Assumptions!$B$36:$H$41))</f>
        <v>0</v>
      </c>
      <c r="QDQ28">
        <f t="array" ref="QDQ28">_xlfn.XLOOKUP(QDQ$11,Assumptions!$B$35:$H$35,_xlfn.XLOOKUP($C28,Assumptions!$B$36:$B$41,Assumptions!$B$36:$H$41))</f>
        <v>0</v>
      </c>
      <c r="QDR28">
        <f t="array" ref="QDR28">_xlfn.XLOOKUP(QDR$11,Assumptions!$B$35:$H$35,_xlfn.XLOOKUP($C28,Assumptions!$B$36:$B$41,Assumptions!$B$36:$H$41))</f>
        <v>0</v>
      </c>
      <c r="QDS28">
        <f t="array" ref="QDS28">_xlfn.XLOOKUP(QDS$11,Assumptions!$B$35:$H$35,_xlfn.XLOOKUP($C28,Assumptions!$B$36:$B$41,Assumptions!$B$36:$H$41))</f>
        <v>0</v>
      </c>
      <c r="QDT28">
        <f t="array" ref="QDT28">_xlfn.XLOOKUP(QDT$11,Assumptions!$B$35:$H$35,_xlfn.XLOOKUP($C28,Assumptions!$B$36:$B$41,Assumptions!$B$36:$H$41))</f>
        <v>0</v>
      </c>
      <c r="QDU28">
        <f t="array" ref="QDU28">_xlfn.XLOOKUP(QDU$11,Assumptions!$B$35:$H$35,_xlfn.XLOOKUP($C28,Assumptions!$B$36:$B$41,Assumptions!$B$36:$H$41))</f>
        <v>0</v>
      </c>
      <c r="QDV28">
        <f t="array" ref="QDV28">_xlfn.XLOOKUP(QDV$11,Assumptions!$B$35:$H$35,_xlfn.XLOOKUP($C28,Assumptions!$B$36:$B$41,Assumptions!$B$36:$H$41))</f>
        <v>0</v>
      </c>
      <c r="QDW28">
        <f t="array" ref="QDW28">_xlfn.XLOOKUP(QDW$11,Assumptions!$B$35:$H$35,_xlfn.XLOOKUP($C28,Assumptions!$B$36:$B$41,Assumptions!$B$36:$H$41))</f>
        <v>0</v>
      </c>
      <c r="QDX28">
        <f t="array" ref="QDX28">_xlfn.XLOOKUP(QDX$11,Assumptions!$B$35:$H$35,_xlfn.XLOOKUP($C28,Assumptions!$B$36:$B$41,Assumptions!$B$36:$H$41))</f>
        <v>0</v>
      </c>
      <c r="QDY28">
        <f t="array" ref="QDY28">_xlfn.XLOOKUP(QDY$11,Assumptions!$B$35:$H$35,_xlfn.XLOOKUP($C28,Assumptions!$B$36:$B$41,Assumptions!$B$36:$H$41))</f>
        <v>0</v>
      </c>
      <c r="QDZ28">
        <f t="array" ref="QDZ28">_xlfn.XLOOKUP(QDZ$11,Assumptions!$B$35:$H$35,_xlfn.XLOOKUP($C28,Assumptions!$B$36:$B$41,Assumptions!$B$36:$H$41))</f>
        <v>0</v>
      </c>
      <c r="QEA28">
        <f t="array" ref="QEA28">_xlfn.XLOOKUP(QEA$11,Assumptions!$B$35:$H$35,_xlfn.XLOOKUP($C28,Assumptions!$B$36:$B$41,Assumptions!$B$36:$H$41))</f>
        <v>0</v>
      </c>
      <c r="QEB28">
        <f t="array" ref="QEB28">_xlfn.XLOOKUP(QEB$11,Assumptions!$B$35:$H$35,_xlfn.XLOOKUP($C28,Assumptions!$B$36:$B$41,Assumptions!$B$36:$H$41))</f>
        <v>0</v>
      </c>
      <c r="QEC28">
        <f t="array" ref="QEC28">_xlfn.XLOOKUP(QEC$11,Assumptions!$B$35:$H$35,_xlfn.XLOOKUP($C28,Assumptions!$B$36:$B$41,Assumptions!$B$36:$H$41))</f>
        <v>0</v>
      </c>
      <c r="QED28">
        <f t="array" ref="QED28">_xlfn.XLOOKUP(QED$11,Assumptions!$B$35:$H$35,_xlfn.XLOOKUP($C28,Assumptions!$B$36:$B$41,Assumptions!$B$36:$H$41))</f>
        <v>0</v>
      </c>
      <c r="QEE28">
        <f t="array" ref="QEE28">_xlfn.XLOOKUP(QEE$11,Assumptions!$B$35:$H$35,_xlfn.XLOOKUP($C28,Assumptions!$B$36:$B$41,Assumptions!$B$36:$H$41))</f>
        <v>0</v>
      </c>
      <c r="QEF28">
        <f t="array" ref="QEF28">_xlfn.XLOOKUP(QEF$11,Assumptions!$B$35:$H$35,_xlfn.XLOOKUP($C28,Assumptions!$B$36:$B$41,Assumptions!$B$36:$H$41))</f>
        <v>0</v>
      </c>
      <c r="QEG28">
        <f t="array" ref="QEG28">_xlfn.XLOOKUP(QEG$11,Assumptions!$B$35:$H$35,_xlfn.XLOOKUP($C28,Assumptions!$B$36:$B$41,Assumptions!$B$36:$H$41))</f>
        <v>0</v>
      </c>
      <c r="QEH28">
        <f t="array" ref="QEH28">_xlfn.XLOOKUP(QEH$11,Assumptions!$B$35:$H$35,_xlfn.XLOOKUP($C28,Assumptions!$B$36:$B$41,Assumptions!$B$36:$H$41))</f>
        <v>0</v>
      </c>
      <c r="QEI28">
        <f t="array" ref="QEI28">_xlfn.XLOOKUP(QEI$11,Assumptions!$B$35:$H$35,_xlfn.XLOOKUP($C28,Assumptions!$B$36:$B$41,Assumptions!$B$36:$H$41))</f>
        <v>0</v>
      </c>
      <c r="QEJ28">
        <f t="array" ref="QEJ28">_xlfn.XLOOKUP(QEJ$11,Assumptions!$B$35:$H$35,_xlfn.XLOOKUP($C28,Assumptions!$B$36:$B$41,Assumptions!$B$36:$H$41))</f>
        <v>0</v>
      </c>
      <c r="QEK28">
        <f t="array" ref="QEK28">_xlfn.XLOOKUP(QEK$11,Assumptions!$B$35:$H$35,_xlfn.XLOOKUP($C28,Assumptions!$B$36:$B$41,Assumptions!$B$36:$H$41))</f>
        <v>0</v>
      </c>
      <c r="QEL28">
        <f t="array" ref="QEL28">_xlfn.XLOOKUP(QEL$11,Assumptions!$B$35:$H$35,_xlfn.XLOOKUP($C28,Assumptions!$B$36:$B$41,Assumptions!$B$36:$H$41))</f>
        <v>0</v>
      </c>
      <c r="QEM28">
        <f t="array" ref="QEM28">_xlfn.XLOOKUP(QEM$11,Assumptions!$B$35:$H$35,_xlfn.XLOOKUP($C28,Assumptions!$B$36:$B$41,Assumptions!$B$36:$H$41))</f>
        <v>0</v>
      </c>
      <c r="QEN28">
        <f t="array" ref="QEN28">_xlfn.XLOOKUP(QEN$11,Assumptions!$B$35:$H$35,_xlfn.XLOOKUP($C28,Assumptions!$B$36:$B$41,Assumptions!$B$36:$H$41))</f>
        <v>0</v>
      </c>
      <c r="QEO28">
        <f t="array" ref="QEO28">_xlfn.XLOOKUP(QEO$11,Assumptions!$B$35:$H$35,_xlfn.XLOOKUP($C28,Assumptions!$B$36:$B$41,Assumptions!$B$36:$H$41))</f>
        <v>0</v>
      </c>
      <c r="QEP28">
        <f t="array" ref="QEP28">_xlfn.XLOOKUP(QEP$11,Assumptions!$B$35:$H$35,_xlfn.XLOOKUP($C28,Assumptions!$B$36:$B$41,Assumptions!$B$36:$H$41))</f>
        <v>0</v>
      </c>
      <c r="QEQ28">
        <f t="array" ref="QEQ28">_xlfn.XLOOKUP(QEQ$11,Assumptions!$B$35:$H$35,_xlfn.XLOOKUP($C28,Assumptions!$B$36:$B$41,Assumptions!$B$36:$H$41))</f>
        <v>0</v>
      </c>
      <c r="QER28">
        <f t="array" ref="QER28">_xlfn.XLOOKUP(QER$11,Assumptions!$B$35:$H$35,_xlfn.XLOOKUP($C28,Assumptions!$B$36:$B$41,Assumptions!$B$36:$H$41))</f>
        <v>0</v>
      </c>
      <c r="QES28">
        <f t="array" ref="QES28">_xlfn.XLOOKUP(QES$11,Assumptions!$B$35:$H$35,_xlfn.XLOOKUP($C28,Assumptions!$B$36:$B$41,Assumptions!$B$36:$H$41))</f>
        <v>0</v>
      </c>
      <c r="QET28">
        <f t="array" ref="QET28">_xlfn.XLOOKUP(QET$11,Assumptions!$B$35:$H$35,_xlfn.XLOOKUP($C28,Assumptions!$B$36:$B$41,Assumptions!$B$36:$H$41))</f>
        <v>0</v>
      </c>
      <c r="QEU28">
        <f t="array" ref="QEU28">_xlfn.XLOOKUP(QEU$11,Assumptions!$B$35:$H$35,_xlfn.XLOOKUP($C28,Assumptions!$B$36:$B$41,Assumptions!$B$36:$H$41))</f>
        <v>0</v>
      </c>
      <c r="QEV28">
        <f t="array" ref="QEV28">_xlfn.XLOOKUP(QEV$11,Assumptions!$B$35:$H$35,_xlfn.XLOOKUP($C28,Assumptions!$B$36:$B$41,Assumptions!$B$36:$H$41))</f>
        <v>0</v>
      </c>
      <c r="QEW28">
        <f t="array" ref="QEW28">_xlfn.XLOOKUP(QEW$11,Assumptions!$B$35:$H$35,_xlfn.XLOOKUP($C28,Assumptions!$B$36:$B$41,Assumptions!$B$36:$H$41))</f>
        <v>0</v>
      </c>
      <c r="QEX28">
        <f t="array" ref="QEX28">_xlfn.XLOOKUP(QEX$11,Assumptions!$B$35:$H$35,_xlfn.XLOOKUP($C28,Assumptions!$B$36:$B$41,Assumptions!$B$36:$H$41))</f>
        <v>0</v>
      </c>
      <c r="QEY28">
        <f t="array" ref="QEY28">_xlfn.XLOOKUP(QEY$11,Assumptions!$B$35:$H$35,_xlfn.XLOOKUP($C28,Assumptions!$B$36:$B$41,Assumptions!$B$36:$H$41))</f>
        <v>0</v>
      </c>
      <c r="QEZ28">
        <f t="array" ref="QEZ28">_xlfn.XLOOKUP(QEZ$11,Assumptions!$B$35:$H$35,_xlfn.XLOOKUP($C28,Assumptions!$B$36:$B$41,Assumptions!$B$36:$H$41))</f>
        <v>0</v>
      </c>
      <c r="QFA28">
        <f t="array" ref="QFA28">_xlfn.XLOOKUP(QFA$11,Assumptions!$B$35:$H$35,_xlfn.XLOOKUP($C28,Assumptions!$B$36:$B$41,Assumptions!$B$36:$H$41))</f>
        <v>0</v>
      </c>
      <c r="QFB28">
        <f t="array" ref="QFB28">_xlfn.XLOOKUP(QFB$11,Assumptions!$B$35:$H$35,_xlfn.XLOOKUP($C28,Assumptions!$B$36:$B$41,Assumptions!$B$36:$H$41))</f>
        <v>0</v>
      </c>
      <c r="QFC28">
        <f t="array" ref="QFC28">_xlfn.XLOOKUP(QFC$11,Assumptions!$B$35:$H$35,_xlfn.XLOOKUP($C28,Assumptions!$B$36:$B$41,Assumptions!$B$36:$H$41))</f>
        <v>0</v>
      </c>
      <c r="QFD28">
        <f t="array" ref="QFD28">_xlfn.XLOOKUP(QFD$11,Assumptions!$B$35:$H$35,_xlfn.XLOOKUP($C28,Assumptions!$B$36:$B$41,Assumptions!$B$36:$H$41))</f>
        <v>0</v>
      </c>
      <c r="QFE28">
        <f t="array" ref="QFE28">_xlfn.XLOOKUP(QFE$11,Assumptions!$B$35:$H$35,_xlfn.XLOOKUP($C28,Assumptions!$B$36:$B$41,Assumptions!$B$36:$H$41))</f>
        <v>0</v>
      </c>
      <c r="QFF28">
        <f t="array" ref="QFF28">_xlfn.XLOOKUP(QFF$11,Assumptions!$B$35:$H$35,_xlfn.XLOOKUP($C28,Assumptions!$B$36:$B$41,Assumptions!$B$36:$H$41))</f>
        <v>0</v>
      </c>
      <c r="QFG28">
        <f t="array" ref="QFG28">_xlfn.XLOOKUP(QFG$11,Assumptions!$B$35:$H$35,_xlfn.XLOOKUP($C28,Assumptions!$B$36:$B$41,Assumptions!$B$36:$H$41))</f>
        <v>0</v>
      </c>
      <c r="QFH28">
        <f t="array" ref="QFH28">_xlfn.XLOOKUP(QFH$11,Assumptions!$B$35:$H$35,_xlfn.XLOOKUP($C28,Assumptions!$B$36:$B$41,Assumptions!$B$36:$H$41))</f>
        <v>0</v>
      </c>
      <c r="QFI28">
        <f t="array" ref="QFI28">_xlfn.XLOOKUP(QFI$11,Assumptions!$B$35:$H$35,_xlfn.XLOOKUP($C28,Assumptions!$B$36:$B$41,Assumptions!$B$36:$H$41))</f>
        <v>0</v>
      </c>
      <c r="QFJ28">
        <f t="array" ref="QFJ28">_xlfn.XLOOKUP(QFJ$11,Assumptions!$B$35:$H$35,_xlfn.XLOOKUP($C28,Assumptions!$B$36:$B$41,Assumptions!$B$36:$H$41))</f>
        <v>0</v>
      </c>
      <c r="QFK28">
        <f t="array" ref="QFK28">_xlfn.XLOOKUP(QFK$11,Assumptions!$B$35:$H$35,_xlfn.XLOOKUP($C28,Assumptions!$B$36:$B$41,Assumptions!$B$36:$H$41))</f>
        <v>0</v>
      </c>
      <c r="QFL28">
        <f t="array" ref="QFL28">_xlfn.XLOOKUP(QFL$11,Assumptions!$B$35:$H$35,_xlfn.XLOOKUP($C28,Assumptions!$B$36:$B$41,Assumptions!$B$36:$H$41))</f>
        <v>0</v>
      </c>
      <c r="QFM28">
        <f t="array" ref="QFM28">_xlfn.XLOOKUP(QFM$11,Assumptions!$B$35:$H$35,_xlfn.XLOOKUP($C28,Assumptions!$B$36:$B$41,Assumptions!$B$36:$H$41))</f>
        <v>0</v>
      </c>
      <c r="QFN28">
        <f t="array" ref="QFN28">_xlfn.XLOOKUP(QFN$11,Assumptions!$B$35:$H$35,_xlfn.XLOOKUP($C28,Assumptions!$B$36:$B$41,Assumptions!$B$36:$H$41))</f>
        <v>0</v>
      </c>
      <c r="QFO28">
        <f t="array" ref="QFO28">_xlfn.XLOOKUP(QFO$11,Assumptions!$B$35:$H$35,_xlfn.XLOOKUP($C28,Assumptions!$B$36:$B$41,Assumptions!$B$36:$H$41))</f>
        <v>0</v>
      </c>
      <c r="QFP28">
        <f t="array" ref="QFP28">_xlfn.XLOOKUP(QFP$11,Assumptions!$B$35:$H$35,_xlfn.XLOOKUP($C28,Assumptions!$B$36:$B$41,Assumptions!$B$36:$H$41))</f>
        <v>0</v>
      </c>
      <c r="QFQ28">
        <f t="array" ref="QFQ28">_xlfn.XLOOKUP(QFQ$11,Assumptions!$B$35:$H$35,_xlfn.XLOOKUP($C28,Assumptions!$B$36:$B$41,Assumptions!$B$36:$H$41))</f>
        <v>0</v>
      </c>
      <c r="QFR28">
        <f t="array" ref="QFR28">_xlfn.XLOOKUP(QFR$11,Assumptions!$B$35:$H$35,_xlfn.XLOOKUP($C28,Assumptions!$B$36:$B$41,Assumptions!$B$36:$H$41))</f>
        <v>0</v>
      </c>
      <c r="QFS28">
        <f t="array" ref="QFS28">_xlfn.XLOOKUP(QFS$11,Assumptions!$B$35:$H$35,_xlfn.XLOOKUP($C28,Assumptions!$B$36:$B$41,Assumptions!$B$36:$H$41))</f>
        <v>0</v>
      </c>
      <c r="QFT28">
        <f t="array" ref="QFT28">_xlfn.XLOOKUP(QFT$11,Assumptions!$B$35:$H$35,_xlfn.XLOOKUP($C28,Assumptions!$B$36:$B$41,Assumptions!$B$36:$H$41))</f>
        <v>0</v>
      </c>
      <c r="QFU28">
        <f t="array" ref="QFU28">_xlfn.XLOOKUP(QFU$11,Assumptions!$B$35:$H$35,_xlfn.XLOOKUP($C28,Assumptions!$B$36:$B$41,Assumptions!$B$36:$H$41))</f>
        <v>0</v>
      </c>
      <c r="QFV28">
        <f t="array" ref="QFV28">_xlfn.XLOOKUP(QFV$11,Assumptions!$B$35:$H$35,_xlfn.XLOOKUP($C28,Assumptions!$B$36:$B$41,Assumptions!$B$36:$H$41))</f>
        <v>0</v>
      </c>
      <c r="QFW28">
        <f t="array" ref="QFW28">_xlfn.XLOOKUP(QFW$11,Assumptions!$B$35:$H$35,_xlfn.XLOOKUP($C28,Assumptions!$B$36:$B$41,Assumptions!$B$36:$H$41))</f>
        <v>0</v>
      </c>
      <c r="QFX28">
        <f t="array" ref="QFX28">_xlfn.XLOOKUP(QFX$11,Assumptions!$B$35:$H$35,_xlfn.XLOOKUP($C28,Assumptions!$B$36:$B$41,Assumptions!$B$36:$H$41))</f>
        <v>0</v>
      </c>
      <c r="QFY28">
        <f t="array" ref="QFY28">_xlfn.XLOOKUP(QFY$11,Assumptions!$B$35:$H$35,_xlfn.XLOOKUP($C28,Assumptions!$B$36:$B$41,Assumptions!$B$36:$H$41))</f>
        <v>0</v>
      </c>
      <c r="QFZ28">
        <f t="array" ref="QFZ28">_xlfn.XLOOKUP(QFZ$11,Assumptions!$B$35:$H$35,_xlfn.XLOOKUP($C28,Assumptions!$B$36:$B$41,Assumptions!$B$36:$H$41))</f>
        <v>0</v>
      </c>
      <c r="QGA28">
        <f t="array" ref="QGA28">_xlfn.XLOOKUP(QGA$11,Assumptions!$B$35:$H$35,_xlfn.XLOOKUP($C28,Assumptions!$B$36:$B$41,Assumptions!$B$36:$H$41))</f>
        <v>0</v>
      </c>
      <c r="QGB28">
        <f t="array" ref="QGB28">_xlfn.XLOOKUP(QGB$11,Assumptions!$B$35:$H$35,_xlfn.XLOOKUP($C28,Assumptions!$B$36:$B$41,Assumptions!$B$36:$H$41))</f>
        <v>0</v>
      </c>
      <c r="QGC28">
        <f t="array" ref="QGC28">_xlfn.XLOOKUP(QGC$11,Assumptions!$B$35:$H$35,_xlfn.XLOOKUP($C28,Assumptions!$B$36:$B$41,Assumptions!$B$36:$H$41))</f>
        <v>0</v>
      </c>
      <c r="QGD28">
        <f t="array" ref="QGD28">_xlfn.XLOOKUP(QGD$11,Assumptions!$B$35:$H$35,_xlfn.XLOOKUP($C28,Assumptions!$B$36:$B$41,Assumptions!$B$36:$H$41))</f>
        <v>0</v>
      </c>
      <c r="QGE28">
        <f t="array" ref="QGE28">_xlfn.XLOOKUP(QGE$11,Assumptions!$B$35:$H$35,_xlfn.XLOOKUP($C28,Assumptions!$B$36:$B$41,Assumptions!$B$36:$H$41))</f>
        <v>0</v>
      </c>
      <c r="QGF28">
        <f t="array" ref="QGF28">_xlfn.XLOOKUP(QGF$11,Assumptions!$B$35:$H$35,_xlfn.XLOOKUP($C28,Assumptions!$B$36:$B$41,Assumptions!$B$36:$H$41))</f>
        <v>0</v>
      </c>
      <c r="QGG28">
        <f t="array" ref="QGG28">_xlfn.XLOOKUP(QGG$11,Assumptions!$B$35:$H$35,_xlfn.XLOOKUP($C28,Assumptions!$B$36:$B$41,Assumptions!$B$36:$H$41))</f>
        <v>0</v>
      </c>
      <c r="QGH28">
        <f t="array" ref="QGH28">_xlfn.XLOOKUP(QGH$11,Assumptions!$B$35:$H$35,_xlfn.XLOOKUP($C28,Assumptions!$B$36:$B$41,Assumptions!$B$36:$H$41))</f>
        <v>0</v>
      </c>
      <c r="QGI28">
        <f t="array" ref="QGI28">_xlfn.XLOOKUP(QGI$11,Assumptions!$B$35:$H$35,_xlfn.XLOOKUP($C28,Assumptions!$B$36:$B$41,Assumptions!$B$36:$H$41))</f>
        <v>0</v>
      </c>
      <c r="QGJ28">
        <f t="array" ref="QGJ28">_xlfn.XLOOKUP(QGJ$11,Assumptions!$B$35:$H$35,_xlfn.XLOOKUP($C28,Assumptions!$B$36:$B$41,Assumptions!$B$36:$H$41))</f>
        <v>0</v>
      </c>
      <c r="QGK28">
        <f t="array" ref="QGK28">_xlfn.XLOOKUP(QGK$11,Assumptions!$B$35:$H$35,_xlfn.XLOOKUP($C28,Assumptions!$B$36:$B$41,Assumptions!$B$36:$H$41))</f>
        <v>0</v>
      </c>
      <c r="QGL28">
        <f t="array" ref="QGL28">_xlfn.XLOOKUP(QGL$11,Assumptions!$B$35:$H$35,_xlfn.XLOOKUP($C28,Assumptions!$B$36:$B$41,Assumptions!$B$36:$H$41))</f>
        <v>0</v>
      </c>
      <c r="QGM28">
        <f t="array" ref="QGM28">_xlfn.XLOOKUP(QGM$11,Assumptions!$B$35:$H$35,_xlfn.XLOOKUP($C28,Assumptions!$B$36:$B$41,Assumptions!$B$36:$H$41))</f>
        <v>0</v>
      </c>
      <c r="QGN28">
        <f t="array" ref="QGN28">_xlfn.XLOOKUP(QGN$11,Assumptions!$B$35:$H$35,_xlfn.XLOOKUP($C28,Assumptions!$B$36:$B$41,Assumptions!$B$36:$H$41))</f>
        <v>0</v>
      </c>
      <c r="QGO28">
        <f t="array" ref="QGO28">_xlfn.XLOOKUP(QGO$11,Assumptions!$B$35:$H$35,_xlfn.XLOOKUP($C28,Assumptions!$B$36:$B$41,Assumptions!$B$36:$H$41))</f>
        <v>0</v>
      </c>
      <c r="QGP28">
        <f t="array" ref="QGP28">_xlfn.XLOOKUP(QGP$11,Assumptions!$B$35:$H$35,_xlfn.XLOOKUP($C28,Assumptions!$B$36:$B$41,Assumptions!$B$36:$H$41))</f>
        <v>0</v>
      </c>
      <c r="QGQ28">
        <f t="array" ref="QGQ28">_xlfn.XLOOKUP(QGQ$11,Assumptions!$B$35:$H$35,_xlfn.XLOOKUP($C28,Assumptions!$B$36:$B$41,Assumptions!$B$36:$H$41))</f>
        <v>0</v>
      </c>
      <c r="QGR28">
        <f t="array" ref="QGR28">_xlfn.XLOOKUP(QGR$11,Assumptions!$B$35:$H$35,_xlfn.XLOOKUP($C28,Assumptions!$B$36:$B$41,Assumptions!$B$36:$H$41))</f>
        <v>0</v>
      </c>
      <c r="QGS28">
        <f t="array" ref="QGS28">_xlfn.XLOOKUP(QGS$11,Assumptions!$B$35:$H$35,_xlfn.XLOOKUP($C28,Assumptions!$B$36:$B$41,Assumptions!$B$36:$H$41))</f>
        <v>0</v>
      </c>
      <c r="QGT28">
        <f t="array" ref="QGT28">_xlfn.XLOOKUP(QGT$11,Assumptions!$B$35:$H$35,_xlfn.XLOOKUP($C28,Assumptions!$B$36:$B$41,Assumptions!$B$36:$H$41))</f>
        <v>0</v>
      </c>
      <c r="QGU28">
        <f t="array" ref="QGU28">_xlfn.XLOOKUP(QGU$11,Assumptions!$B$35:$H$35,_xlfn.XLOOKUP($C28,Assumptions!$B$36:$B$41,Assumptions!$B$36:$H$41))</f>
        <v>0</v>
      </c>
      <c r="QGV28">
        <f t="array" ref="QGV28">_xlfn.XLOOKUP(QGV$11,Assumptions!$B$35:$H$35,_xlfn.XLOOKUP($C28,Assumptions!$B$36:$B$41,Assumptions!$B$36:$H$41))</f>
        <v>0</v>
      </c>
      <c r="QGW28">
        <f t="array" ref="QGW28">_xlfn.XLOOKUP(QGW$11,Assumptions!$B$35:$H$35,_xlfn.XLOOKUP($C28,Assumptions!$B$36:$B$41,Assumptions!$B$36:$H$41))</f>
        <v>0</v>
      </c>
      <c r="QGX28">
        <f t="array" ref="QGX28">_xlfn.XLOOKUP(QGX$11,Assumptions!$B$35:$H$35,_xlfn.XLOOKUP($C28,Assumptions!$B$36:$B$41,Assumptions!$B$36:$H$41))</f>
        <v>0</v>
      </c>
      <c r="QGY28">
        <f t="array" ref="QGY28">_xlfn.XLOOKUP(QGY$11,Assumptions!$B$35:$H$35,_xlfn.XLOOKUP($C28,Assumptions!$B$36:$B$41,Assumptions!$B$36:$H$41))</f>
        <v>0</v>
      </c>
      <c r="QGZ28">
        <f t="array" ref="QGZ28">_xlfn.XLOOKUP(QGZ$11,Assumptions!$B$35:$H$35,_xlfn.XLOOKUP($C28,Assumptions!$B$36:$B$41,Assumptions!$B$36:$H$41))</f>
        <v>0</v>
      </c>
      <c r="QHA28">
        <f t="array" ref="QHA28">_xlfn.XLOOKUP(QHA$11,Assumptions!$B$35:$H$35,_xlfn.XLOOKUP($C28,Assumptions!$B$36:$B$41,Assumptions!$B$36:$H$41))</f>
        <v>0</v>
      </c>
      <c r="QHB28">
        <f t="array" ref="QHB28">_xlfn.XLOOKUP(QHB$11,Assumptions!$B$35:$H$35,_xlfn.XLOOKUP($C28,Assumptions!$B$36:$B$41,Assumptions!$B$36:$H$41))</f>
        <v>0</v>
      </c>
      <c r="QHC28">
        <f t="array" ref="QHC28">_xlfn.XLOOKUP(QHC$11,Assumptions!$B$35:$H$35,_xlfn.XLOOKUP($C28,Assumptions!$B$36:$B$41,Assumptions!$B$36:$H$41))</f>
        <v>0</v>
      </c>
      <c r="QHD28">
        <f t="array" ref="QHD28">_xlfn.XLOOKUP(QHD$11,Assumptions!$B$35:$H$35,_xlfn.XLOOKUP($C28,Assumptions!$B$36:$B$41,Assumptions!$B$36:$H$41))</f>
        <v>0</v>
      </c>
      <c r="QHE28">
        <f t="array" ref="QHE28">_xlfn.XLOOKUP(QHE$11,Assumptions!$B$35:$H$35,_xlfn.XLOOKUP($C28,Assumptions!$B$36:$B$41,Assumptions!$B$36:$H$41))</f>
        <v>0</v>
      </c>
      <c r="QHF28">
        <f t="array" ref="QHF28">_xlfn.XLOOKUP(QHF$11,Assumptions!$B$35:$H$35,_xlfn.XLOOKUP($C28,Assumptions!$B$36:$B$41,Assumptions!$B$36:$H$41))</f>
        <v>0</v>
      </c>
      <c r="QHG28">
        <f t="array" ref="QHG28">_xlfn.XLOOKUP(QHG$11,Assumptions!$B$35:$H$35,_xlfn.XLOOKUP($C28,Assumptions!$B$36:$B$41,Assumptions!$B$36:$H$41))</f>
        <v>0</v>
      </c>
      <c r="QHH28">
        <f t="array" ref="QHH28">_xlfn.XLOOKUP(QHH$11,Assumptions!$B$35:$H$35,_xlfn.XLOOKUP($C28,Assumptions!$B$36:$B$41,Assumptions!$B$36:$H$41))</f>
        <v>0</v>
      </c>
      <c r="QHI28">
        <f t="array" ref="QHI28">_xlfn.XLOOKUP(QHI$11,Assumptions!$B$35:$H$35,_xlfn.XLOOKUP($C28,Assumptions!$B$36:$B$41,Assumptions!$B$36:$H$41))</f>
        <v>0</v>
      </c>
      <c r="QHJ28">
        <f t="array" ref="QHJ28">_xlfn.XLOOKUP(QHJ$11,Assumptions!$B$35:$H$35,_xlfn.XLOOKUP($C28,Assumptions!$B$36:$B$41,Assumptions!$B$36:$H$41))</f>
        <v>0</v>
      </c>
      <c r="QHK28">
        <f t="array" ref="QHK28">_xlfn.XLOOKUP(QHK$11,Assumptions!$B$35:$H$35,_xlfn.XLOOKUP($C28,Assumptions!$B$36:$B$41,Assumptions!$B$36:$H$41))</f>
        <v>0</v>
      </c>
      <c r="QHL28">
        <f t="array" ref="QHL28">_xlfn.XLOOKUP(QHL$11,Assumptions!$B$35:$H$35,_xlfn.XLOOKUP($C28,Assumptions!$B$36:$B$41,Assumptions!$B$36:$H$41))</f>
        <v>0</v>
      </c>
      <c r="QHM28">
        <f t="array" ref="QHM28">_xlfn.XLOOKUP(QHM$11,Assumptions!$B$35:$H$35,_xlfn.XLOOKUP($C28,Assumptions!$B$36:$B$41,Assumptions!$B$36:$H$41))</f>
        <v>0</v>
      </c>
      <c r="QHN28">
        <f t="array" ref="QHN28">_xlfn.XLOOKUP(QHN$11,Assumptions!$B$35:$H$35,_xlfn.XLOOKUP($C28,Assumptions!$B$36:$B$41,Assumptions!$B$36:$H$41))</f>
        <v>0</v>
      </c>
      <c r="QHO28">
        <f t="array" ref="QHO28">_xlfn.XLOOKUP(QHO$11,Assumptions!$B$35:$H$35,_xlfn.XLOOKUP($C28,Assumptions!$B$36:$B$41,Assumptions!$B$36:$H$41))</f>
        <v>0</v>
      </c>
      <c r="QHP28">
        <f t="array" ref="QHP28">_xlfn.XLOOKUP(QHP$11,Assumptions!$B$35:$H$35,_xlfn.XLOOKUP($C28,Assumptions!$B$36:$B$41,Assumptions!$B$36:$H$41))</f>
        <v>0</v>
      </c>
      <c r="QHQ28">
        <f t="array" ref="QHQ28">_xlfn.XLOOKUP(QHQ$11,Assumptions!$B$35:$H$35,_xlfn.XLOOKUP($C28,Assumptions!$B$36:$B$41,Assumptions!$B$36:$H$41))</f>
        <v>0</v>
      </c>
      <c r="QHR28">
        <f t="array" ref="QHR28">_xlfn.XLOOKUP(QHR$11,Assumptions!$B$35:$H$35,_xlfn.XLOOKUP($C28,Assumptions!$B$36:$B$41,Assumptions!$B$36:$H$41))</f>
        <v>0</v>
      </c>
      <c r="QHS28">
        <f t="array" ref="QHS28">_xlfn.XLOOKUP(QHS$11,Assumptions!$B$35:$H$35,_xlfn.XLOOKUP($C28,Assumptions!$B$36:$B$41,Assumptions!$B$36:$H$41))</f>
        <v>0</v>
      </c>
      <c r="QHT28">
        <f t="array" ref="QHT28">_xlfn.XLOOKUP(QHT$11,Assumptions!$B$35:$H$35,_xlfn.XLOOKUP($C28,Assumptions!$B$36:$B$41,Assumptions!$B$36:$H$41))</f>
        <v>0</v>
      </c>
      <c r="QHU28">
        <f t="array" ref="QHU28">_xlfn.XLOOKUP(QHU$11,Assumptions!$B$35:$H$35,_xlfn.XLOOKUP($C28,Assumptions!$B$36:$B$41,Assumptions!$B$36:$H$41))</f>
        <v>0</v>
      </c>
      <c r="QHV28">
        <f t="array" ref="QHV28">_xlfn.XLOOKUP(QHV$11,Assumptions!$B$35:$H$35,_xlfn.XLOOKUP($C28,Assumptions!$B$36:$B$41,Assumptions!$B$36:$H$41))</f>
        <v>0</v>
      </c>
      <c r="QHW28">
        <f t="array" ref="QHW28">_xlfn.XLOOKUP(QHW$11,Assumptions!$B$35:$H$35,_xlfn.XLOOKUP($C28,Assumptions!$B$36:$B$41,Assumptions!$B$36:$H$41))</f>
        <v>0</v>
      </c>
      <c r="QHX28">
        <f t="array" ref="QHX28">_xlfn.XLOOKUP(QHX$11,Assumptions!$B$35:$H$35,_xlfn.XLOOKUP($C28,Assumptions!$B$36:$B$41,Assumptions!$B$36:$H$41))</f>
        <v>0</v>
      </c>
      <c r="QHY28">
        <f t="array" ref="QHY28">_xlfn.XLOOKUP(QHY$11,Assumptions!$B$35:$H$35,_xlfn.XLOOKUP($C28,Assumptions!$B$36:$B$41,Assumptions!$B$36:$H$41))</f>
        <v>0</v>
      </c>
      <c r="QHZ28">
        <f t="array" ref="QHZ28">_xlfn.XLOOKUP(QHZ$11,Assumptions!$B$35:$H$35,_xlfn.XLOOKUP($C28,Assumptions!$B$36:$B$41,Assumptions!$B$36:$H$41))</f>
        <v>0</v>
      </c>
      <c r="QIA28">
        <f t="array" ref="QIA28">_xlfn.XLOOKUP(QIA$11,Assumptions!$B$35:$H$35,_xlfn.XLOOKUP($C28,Assumptions!$B$36:$B$41,Assumptions!$B$36:$H$41))</f>
        <v>0</v>
      </c>
      <c r="QIB28">
        <f t="array" ref="QIB28">_xlfn.XLOOKUP(QIB$11,Assumptions!$B$35:$H$35,_xlfn.XLOOKUP($C28,Assumptions!$B$36:$B$41,Assumptions!$B$36:$H$41))</f>
        <v>0</v>
      </c>
      <c r="QIC28">
        <f t="array" ref="QIC28">_xlfn.XLOOKUP(QIC$11,Assumptions!$B$35:$H$35,_xlfn.XLOOKUP($C28,Assumptions!$B$36:$B$41,Assumptions!$B$36:$H$41))</f>
        <v>0</v>
      </c>
      <c r="QID28">
        <f t="array" ref="QID28">_xlfn.XLOOKUP(QID$11,Assumptions!$B$35:$H$35,_xlfn.XLOOKUP($C28,Assumptions!$B$36:$B$41,Assumptions!$B$36:$H$41))</f>
        <v>0</v>
      </c>
      <c r="QIE28">
        <f t="array" ref="QIE28">_xlfn.XLOOKUP(QIE$11,Assumptions!$B$35:$H$35,_xlfn.XLOOKUP($C28,Assumptions!$B$36:$B$41,Assumptions!$B$36:$H$41))</f>
        <v>0</v>
      </c>
      <c r="QIF28">
        <f t="array" ref="QIF28">_xlfn.XLOOKUP(QIF$11,Assumptions!$B$35:$H$35,_xlfn.XLOOKUP($C28,Assumptions!$B$36:$B$41,Assumptions!$B$36:$H$41))</f>
        <v>0</v>
      </c>
      <c r="QIG28">
        <f t="array" ref="QIG28">_xlfn.XLOOKUP(QIG$11,Assumptions!$B$35:$H$35,_xlfn.XLOOKUP($C28,Assumptions!$B$36:$B$41,Assumptions!$B$36:$H$41))</f>
        <v>0</v>
      </c>
      <c r="QIH28">
        <f t="array" ref="QIH28">_xlfn.XLOOKUP(QIH$11,Assumptions!$B$35:$H$35,_xlfn.XLOOKUP($C28,Assumptions!$B$36:$B$41,Assumptions!$B$36:$H$41))</f>
        <v>0</v>
      </c>
      <c r="QII28">
        <f t="array" ref="QII28">_xlfn.XLOOKUP(QII$11,Assumptions!$B$35:$H$35,_xlfn.XLOOKUP($C28,Assumptions!$B$36:$B$41,Assumptions!$B$36:$H$41))</f>
        <v>0</v>
      </c>
      <c r="QIJ28">
        <f t="array" ref="QIJ28">_xlfn.XLOOKUP(QIJ$11,Assumptions!$B$35:$H$35,_xlfn.XLOOKUP($C28,Assumptions!$B$36:$B$41,Assumptions!$B$36:$H$41))</f>
        <v>0</v>
      </c>
      <c r="QIK28">
        <f t="array" ref="QIK28">_xlfn.XLOOKUP(QIK$11,Assumptions!$B$35:$H$35,_xlfn.XLOOKUP($C28,Assumptions!$B$36:$B$41,Assumptions!$B$36:$H$41))</f>
        <v>0</v>
      </c>
      <c r="QIL28">
        <f t="array" ref="QIL28">_xlfn.XLOOKUP(QIL$11,Assumptions!$B$35:$H$35,_xlfn.XLOOKUP($C28,Assumptions!$B$36:$B$41,Assumptions!$B$36:$H$41))</f>
        <v>0</v>
      </c>
      <c r="QIM28">
        <f t="array" ref="QIM28">_xlfn.XLOOKUP(QIM$11,Assumptions!$B$35:$H$35,_xlfn.XLOOKUP($C28,Assumptions!$B$36:$B$41,Assumptions!$B$36:$H$41))</f>
        <v>0</v>
      </c>
      <c r="QIN28">
        <f t="array" ref="QIN28">_xlfn.XLOOKUP(QIN$11,Assumptions!$B$35:$H$35,_xlfn.XLOOKUP($C28,Assumptions!$B$36:$B$41,Assumptions!$B$36:$H$41))</f>
        <v>0</v>
      </c>
      <c r="QIO28">
        <f t="array" ref="QIO28">_xlfn.XLOOKUP(QIO$11,Assumptions!$B$35:$H$35,_xlfn.XLOOKUP($C28,Assumptions!$B$36:$B$41,Assumptions!$B$36:$H$41))</f>
        <v>0</v>
      </c>
      <c r="QIP28">
        <f t="array" ref="QIP28">_xlfn.XLOOKUP(QIP$11,Assumptions!$B$35:$H$35,_xlfn.XLOOKUP($C28,Assumptions!$B$36:$B$41,Assumptions!$B$36:$H$41))</f>
        <v>0</v>
      </c>
      <c r="QIQ28">
        <f t="array" ref="QIQ28">_xlfn.XLOOKUP(QIQ$11,Assumptions!$B$35:$H$35,_xlfn.XLOOKUP($C28,Assumptions!$B$36:$B$41,Assumptions!$B$36:$H$41))</f>
        <v>0</v>
      </c>
      <c r="QIR28">
        <f t="array" ref="QIR28">_xlfn.XLOOKUP(QIR$11,Assumptions!$B$35:$H$35,_xlfn.XLOOKUP($C28,Assumptions!$B$36:$B$41,Assumptions!$B$36:$H$41))</f>
        <v>0</v>
      </c>
      <c r="QIS28">
        <f t="array" ref="QIS28">_xlfn.XLOOKUP(QIS$11,Assumptions!$B$35:$H$35,_xlfn.XLOOKUP($C28,Assumptions!$B$36:$B$41,Assumptions!$B$36:$H$41))</f>
        <v>0</v>
      </c>
      <c r="QIT28">
        <f t="array" ref="QIT28">_xlfn.XLOOKUP(QIT$11,Assumptions!$B$35:$H$35,_xlfn.XLOOKUP($C28,Assumptions!$B$36:$B$41,Assumptions!$B$36:$H$41))</f>
        <v>0</v>
      </c>
      <c r="QIU28">
        <f t="array" ref="QIU28">_xlfn.XLOOKUP(QIU$11,Assumptions!$B$35:$H$35,_xlfn.XLOOKUP($C28,Assumptions!$B$36:$B$41,Assumptions!$B$36:$H$41))</f>
        <v>0</v>
      </c>
      <c r="QIV28">
        <f t="array" ref="QIV28">_xlfn.XLOOKUP(QIV$11,Assumptions!$B$35:$H$35,_xlfn.XLOOKUP($C28,Assumptions!$B$36:$B$41,Assumptions!$B$36:$H$41))</f>
        <v>0</v>
      </c>
      <c r="QIW28">
        <f t="array" ref="QIW28">_xlfn.XLOOKUP(QIW$11,Assumptions!$B$35:$H$35,_xlfn.XLOOKUP($C28,Assumptions!$B$36:$B$41,Assumptions!$B$36:$H$41))</f>
        <v>0</v>
      </c>
      <c r="QIX28">
        <f t="array" ref="QIX28">_xlfn.XLOOKUP(QIX$11,Assumptions!$B$35:$H$35,_xlfn.XLOOKUP($C28,Assumptions!$B$36:$B$41,Assumptions!$B$36:$H$41))</f>
        <v>0</v>
      </c>
      <c r="QIY28">
        <f t="array" ref="QIY28">_xlfn.XLOOKUP(QIY$11,Assumptions!$B$35:$H$35,_xlfn.XLOOKUP($C28,Assumptions!$B$36:$B$41,Assumptions!$B$36:$H$41))</f>
        <v>0</v>
      </c>
      <c r="QIZ28">
        <f t="array" ref="QIZ28">_xlfn.XLOOKUP(QIZ$11,Assumptions!$B$35:$H$35,_xlfn.XLOOKUP($C28,Assumptions!$B$36:$B$41,Assumptions!$B$36:$H$41))</f>
        <v>0</v>
      </c>
      <c r="QJA28">
        <f t="array" ref="QJA28">_xlfn.XLOOKUP(QJA$11,Assumptions!$B$35:$H$35,_xlfn.XLOOKUP($C28,Assumptions!$B$36:$B$41,Assumptions!$B$36:$H$41))</f>
        <v>0</v>
      </c>
      <c r="QJB28">
        <f t="array" ref="QJB28">_xlfn.XLOOKUP(QJB$11,Assumptions!$B$35:$H$35,_xlfn.XLOOKUP($C28,Assumptions!$B$36:$B$41,Assumptions!$B$36:$H$41))</f>
        <v>0</v>
      </c>
      <c r="QJC28">
        <f t="array" ref="QJC28">_xlfn.XLOOKUP(QJC$11,Assumptions!$B$35:$H$35,_xlfn.XLOOKUP($C28,Assumptions!$B$36:$B$41,Assumptions!$B$36:$H$41))</f>
        <v>0</v>
      </c>
      <c r="QJD28">
        <f t="array" ref="QJD28">_xlfn.XLOOKUP(QJD$11,Assumptions!$B$35:$H$35,_xlfn.XLOOKUP($C28,Assumptions!$B$36:$B$41,Assumptions!$B$36:$H$41))</f>
        <v>0</v>
      </c>
      <c r="QJE28">
        <f t="array" ref="QJE28">_xlfn.XLOOKUP(QJE$11,Assumptions!$B$35:$H$35,_xlfn.XLOOKUP($C28,Assumptions!$B$36:$B$41,Assumptions!$B$36:$H$41))</f>
        <v>0</v>
      </c>
      <c r="QJF28">
        <f t="array" ref="QJF28">_xlfn.XLOOKUP(QJF$11,Assumptions!$B$35:$H$35,_xlfn.XLOOKUP($C28,Assumptions!$B$36:$B$41,Assumptions!$B$36:$H$41))</f>
        <v>0</v>
      </c>
      <c r="QJG28">
        <f t="array" ref="QJG28">_xlfn.XLOOKUP(QJG$11,Assumptions!$B$35:$H$35,_xlfn.XLOOKUP($C28,Assumptions!$B$36:$B$41,Assumptions!$B$36:$H$41))</f>
        <v>0</v>
      </c>
      <c r="QJH28">
        <f t="array" ref="QJH28">_xlfn.XLOOKUP(QJH$11,Assumptions!$B$35:$H$35,_xlfn.XLOOKUP($C28,Assumptions!$B$36:$B$41,Assumptions!$B$36:$H$41))</f>
        <v>0</v>
      </c>
      <c r="QJI28">
        <f t="array" ref="QJI28">_xlfn.XLOOKUP(QJI$11,Assumptions!$B$35:$H$35,_xlfn.XLOOKUP($C28,Assumptions!$B$36:$B$41,Assumptions!$B$36:$H$41))</f>
        <v>0</v>
      </c>
      <c r="QJJ28">
        <f t="array" ref="QJJ28">_xlfn.XLOOKUP(QJJ$11,Assumptions!$B$35:$H$35,_xlfn.XLOOKUP($C28,Assumptions!$B$36:$B$41,Assumptions!$B$36:$H$41))</f>
        <v>0</v>
      </c>
      <c r="QJK28">
        <f t="array" ref="QJK28">_xlfn.XLOOKUP(QJK$11,Assumptions!$B$35:$H$35,_xlfn.XLOOKUP($C28,Assumptions!$B$36:$B$41,Assumptions!$B$36:$H$41))</f>
        <v>0</v>
      </c>
      <c r="QJL28">
        <f t="array" ref="QJL28">_xlfn.XLOOKUP(QJL$11,Assumptions!$B$35:$H$35,_xlfn.XLOOKUP($C28,Assumptions!$B$36:$B$41,Assumptions!$B$36:$H$41))</f>
        <v>0</v>
      </c>
      <c r="QJM28">
        <f t="array" ref="QJM28">_xlfn.XLOOKUP(QJM$11,Assumptions!$B$35:$H$35,_xlfn.XLOOKUP($C28,Assumptions!$B$36:$B$41,Assumptions!$B$36:$H$41))</f>
        <v>0</v>
      </c>
      <c r="QJN28">
        <f t="array" ref="QJN28">_xlfn.XLOOKUP(QJN$11,Assumptions!$B$35:$H$35,_xlfn.XLOOKUP($C28,Assumptions!$B$36:$B$41,Assumptions!$B$36:$H$41))</f>
        <v>0</v>
      </c>
      <c r="QJO28">
        <f t="array" ref="QJO28">_xlfn.XLOOKUP(QJO$11,Assumptions!$B$35:$H$35,_xlfn.XLOOKUP($C28,Assumptions!$B$36:$B$41,Assumptions!$B$36:$H$41))</f>
        <v>0</v>
      </c>
      <c r="QJP28">
        <f t="array" ref="QJP28">_xlfn.XLOOKUP(QJP$11,Assumptions!$B$35:$H$35,_xlfn.XLOOKUP($C28,Assumptions!$B$36:$B$41,Assumptions!$B$36:$H$41))</f>
        <v>0</v>
      </c>
      <c r="QJQ28">
        <f t="array" ref="QJQ28">_xlfn.XLOOKUP(QJQ$11,Assumptions!$B$35:$H$35,_xlfn.XLOOKUP($C28,Assumptions!$B$36:$B$41,Assumptions!$B$36:$H$41))</f>
        <v>0</v>
      </c>
      <c r="QJR28">
        <f t="array" ref="QJR28">_xlfn.XLOOKUP(QJR$11,Assumptions!$B$35:$H$35,_xlfn.XLOOKUP($C28,Assumptions!$B$36:$B$41,Assumptions!$B$36:$H$41))</f>
        <v>0</v>
      </c>
      <c r="QJS28">
        <f t="array" ref="QJS28">_xlfn.XLOOKUP(QJS$11,Assumptions!$B$35:$H$35,_xlfn.XLOOKUP($C28,Assumptions!$B$36:$B$41,Assumptions!$B$36:$H$41))</f>
        <v>0</v>
      </c>
      <c r="QJT28">
        <f t="array" ref="QJT28">_xlfn.XLOOKUP(QJT$11,Assumptions!$B$35:$H$35,_xlfn.XLOOKUP($C28,Assumptions!$B$36:$B$41,Assumptions!$B$36:$H$41))</f>
        <v>0</v>
      </c>
      <c r="QJU28">
        <f t="array" ref="QJU28">_xlfn.XLOOKUP(QJU$11,Assumptions!$B$35:$H$35,_xlfn.XLOOKUP($C28,Assumptions!$B$36:$B$41,Assumptions!$B$36:$H$41))</f>
        <v>0</v>
      </c>
      <c r="QJV28">
        <f t="array" ref="QJV28">_xlfn.XLOOKUP(QJV$11,Assumptions!$B$35:$H$35,_xlfn.XLOOKUP($C28,Assumptions!$B$36:$B$41,Assumptions!$B$36:$H$41))</f>
        <v>0</v>
      </c>
      <c r="QJW28">
        <f t="array" ref="QJW28">_xlfn.XLOOKUP(QJW$11,Assumptions!$B$35:$H$35,_xlfn.XLOOKUP($C28,Assumptions!$B$36:$B$41,Assumptions!$B$36:$H$41))</f>
        <v>0</v>
      </c>
      <c r="QJX28">
        <f t="array" ref="QJX28">_xlfn.XLOOKUP(QJX$11,Assumptions!$B$35:$H$35,_xlfn.XLOOKUP($C28,Assumptions!$B$36:$B$41,Assumptions!$B$36:$H$41))</f>
        <v>0</v>
      </c>
      <c r="QJY28">
        <f t="array" ref="QJY28">_xlfn.XLOOKUP(QJY$11,Assumptions!$B$35:$H$35,_xlfn.XLOOKUP($C28,Assumptions!$B$36:$B$41,Assumptions!$B$36:$H$41))</f>
        <v>0</v>
      </c>
      <c r="QJZ28">
        <f t="array" ref="QJZ28">_xlfn.XLOOKUP(QJZ$11,Assumptions!$B$35:$H$35,_xlfn.XLOOKUP($C28,Assumptions!$B$36:$B$41,Assumptions!$B$36:$H$41))</f>
        <v>0</v>
      </c>
      <c r="QKA28">
        <f t="array" ref="QKA28">_xlfn.XLOOKUP(QKA$11,Assumptions!$B$35:$H$35,_xlfn.XLOOKUP($C28,Assumptions!$B$36:$B$41,Assumptions!$B$36:$H$41))</f>
        <v>0</v>
      </c>
      <c r="QKB28">
        <f t="array" ref="QKB28">_xlfn.XLOOKUP(QKB$11,Assumptions!$B$35:$H$35,_xlfn.XLOOKUP($C28,Assumptions!$B$36:$B$41,Assumptions!$B$36:$H$41))</f>
        <v>0</v>
      </c>
      <c r="QKC28">
        <f t="array" ref="QKC28">_xlfn.XLOOKUP(QKC$11,Assumptions!$B$35:$H$35,_xlfn.XLOOKUP($C28,Assumptions!$B$36:$B$41,Assumptions!$B$36:$H$41))</f>
        <v>0</v>
      </c>
      <c r="QKD28">
        <f t="array" ref="QKD28">_xlfn.XLOOKUP(QKD$11,Assumptions!$B$35:$H$35,_xlfn.XLOOKUP($C28,Assumptions!$B$36:$B$41,Assumptions!$B$36:$H$41))</f>
        <v>0</v>
      </c>
      <c r="QKE28">
        <f t="array" ref="QKE28">_xlfn.XLOOKUP(QKE$11,Assumptions!$B$35:$H$35,_xlfn.XLOOKUP($C28,Assumptions!$B$36:$B$41,Assumptions!$B$36:$H$41))</f>
        <v>0</v>
      </c>
      <c r="QKF28">
        <f t="array" ref="QKF28">_xlfn.XLOOKUP(QKF$11,Assumptions!$B$35:$H$35,_xlfn.XLOOKUP($C28,Assumptions!$B$36:$B$41,Assumptions!$B$36:$H$41))</f>
        <v>0</v>
      </c>
      <c r="QKG28">
        <f t="array" ref="QKG28">_xlfn.XLOOKUP(QKG$11,Assumptions!$B$35:$H$35,_xlfn.XLOOKUP($C28,Assumptions!$B$36:$B$41,Assumptions!$B$36:$H$41))</f>
        <v>0</v>
      </c>
      <c r="QKH28">
        <f t="array" ref="QKH28">_xlfn.XLOOKUP(QKH$11,Assumptions!$B$35:$H$35,_xlfn.XLOOKUP($C28,Assumptions!$B$36:$B$41,Assumptions!$B$36:$H$41))</f>
        <v>0</v>
      </c>
      <c r="QKI28">
        <f t="array" ref="QKI28">_xlfn.XLOOKUP(QKI$11,Assumptions!$B$35:$H$35,_xlfn.XLOOKUP($C28,Assumptions!$B$36:$B$41,Assumptions!$B$36:$H$41))</f>
        <v>0</v>
      </c>
      <c r="QKJ28">
        <f t="array" ref="QKJ28">_xlfn.XLOOKUP(QKJ$11,Assumptions!$B$35:$H$35,_xlfn.XLOOKUP($C28,Assumptions!$B$36:$B$41,Assumptions!$B$36:$H$41))</f>
        <v>0</v>
      </c>
      <c r="QKK28">
        <f t="array" ref="QKK28">_xlfn.XLOOKUP(QKK$11,Assumptions!$B$35:$H$35,_xlfn.XLOOKUP($C28,Assumptions!$B$36:$B$41,Assumptions!$B$36:$H$41))</f>
        <v>0</v>
      </c>
      <c r="QKL28">
        <f t="array" ref="QKL28">_xlfn.XLOOKUP(QKL$11,Assumptions!$B$35:$H$35,_xlfn.XLOOKUP($C28,Assumptions!$B$36:$B$41,Assumptions!$B$36:$H$41))</f>
        <v>0</v>
      </c>
      <c r="QKM28">
        <f t="array" ref="QKM28">_xlfn.XLOOKUP(QKM$11,Assumptions!$B$35:$H$35,_xlfn.XLOOKUP($C28,Assumptions!$B$36:$B$41,Assumptions!$B$36:$H$41))</f>
        <v>0</v>
      </c>
      <c r="QKN28">
        <f t="array" ref="QKN28">_xlfn.XLOOKUP(QKN$11,Assumptions!$B$35:$H$35,_xlfn.XLOOKUP($C28,Assumptions!$B$36:$B$41,Assumptions!$B$36:$H$41))</f>
        <v>0</v>
      </c>
      <c r="QKO28">
        <f t="array" ref="QKO28">_xlfn.XLOOKUP(QKO$11,Assumptions!$B$35:$H$35,_xlfn.XLOOKUP($C28,Assumptions!$B$36:$B$41,Assumptions!$B$36:$H$41))</f>
        <v>0</v>
      </c>
      <c r="QKP28">
        <f t="array" ref="QKP28">_xlfn.XLOOKUP(QKP$11,Assumptions!$B$35:$H$35,_xlfn.XLOOKUP($C28,Assumptions!$B$36:$B$41,Assumptions!$B$36:$H$41))</f>
        <v>0</v>
      </c>
      <c r="QKQ28">
        <f t="array" ref="QKQ28">_xlfn.XLOOKUP(QKQ$11,Assumptions!$B$35:$H$35,_xlfn.XLOOKUP($C28,Assumptions!$B$36:$B$41,Assumptions!$B$36:$H$41))</f>
        <v>0</v>
      </c>
      <c r="QKR28">
        <f t="array" ref="QKR28">_xlfn.XLOOKUP(QKR$11,Assumptions!$B$35:$H$35,_xlfn.XLOOKUP($C28,Assumptions!$B$36:$B$41,Assumptions!$B$36:$H$41))</f>
        <v>0</v>
      </c>
      <c r="QKS28">
        <f t="array" ref="QKS28">_xlfn.XLOOKUP(QKS$11,Assumptions!$B$35:$H$35,_xlfn.XLOOKUP($C28,Assumptions!$B$36:$B$41,Assumptions!$B$36:$H$41))</f>
        <v>0</v>
      </c>
      <c r="QKT28">
        <f t="array" ref="QKT28">_xlfn.XLOOKUP(QKT$11,Assumptions!$B$35:$H$35,_xlfn.XLOOKUP($C28,Assumptions!$B$36:$B$41,Assumptions!$B$36:$H$41))</f>
        <v>0</v>
      </c>
      <c r="QKU28">
        <f t="array" ref="QKU28">_xlfn.XLOOKUP(QKU$11,Assumptions!$B$35:$H$35,_xlfn.XLOOKUP($C28,Assumptions!$B$36:$B$41,Assumptions!$B$36:$H$41))</f>
        <v>0</v>
      </c>
      <c r="QKV28">
        <f t="array" ref="QKV28">_xlfn.XLOOKUP(QKV$11,Assumptions!$B$35:$H$35,_xlfn.XLOOKUP($C28,Assumptions!$B$36:$B$41,Assumptions!$B$36:$H$41))</f>
        <v>0</v>
      </c>
      <c r="QKW28">
        <f t="array" ref="QKW28">_xlfn.XLOOKUP(QKW$11,Assumptions!$B$35:$H$35,_xlfn.XLOOKUP($C28,Assumptions!$B$36:$B$41,Assumptions!$B$36:$H$41))</f>
        <v>0</v>
      </c>
      <c r="QKX28">
        <f t="array" ref="QKX28">_xlfn.XLOOKUP(QKX$11,Assumptions!$B$35:$H$35,_xlfn.XLOOKUP($C28,Assumptions!$B$36:$B$41,Assumptions!$B$36:$H$41))</f>
        <v>0</v>
      </c>
      <c r="QKY28">
        <f t="array" ref="QKY28">_xlfn.XLOOKUP(QKY$11,Assumptions!$B$35:$H$35,_xlfn.XLOOKUP($C28,Assumptions!$B$36:$B$41,Assumptions!$B$36:$H$41))</f>
        <v>0</v>
      </c>
      <c r="QKZ28">
        <f t="array" ref="QKZ28">_xlfn.XLOOKUP(QKZ$11,Assumptions!$B$35:$H$35,_xlfn.XLOOKUP($C28,Assumptions!$B$36:$B$41,Assumptions!$B$36:$H$41))</f>
        <v>0</v>
      </c>
      <c r="QLA28">
        <f t="array" ref="QLA28">_xlfn.XLOOKUP(QLA$11,Assumptions!$B$35:$H$35,_xlfn.XLOOKUP($C28,Assumptions!$B$36:$B$41,Assumptions!$B$36:$H$41))</f>
        <v>0</v>
      </c>
      <c r="QLB28">
        <f t="array" ref="QLB28">_xlfn.XLOOKUP(QLB$11,Assumptions!$B$35:$H$35,_xlfn.XLOOKUP($C28,Assumptions!$B$36:$B$41,Assumptions!$B$36:$H$41))</f>
        <v>0</v>
      </c>
      <c r="QLC28">
        <f t="array" ref="QLC28">_xlfn.XLOOKUP(QLC$11,Assumptions!$B$35:$H$35,_xlfn.XLOOKUP($C28,Assumptions!$B$36:$B$41,Assumptions!$B$36:$H$41))</f>
        <v>0</v>
      </c>
      <c r="QLD28">
        <f t="array" ref="QLD28">_xlfn.XLOOKUP(QLD$11,Assumptions!$B$35:$H$35,_xlfn.XLOOKUP($C28,Assumptions!$B$36:$B$41,Assumptions!$B$36:$H$41))</f>
        <v>0</v>
      </c>
      <c r="QLE28">
        <f t="array" ref="QLE28">_xlfn.XLOOKUP(QLE$11,Assumptions!$B$35:$H$35,_xlfn.XLOOKUP($C28,Assumptions!$B$36:$B$41,Assumptions!$B$36:$H$41))</f>
        <v>0</v>
      </c>
      <c r="QLF28">
        <f t="array" ref="QLF28">_xlfn.XLOOKUP(QLF$11,Assumptions!$B$35:$H$35,_xlfn.XLOOKUP($C28,Assumptions!$B$36:$B$41,Assumptions!$B$36:$H$41))</f>
        <v>0</v>
      </c>
      <c r="QLG28">
        <f t="array" ref="QLG28">_xlfn.XLOOKUP(QLG$11,Assumptions!$B$35:$H$35,_xlfn.XLOOKUP($C28,Assumptions!$B$36:$B$41,Assumptions!$B$36:$H$41))</f>
        <v>0</v>
      </c>
      <c r="QLH28">
        <f t="array" ref="QLH28">_xlfn.XLOOKUP(QLH$11,Assumptions!$B$35:$H$35,_xlfn.XLOOKUP($C28,Assumptions!$B$36:$B$41,Assumptions!$B$36:$H$41))</f>
        <v>0</v>
      </c>
      <c r="QLI28">
        <f t="array" ref="QLI28">_xlfn.XLOOKUP(QLI$11,Assumptions!$B$35:$H$35,_xlfn.XLOOKUP($C28,Assumptions!$B$36:$B$41,Assumptions!$B$36:$H$41))</f>
        <v>0</v>
      </c>
      <c r="QLJ28">
        <f t="array" ref="QLJ28">_xlfn.XLOOKUP(QLJ$11,Assumptions!$B$35:$H$35,_xlfn.XLOOKUP($C28,Assumptions!$B$36:$B$41,Assumptions!$B$36:$H$41))</f>
        <v>0</v>
      </c>
      <c r="QLK28">
        <f t="array" ref="QLK28">_xlfn.XLOOKUP(QLK$11,Assumptions!$B$35:$H$35,_xlfn.XLOOKUP($C28,Assumptions!$B$36:$B$41,Assumptions!$B$36:$H$41))</f>
        <v>0</v>
      </c>
      <c r="QLL28">
        <f t="array" ref="QLL28">_xlfn.XLOOKUP(QLL$11,Assumptions!$B$35:$H$35,_xlfn.XLOOKUP($C28,Assumptions!$B$36:$B$41,Assumptions!$B$36:$H$41))</f>
        <v>0</v>
      </c>
      <c r="QLM28">
        <f t="array" ref="QLM28">_xlfn.XLOOKUP(QLM$11,Assumptions!$B$35:$H$35,_xlfn.XLOOKUP($C28,Assumptions!$B$36:$B$41,Assumptions!$B$36:$H$41))</f>
        <v>0</v>
      </c>
      <c r="QLN28">
        <f t="array" ref="QLN28">_xlfn.XLOOKUP(QLN$11,Assumptions!$B$35:$H$35,_xlfn.XLOOKUP($C28,Assumptions!$B$36:$B$41,Assumptions!$B$36:$H$41))</f>
        <v>0</v>
      </c>
      <c r="QLO28">
        <f t="array" ref="QLO28">_xlfn.XLOOKUP(QLO$11,Assumptions!$B$35:$H$35,_xlfn.XLOOKUP($C28,Assumptions!$B$36:$B$41,Assumptions!$B$36:$H$41))</f>
        <v>0</v>
      </c>
      <c r="QLP28">
        <f t="array" ref="QLP28">_xlfn.XLOOKUP(QLP$11,Assumptions!$B$35:$H$35,_xlfn.XLOOKUP($C28,Assumptions!$B$36:$B$41,Assumptions!$B$36:$H$41))</f>
        <v>0</v>
      </c>
      <c r="QLQ28">
        <f t="array" ref="QLQ28">_xlfn.XLOOKUP(QLQ$11,Assumptions!$B$35:$H$35,_xlfn.XLOOKUP($C28,Assumptions!$B$36:$B$41,Assumptions!$B$36:$H$41))</f>
        <v>0</v>
      </c>
      <c r="QLR28">
        <f t="array" ref="QLR28">_xlfn.XLOOKUP(QLR$11,Assumptions!$B$35:$H$35,_xlfn.XLOOKUP($C28,Assumptions!$B$36:$B$41,Assumptions!$B$36:$H$41))</f>
        <v>0</v>
      </c>
      <c r="QLS28">
        <f t="array" ref="QLS28">_xlfn.XLOOKUP(QLS$11,Assumptions!$B$35:$H$35,_xlfn.XLOOKUP($C28,Assumptions!$B$36:$B$41,Assumptions!$B$36:$H$41))</f>
        <v>0</v>
      </c>
      <c r="QLT28">
        <f t="array" ref="QLT28">_xlfn.XLOOKUP(QLT$11,Assumptions!$B$35:$H$35,_xlfn.XLOOKUP($C28,Assumptions!$B$36:$B$41,Assumptions!$B$36:$H$41))</f>
        <v>0</v>
      </c>
      <c r="QLU28">
        <f t="array" ref="QLU28">_xlfn.XLOOKUP(QLU$11,Assumptions!$B$35:$H$35,_xlfn.XLOOKUP($C28,Assumptions!$B$36:$B$41,Assumptions!$B$36:$H$41))</f>
        <v>0</v>
      </c>
      <c r="QLV28">
        <f t="array" ref="QLV28">_xlfn.XLOOKUP(QLV$11,Assumptions!$B$35:$H$35,_xlfn.XLOOKUP($C28,Assumptions!$B$36:$B$41,Assumptions!$B$36:$H$41))</f>
        <v>0</v>
      </c>
      <c r="QLW28">
        <f t="array" ref="QLW28">_xlfn.XLOOKUP(QLW$11,Assumptions!$B$35:$H$35,_xlfn.XLOOKUP($C28,Assumptions!$B$36:$B$41,Assumptions!$B$36:$H$41))</f>
        <v>0</v>
      </c>
      <c r="QLX28">
        <f t="array" ref="QLX28">_xlfn.XLOOKUP(QLX$11,Assumptions!$B$35:$H$35,_xlfn.XLOOKUP($C28,Assumptions!$B$36:$B$41,Assumptions!$B$36:$H$41))</f>
        <v>0</v>
      </c>
      <c r="QLY28">
        <f t="array" ref="QLY28">_xlfn.XLOOKUP(QLY$11,Assumptions!$B$35:$H$35,_xlfn.XLOOKUP($C28,Assumptions!$B$36:$B$41,Assumptions!$B$36:$H$41))</f>
        <v>0</v>
      </c>
      <c r="QLZ28">
        <f t="array" ref="QLZ28">_xlfn.XLOOKUP(QLZ$11,Assumptions!$B$35:$H$35,_xlfn.XLOOKUP($C28,Assumptions!$B$36:$B$41,Assumptions!$B$36:$H$41))</f>
        <v>0</v>
      </c>
      <c r="QMA28">
        <f t="array" ref="QMA28">_xlfn.XLOOKUP(QMA$11,Assumptions!$B$35:$H$35,_xlfn.XLOOKUP($C28,Assumptions!$B$36:$B$41,Assumptions!$B$36:$H$41))</f>
        <v>0</v>
      </c>
      <c r="QMB28">
        <f t="array" ref="QMB28">_xlfn.XLOOKUP(QMB$11,Assumptions!$B$35:$H$35,_xlfn.XLOOKUP($C28,Assumptions!$B$36:$B$41,Assumptions!$B$36:$H$41))</f>
        <v>0</v>
      </c>
      <c r="QMC28">
        <f t="array" ref="QMC28">_xlfn.XLOOKUP(QMC$11,Assumptions!$B$35:$H$35,_xlfn.XLOOKUP($C28,Assumptions!$B$36:$B$41,Assumptions!$B$36:$H$41))</f>
        <v>0</v>
      </c>
      <c r="QMD28">
        <f t="array" ref="QMD28">_xlfn.XLOOKUP(QMD$11,Assumptions!$B$35:$H$35,_xlfn.XLOOKUP($C28,Assumptions!$B$36:$B$41,Assumptions!$B$36:$H$41))</f>
        <v>0</v>
      </c>
      <c r="QME28">
        <f t="array" ref="QME28">_xlfn.XLOOKUP(QME$11,Assumptions!$B$35:$H$35,_xlfn.XLOOKUP($C28,Assumptions!$B$36:$B$41,Assumptions!$B$36:$H$41))</f>
        <v>0</v>
      </c>
      <c r="QMF28">
        <f t="array" ref="QMF28">_xlfn.XLOOKUP(QMF$11,Assumptions!$B$35:$H$35,_xlfn.XLOOKUP($C28,Assumptions!$B$36:$B$41,Assumptions!$B$36:$H$41))</f>
        <v>0</v>
      </c>
      <c r="QMG28">
        <f t="array" ref="QMG28">_xlfn.XLOOKUP(QMG$11,Assumptions!$B$35:$H$35,_xlfn.XLOOKUP($C28,Assumptions!$B$36:$B$41,Assumptions!$B$36:$H$41))</f>
        <v>0</v>
      </c>
      <c r="QMH28">
        <f t="array" ref="QMH28">_xlfn.XLOOKUP(QMH$11,Assumptions!$B$35:$H$35,_xlfn.XLOOKUP($C28,Assumptions!$B$36:$B$41,Assumptions!$B$36:$H$41))</f>
        <v>0</v>
      </c>
      <c r="QMI28">
        <f t="array" ref="QMI28">_xlfn.XLOOKUP(QMI$11,Assumptions!$B$35:$H$35,_xlfn.XLOOKUP($C28,Assumptions!$B$36:$B$41,Assumptions!$B$36:$H$41))</f>
        <v>0</v>
      </c>
      <c r="QMJ28">
        <f t="array" ref="QMJ28">_xlfn.XLOOKUP(QMJ$11,Assumptions!$B$35:$H$35,_xlfn.XLOOKUP($C28,Assumptions!$B$36:$B$41,Assumptions!$B$36:$H$41))</f>
        <v>0</v>
      </c>
      <c r="QMK28">
        <f t="array" ref="QMK28">_xlfn.XLOOKUP(QMK$11,Assumptions!$B$35:$H$35,_xlfn.XLOOKUP($C28,Assumptions!$B$36:$B$41,Assumptions!$B$36:$H$41))</f>
        <v>0</v>
      </c>
      <c r="QML28">
        <f t="array" ref="QML28">_xlfn.XLOOKUP(QML$11,Assumptions!$B$35:$H$35,_xlfn.XLOOKUP($C28,Assumptions!$B$36:$B$41,Assumptions!$B$36:$H$41))</f>
        <v>0</v>
      </c>
      <c r="QMM28">
        <f t="array" ref="QMM28">_xlfn.XLOOKUP(QMM$11,Assumptions!$B$35:$H$35,_xlfn.XLOOKUP($C28,Assumptions!$B$36:$B$41,Assumptions!$B$36:$H$41))</f>
        <v>0</v>
      </c>
      <c r="QMN28">
        <f t="array" ref="QMN28">_xlfn.XLOOKUP(QMN$11,Assumptions!$B$35:$H$35,_xlfn.XLOOKUP($C28,Assumptions!$B$36:$B$41,Assumptions!$B$36:$H$41))</f>
        <v>0</v>
      </c>
      <c r="QMO28">
        <f t="array" ref="QMO28">_xlfn.XLOOKUP(QMO$11,Assumptions!$B$35:$H$35,_xlfn.XLOOKUP($C28,Assumptions!$B$36:$B$41,Assumptions!$B$36:$H$41))</f>
        <v>0</v>
      </c>
      <c r="QMP28">
        <f t="array" ref="QMP28">_xlfn.XLOOKUP(QMP$11,Assumptions!$B$35:$H$35,_xlfn.XLOOKUP($C28,Assumptions!$B$36:$B$41,Assumptions!$B$36:$H$41))</f>
        <v>0</v>
      </c>
      <c r="QMQ28">
        <f t="array" ref="QMQ28">_xlfn.XLOOKUP(QMQ$11,Assumptions!$B$35:$H$35,_xlfn.XLOOKUP($C28,Assumptions!$B$36:$B$41,Assumptions!$B$36:$H$41))</f>
        <v>0</v>
      </c>
      <c r="QMR28">
        <f t="array" ref="QMR28">_xlfn.XLOOKUP(QMR$11,Assumptions!$B$35:$H$35,_xlfn.XLOOKUP($C28,Assumptions!$B$36:$B$41,Assumptions!$B$36:$H$41))</f>
        <v>0</v>
      </c>
      <c r="QMS28">
        <f t="array" ref="QMS28">_xlfn.XLOOKUP(QMS$11,Assumptions!$B$35:$H$35,_xlfn.XLOOKUP($C28,Assumptions!$B$36:$B$41,Assumptions!$B$36:$H$41))</f>
        <v>0</v>
      </c>
      <c r="QMT28">
        <f t="array" ref="QMT28">_xlfn.XLOOKUP(QMT$11,Assumptions!$B$35:$H$35,_xlfn.XLOOKUP($C28,Assumptions!$B$36:$B$41,Assumptions!$B$36:$H$41))</f>
        <v>0</v>
      </c>
      <c r="QMU28">
        <f t="array" ref="QMU28">_xlfn.XLOOKUP(QMU$11,Assumptions!$B$35:$H$35,_xlfn.XLOOKUP($C28,Assumptions!$B$36:$B$41,Assumptions!$B$36:$H$41))</f>
        <v>0</v>
      </c>
      <c r="QMV28">
        <f t="array" ref="QMV28">_xlfn.XLOOKUP(QMV$11,Assumptions!$B$35:$H$35,_xlfn.XLOOKUP($C28,Assumptions!$B$36:$B$41,Assumptions!$B$36:$H$41))</f>
        <v>0</v>
      </c>
      <c r="QMW28">
        <f t="array" ref="QMW28">_xlfn.XLOOKUP(QMW$11,Assumptions!$B$35:$H$35,_xlfn.XLOOKUP($C28,Assumptions!$B$36:$B$41,Assumptions!$B$36:$H$41))</f>
        <v>0</v>
      </c>
      <c r="QMX28">
        <f t="array" ref="QMX28">_xlfn.XLOOKUP(QMX$11,Assumptions!$B$35:$H$35,_xlfn.XLOOKUP($C28,Assumptions!$B$36:$B$41,Assumptions!$B$36:$H$41))</f>
        <v>0</v>
      </c>
      <c r="QMY28">
        <f t="array" ref="QMY28">_xlfn.XLOOKUP(QMY$11,Assumptions!$B$35:$H$35,_xlfn.XLOOKUP($C28,Assumptions!$B$36:$B$41,Assumptions!$B$36:$H$41))</f>
        <v>0</v>
      </c>
      <c r="QMZ28">
        <f t="array" ref="QMZ28">_xlfn.XLOOKUP(QMZ$11,Assumptions!$B$35:$H$35,_xlfn.XLOOKUP($C28,Assumptions!$B$36:$B$41,Assumptions!$B$36:$H$41))</f>
        <v>0</v>
      </c>
      <c r="QNA28">
        <f t="array" ref="QNA28">_xlfn.XLOOKUP(QNA$11,Assumptions!$B$35:$H$35,_xlfn.XLOOKUP($C28,Assumptions!$B$36:$B$41,Assumptions!$B$36:$H$41))</f>
        <v>0</v>
      </c>
      <c r="QNB28">
        <f t="array" ref="QNB28">_xlfn.XLOOKUP(QNB$11,Assumptions!$B$35:$H$35,_xlfn.XLOOKUP($C28,Assumptions!$B$36:$B$41,Assumptions!$B$36:$H$41))</f>
        <v>0</v>
      </c>
      <c r="QNC28">
        <f t="array" ref="QNC28">_xlfn.XLOOKUP(QNC$11,Assumptions!$B$35:$H$35,_xlfn.XLOOKUP($C28,Assumptions!$B$36:$B$41,Assumptions!$B$36:$H$41))</f>
        <v>0</v>
      </c>
      <c r="QND28">
        <f t="array" ref="QND28">_xlfn.XLOOKUP(QND$11,Assumptions!$B$35:$H$35,_xlfn.XLOOKUP($C28,Assumptions!$B$36:$B$41,Assumptions!$B$36:$H$41))</f>
        <v>0</v>
      </c>
      <c r="QNE28">
        <f t="array" ref="QNE28">_xlfn.XLOOKUP(QNE$11,Assumptions!$B$35:$H$35,_xlfn.XLOOKUP($C28,Assumptions!$B$36:$B$41,Assumptions!$B$36:$H$41))</f>
        <v>0</v>
      </c>
      <c r="QNF28">
        <f t="array" ref="QNF28">_xlfn.XLOOKUP(QNF$11,Assumptions!$B$35:$H$35,_xlfn.XLOOKUP($C28,Assumptions!$B$36:$B$41,Assumptions!$B$36:$H$41))</f>
        <v>0</v>
      </c>
      <c r="QNG28">
        <f t="array" ref="QNG28">_xlfn.XLOOKUP(QNG$11,Assumptions!$B$35:$H$35,_xlfn.XLOOKUP($C28,Assumptions!$B$36:$B$41,Assumptions!$B$36:$H$41))</f>
        <v>0</v>
      </c>
      <c r="QNH28">
        <f t="array" ref="QNH28">_xlfn.XLOOKUP(QNH$11,Assumptions!$B$35:$H$35,_xlfn.XLOOKUP($C28,Assumptions!$B$36:$B$41,Assumptions!$B$36:$H$41))</f>
        <v>0</v>
      </c>
      <c r="QNI28">
        <f t="array" ref="QNI28">_xlfn.XLOOKUP(QNI$11,Assumptions!$B$35:$H$35,_xlfn.XLOOKUP($C28,Assumptions!$B$36:$B$41,Assumptions!$B$36:$H$41))</f>
        <v>0</v>
      </c>
      <c r="QNJ28">
        <f t="array" ref="QNJ28">_xlfn.XLOOKUP(QNJ$11,Assumptions!$B$35:$H$35,_xlfn.XLOOKUP($C28,Assumptions!$B$36:$B$41,Assumptions!$B$36:$H$41))</f>
        <v>0</v>
      </c>
      <c r="QNK28">
        <f t="array" ref="QNK28">_xlfn.XLOOKUP(QNK$11,Assumptions!$B$35:$H$35,_xlfn.XLOOKUP($C28,Assumptions!$B$36:$B$41,Assumptions!$B$36:$H$41))</f>
        <v>0</v>
      </c>
      <c r="QNL28">
        <f t="array" ref="QNL28">_xlfn.XLOOKUP(QNL$11,Assumptions!$B$35:$H$35,_xlfn.XLOOKUP($C28,Assumptions!$B$36:$B$41,Assumptions!$B$36:$H$41))</f>
        <v>0</v>
      </c>
      <c r="QNM28">
        <f t="array" ref="QNM28">_xlfn.XLOOKUP(QNM$11,Assumptions!$B$35:$H$35,_xlfn.XLOOKUP($C28,Assumptions!$B$36:$B$41,Assumptions!$B$36:$H$41))</f>
        <v>0</v>
      </c>
      <c r="QNN28">
        <f t="array" ref="QNN28">_xlfn.XLOOKUP(QNN$11,Assumptions!$B$35:$H$35,_xlfn.XLOOKUP($C28,Assumptions!$B$36:$B$41,Assumptions!$B$36:$H$41))</f>
        <v>0</v>
      </c>
      <c r="QNO28">
        <f t="array" ref="QNO28">_xlfn.XLOOKUP(QNO$11,Assumptions!$B$35:$H$35,_xlfn.XLOOKUP($C28,Assumptions!$B$36:$B$41,Assumptions!$B$36:$H$41))</f>
        <v>0</v>
      </c>
      <c r="QNP28">
        <f t="array" ref="QNP28">_xlfn.XLOOKUP(QNP$11,Assumptions!$B$35:$H$35,_xlfn.XLOOKUP($C28,Assumptions!$B$36:$B$41,Assumptions!$B$36:$H$41))</f>
        <v>0</v>
      </c>
      <c r="QNQ28">
        <f t="array" ref="QNQ28">_xlfn.XLOOKUP(QNQ$11,Assumptions!$B$35:$H$35,_xlfn.XLOOKUP($C28,Assumptions!$B$36:$B$41,Assumptions!$B$36:$H$41))</f>
        <v>0</v>
      </c>
      <c r="QNR28">
        <f t="array" ref="QNR28">_xlfn.XLOOKUP(QNR$11,Assumptions!$B$35:$H$35,_xlfn.XLOOKUP($C28,Assumptions!$B$36:$B$41,Assumptions!$B$36:$H$41))</f>
        <v>0</v>
      </c>
      <c r="QNS28">
        <f t="array" ref="QNS28">_xlfn.XLOOKUP(QNS$11,Assumptions!$B$35:$H$35,_xlfn.XLOOKUP($C28,Assumptions!$B$36:$B$41,Assumptions!$B$36:$H$41))</f>
        <v>0</v>
      </c>
      <c r="QNT28">
        <f t="array" ref="QNT28">_xlfn.XLOOKUP(QNT$11,Assumptions!$B$35:$H$35,_xlfn.XLOOKUP($C28,Assumptions!$B$36:$B$41,Assumptions!$B$36:$H$41))</f>
        <v>0</v>
      </c>
      <c r="QNU28">
        <f t="array" ref="QNU28">_xlfn.XLOOKUP(QNU$11,Assumptions!$B$35:$H$35,_xlfn.XLOOKUP($C28,Assumptions!$B$36:$B$41,Assumptions!$B$36:$H$41))</f>
        <v>0</v>
      </c>
      <c r="QNV28">
        <f t="array" ref="QNV28">_xlfn.XLOOKUP(QNV$11,Assumptions!$B$35:$H$35,_xlfn.XLOOKUP($C28,Assumptions!$B$36:$B$41,Assumptions!$B$36:$H$41))</f>
        <v>0</v>
      </c>
      <c r="QNW28">
        <f t="array" ref="QNW28">_xlfn.XLOOKUP(QNW$11,Assumptions!$B$35:$H$35,_xlfn.XLOOKUP($C28,Assumptions!$B$36:$B$41,Assumptions!$B$36:$H$41))</f>
        <v>0</v>
      </c>
      <c r="QNX28">
        <f t="array" ref="QNX28">_xlfn.XLOOKUP(QNX$11,Assumptions!$B$35:$H$35,_xlfn.XLOOKUP($C28,Assumptions!$B$36:$B$41,Assumptions!$B$36:$H$41))</f>
        <v>0</v>
      </c>
      <c r="QNY28">
        <f t="array" ref="QNY28">_xlfn.XLOOKUP(QNY$11,Assumptions!$B$35:$H$35,_xlfn.XLOOKUP($C28,Assumptions!$B$36:$B$41,Assumptions!$B$36:$H$41))</f>
        <v>0</v>
      </c>
      <c r="QNZ28">
        <f t="array" ref="QNZ28">_xlfn.XLOOKUP(QNZ$11,Assumptions!$B$35:$H$35,_xlfn.XLOOKUP($C28,Assumptions!$B$36:$B$41,Assumptions!$B$36:$H$41))</f>
        <v>0</v>
      </c>
      <c r="QOA28">
        <f t="array" ref="QOA28">_xlfn.XLOOKUP(QOA$11,Assumptions!$B$35:$H$35,_xlfn.XLOOKUP($C28,Assumptions!$B$36:$B$41,Assumptions!$B$36:$H$41))</f>
        <v>0</v>
      </c>
      <c r="QOB28">
        <f t="array" ref="QOB28">_xlfn.XLOOKUP(QOB$11,Assumptions!$B$35:$H$35,_xlfn.XLOOKUP($C28,Assumptions!$B$36:$B$41,Assumptions!$B$36:$H$41))</f>
        <v>0</v>
      </c>
      <c r="QOC28">
        <f t="array" ref="QOC28">_xlfn.XLOOKUP(QOC$11,Assumptions!$B$35:$H$35,_xlfn.XLOOKUP($C28,Assumptions!$B$36:$B$41,Assumptions!$B$36:$H$41))</f>
        <v>0</v>
      </c>
      <c r="QOD28">
        <f t="array" ref="QOD28">_xlfn.XLOOKUP(QOD$11,Assumptions!$B$35:$H$35,_xlfn.XLOOKUP($C28,Assumptions!$B$36:$B$41,Assumptions!$B$36:$H$41))</f>
        <v>0</v>
      </c>
      <c r="QOE28">
        <f t="array" ref="QOE28">_xlfn.XLOOKUP(QOE$11,Assumptions!$B$35:$H$35,_xlfn.XLOOKUP($C28,Assumptions!$B$36:$B$41,Assumptions!$B$36:$H$41))</f>
        <v>0</v>
      </c>
      <c r="QOF28">
        <f t="array" ref="QOF28">_xlfn.XLOOKUP(QOF$11,Assumptions!$B$35:$H$35,_xlfn.XLOOKUP($C28,Assumptions!$B$36:$B$41,Assumptions!$B$36:$H$41))</f>
        <v>0</v>
      </c>
      <c r="QOG28">
        <f t="array" ref="QOG28">_xlfn.XLOOKUP(QOG$11,Assumptions!$B$35:$H$35,_xlfn.XLOOKUP($C28,Assumptions!$B$36:$B$41,Assumptions!$B$36:$H$41))</f>
        <v>0</v>
      </c>
      <c r="QOH28">
        <f t="array" ref="QOH28">_xlfn.XLOOKUP(QOH$11,Assumptions!$B$35:$H$35,_xlfn.XLOOKUP($C28,Assumptions!$B$36:$B$41,Assumptions!$B$36:$H$41))</f>
        <v>0</v>
      </c>
      <c r="QOI28">
        <f t="array" ref="QOI28">_xlfn.XLOOKUP(QOI$11,Assumptions!$B$35:$H$35,_xlfn.XLOOKUP($C28,Assumptions!$B$36:$B$41,Assumptions!$B$36:$H$41))</f>
        <v>0</v>
      </c>
      <c r="QOJ28">
        <f t="array" ref="QOJ28">_xlfn.XLOOKUP(QOJ$11,Assumptions!$B$35:$H$35,_xlfn.XLOOKUP($C28,Assumptions!$B$36:$B$41,Assumptions!$B$36:$H$41))</f>
        <v>0</v>
      </c>
      <c r="QOK28">
        <f t="array" ref="QOK28">_xlfn.XLOOKUP(QOK$11,Assumptions!$B$35:$H$35,_xlfn.XLOOKUP($C28,Assumptions!$B$36:$B$41,Assumptions!$B$36:$H$41))</f>
        <v>0</v>
      </c>
      <c r="QOL28">
        <f t="array" ref="QOL28">_xlfn.XLOOKUP(QOL$11,Assumptions!$B$35:$H$35,_xlfn.XLOOKUP($C28,Assumptions!$B$36:$B$41,Assumptions!$B$36:$H$41))</f>
        <v>0</v>
      </c>
      <c r="QOM28">
        <f t="array" ref="QOM28">_xlfn.XLOOKUP(QOM$11,Assumptions!$B$35:$H$35,_xlfn.XLOOKUP($C28,Assumptions!$B$36:$B$41,Assumptions!$B$36:$H$41))</f>
        <v>0</v>
      </c>
      <c r="QON28">
        <f t="array" ref="QON28">_xlfn.XLOOKUP(QON$11,Assumptions!$B$35:$H$35,_xlfn.XLOOKUP($C28,Assumptions!$B$36:$B$41,Assumptions!$B$36:$H$41))</f>
        <v>0</v>
      </c>
      <c r="QOO28">
        <f t="array" ref="QOO28">_xlfn.XLOOKUP(QOO$11,Assumptions!$B$35:$H$35,_xlfn.XLOOKUP($C28,Assumptions!$B$36:$B$41,Assumptions!$B$36:$H$41))</f>
        <v>0</v>
      </c>
      <c r="QOP28">
        <f t="array" ref="QOP28">_xlfn.XLOOKUP(QOP$11,Assumptions!$B$35:$H$35,_xlfn.XLOOKUP($C28,Assumptions!$B$36:$B$41,Assumptions!$B$36:$H$41))</f>
        <v>0</v>
      </c>
      <c r="QOQ28">
        <f t="array" ref="QOQ28">_xlfn.XLOOKUP(QOQ$11,Assumptions!$B$35:$H$35,_xlfn.XLOOKUP($C28,Assumptions!$B$36:$B$41,Assumptions!$B$36:$H$41))</f>
        <v>0</v>
      </c>
      <c r="QOR28">
        <f t="array" ref="QOR28">_xlfn.XLOOKUP(QOR$11,Assumptions!$B$35:$H$35,_xlfn.XLOOKUP($C28,Assumptions!$B$36:$B$41,Assumptions!$B$36:$H$41))</f>
        <v>0</v>
      </c>
      <c r="QOS28">
        <f t="array" ref="QOS28">_xlfn.XLOOKUP(QOS$11,Assumptions!$B$35:$H$35,_xlfn.XLOOKUP($C28,Assumptions!$B$36:$B$41,Assumptions!$B$36:$H$41))</f>
        <v>0</v>
      </c>
      <c r="QOT28">
        <f t="array" ref="QOT28">_xlfn.XLOOKUP(QOT$11,Assumptions!$B$35:$H$35,_xlfn.XLOOKUP($C28,Assumptions!$B$36:$B$41,Assumptions!$B$36:$H$41))</f>
        <v>0</v>
      </c>
      <c r="QOU28">
        <f t="array" ref="QOU28">_xlfn.XLOOKUP(QOU$11,Assumptions!$B$35:$H$35,_xlfn.XLOOKUP($C28,Assumptions!$B$36:$B$41,Assumptions!$B$36:$H$41))</f>
        <v>0</v>
      </c>
      <c r="QOV28">
        <f t="array" ref="QOV28">_xlfn.XLOOKUP(QOV$11,Assumptions!$B$35:$H$35,_xlfn.XLOOKUP($C28,Assumptions!$B$36:$B$41,Assumptions!$B$36:$H$41))</f>
        <v>0</v>
      </c>
      <c r="QOW28">
        <f t="array" ref="QOW28">_xlfn.XLOOKUP(QOW$11,Assumptions!$B$35:$H$35,_xlfn.XLOOKUP($C28,Assumptions!$B$36:$B$41,Assumptions!$B$36:$H$41))</f>
        <v>0</v>
      </c>
      <c r="QOX28">
        <f t="array" ref="QOX28">_xlfn.XLOOKUP(QOX$11,Assumptions!$B$35:$H$35,_xlfn.XLOOKUP($C28,Assumptions!$B$36:$B$41,Assumptions!$B$36:$H$41))</f>
        <v>0</v>
      </c>
      <c r="QOY28">
        <f t="array" ref="QOY28">_xlfn.XLOOKUP(QOY$11,Assumptions!$B$35:$H$35,_xlfn.XLOOKUP($C28,Assumptions!$B$36:$B$41,Assumptions!$B$36:$H$41))</f>
        <v>0</v>
      </c>
      <c r="QOZ28">
        <f t="array" ref="QOZ28">_xlfn.XLOOKUP(QOZ$11,Assumptions!$B$35:$H$35,_xlfn.XLOOKUP($C28,Assumptions!$B$36:$B$41,Assumptions!$B$36:$H$41))</f>
        <v>0</v>
      </c>
      <c r="QPA28">
        <f t="array" ref="QPA28">_xlfn.XLOOKUP(QPA$11,Assumptions!$B$35:$H$35,_xlfn.XLOOKUP($C28,Assumptions!$B$36:$B$41,Assumptions!$B$36:$H$41))</f>
        <v>0</v>
      </c>
      <c r="QPB28">
        <f t="array" ref="QPB28">_xlfn.XLOOKUP(QPB$11,Assumptions!$B$35:$H$35,_xlfn.XLOOKUP($C28,Assumptions!$B$36:$B$41,Assumptions!$B$36:$H$41))</f>
        <v>0</v>
      </c>
      <c r="QPC28">
        <f t="array" ref="QPC28">_xlfn.XLOOKUP(QPC$11,Assumptions!$B$35:$H$35,_xlfn.XLOOKUP($C28,Assumptions!$B$36:$B$41,Assumptions!$B$36:$H$41))</f>
        <v>0</v>
      </c>
      <c r="QPD28">
        <f t="array" ref="QPD28">_xlfn.XLOOKUP(QPD$11,Assumptions!$B$35:$H$35,_xlfn.XLOOKUP($C28,Assumptions!$B$36:$B$41,Assumptions!$B$36:$H$41))</f>
        <v>0</v>
      </c>
      <c r="QPE28">
        <f t="array" ref="QPE28">_xlfn.XLOOKUP(QPE$11,Assumptions!$B$35:$H$35,_xlfn.XLOOKUP($C28,Assumptions!$B$36:$B$41,Assumptions!$B$36:$H$41))</f>
        <v>0</v>
      </c>
      <c r="QPF28">
        <f t="array" ref="QPF28">_xlfn.XLOOKUP(QPF$11,Assumptions!$B$35:$H$35,_xlfn.XLOOKUP($C28,Assumptions!$B$36:$B$41,Assumptions!$B$36:$H$41))</f>
        <v>0</v>
      </c>
      <c r="QPG28">
        <f t="array" ref="QPG28">_xlfn.XLOOKUP(QPG$11,Assumptions!$B$35:$H$35,_xlfn.XLOOKUP($C28,Assumptions!$B$36:$B$41,Assumptions!$B$36:$H$41))</f>
        <v>0</v>
      </c>
      <c r="QPH28">
        <f t="array" ref="QPH28">_xlfn.XLOOKUP(QPH$11,Assumptions!$B$35:$H$35,_xlfn.XLOOKUP($C28,Assumptions!$B$36:$B$41,Assumptions!$B$36:$H$41))</f>
        <v>0</v>
      </c>
      <c r="QPI28">
        <f t="array" ref="QPI28">_xlfn.XLOOKUP(QPI$11,Assumptions!$B$35:$H$35,_xlfn.XLOOKUP($C28,Assumptions!$B$36:$B$41,Assumptions!$B$36:$H$41))</f>
        <v>0</v>
      </c>
      <c r="QPJ28">
        <f t="array" ref="QPJ28">_xlfn.XLOOKUP(QPJ$11,Assumptions!$B$35:$H$35,_xlfn.XLOOKUP($C28,Assumptions!$B$36:$B$41,Assumptions!$B$36:$H$41))</f>
        <v>0</v>
      </c>
      <c r="QPK28">
        <f t="array" ref="QPK28">_xlfn.XLOOKUP(QPK$11,Assumptions!$B$35:$H$35,_xlfn.XLOOKUP($C28,Assumptions!$B$36:$B$41,Assumptions!$B$36:$H$41))</f>
        <v>0</v>
      </c>
      <c r="QPL28">
        <f t="array" ref="QPL28">_xlfn.XLOOKUP(QPL$11,Assumptions!$B$35:$H$35,_xlfn.XLOOKUP($C28,Assumptions!$B$36:$B$41,Assumptions!$B$36:$H$41))</f>
        <v>0</v>
      </c>
      <c r="QPM28">
        <f t="array" ref="QPM28">_xlfn.XLOOKUP(QPM$11,Assumptions!$B$35:$H$35,_xlfn.XLOOKUP($C28,Assumptions!$B$36:$B$41,Assumptions!$B$36:$H$41))</f>
        <v>0</v>
      </c>
      <c r="QPN28">
        <f t="array" ref="QPN28">_xlfn.XLOOKUP(QPN$11,Assumptions!$B$35:$H$35,_xlfn.XLOOKUP($C28,Assumptions!$B$36:$B$41,Assumptions!$B$36:$H$41))</f>
        <v>0</v>
      </c>
      <c r="QPO28">
        <f t="array" ref="QPO28">_xlfn.XLOOKUP(QPO$11,Assumptions!$B$35:$H$35,_xlfn.XLOOKUP($C28,Assumptions!$B$36:$B$41,Assumptions!$B$36:$H$41))</f>
        <v>0</v>
      </c>
      <c r="QPP28">
        <f t="array" ref="QPP28">_xlfn.XLOOKUP(QPP$11,Assumptions!$B$35:$H$35,_xlfn.XLOOKUP($C28,Assumptions!$B$36:$B$41,Assumptions!$B$36:$H$41))</f>
        <v>0</v>
      </c>
      <c r="QPQ28">
        <f t="array" ref="QPQ28">_xlfn.XLOOKUP(QPQ$11,Assumptions!$B$35:$H$35,_xlfn.XLOOKUP($C28,Assumptions!$B$36:$B$41,Assumptions!$B$36:$H$41))</f>
        <v>0</v>
      </c>
      <c r="QPR28">
        <f t="array" ref="QPR28">_xlfn.XLOOKUP(QPR$11,Assumptions!$B$35:$H$35,_xlfn.XLOOKUP($C28,Assumptions!$B$36:$B$41,Assumptions!$B$36:$H$41))</f>
        <v>0</v>
      </c>
      <c r="QPS28">
        <f t="array" ref="QPS28">_xlfn.XLOOKUP(QPS$11,Assumptions!$B$35:$H$35,_xlfn.XLOOKUP($C28,Assumptions!$B$36:$B$41,Assumptions!$B$36:$H$41))</f>
        <v>0</v>
      </c>
      <c r="QPT28">
        <f t="array" ref="QPT28">_xlfn.XLOOKUP(QPT$11,Assumptions!$B$35:$H$35,_xlfn.XLOOKUP($C28,Assumptions!$B$36:$B$41,Assumptions!$B$36:$H$41))</f>
        <v>0</v>
      </c>
      <c r="QPU28">
        <f t="array" ref="QPU28">_xlfn.XLOOKUP(QPU$11,Assumptions!$B$35:$H$35,_xlfn.XLOOKUP($C28,Assumptions!$B$36:$B$41,Assumptions!$B$36:$H$41))</f>
        <v>0</v>
      </c>
      <c r="QPV28">
        <f t="array" ref="QPV28">_xlfn.XLOOKUP(QPV$11,Assumptions!$B$35:$H$35,_xlfn.XLOOKUP($C28,Assumptions!$B$36:$B$41,Assumptions!$B$36:$H$41))</f>
        <v>0</v>
      </c>
      <c r="QPW28">
        <f t="array" ref="QPW28">_xlfn.XLOOKUP(QPW$11,Assumptions!$B$35:$H$35,_xlfn.XLOOKUP($C28,Assumptions!$B$36:$B$41,Assumptions!$B$36:$H$41))</f>
        <v>0</v>
      </c>
      <c r="QPX28">
        <f t="array" ref="QPX28">_xlfn.XLOOKUP(QPX$11,Assumptions!$B$35:$H$35,_xlfn.XLOOKUP($C28,Assumptions!$B$36:$B$41,Assumptions!$B$36:$H$41))</f>
        <v>0</v>
      </c>
      <c r="QPY28">
        <f t="array" ref="QPY28">_xlfn.XLOOKUP(QPY$11,Assumptions!$B$35:$H$35,_xlfn.XLOOKUP($C28,Assumptions!$B$36:$B$41,Assumptions!$B$36:$H$41))</f>
        <v>0</v>
      </c>
      <c r="QPZ28">
        <f t="array" ref="QPZ28">_xlfn.XLOOKUP(QPZ$11,Assumptions!$B$35:$H$35,_xlfn.XLOOKUP($C28,Assumptions!$B$36:$B$41,Assumptions!$B$36:$H$41))</f>
        <v>0</v>
      </c>
      <c r="QQA28">
        <f t="array" ref="QQA28">_xlfn.XLOOKUP(QQA$11,Assumptions!$B$35:$H$35,_xlfn.XLOOKUP($C28,Assumptions!$B$36:$B$41,Assumptions!$B$36:$H$41))</f>
        <v>0</v>
      </c>
      <c r="QQB28">
        <f t="array" ref="QQB28">_xlfn.XLOOKUP(QQB$11,Assumptions!$B$35:$H$35,_xlfn.XLOOKUP($C28,Assumptions!$B$36:$B$41,Assumptions!$B$36:$H$41))</f>
        <v>0</v>
      </c>
      <c r="QQC28">
        <f t="array" ref="QQC28">_xlfn.XLOOKUP(QQC$11,Assumptions!$B$35:$H$35,_xlfn.XLOOKUP($C28,Assumptions!$B$36:$B$41,Assumptions!$B$36:$H$41))</f>
        <v>0</v>
      </c>
      <c r="QQD28">
        <f t="array" ref="QQD28">_xlfn.XLOOKUP(QQD$11,Assumptions!$B$35:$H$35,_xlfn.XLOOKUP($C28,Assumptions!$B$36:$B$41,Assumptions!$B$36:$H$41))</f>
        <v>0</v>
      </c>
      <c r="QQE28">
        <f t="array" ref="QQE28">_xlfn.XLOOKUP(QQE$11,Assumptions!$B$35:$H$35,_xlfn.XLOOKUP($C28,Assumptions!$B$36:$B$41,Assumptions!$B$36:$H$41))</f>
        <v>0</v>
      </c>
      <c r="QQF28">
        <f t="array" ref="QQF28">_xlfn.XLOOKUP(QQF$11,Assumptions!$B$35:$H$35,_xlfn.XLOOKUP($C28,Assumptions!$B$36:$B$41,Assumptions!$B$36:$H$41))</f>
        <v>0</v>
      </c>
      <c r="QQG28">
        <f t="array" ref="QQG28">_xlfn.XLOOKUP(QQG$11,Assumptions!$B$35:$H$35,_xlfn.XLOOKUP($C28,Assumptions!$B$36:$B$41,Assumptions!$B$36:$H$41))</f>
        <v>0</v>
      </c>
      <c r="QQH28">
        <f t="array" ref="QQH28">_xlfn.XLOOKUP(QQH$11,Assumptions!$B$35:$H$35,_xlfn.XLOOKUP($C28,Assumptions!$B$36:$B$41,Assumptions!$B$36:$H$41))</f>
        <v>0</v>
      </c>
      <c r="QQI28">
        <f t="array" ref="QQI28">_xlfn.XLOOKUP(QQI$11,Assumptions!$B$35:$H$35,_xlfn.XLOOKUP($C28,Assumptions!$B$36:$B$41,Assumptions!$B$36:$H$41))</f>
        <v>0</v>
      </c>
      <c r="QQJ28">
        <f t="array" ref="QQJ28">_xlfn.XLOOKUP(QQJ$11,Assumptions!$B$35:$H$35,_xlfn.XLOOKUP($C28,Assumptions!$B$36:$B$41,Assumptions!$B$36:$H$41))</f>
        <v>0</v>
      </c>
      <c r="QQK28">
        <f t="array" ref="QQK28">_xlfn.XLOOKUP(QQK$11,Assumptions!$B$35:$H$35,_xlfn.XLOOKUP($C28,Assumptions!$B$36:$B$41,Assumptions!$B$36:$H$41))</f>
        <v>0</v>
      </c>
      <c r="QQL28">
        <f t="array" ref="QQL28">_xlfn.XLOOKUP(QQL$11,Assumptions!$B$35:$H$35,_xlfn.XLOOKUP($C28,Assumptions!$B$36:$B$41,Assumptions!$B$36:$H$41))</f>
        <v>0</v>
      </c>
      <c r="QQM28">
        <f t="array" ref="QQM28">_xlfn.XLOOKUP(QQM$11,Assumptions!$B$35:$H$35,_xlfn.XLOOKUP($C28,Assumptions!$B$36:$B$41,Assumptions!$B$36:$H$41))</f>
        <v>0</v>
      </c>
      <c r="QQN28">
        <f t="array" ref="QQN28">_xlfn.XLOOKUP(QQN$11,Assumptions!$B$35:$H$35,_xlfn.XLOOKUP($C28,Assumptions!$B$36:$B$41,Assumptions!$B$36:$H$41))</f>
        <v>0</v>
      </c>
      <c r="QQO28">
        <f t="array" ref="QQO28">_xlfn.XLOOKUP(QQO$11,Assumptions!$B$35:$H$35,_xlfn.XLOOKUP($C28,Assumptions!$B$36:$B$41,Assumptions!$B$36:$H$41))</f>
        <v>0</v>
      </c>
      <c r="QQP28">
        <f t="array" ref="QQP28">_xlfn.XLOOKUP(QQP$11,Assumptions!$B$35:$H$35,_xlfn.XLOOKUP($C28,Assumptions!$B$36:$B$41,Assumptions!$B$36:$H$41))</f>
        <v>0</v>
      </c>
      <c r="QQQ28">
        <f t="array" ref="QQQ28">_xlfn.XLOOKUP(QQQ$11,Assumptions!$B$35:$H$35,_xlfn.XLOOKUP($C28,Assumptions!$B$36:$B$41,Assumptions!$B$36:$H$41))</f>
        <v>0</v>
      </c>
      <c r="QQR28">
        <f t="array" ref="QQR28">_xlfn.XLOOKUP(QQR$11,Assumptions!$B$35:$H$35,_xlfn.XLOOKUP($C28,Assumptions!$B$36:$B$41,Assumptions!$B$36:$H$41))</f>
        <v>0</v>
      </c>
      <c r="QQS28">
        <f t="array" ref="QQS28">_xlfn.XLOOKUP(QQS$11,Assumptions!$B$35:$H$35,_xlfn.XLOOKUP($C28,Assumptions!$B$36:$B$41,Assumptions!$B$36:$H$41))</f>
        <v>0</v>
      </c>
      <c r="QQT28">
        <f t="array" ref="QQT28">_xlfn.XLOOKUP(QQT$11,Assumptions!$B$35:$H$35,_xlfn.XLOOKUP($C28,Assumptions!$B$36:$B$41,Assumptions!$B$36:$H$41))</f>
        <v>0</v>
      </c>
      <c r="QQU28">
        <f t="array" ref="QQU28">_xlfn.XLOOKUP(QQU$11,Assumptions!$B$35:$H$35,_xlfn.XLOOKUP($C28,Assumptions!$B$36:$B$41,Assumptions!$B$36:$H$41))</f>
        <v>0</v>
      </c>
      <c r="QQV28">
        <f t="array" ref="QQV28">_xlfn.XLOOKUP(QQV$11,Assumptions!$B$35:$H$35,_xlfn.XLOOKUP($C28,Assumptions!$B$36:$B$41,Assumptions!$B$36:$H$41))</f>
        <v>0</v>
      </c>
      <c r="QQW28">
        <f t="array" ref="QQW28">_xlfn.XLOOKUP(QQW$11,Assumptions!$B$35:$H$35,_xlfn.XLOOKUP($C28,Assumptions!$B$36:$B$41,Assumptions!$B$36:$H$41))</f>
        <v>0</v>
      </c>
      <c r="QQX28">
        <f t="array" ref="QQX28">_xlfn.XLOOKUP(QQX$11,Assumptions!$B$35:$H$35,_xlfn.XLOOKUP($C28,Assumptions!$B$36:$B$41,Assumptions!$B$36:$H$41))</f>
        <v>0</v>
      </c>
      <c r="QQY28">
        <f t="array" ref="QQY28">_xlfn.XLOOKUP(QQY$11,Assumptions!$B$35:$H$35,_xlfn.XLOOKUP($C28,Assumptions!$B$36:$B$41,Assumptions!$B$36:$H$41))</f>
        <v>0</v>
      </c>
      <c r="QQZ28">
        <f t="array" ref="QQZ28">_xlfn.XLOOKUP(QQZ$11,Assumptions!$B$35:$H$35,_xlfn.XLOOKUP($C28,Assumptions!$B$36:$B$41,Assumptions!$B$36:$H$41))</f>
        <v>0</v>
      </c>
      <c r="QRA28">
        <f t="array" ref="QRA28">_xlfn.XLOOKUP(QRA$11,Assumptions!$B$35:$H$35,_xlfn.XLOOKUP($C28,Assumptions!$B$36:$B$41,Assumptions!$B$36:$H$41))</f>
        <v>0</v>
      </c>
      <c r="QRB28">
        <f t="array" ref="QRB28">_xlfn.XLOOKUP(QRB$11,Assumptions!$B$35:$H$35,_xlfn.XLOOKUP($C28,Assumptions!$B$36:$B$41,Assumptions!$B$36:$H$41))</f>
        <v>0</v>
      </c>
      <c r="QRC28">
        <f t="array" ref="QRC28">_xlfn.XLOOKUP(QRC$11,Assumptions!$B$35:$H$35,_xlfn.XLOOKUP($C28,Assumptions!$B$36:$B$41,Assumptions!$B$36:$H$41))</f>
        <v>0</v>
      </c>
      <c r="QRD28">
        <f t="array" ref="QRD28">_xlfn.XLOOKUP(QRD$11,Assumptions!$B$35:$H$35,_xlfn.XLOOKUP($C28,Assumptions!$B$36:$B$41,Assumptions!$B$36:$H$41))</f>
        <v>0</v>
      </c>
      <c r="QRE28">
        <f t="array" ref="QRE28">_xlfn.XLOOKUP(QRE$11,Assumptions!$B$35:$H$35,_xlfn.XLOOKUP($C28,Assumptions!$B$36:$B$41,Assumptions!$B$36:$H$41))</f>
        <v>0</v>
      </c>
      <c r="QRF28">
        <f t="array" ref="QRF28">_xlfn.XLOOKUP(QRF$11,Assumptions!$B$35:$H$35,_xlfn.XLOOKUP($C28,Assumptions!$B$36:$B$41,Assumptions!$B$36:$H$41))</f>
        <v>0</v>
      </c>
      <c r="QRG28">
        <f t="array" ref="QRG28">_xlfn.XLOOKUP(QRG$11,Assumptions!$B$35:$H$35,_xlfn.XLOOKUP($C28,Assumptions!$B$36:$B$41,Assumptions!$B$36:$H$41))</f>
        <v>0</v>
      </c>
      <c r="QRH28">
        <f t="array" ref="QRH28">_xlfn.XLOOKUP(QRH$11,Assumptions!$B$35:$H$35,_xlfn.XLOOKUP($C28,Assumptions!$B$36:$B$41,Assumptions!$B$36:$H$41))</f>
        <v>0</v>
      </c>
      <c r="QRI28">
        <f t="array" ref="QRI28">_xlfn.XLOOKUP(QRI$11,Assumptions!$B$35:$H$35,_xlfn.XLOOKUP($C28,Assumptions!$B$36:$B$41,Assumptions!$B$36:$H$41))</f>
        <v>0</v>
      </c>
      <c r="QRJ28">
        <f t="array" ref="QRJ28">_xlfn.XLOOKUP(QRJ$11,Assumptions!$B$35:$H$35,_xlfn.XLOOKUP($C28,Assumptions!$B$36:$B$41,Assumptions!$B$36:$H$41))</f>
        <v>0</v>
      </c>
      <c r="QRK28">
        <f t="array" ref="QRK28">_xlfn.XLOOKUP(QRK$11,Assumptions!$B$35:$H$35,_xlfn.XLOOKUP($C28,Assumptions!$B$36:$B$41,Assumptions!$B$36:$H$41))</f>
        <v>0</v>
      </c>
      <c r="QRL28">
        <f t="array" ref="QRL28">_xlfn.XLOOKUP(QRL$11,Assumptions!$B$35:$H$35,_xlfn.XLOOKUP($C28,Assumptions!$B$36:$B$41,Assumptions!$B$36:$H$41))</f>
        <v>0</v>
      </c>
      <c r="QRM28">
        <f t="array" ref="QRM28">_xlfn.XLOOKUP(QRM$11,Assumptions!$B$35:$H$35,_xlfn.XLOOKUP($C28,Assumptions!$B$36:$B$41,Assumptions!$B$36:$H$41))</f>
        <v>0</v>
      </c>
      <c r="QRN28">
        <f t="array" ref="QRN28">_xlfn.XLOOKUP(QRN$11,Assumptions!$B$35:$H$35,_xlfn.XLOOKUP($C28,Assumptions!$B$36:$B$41,Assumptions!$B$36:$H$41))</f>
        <v>0</v>
      </c>
      <c r="QRO28">
        <f t="array" ref="QRO28">_xlfn.XLOOKUP(QRO$11,Assumptions!$B$35:$H$35,_xlfn.XLOOKUP($C28,Assumptions!$B$36:$B$41,Assumptions!$B$36:$H$41))</f>
        <v>0</v>
      </c>
      <c r="QRP28">
        <f t="array" ref="QRP28">_xlfn.XLOOKUP(QRP$11,Assumptions!$B$35:$H$35,_xlfn.XLOOKUP($C28,Assumptions!$B$36:$B$41,Assumptions!$B$36:$H$41))</f>
        <v>0</v>
      </c>
      <c r="QRQ28">
        <f t="array" ref="QRQ28">_xlfn.XLOOKUP(QRQ$11,Assumptions!$B$35:$H$35,_xlfn.XLOOKUP($C28,Assumptions!$B$36:$B$41,Assumptions!$B$36:$H$41))</f>
        <v>0</v>
      </c>
      <c r="QRR28">
        <f t="array" ref="QRR28">_xlfn.XLOOKUP(QRR$11,Assumptions!$B$35:$H$35,_xlfn.XLOOKUP($C28,Assumptions!$B$36:$B$41,Assumptions!$B$36:$H$41))</f>
        <v>0</v>
      </c>
      <c r="QRS28">
        <f t="array" ref="QRS28">_xlfn.XLOOKUP(QRS$11,Assumptions!$B$35:$H$35,_xlfn.XLOOKUP($C28,Assumptions!$B$36:$B$41,Assumptions!$B$36:$H$41))</f>
        <v>0</v>
      </c>
      <c r="QRT28">
        <f t="array" ref="QRT28">_xlfn.XLOOKUP(QRT$11,Assumptions!$B$35:$H$35,_xlfn.XLOOKUP($C28,Assumptions!$B$36:$B$41,Assumptions!$B$36:$H$41))</f>
        <v>0</v>
      </c>
      <c r="QRU28">
        <f t="array" ref="QRU28">_xlfn.XLOOKUP(QRU$11,Assumptions!$B$35:$H$35,_xlfn.XLOOKUP($C28,Assumptions!$B$36:$B$41,Assumptions!$B$36:$H$41))</f>
        <v>0</v>
      </c>
      <c r="QRV28">
        <f t="array" ref="QRV28">_xlfn.XLOOKUP(QRV$11,Assumptions!$B$35:$H$35,_xlfn.XLOOKUP($C28,Assumptions!$B$36:$B$41,Assumptions!$B$36:$H$41))</f>
        <v>0</v>
      </c>
      <c r="QRW28">
        <f t="array" ref="QRW28">_xlfn.XLOOKUP(QRW$11,Assumptions!$B$35:$H$35,_xlfn.XLOOKUP($C28,Assumptions!$B$36:$B$41,Assumptions!$B$36:$H$41))</f>
        <v>0</v>
      </c>
      <c r="QRX28">
        <f t="array" ref="QRX28">_xlfn.XLOOKUP(QRX$11,Assumptions!$B$35:$H$35,_xlfn.XLOOKUP($C28,Assumptions!$B$36:$B$41,Assumptions!$B$36:$H$41))</f>
        <v>0</v>
      </c>
      <c r="QRY28">
        <f t="array" ref="QRY28">_xlfn.XLOOKUP(QRY$11,Assumptions!$B$35:$H$35,_xlfn.XLOOKUP($C28,Assumptions!$B$36:$B$41,Assumptions!$B$36:$H$41))</f>
        <v>0</v>
      </c>
      <c r="QRZ28">
        <f t="array" ref="QRZ28">_xlfn.XLOOKUP(QRZ$11,Assumptions!$B$35:$H$35,_xlfn.XLOOKUP($C28,Assumptions!$B$36:$B$41,Assumptions!$B$36:$H$41))</f>
        <v>0</v>
      </c>
      <c r="QSA28">
        <f t="array" ref="QSA28">_xlfn.XLOOKUP(QSA$11,Assumptions!$B$35:$H$35,_xlfn.XLOOKUP($C28,Assumptions!$B$36:$B$41,Assumptions!$B$36:$H$41))</f>
        <v>0</v>
      </c>
      <c r="QSB28">
        <f t="array" ref="QSB28">_xlfn.XLOOKUP(QSB$11,Assumptions!$B$35:$H$35,_xlfn.XLOOKUP($C28,Assumptions!$B$36:$B$41,Assumptions!$B$36:$H$41))</f>
        <v>0</v>
      </c>
      <c r="QSC28">
        <f t="array" ref="QSC28">_xlfn.XLOOKUP(QSC$11,Assumptions!$B$35:$H$35,_xlfn.XLOOKUP($C28,Assumptions!$B$36:$B$41,Assumptions!$B$36:$H$41))</f>
        <v>0</v>
      </c>
      <c r="QSD28">
        <f t="array" ref="QSD28">_xlfn.XLOOKUP(QSD$11,Assumptions!$B$35:$H$35,_xlfn.XLOOKUP($C28,Assumptions!$B$36:$B$41,Assumptions!$B$36:$H$41))</f>
        <v>0</v>
      </c>
      <c r="QSE28">
        <f t="array" ref="QSE28">_xlfn.XLOOKUP(QSE$11,Assumptions!$B$35:$H$35,_xlfn.XLOOKUP($C28,Assumptions!$B$36:$B$41,Assumptions!$B$36:$H$41))</f>
        <v>0</v>
      </c>
      <c r="QSF28">
        <f t="array" ref="QSF28">_xlfn.XLOOKUP(QSF$11,Assumptions!$B$35:$H$35,_xlfn.XLOOKUP($C28,Assumptions!$B$36:$B$41,Assumptions!$B$36:$H$41))</f>
        <v>0</v>
      </c>
      <c r="QSG28">
        <f t="array" ref="QSG28">_xlfn.XLOOKUP(QSG$11,Assumptions!$B$35:$H$35,_xlfn.XLOOKUP($C28,Assumptions!$B$36:$B$41,Assumptions!$B$36:$H$41))</f>
        <v>0</v>
      </c>
      <c r="QSH28">
        <f t="array" ref="QSH28">_xlfn.XLOOKUP(QSH$11,Assumptions!$B$35:$H$35,_xlfn.XLOOKUP($C28,Assumptions!$B$36:$B$41,Assumptions!$B$36:$H$41))</f>
        <v>0</v>
      </c>
      <c r="QSI28">
        <f t="array" ref="QSI28">_xlfn.XLOOKUP(QSI$11,Assumptions!$B$35:$H$35,_xlfn.XLOOKUP($C28,Assumptions!$B$36:$B$41,Assumptions!$B$36:$H$41))</f>
        <v>0</v>
      </c>
      <c r="QSJ28">
        <f t="array" ref="QSJ28">_xlfn.XLOOKUP(QSJ$11,Assumptions!$B$35:$H$35,_xlfn.XLOOKUP($C28,Assumptions!$B$36:$B$41,Assumptions!$B$36:$H$41))</f>
        <v>0</v>
      </c>
      <c r="QSK28">
        <f t="array" ref="QSK28">_xlfn.XLOOKUP(QSK$11,Assumptions!$B$35:$H$35,_xlfn.XLOOKUP($C28,Assumptions!$B$36:$B$41,Assumptions!$B$36:$H$41))</f>
        <v>0</v>
      </c>
      <c r="QSL28">
        <f t="array" ref="QSL28">_xlfn.XLOOKUP(QSL$11,Assumptions!$B$35:$H$35,_xlfn.XLOOKUP($C28,Assumptions!$B$36:$B$41,Assumptions!$B$36:$H$41))</f>
        <v>0</v>
      </c>
      <c r="QSM28">
        <f t="array" ref="QSM28">_xlfn.XLOOKUP(QSM$11,Assumptions!$B$35:$H$35,_xlfn.XLOOKUP($C28,Assumptions!$B$36:$B$41,Assumptions!$B$36:$H$41))</f>
        <v>0</v>
      </c>
      <c r="QSN28">
        <f t="array" ref="QSN28">_xlfn.XLOOKUP(QSN$11,Assumptions!$B$35:$H$35,_xlfn.XLOOKUP($C28,Assumptions!$B$36:$B$41,Assumptions!$B$36:$H$41))</f>
        <v>0</v>
      </c>
      <c r="QSO28">
        <f t="array" ref="QSO28">_xlfn.XLOOKUP(QSO$11,Assumptions!$B$35:$H$35,_xlfn.XLOOKUP($C28,Assumptions!$B$36:$B$41,Assumptions!$B$36:$H$41))</f>
        <v>0</v>
      </c>
      <c r="QSP28">
        <f t="array" ref="QSP28">_xlfn.XLOOKUP(QSP$11,Assumptions!$B$35:$H$35,_xlfn.XLOOKUP($C28,Assumptions!$B$36:$B$41,Assumptions!$B$36:$H$41))</f>
        <v>0</v>
      </c>
      <c r="QSQ28">
        <f t="array" ref="QSQ28">_xlfn.XLOOKUP(QSQ$11,Assumptions!$B$35:$H$35,_xlfn.XLOOKUP($C28,Assumptions!$B$36:$B$41,Assumptions!$B$36:$H$41))</f>
        <v>0</v>
      </c>
      <c r="QSR28">
        <f t="array" ref="QSR28">_xlfn.XLOOKUP(QSR$11,Assumptions!$B$35:$H$35,_xlfn.XLOOKUP($C28,Assumptions!$B$36:$B$41,Assumptions!$B$36:$H$41))</f>
        <v>0</v>
      </c>
      <c r="QSS28">
        <f t="array" ref="QSS28">_xlfn.XLOOKUP(QSS$11,Assumptions!$B$35:$H$35,_xlfn.XLOOKUP($C28,Assumptions!$B$36:$B$41,Assumptions!$B$36:$H$41))</f>
        <v>0</v>
      </c>
      <c r="QST28">
        <f t="array" ref="QST28">_xlfn.XLOOKUP(QST$11,Assumptions!$B$35:$H$35,_xlfn.XLOOKUP($C28,Assumptions!$B$36:$B$41,Assumptions!$B$36:$H$41))</f>
        <v>0</v>
      </c>
      <c r="QSU28">
        <f t="array" ref="QSU28">_xlfn.XLOOKUP(QSU$11,Assumptions!$B$35:$H$35,_xlfn.XLOOKUP($C28,Assumptions!$B$36:$B$41,Assumptions!$B$36:$H$41))</f>
        <v>0</v>
      </c>
      <c r="QSV28">
        <f t="array" ref="QSV28">_xlfn.XLOOKUP(QSV$11,Assumptions!$B$35:$H$35,_xlfn.XLOOKUP($C28,Assumptions!$B$36:$B$41,Assumptions!$B$36:$H$41))</f>
        <v>0</v>
      </c>
      <c r="QSW28">
        <f t="array" ref="QSW28">_xlfn.XLOOKUP(QSW$11,Assumptions!$B$35:$H$35,_xlfn.XLOOKUP($C28,Assumptions!$B$36:$B$41,Assumptions!$B$36:$H$41))</f>
        <v>0</v>
      </c>
      <c r="QSX28">
        <f t="array" ref="QSX28">_xlfn.XLOOKUP(QSX$11,Assumptions!$B$35:$H$35,_xlfn.XLOOKUP($C28,Assumptions!$B$36:$B$41,Assumptions!$B$36:$H$41))</f>
        <v>0</v>
      </c>
      <c r="QSY28">
        <f t="array" ref="QSY28">_xlfn.XLOOKUP(QSY$11,Assumptions!$B$35:$H$35,_xlfn.XLOOKUP($C28,Assumptions!$B$36:$B$41,Assumptions!$B$36:$H$41))</f>
        <v>0</v>
      </c>
      <c r="QSZ28">
        <f t="array" ref="QSZ28">_xlfn.XLOOKUP(QSZ$11,Assumptions!$B$35:$H$35,_xlfn.XLOOKUP($C28,Assumptions!$B$36:$B$41,Assumptions!$B$36:$H$41))</f>
        <v>0</v>
      </c>
      <c r="QTA28">
        <f t="array" ref="QTA28">_xlfn.XLOOKUP(QTA$11,Assumptions!$B$35:$H$35,_xlfn.XLOOKUP($C28,Assumptions!$B$36:$B$41,Assumptions!$B$36:$H$41))</f>
        <v>0</v>
      </c>
      <c r="QTB28">
        <f t="array" ref="QTB28">_xlfn.XLOOKUP(QTB$11,Assumptions!$B$35:$H$35,_xlfn.XLOOKUP($C28,Assumptions!$B$36:$B$41,Assumptions!$B$36:$H$41))</f>
        <v>0</v>
      </c>
      <c r="QTC28">
        <f t="array" ref="QTC28">_xlfn.XLOOKUP(QTC$11,Assumptions!$B$35:$H$35,_xlfn.XLOOKUP($C28,Assumptions!$B$36:$B$41,Assumptions!$B$36:$H$41))</f>
        <v>0</v>
      </c>
      <c r="QTD28">
        <f t="array" ref="QTD28">_xlfn.XLOOKUP(QTD$11,Assumptions!$B$35:$H$35,_xlfn.XLOOKUP($C28,Assumptions!$B$36:$B$41,Assumptions!$B$36:$H$41))</f>
        <v>0</v>
      </c>
      <c r="QTE28">
        <f t="array" ref="QTE28">_xlfn.XLOOKUP(QTE$11,Assumptions!$B$35:$H$35,_xlfn.XLOOKUP($C28,Assumptions!$B$36:$B$41,Assumptions!$B$36:$H$41))</f>
        <v>0</v>
      </c>
      <c r="QTF28">
        <f t="array" ref="QTF28">_xlfn.XLOOKUP(QTF$11,Assumptions!$B$35:$H$35,_xlfn.XLOOKUP($C28,Assumptions!$B$36:$B$41,Assumptions!$B$36:$H$41))</f>
        <v>0</v>
      </c>
      <c r="QTG28">
        <f t="array" ref="QTG28">_xlfn.XLOOKUP(QTG$11,Assumptions!$B$35:$H$35,_xlfn.XLOOKUP($C28,Assumptions!$B$36:$B$41,Assumptions!$B$36:$H$41))</f>
        <v>0</v>
      </c>
      <c r="QTH28">
        <f t="array" ref="QTH28">_xlfn.XLOOKUP(QTH$11,Assumptions!$B$35:$H$35,_xlfn.XLOOKUP($C28,Assumptions!$B$36:$B$41,Assumptions!$B$36:$H$41))</f>
        <v>0</v>
      </c>
      <c r="QTI28">
        <f t="array" ref="QTI28">_xlfn.XLOOKUP(QTI$11,Assumptions!$B$35:$H$35,_xlfn.XLOOKUP($C28,Assumptions!$B$36:$B$41,Assumptions!$B$36:$H$41))</f>
        <v>0</v>
      </c>
      <c r="QTJ28">
        <f t="array" ref="QTJ28">_xlfn.XLOOKUP(QTJ$11,Assumptions!$B$35:$H$35,_xlfn.XLOOKUP($C28,Assumptions!$B$36:$B$41,Assumptions!$B$36:$H$41))</f>
        <v>0</v>
      </c>
      <c r="QTK28">
        <f t="array" ref="QTK28">_xlfn.XLOOKUP(QTK$11,Assumptions!$B$35:$H$35,_xlfn.XLOOKUP($C28,Assumptions!$B$36:$B$41,Assumptions!$B$36:$H$41))</f>
        <v>0</v>
      </c>
      <c r="QTL28">
        <f t="array" ref="QTL28">_xlfn.XLOOKUP(QTL$11,Assumptions!$B$35:$H$35,_xlfn.XLOOKUP($C28,Assumptions!$B$36:$B$41,Assumptions!$B$36:$H$41))</f>
        <v>0</v>
      </c>
      <c r="QTM28">
        <f t="array" ref="QTM28">_xlfn.XLOOKUP(QTM$11,Assumptions!$B$35:$H$35,_xlfn.XLOOKUP($C28,Assumptions!$B$36:$B$41,Assumptions!$B$36:$H$41))</f>
        <v>0</v>
      </c>
      <c r="QTN28">
        <f t="array" ref="QTN28">_xlfn.XLOOKUP(QTN$11,Assumptions!$B$35:$H$35,_xlfn.XLOOKUP($C28,Assumptions!$B$36:$B$41,Assumptions!$B$36:$H$41))</f>
        <v>0</v>
      </c>
      <c r="QTO28">
        <f t="array" ref="QTO28">_xlfn.XLOOKUP(QTO$11,Assumptions!$B$35:$H$35,_xlfn.XLOOKUP($C28,Assumptions!$B$36:$B$41,Assumptions!$B$36:$H$41))</f>
        <v>0</v>
      </c>
      <c r="QTP28">
        <f t="array" ref="QTP28">_xlfn.XLOOKUP(QTP$11,Assumptions!$B$35:$H$35,_xlfn.XLOOKUP($C28,Assumptions!$B$36:$B$41,Assumptions!$B$36:$H$41))</f>
        <v>0</v>
      </c>
      <c r="QTQ28">
        <f t="array" ref="QTQ28">_xlfn.XLOOKUP(QTQ$11,Assumptions!$B$35:$H$35,_xlfn.XLOOKUP($C28,Assumptions!$B$36:$B$41,Assumptions!$B$36:$H$41))</f>
        <v>0</v>
      </c>
      <c r="QTR28">
        <f t="array" ref="QTR28">_xlfn.XLOOKUP(QTR$11,Assumptions!$B$35:$H$35,_xlfn.XLOOKUP($C28,Assumptions!$B$36:$B$41,Assumptions!$B$36:$H$41))</f>
        <v>0</v>
      </c>
      <c r="QTS28">
        <f t="array" ref="QTS28">_xlfn.XLOOKUP(QTS$11,Assumptions!$B$35:$H$35,_xlfn.XLOOKUP($C28,Assumptions!$B$36:$B$41,Assumptions!$B$36:$H$41))</f>
        <v>0</v>
      </c>
      <c r="QTT28">
        <f t="array" ref="QTT28">_xlfn.XLOOKUP(QTT$11,Assumptions!$B$35:$H$35,_xlfn.XLOOKUP($C28,Assumptions!$B$36:$B$41,Assumptions!$B$36:$H$41))</f>
        <v>0</v>
      </c>
      <c r="QTU28">
        <f t="array" ref="QTU28">_xlfn.XLOOKUP(QTU$11,Assumptions!$B$35:$H$35,_xlfn.XLOOKUP($C28,Assumptions!$B$36:$B$41,Assumptions!$B$36:$H$41))</f>
        <v>0</v>
      </c>
      <c r="QTV28">
        <f t="array" ref="QTV28">_xlfn.XLOOKUP(QTV$11,Assumptions!$B$35:$H$35,_xlfn.XLOOKUP($C28,Assumptions!$B$36:$B$41,Assumptions!$B$36:$H$41))</f>
        <v>0</v>
      </c>
      <c r="QTW28">
        <f t="array" ref="QTW28">_xlfn.XLOOKUP(QTW$11,Assumptions!$B$35:$H$35,_xlfn.XLOOKUP($C28,Assumptions!$B$36:$B$41,Assumptions!$B$36:$H$41))</f>
        <v>0</v>
      </c>
      <c r="QTX28">
        <f t="array" ref="QTX28">_xlfn.XLOOKUP(QTX$11,Assumptions!$B$35:$H$35,_xlfn.XLOOKUP($C28,Assumptions!$B$36:$B$41,Assumptions!$B$36:$H$41))</f>
        <v>0</v>
      </c>
      <c r="QTY28">
        <f t="array" ref="QTY28">_xlfn.XLOOKUP(QTY$11,Assumptions!$B$35:$H$35,_xlfn.XLOOKUP($C28,Assumptions!$B$36:$B$41,Assumptions!$B$36:$H$41))</f>
        <v>0</v>
      </c>
      <c r="QTZ28">
        <f t="array" ref="QTZ28">_xlfn.XLOOKUP(QTZ$11,Assumptions!$B$35:$H$35,_xlfn.XLOOKUP($C28,Assumptions!$B$36:$B$41,Assumptions!$B$36:$H$41))</f>
        <v>0</v>
      </c>
      <c r="QUA28">
        <f t="array" ref="QUA28">_xlfn.XLOOKUP(QUA$11,Assumptions!$B$35:$H$35,_xlfn.XLOOKUP($C28,Assumptions!$B$36:$B$41,Assumptions!$B$36:$H$41))</f>
        <v>0</v>
      </c>
      <c r="QUB28">
        <f t="array" ref="QUB28">_xlfn.XLOOKUP(QUB$11,Assumptions!$B$35:$H$35,_xlfn.XLOOKUP($C28,Assumptions!$B$36:$B$41,Assumptions!$B$36:$H$41))</f>
        <v>0</v>
      </c>
      <c r="QUC28">
        <f t="array" ref="QUC28">_xlfn.XLOOKUP(QUC$11,Assumptions!$B$35:$H$35,_xlfn.XLOOKUP($C28,Assumptions!$B$36:$B$41,Assumptions!$B$36:$H$41))</f>
        <v>0</v>
      </c>
      <c r="QUD28">
        <f t="array" ref="QUD28">_xlfn.XLOOKUP(QUD$11,Assumptions!$B$35:$H$35,_xlfn.XLOOKUP($C28,Assumptions!$B$36:$B$41,Assumptions!$B$36:$H$41))</f>
        <v>0</v>
      </c>
      <c r="QUE28">
        <f t="array" ref="QUE28">_xlfn.XLOOKUP(QUE$11,Assumptions!$B$35:$H$35,_xlfn.XLOOKUP($C28,Assumptions!$B$36:$B$41,Assumptions!$B$36:$H$41))</f>
        <v>0</v>
      </c>
      <c r="QUF28">
        <f t="array" ref="QUF28">_xlfn.XLOOKUP(QUF$11,Assumptions!$B$35:$H$35,_xlfn.XLOOKUP($C28,Assumptions!$B$36:$B$41,Assumptions!$B$36:$H$41))</f>
        <v>0</v>
      </c>
      <c r="QUG28">
        <f t="array" ref="QUG28">_xlfn.XLOOKUP(QUG$11,Assumptions!$B$35:$H$35,_xlfn.XLOOKUP($C28,Assumptions!$B$36:$B$41,Assumptions!$B$36:$H$41))</f>
        <v>0</v>
      </c>
      <c r="QUH28">
        <f t="array" ref="QUH28">_xlfn.XLOOKUP(QUH$11,Assumptions!$B$35:$H$35,_xlfn.XLOOKUP($C28,Assumptions!$B$36:$B$41,Assumptions!$B$36:$H$41))</f>
        <v>0</v>
      </c>
      <c r="QUI28">
        <f t="array" ref="QUI28">_xlfn.XLOOKUP(QUI$11,Assumptions!$B$35:$H$35,_xlfn.XLOOKUP($C28,Assumptions!$B$36:$B$41,Assumptions!$B$36:$H$41))</f>
        <v>0</v>
      </c>
      <c r="QUJ28">
        <f t="array" ref="QUJ28">_xlfn.XLOOKUP(QUJ$11,Assumptions!$B$35:$H$35,_xlfn.XLOOKUP($C28,Assumptions!$B$36:$B$41,Assumptions!$B$36:$H$41))</f>
        <v>0</v>
      </c>
      <c r="QUK28">
        <f t="array" ref="QUK28">_xlfn.XLOOKUP(QUK$11,Assumptions!$B$35:$H$35,_xlfn.XLOOKUP($C28,Assumptions!$B$36:$B$41,Assumptions!$B$36:$H$41))</f>
        <v>0</v>
      </c>
      <c r="QUL28">
        <f t="array" ref="QUL28">_xlfn.XLOOKUP(QUL$11,Assumptions!$B$35:$H$35,_xlfn.XLOOKUP($C28,Assumptions!$B$36:$B$41,Assumptions!$B$36:$H$41))</f>
        <v>0</v>
      </c>
      <c r="QUM28">
        <f t="array" ref="QUM28">_xlfn.XLOOKUP(QUM$11,Assumptions!$B$35:$H$35,_xlfn.XLOOKUP($C28,Assumptions!$B$36:$B$41,Assumptions!$B$36:$H$41))</f>
        <v>0</v>
      </c>
      <c r="QUN28">
        <f t="array" ref="QUN28">_xlfn.XLOOKUP(QUN$11,Assumptions!$B$35:$H$35,_xlfn.XLOOKUP($C28,Assumptions!$B$36:$B$41,Assumptions!$B$36:$H$41))</f>
        <v>0</v>
      </c>
      <c r="QUO28">
        <f t="array" ref="QUO28">_xlfn.XLOOKUP(QUO$11,Assumptions!$B$35:$H$35,_xlfn.XLOOKUP($C28,Assumptions!$B$36:$B$41,Assumptions!$B$36:$H$41))</f>
        <v>0</v>
      </c>
      <c r="QUP28">
        <f t="array" ref="QUP28">_xlfn.XLOOKUP(QUP$11,Assumptions!$B$35:$H$35,_xlfn.XLOOKUP($C28,Assumptions!$B$36:$B$41,Assumptions!$B$36:$H$41))</f>
        <v>0</v>
      </c>
      <c r="QUQ28">
        <f t="array" ref="QUQ28">_xlfn.XLOOKUP(QUQ$11,Assumptions!$B$35:$H$35,_xlfn.XLOOKUP($C28,Assumptions!$B$36:$B$41,Assumptions!$B$36:$H$41))</f>
        <v>0</v>
      </c>
      <c r="QUR28">
        <f t="array" ref="QUR28">_xlfn.XLOOKUP(QUR$11,Assumptions!$B$35:$H$35,_xlfn.XLOOKUP($C28,Assumptions!$B$36:$B$41,Assumptions!$B$36:$H$41))</f>
        <v>0</v>
      </c>
      <c r="QUS28">
        <f t="array" ref="QUS28">_xlfn.XLOOKUP(QUS$11,Assumptions!$B$35:$H$35,_xlfn.XLOOKUP($C28,Assumptions!$B$36:$B$41,Assumptions!$B$36:$H$41))</f>
        <v>0</v>
      </c>
      <c r="QUT28">
        <f t="array" ref="QUT28">_xlfn.XLOOKUP(QUT$11,Assumptions!$B$35:$H$35,_xlfn.XLOOKUP($C28,Assumptions!$B$36:$B$41,Assumptions!$B$36:$H$41))</f>
        <v>0</v>
      </c>
      <c r="QUU28">
        <f t="array" ref="QUU28">_xlfn.XLOOKUP(QUU$11,Assumptions!$B$35:$H$35,_xlfn.XLOOKUP($C28,Assumptions!$B$36:$B$41,Assumptions!$B$36:$H$41))</f>
        <v>0</v>
      </c>
      <c r="QUV28">
        <f t="array" ref="QUV28">_xlfn.XLOOKUP(QUV$11,Assumptions!$B$35:$H$35,_xlfn.XLOOKUP($C28,Assumptions!$B$36:$B$41,Assumptions!$B$36:$H$41))</f>
        <v>0</v>
      </c>
      <c r="QUW28">
        <f t="array" ref="QUW28">_xlfn.XLOOKUP(QUW$11,Assumptions!$B$35:$H$35,_xlfn.XLOOKUP($C28,Assumptions!$B$36:$B$41,Assumptions!$B$36:$H$41))</f>
        <v>0</v>
      </c>
      <c r="QUX28">
        <f t="array" ref="QUX28">_xlfn.XLOOKUP(QUX$11,Assumptions!$B$35:$H$35,_xlfn.XLOOKUP($C28,Assumptions!$B$36:$B$41,Assumptions!$B$36:$H$41))</f>
        <v>0</v>
      </c>
      <c r="QUY28">
        <f t="array" ref="QUY28">_xlfn.XLOOKUP(QUY$11,Assumptions!$B$35:$H$35,_xlfn.XLOOKUP($C28,Assumptions!$B$36:$B$41,Assumptions!$B$36:$H$41))</f>
        <v>0</v>
      </c>
      <c r="QUZ28">
        <f t="array" ref="QUZ28">_xlfn.XLOOKUP(QUZ$11,Assumptions!$B$35:$H$35,_xlfn.XLOOKUP($C28,Assumptions!$B$36:$B$41,Assumptions!$B$36:$H$41))</f>
        <v>0</v>
      </c>
      <c r="QVA28">
        <f t="array" ref="QVA28">_xlfn.XLOOKUP(QVA$11,Assumptions!$B$35:$H$35,_xlfn.XLOOKUP($C28,Assumptions!$B$36:$B$41,Assumptions!$B$36:$H$41))</f>
        <v>0</v>
      </c>
      <c r="QVB28">
        <f t="array" ref="QVB28">_xlfn.XLOOKUP(QVB$11,Assumptions!$B$35:$H$35,_xlfn.XLOOKUP($C28,Assumptions!$B$36:$B$41,Assumptions!$B$36:$H$41))</f>
        <v>0</v>
      </c>
      <c r="QVC28">
        <f t="array" ref="QVC28">_xlfn.XLOOKUP(QVC$11,Assumptions!$B$35:$H$35,_xlfn.XLOOKUP($C28,Assumptions!$B$36:$B$41,Assumptions!$B$36:$H$41))</f>
        <v>0</v>
      </c>
      <c r="QVD28">
        <f t="array" ref="QVD28">_xlfn.XLOOKUP(QVD$11,Assumptions!$B$35:$H$35,_xlfn.XLOOKUP($C28,Assumptions!$B$36:$B$41,Assumptions!$B$36:$H$41))</f>
        <v>0</v>
      </c>
      <c r="QVE28">
        <f t="array" ref="QVE28">_xlfn.XLOOKUP(QVE$11,Assumptions!$B$35:$H$35,_xlfn.XLOOKUP($C28,Assumptions!$B$36:$B$41,Assumptions!$B$36:$H$41))</f>
        <v>0</v>
      </c>
      <c r="QVF28">
        <f t="array" ref="QVF28">_xlfn.XLOOKUP(QVF$11,Assumptions!$B$35:$H$35,_xlfn.XLOOKUP($C28,Assumptions!$B$36:$B$41,Assumptions!$B$36:$H$41))</f>
        <v>0</v>
      </c>
      <c r="QVG28">
        <f t="array" ref="QVG28">_xlfn.XLOOKUP(QVG$11,Assumptions!$B$35:$H$35,_xlfn.XLOOKUP($C28,Assumptions!$B$36:$B$41,Assumptions!$B$36:$H$41))</f>
        <v>0</v>
      </c>
      <c r="QVH28">
        <f t="array" ref="QVH28">_xlfn.XLOOKUP(QVH$11,Assumptions!$B$35:$H$35,_xlfn.XLOOKUP($C28,Assumptions!$B$36:$B$41,Assumptions!$B$36:$H$41))</f>
        <v>0</v>
      </c>
      <c r="QVI28">
        <f t="array" ref="QVI28">_xlfn.XLOOKUP(QVI$11,Assumptions!$B$35:$H$35,_xlfn.XLOOKUP($C28,Assumptions!$B$36:$B$41,Assumptions!$B$36:$H$41))</f>
        <v>0</v>
      </c>
      <c r="QVJ28">
        <f t="array" ref="QVJ28">_xlfn.XLOOKUP(QVJ$11,Assumptions!$B$35:$H$35,_xlfn.XLOOKUP($C28,Assumptions!$B$36:$B$41,Assumptions!$B$36:$H$41))</f>
        <v>0</v>
      </c>
      <c r="QVK28">
        <f t="array" ref="QVK28">_xlfn.XLOOKUP(QVK$11,Assumptions!$B$35:$H$35,_xlfn.XLOOKUP($C28,Assumptions!$B$36:$B$41,Assumptions!$B$36:$H$41))</f>
        <v>0</v>
      </c>
      <c r="QVL28">
        <f t="array" ref="QVL28">_xlfn.XLOOKUP(QVL$11,Assumptions!$B$35:$H$35,_xlfn.XLOOKUP($C28,Assumptions!$B$36:$B$41,Assumptions!$B$36:$H$41))</f>
        <v>0</v>
      </c>
      <c r="QVM28">
        <f t="array" ref="QVM28">_xlfn.XLOOKUP(QVM$11,Assumptions!$B$35:$H$35,_xlfn.XLOOKUP($C28,Assumptions!$B$36:$B$41,Assumptions!$B$36:$H$41))</f>
        <v>0</v>
      </c>
      <c r="QVN28">
        <f t="array" ref="QVN28">_xlfn.XLOOKUP(QVN$11,Assumptions!$B$35:$H$35,_xlfn.XLOOKUP($C28,Assumptions!$B$36:$B$41,Assumptions!$B$36:$H$41))</f>
        <v>0</v>
      </c>
      <c r="QVO28">
        <f t="array" ref="QVO28">_xlfn.XLOOKUP(QVO$11,Assumptions!$B$35:$H$35,_xlfn.XLOOKUP($C28,Assumptions!$B$36:$B$41,Assumptions!$B$36:$H$41))</f>
        <v>0</v>
      </c>
      <c r="QVP28">
        <f t="array" ref="QVP28">_xlfn.XLOOKUP(QVP$11,Assumptions!$B$35:$H$35,_xlfn.XLOOKUP($C28,Assumptions!$B$36:$B$41,Assumptions!$B$36:$H$41))</f>
        <v>0</v>
      </c>
      <c r="QVQ28">
        <f t="array" ref="QVQ28">_xlfn.XLOOKUP(QVQ$11,Assumptions!$B$35:$H$35,_xlfn.XLOOKUP($C28,Assumptions!$B$36:$B$41,Assumptions!$B$36:$H$41))</f>
        <v>0</v>
      </c>
      <c r="QVR28">
        <f t="array" ref="QVR28">_xlfn.XLOOKUP(QVR$11,Assumptions!$B$35:$H$35,_xlfn.XLOOKUP($C28,Assumptions!$B$36:$B$41,Assumptions!$B$36:$H$41))</f>
        <v>0</v>
      </c>
      <c r="QVS28">
        <f t="array" ref="QVS28">_xlfn.XLOOKUP(QVS$11,Assumptions!$B$35:$H$35,_xlfn.XLOOKUP($C28,Assumptions!$B$36:$B$41,Assumptions!$B$36:$H$41))</f>
        <v>0</v>
      </c>
      <c r="QVT28">
        <f t="array" ref="QVT28">_xlfn.XLOOKUP(QVT$11,Assumptions!$B$35:$H$35,_xlfn.XLOOKUP($C28,Assumptions!$B$36:$B$41,Assumptions!$B$36:$H$41))</f>
        <v>0</v>
      </c>
      <c r="QVU28">
        <f t="array" ref="QVU28">_xlfn.XLOOKUP(QVU$11,Assumptions!$B$35:$H$35,_xlfn.XLOOKUP($C28,Assumptions!$B$36:$B$41,Assumptions!$B$36:$H$41))</f>
        <v>0</v>
      </c>
      <c r="QVV28">
        <f t="array" ref="QVV28">_xlfn.XLOOKUP(QVV$11,Assumptions!$B$35:$H$35,_xlfn.XLOOKUP($C28,Assumptions!$B$36:$B$41,Assumptions!$B$36:$H$41))</f>
        <v>0</v>
      </c>
      <c r="QVW28">
        <f t="array" ref="QVW28">_xlfn.XLOOKUP(QVW$11,Assumptions!$B$35:$H$35,_xlfn.XLOOKUP($C28,Assumptions!$B$36:$B$41,Assumptions!$B$36:$H$41))</f>
        <v>0</v>
      </c>
      <c r="QVX28">
        <f t="array" ref="QVX28">_xlfn.XLOOKUP(QVX$11,Assumptions!$B$35:$H$35,_xlfn.XLOOKUP($C28,Assumptions!$B$36:$B$41,Assumptions!$B$36:$H$41))</f>
        <v>0</v>
      </c>
      <c r="QVY28">
        <f t="array" ref="QVY28">_xlfn.XLOOKUP(QVY$11,Assumptions!$B$35:$H$35,_xlfn.XLOOKUP($C28,Assumptions!$B$36:$B$41,Assumptions!$B$36:$H$41))</f>
        <v>0</v>
      </c>
      <c r="QVZ28">
        <f t="array" ref="QVZ28">_xlfn.XLOOKUP(QVZ$11,Assumptions!$B$35:$H$35,_xlfn.XLOOKUP($C28,Assumptions!$B$36:$B$41,Assumptions!$B$36:$H$41))</f>
        <v>0</v>
      </c>
      <c r="QWA28">
        <f t="array" ref="QWA28">_xlfn.XLOOKUP(QWA$11,Assumptions!$B$35:$H$35,_xlfn.XLOOKUP($C28,Assumptions!$B$36:$B$41,Assumptions!$B$36:$H$41))</f>
        <v>0</v>
      </c>
      <c r="QWB28">
        <f t="array" ref="QWB28">_xlfn.XLOOKUP(QWB$11,Assumptions!$B$35:$H$35,_xlfn.XLOOKUP($C28,Assumptions!$B$36:$B$41,Assumptions!$B$36:$H$41))</f>
        <v>0</v>
      </c>
      <c r="QWC28">
        <f t="array" ref="QWC28">_xlfn.XLOOKUP(QWC$11,Assumptions!$B$35:$H$35,_xlfn.XLOOKUP($C28,Assumptions!$B$36:$B$41,Assumptions!$B$36:$H$41))</f>
        <v>0</v>
      </c>
      <c r="QWD28">
        <f t="array" ref="QWD28">_xlfn.XLOOKUP(QWD$11,Assumptions!$B$35:$H$35,_xlfn.XLOOKUP($C28,Assumptions!$B$36:$B$41,Assumptions!$B$36:$H$41))</f>
        <v>0</v>
      </c>
      <c r="QWE28">
        <f t="array" ref="QWE28">_xlfn.XLOOKUP(QWE$11,Assumptions!$B$35:$H$35,_xlfn.XLOOKUP($C28,Assumptions!$B$36:$B$41,Assumptions!$B$36:$H$41))</f>
        <v>0</v>
      </c>
      <c r="QWF28">
        <f t="array" ref="QWF28">_xlfn.XLOOKUP(QWF$11,Assumptions!$B$35:$H$35,_xlfn.XLOOKUP($C28,Assumptions!$B$36:$B$41,Assumptions!$B$36:$H$41))</f>
        <v>0</v>
      </c>
      <c r="QWG28">
        <f t="array" ref="QWG28">_xlfn.XLOOKUP(QWG$11,Assumptions!$B$35:$H$35,_xlfn.XLOOKUP($C28,Assumptions!$B$36:$B$41,Assumptions!$B$36:$H$41))</f>
        <v>0</v>
      </c>
      <c r="QWH28">
        <f t="array" ref="QWH28">_xlfn.XLOOKUP(QWH$11,Assumptions!$B$35:$H$35,_xlfn.XLOOKUP($C28,Assumptions!$B$36:$B$41,Assumptions!$B$36:$H$41))</f>
        <v>0</v>
      </c>
      <c r="QWI28">
        <f t="array" ref="QWI28">_xlfn.XLOOKUP(QWI$11,Assumptions!$B$35:$H$35,_xlfn.XLOOKUP($C28,Assumptions!$B$36:$B$41,Assumptions!$B$36:$H$41))</f>
        <v>0</v>
      </c>
      <c r="QWJ28">
        <f t="array" ref="QWJ28">_xlfn.XLOOKUP(QWJ$11,Assumptions!$B$35:$H$35,_xlfn.XLOOKUP($C28,Assumptions!$B$36:$B$41,Assumptions!$B$36:$H$41))</f>
        <v>0</v>
      </c>
      <c r="QWK28">
        <f t="array" ref="QWK28">_xlfn.XLOOKUP(QWK$11,Assumptions!$B$35:$H$35,_xlfn.XLOOKUP($C28,Assumptions!$B$36:$B$41,Assumptions!$B$36:$H$41))</f>
        <v>0</v>
      </c>
      <c r="QWL28">
        <f t="array" ref="QWL28">_xlfn.XLOOKUP(QWL$11,Assumptions!$B$35:$H$35,_xlfn.XLOOKUP($C28,Assumptions!$B$36:$B$41,Assumptions!$B$36:$H$41))</f>
        <v>0</v>
      </c>
      <c r="QWM28">
        <f t="array" ref="QWM28">_xlfn.XLOOKUP(QWM$11,Assumptions!$B$35:$H$35,_xlfn.XLOOKUP($C28,Assumptions!$B$36:$B$41,Assumptions!$B$36:$H$41))</f>
        <v>0</v>
      </c>
      <c r="QWN28">
        <f t="array" ref="QWN28">_xlfn.XLOOKUP(QWN$11,Assumptions!$B$35:$H$35,_xlfn.XLOOKUP($C28,Assumptions!$B$36:$B$41,Assumptions!$B$36:$H$41))</f>
        <v>0</v>
      </c>
      <c r="QWO28">
        <f t="array" ref="QWO28">_xlfn.XLOOKUP(QWO$11,Assumptions!$B$35:$H$35,_xlfn.XLOOKUP($C28,Assumptions!$B$36:$B$41,Assumptions!$B$36:$H$41))</f>
        <v>0</v>
      </c>
      <c r="QWP28">
        <f t="array" ref="QWP28">_xlfn.XLOOKUP(QWP$11,Assumptions!$B$35:$H$35,_xlfn.XLOOKUP($C28,Assumptions!$B$36:$B$41,Assumptions!$B$36:$H$41))</f>
        <v>0</v>
      </c>
      <c r="QWQ28">
        <f t="array" ref="QWQ28">_xlfn.XLOOKUP(QWQ$11,Assumptions!$B$35:$H$35,_xlfn.XLOOKUP($C28,Assumptions!$B$36:$B$41,Assumptions!$B$36:$H$41))</f>
        <v>0</v>
      </c>
      <c r="QWR28">
        <f t="array" ref="QWR28">_xlfn.XLOOKUP(QWR$11,Assumptions!$B$35:$H$35,_xlfn.XLOOKUP($C28,Assumptions!$B$36:$B$41,Assumptions!$B$36:$H$41))</f>
        <v>0</v>
      </c>
      <c r="QWS28">
        <f t="array" ref="QWS28">_xlfn.XLOOKUP(QWS$11,Assumptions!$B$35:$H$35,_xlfn.XLOOKUP($C28,Assumptions!$B$36:$B$41,Assumptions!$B$36:$H$41))</f>
        <v>0</v>
      </c>
      <c r="QWT28">
        <f t="array" ref="QWT28">_xlfn.XLOOKUP(QWT$11,Assumptions!$B$35:$H$35,_xlfn.XLOOKUP($C28,Assumptions!$B$36:$B$41,Assumptions!$B$36:$H$41))</f>
        <v>0</v>
      </c>
      <c r="QWU28">
        <f t="array" ref="QWU28">_xlfn.XLOOKUP(QWU$11,Assumptions!$B$35:$H$35,_xlfn.XLOOKUP($C28,Assumptions!$B$36:$B$41,Assumptions!$B$36:$H$41))</f>
        <v>0</v>
      </c>
      <c r="QWV28">
        <f t="array" ref="QWV28">_xlfn.XLOOKUP(QWV$11,Assumptions!$B$35:$H$35,_xlfn.XLOOKUP($C28,Assumptions!$B$36:$B$41,Assumptions!$B$36:$H$41))</f>
        <v>0</v>
      </c>
      <c r="QWW28">
        <f t="array" ref="QWW28">_xlfn.XLOOKUP(QWW$11,Assumptions!$B$35:$H$35,_xlfn.XLOOKUP($C28,Assumptions!$B$36:$B$41,Assumptions!$B$36:$H$41))</f>
        <v>0</v>
      </c>
      <c r="QWX28">
        <f t="array" ref="QWX28">_xlfn.XLOOKUP(QWX$11,Assumptions!$B$35:$H$35,_xlfn.XLOOKUP($C28,Assumptions!$B$36:$B$41,Assumptions!$B$36:$H$41))</f>
        <v>0</v>
      </c>
      <c r="QWY28">
        <f t="array" ref="QWY28">_xlfn.XLOOKUP(QWY$11,Assumptions!$B$35:$H$35,_xlfn.XLOOKUP($C28,Assumptions!$B$36:$B$41,Assumptions!$B$36:$H$41))</f>
        <v>0</v>
      </c>
      <c r="QWZ28">
        <f t="array" ref="QWZ28">_xlfn.XLOOKUP(QWZ$11,Assumptions!$B$35:$H$35,_xlfn.XLOOKUP($C28,Assumptions!$B$36:$B$41,Assumptions!$B$36:$H$41))</f>
        <v>0</v>
      </c>
      <c r="QXA28">
        <f t="array" ref="QXA28">_xlfn.XLOOKUP(QXA$11,Assumptions!$B$35:$H$35,_xlfn.XLOOKUP($C28,Assumptions!$B$36:$B$41,Assumptions!$B$36:$H$41))</f>
        <v>0</v>
      </c>
      <c r="QXB28">
        <f t="array" ref="QXB28">_xlfn.XLOOKUP(QXB$11,Assumptions!$B$35:$H$35,_xlfn.XLOOKUP($C28,Assumptions!$B$36:$B$41,Assumptions!$B$36:$H$41))</f>
        <v>0</v>
      </c>
      <c r="QXC28">
        <f t="array" ref="QXC28">_xlfn.XLOOKUP(QXC$11,Assumptions!$B$35:$H$35,_xlfn.XLOOKUP($C28,Assumptions!$B$36:$B$41,Assumptions!$B$36:$H$41))</f>
        <v>0</v>
      </c>
      <c r="QXD28">
        <f t="array" ref="QXD28">_xlfn.XLOOKUP(QXD$11,Assumptions!$B$35:$H$35,_xlfn.XLOOKUP($C28,Assumptions!$B$36:$B$41,Assumptions!$B$36:$H$41))</f>
        <v>0</v>
      </c>
      <c r="QXE28">
        <f t="array" ref="QXE28">_xlfn.XLOOKUP(QXE$11,Assumptions!$B$35:$H$35,_xlfn.XLOOKUP($C28,Assumptions!$B$36:$B$41,Assumptions!$B$36:$H$41))</f>
        <v>0</v>
      </c>
      <c r="QXF28">
        <f t="array" ref="QXF28">_xlfn.XLOOKUP(QXF$11,Assumptions!$B$35:$H$35,_xlfn.XLOOKUP($C28,Assumptions!$B$36:$B$41,Assumptions!$B$36:$H$41))</f>
        <v>0</v>
      </c>
      <c r="QXG28">
        <f t="array" ref="QXG28">_xlfn.XLOOKUP(QXG$11,Assumptions!$B$35:$H$35,_xlfn.XLOOKUP($C28,Assumptions!$B$36:$B$41,Assumptions!$B$36:$H$41))</f>
        <v>0</v>
      </c>
      <c r="QXH28">
        <f t="array" ref="QXH28">_xlfn.XLOOKUP(QXH$11,Assumptions!$B$35:$H$35,_xlfn.XLOOKUP($C28,Assumptions!$B$36:$B$41,Assumptions!$B$36:$H$41))</f>
        <v>0</v>
      </c>
      <c r="QXI28">
        <f t="array" ref="QXI28">_xlfn.XLOOKUP(QXI$11,Assumptions!$B$35:$H$35,_xlfn.XLOOKUP($C28,Assumptions!$B$36:$B$41,Assumptions!$B$36:$H$41))</f>
        <v>0</v>
      </c>
      <c r="QXJ28">
        <f t="array" ref="QXJ28">_xlfn.XLOOKUP(QXJ$11,Assumptions!$B$35:$H$35,_xlfn.XLOOKUP($C28,Assumptions!$B$36:$B$41,Assumptions!$B$36:$H$41))</f>
        <v>0</v>
      </c>
      <c r="QXK28">
        <f t="array" ref="QXK28">_xlfn.XLOOKUP(QXK$11,Assumptions!$B$35:$H$35,_xlfn.XLOOKUP($C28,Assumptions!$B$36:$B$41,Assumptions!$B$36:$H$41))</f>
        <v>0</v>
      </c>
      <c r="QXL28">
        <f t="array" ref="QXL28">_xlfn.XLOOKUP(QXL$11,Assumptions!$B$35:$H$35,_xlfn.XLOOKUP($C28,Assumptions!$B$36:$B$41,Assumptions!$B$36:$H$41))</f>
        <v>0</v>
      </c>
      <c r="QXM28">
        <f t="array" ref="QXM28">_xlfn.XLOOKUP(QXM$11,Assumptions!$B$35:$H$35,_xlfn.XLOOKUP($C28,Assumptions!$B$36:$B$41,Assumptions!$B$36:$H$41))</f>
        <v>0</v>
      </c>
      <c r="QXN28">
        <f t="array" ref="QXN28">_xlfn.XLOOKUP(QXN$11,Assumptions!$B$35:$H$35,_xlfn.XLOOKUP($C28,Assumptions!$B$36:$B$41,Assumptions!$B$36:$H$41))</f>
        <v>0</v>
      </c>
      <c r="QXO28">
        <f t="array" ref="QXO28">_xlfn.XLOOKUP(QXO$11,Assumptions!$B$35:$H$35,_xlfn.XLOOKUP($C28,Assumptions!$B$36:$B$41,Assumptions!$B$36:$H$41))</f>
        <v>0</v>
      </c>
      <c r="QXP28">
        <f t="array" ref="QXP28">_xlfn.XLOOKUP(QXP$11,Assumptions!$B$35:$H$35,_xlfn.XLOOKUP($C28,Assumptions!$B$36:$B$41,Assumptions!$B$36:$H$41))</f>
        <v>0</v>
      </c>
      <c r="QXQ28">
        <f t="array" ref="QXQ28">_xlfn.XLOOKUP(QXQ$11,Assumptions!$B$35:$H$35,_xlfn.XLOOKUP($C28,Assumptions!$B$36:$B$41,Assumptions!$B$36:$H$41))</f>
        <v>0</v>
      </c>
      <c r="QXR28">
        <f t="array" ref="QXR28">_xlfn.XLOOKUP(QXR$11,Assumptions!$B$35:$H$35,_xlfn.XLOOKUP($C28,Assumptions!$B$36:$B$41,Assumptions!$B$36:$H$41))</f>
        <v>0</v>
      </c>
      <c r="QXS28">
        <f t="array" ref="QXS28">_xlfn.XLOOKUP(QXS$11,Assumptions!$B$35:$H$35,_xlfn.XLOOKUP($C28,Assumptions!$B$36:$B$41,Assumptions!$B$36:$H$41))</f>
        <v>0</v>
      </c>
      <c r="QXT28">
        <f t="array" ref="QXT28">_xlfn.XLOOKUP(QXT$11,Assumptions!$B$35:$H$35,_xlfn.XLOOKUP($C28,Assumptions!$B$36:$B$41,Assumptions!$B$36:$H$41))</f>
        <v>0</v>
      </c>
      <c r="QXU28">
        <f t="array" ref="QXU28">_xlfn.XLOOKUP(QXU$11,Assumptions!$B$35:$H$35,_xlfn.XLOOKUP($C28,Assumptions!$B$36:$B$41,Assumptions!$B$36:$H$41))</f>
        <v>0</v>
      </c>
      <c r="QXV28">
        <f t="array" ref="QXV28">_xlfn.XLOOKUP(QXV$11,Assumptions!$B$35:$H$35,_xlfn.XLOOKUP($C28,Assumptions!$B$36:$B$41,Assumptions!$B$36:$H$41))</f>
        <v>0</v>
      </c>
      <c r="QXW28">
        <f t="array" ref="QXW28">_xlfn.XLOOKUP(QXW$11,Assumptions!$B$35:$H$35,_xlfn.XLOOKUP($C28,Assumptions!$B$36:$B$41,Assumptions!$B$36:$H$41))</f>
        <v>0</v>
      </c>
      <c r="QXX28">
        <f t="array" ref="QXX28">_xlfn.XLOOKUP(QXX$11,Assumptions!$B$35:$H$35,_xlfn.XLOOKUP($C28,Assumptions!$B$36:$B$41,Assumptions!$B$36:$H$41))</f>
        <v>0</v>
      </c>
      <c r="QXY28">
        <f t="array" ref="QXY28">_xlfn.XLOOKUP(QXY$11,Assumptions!$B$35:$H$35,_xlfn.XLOOKUP($C28,Assumptions!$B$36:$B$41,Assumptions!$B$36:$H$41))</f>
        <v>0</v>
      </c>
      <c r="QXZ28">
        <f t="array" ref="QXZ28">_xlfn.XLOOKUP(QXZ$11,Assumptions!$B$35:$H$35,_xlfn.XLOOKUP($C28,Assumptions!$B$36:$B$41,Assumptions!$B$36:$H$41))</f>
        <v>0</v>
      </c>
      <c r="QYA28">
        <f t="array" ref="QYA28">_xlfn.XLOOKUP(QYA$11,Assumptions!$B$35:$H$35,_xlfn.XLOOKUP($C28,Assumptions!$B$36:$B$41,Assumptions!$B$36:$H$41))</f>
        <v>0</v>
      </c>
      <c r="QYB28">
        <f t="array" ref="QYB28">_xlfn.XLOOKUP(QYB$11,Assumptions!$B$35:$H$35,_xlfn.XLOOKUP($C28,Assumptions!$B$36:$B$41,Assumptions!$B$36:$H$41))</f>
        <v>0</v>
      </c>
      <c r="QYC28">
        <f t="array" ref="QYC28">_xlfn.XLOOKUP(QYC$11,Assumptions!$B$35:$H$35,_xlfn.XLOOKUP($C28,Assumptions!$B$36:$B$41,Assumptions!$B$36:$H$41))</f>
        <v>0</v>
      </c>
      <c r="QYD28">
        <f t="array" ref="QYD28">_xlfn.XLOOKUP(QYD$11,Assumptions!$B$35:$H$35,_xlfn.XLOOKUP($C28,Assumptions!$B$36:$B$41,Assumptions!$B$36:$H$41))</f>
        <v>0</v>
      </c>
      <c r="QYE28">
        <f t="array" ref="QYE28">_xlfn.XLOOKUP(QYE$11,Assumptions!$B$35:$H$35,_xlfn.XLOOKUP($C28,Assumptions!$B$36:$B$41,Assumptions!$B$36:$H$41))</f>
        <v>0</v>
      </c>
      <c r="QYF28">
        <f t="array" ref="QYF28">_xlfn.XLOOKUP(QYF$11,Assumptions!$B$35:$H$35,_xlfn.XLOOKUP($C28,Assumptions!$B$36:$B$41,Assumptions!$B$36:$H$41))</f>
        <v>0</v>
      </c>
      <c r="QYG28">
        <f t="array" ref="QYG28">_xlfn.XLOOKUP(QYG$11,Assumptions!$B$35:$H$35,_xlfn.XLOOKUP($C28,Assumptions!$B$36:$B$41,Assumptions!$B$36:$H$41))</f>
        <v>0</v>
      </c>
      <c r="QYH28">
        <f t="array" ref="QYH28">_xlfn.XLOOKUP(QYH$11,Assumptions!$B$35:$H$35,_xlfn.XLOOKUP($C28,Assumptions!$B$36:$B$41,Assumptions!$B$36:$H$41))</f>
        <v>0</v>
      </c>
      <c r="QYI28">
        <f t="array" ref="QYI28">_xlfn.XLOOKUP(QYI$11,Assumptions!$B$35:$H$35,_xlfn.XLOOKUP($C28,Assumptions!$B$36:$B$41,Assumptions!$B$36:$H$41))</f>
        <v>0</v>
      </c>
      <c r="QYJ28">
        <f t="array" ref="QYJ28">_xlfn.XLOOKUP(QYJ$11,Assumptions!$B$35:$H$35,_xlfn.XLOOKUP($C28,Assumptions!$B$36:$B$41,Assumptions!$B$36:$H$41))</f>
        <v>0</v>
      </c>
      <c r="QYK28">
        <f t="array" ref="QYK28">_xlfn.XLOOKUP(QYK$11,Assumptions!$B$35:$H$35,_xlfn.XLOOKUP($C28,Assumptions!$B$36:$B$41,Assumptions!$B$36:$H$41))</f>
        <v>0</v>
      </c>
      <c r="QYL28">
        <f t="array" ref="QYL28">_xlfn.XLOOKUP(QYL$11,Assumptions!$B$35:$H$35,_xlfn.XLOOKUP($C28,Assumptions!$B$36:$B$41,Assumptions!$B$36:$H$41))</f>
        <v>0</v>
      </c>
      <c r="QYM28">
        <f t="array" ref="QYM28">_xlfn.XLOOKUP(QYM$11,Assumptions!$B$35:$H$35,_xlfn.XLOOKUP($C28,Assumptions!$B$36:$B$41,Assumptions!$B$36:$H$41))</f>
        <v>0</v>
      </c>
      <c r="QYN28">
        <f t="array" ref="QYN28">_xlfn.XLOOKUP(QYN$11,Assumptions!$B$35:$H$35,_xlfn.XLOOKUP($C28,Assumptions!$B$36:$B$41,Assumptions!$B$36:$H$41))</f>
        <v>0</v>
      </c>
      <c r="QYO28">
        <f t="array" ref="QYO28">_xlfn.XLOOKUP(QYO$11,Assumptions!$B$35:$H$35,_xlfn.XLOOKUP($C28,Assumptions!$B$36:$B$41,Assumptions!$B$36:$H$41))</f>
        <v>0</v>
      </c>
      <c r="QYP28">
        <f t="array" ref="QYP28">_xlfn.XLOOKUP(QYP$11,Assumptions!$B$35:$H$35,_xlfn.XLOOKUP($C28,Assumptions!$B$36:$B$41,Assumptions!$B$36:$H$41))</f>
        <v>0</v>
      </c>
      <c r="QYQ28">
        <f t="array" ref="QYQ28">_xlfn.XLOOKUP(QYQ$11,Assumptions!$B$35:$H$35,_xlfn.XLOOKUP($C28,Assumptions!$B$36:$B$41,Assumptions!$B$36:$H$41))</f>
        <v>0</v>
      </c>
      <c r="QYR28">
        <f t="array" ref="QYR28">_xlfn.XLOOKUP(QYR$11,Assumptions!$B$35:$H$35,_xlfn.XLOOKUP($C28,Assumptions!$B$36:$B$41,Assumptions!$B$36:$H$41))</f>
        <v>0</v>
      </c>
      <c r="QYS28">
        <f t="array" ref="QYS28">_xlfn.XLOOKUP(QYS$11,Assumptions!$B$35:$H$35,_xlfn.XLOOKUP($C28,Assumptions!$B$36:$B$41,Assumptions!$B$36:$H$41))</f>
        <v>0</v>
      </c>
      <c r="QYT28">
        <f t="array" ref="QYT28">_xlfn.XLOOKUP(QYT$11,Assumptions!$B$35:$H$35,_xlfn.XLOOKUP($C28,Assumptions!$B$36:$B$41,Assumptions!$B$36:$H$41))</f>
        <v>0</v>
      </c>
      <c r="QYU28">
        <f t="array" ref="QYU28">_xlfn.XLOOKUP(QYU$11,Assumptions!$B$35:$H$35,_xlfn.XLOOKUP($C28,Assumptions!$B$36:$B$41,Assumptions!$B$36:$H$41))</f>
        <v>0</v>
      </c>
      <c r="QYV28">
        <f t="array" ref="QYV28">_xlfn.XLOOKUP(QYV$11,Assumptions!$B$35:$H$35,_xlfn.XLOOKUP($C28,Assumptions!$B$36:$B$41,Assumptions!$B$36:$H$41))</f>
        <v>0</v>
      </c>
      <c r="QYW28">
        <f t="array" ref="QYW28">_xlfn.XLOOKUP(QYW$11,Assumptions!$B$35:$H$35,_xlfn.XLOOKUP($C28,Assumptions!$B$36:$B$41,Assumptions!$B$36:$H$41))</f>
        <v>0</v>
      </c>
      <c r="QYX28">
        <f t="array" ref="QYX28">_xlfn.XLOOKUP(QYX$11,Assumptions!$B$35:$H$35,_xlfn.XLOOKUP($C28,Assumptions!$B$36:$B$41,Assumptions!$B$36:$H$41))</f>
        <v>0</v>
      </c>
      <c r="QYY28">
        <f t="array" ref="QYY28">_xlfn.XLOOKUP(QYY$11,Assumptions!$B$35:$H$35,_xlfn.XLOOKUP($C28,Assumptions!$B$36:$B$41,Assumptions!$B$36:$H$41))</f>
        <v>0</v>
      </c>
      <c r="QYZ28">
        <f t="array" ref="QYZ28">_xlfn.XLOOKUP(QYZ$11,Assumptions!$B$35:$H$35,_xlfn.XLOOKUP($C28,Assumptions!$B$36:$B$41,Assumptions!$B$36:$H$41))</f>
        <v>0</v>
      </c>
      <c r="QZA28">
        <f t="array" ref="QZA28">_xlfn.XLOOKUP(QZA$11,Assumptions!$B$35:$H$35,_xlfn.XLOOKUP($C28,Assumptions!$B$36:$B$41,Assumptions!$B$36:$H$41))</f>
        <v>0</v>
      </c>
      <c r="QZB28">
        <f t="array" ref="QZB28">_xlfn.XLOOKUP(QZB$11,Assumptions!$B$35:$H$35,_xlfn.XLOOKUP($C28,Assumptions!$B$36:$B$41,Assumptions!$B$36:$H$41))</f>
        <v>0</v>
      </c>
      <c r="QZC28">
        <f t="array" ref="QZC28">_xlfn.XLOOKUP(QZC$11,Assumptions!$B$35:$H$35,_xlfn.XLOOKUP($C28,Assumptions!$B$36:$B$41,Assumptions!$B$36:$H$41))</f>
        <v>0</v>
      </c>
      <c r="QZD28">
        <f t="array" ref="QZD28">_xlfn.XLOOKUP(QZD$11,Assumptions!$B$35:$H$35,_xlfn.XLOOKUP($C28,Assumptions!$B$36:$B$41,Assumptions!$B$36:$H$41))</f>
        <v>0</v>
      </c>
      <c r="QZE28">
        <f t="array" ref="QZE28">_xlfn.XLOOKUP(QZE$11,Assumptions!$B$35:$H$35,_xlfn.XLOOKUP($C28,Assumptions!$B$36:$B$41,Assumptions!$B$36:$H$41))</f>
        <v>0</v>
      </c>
      <c r="QZF28">
        <f t="array" ref="QZF28">_xlfn.XLOOKUP(QZF$11,Assumptions!$B$35:$H$35,_xlfn.XLOOKUP($C28,Assumptions!$B$36:$B$41,Assumptions!$B$36:$H$41))</f>
        <v>0</v>
      </c>
      <c r="QZG28">
        <f t="array" ref="QZG28">_xlfn.XLOOKUP(QZG$11,Assumptions!$B$35:$H$35,_xlfn.XLOOKUP($C28,Assumptions!$B$36:$B$41,Assumptions!$B$36:$H$41))</f>
        <v>0</v>
      </c>
      <c r="QZH28">
        <f t="array" ref="QZH28">_xlfn.XLOOKUP(QZH$11,Assumptions!$B$35:$H$35,_xlfn.XLOOKUP($C28,Assumptions!$B$36:$B$41,Assumptions!$B$36:$H$41))</f>
        <v>0</v>
      </c>
      <c r="QZI28">
        <f t="array" ref="QZI28">_xlfn.XLOOKUP(QZI$11,Assumptions!$B$35:$H$35,_xlfn.XLOOKUP($C28,Assumptions!$B$36:$B$41,Assumptions!$B$36:$H$41))</f>
        <v>0</v>
      </c>
      <c r="QZJ28">
        <f t="array" ref="QZJ28">_xlfn.XLOOKUP(QZJ$11,Assumptions!$B$35:$H$35,_xlfn.XLOOKUP($C28,Assumptions!$B$36:$B$41,Assumptions!$B$36:$H$41))</f>
        <v>0</v>
      </c>
      <c r="QZK28">
        <f t="array" ref="QZK28">_xlfn.XLOOKUP(QZK$11,Assumptions!$B$35:$H$35,_xlfn.XLOOKUP($C28,Assumptions!$B$36:$B$41,Assumptions!$B$36:$H$41))</f>
        <v>0</v>
      </c>
      <c r="QZL28">
        <f t="array" ref="QZL28">_xlfn.XLOOKUP(QZL$11,Assumptions!$B$35:$H$35,_xlfn.XLOOKUP($C28,Assumptions!$B$36:$B$41,Assumptions!$B$36:$H$41))</f>
        <v>0</v>
      </c>
      <c r="QZM28">
        <f t="array" ref="QZM28">_xlfn.XLOOKUP(QZM$11,Assumptions!$B$35:$H$35,_xlfn.XLOOKUP($C28,Assumptions!$B$36:$B$41,Assumptions!$B$36:$H$41))</f>
        <v>0</v>
      </c>
      <c r="QZN28">
        <f t="array" ref="QZN28">_xlfn.XLOOKUP(QZN$11,Assumptions!$B$35:$H$35,_xlfn.XLOOKUP($C28,Assumptions!$B$36:$B$41,Assumptions!$B$36:$H$41))</f>
        <v>0</v>
      </c>
      <c r="QZO28">
        <f t="array" ref="QZO28">_xlfn.XLOOKUP(QZO$11,Assumptions!$B$35:$H$35,_xlfn.XLOOKUP($C28,Assumptions!$B$36:$B$41,Assumptions!$B$36:$H$41))</f>
        <v>0</v>
      </c>
      <c r="QZP28">
        <f t="array" ref="QZP28">_xlfn.XLOOKUP(QZP$11,Assumptions!$B$35:$H$35,_xlfn.XLOOKUP($C28,Assumptions!$B$36:$B$41,Assumptions!$B$36:$H$41))</f>
        <v>0</v>
      </c>
      <c r="QZQ28">
        <f t="array" ref="QZQ28">_xlfn.XLOOKUP(QZQ$11,Assumptions!$B$35:$H$35,_xlfn.XLOOKUP($C28,Assumptions!$B$36:$B$41,Assumptions!$B$36:$H$41))</f>
        <v>0</v>
      </c>
      <c r="QZR28">
        <f t="array" ref="QZR28">_xlfn.XLOOKUP(QZR$11,Assumptions!$B$35:$H$35,_xlfn.XLOOKUP($C28,Assumptions!$B$36:$B$41,Assumptions!$B$36:$H$41))</f>
        <v>0</v>
      </c>
      <c r="QZS28">
        <f t="array" ref="QZS28">_xlfn.XLOOKUP(QZS$11,Assumptions!$B$35:$H$35,_xlfn.XLOOKUP($C28,Assumptions!$B$36:$B$41,Assumptions!$B$36:$H$41))</f>
        <v>0</v>
      </c>
      <c r="QZT28">
        <f t="array" ref="QZT28">_xlfn.XLOOKUP(QZT$11,Assumptions!$B$35:$H$35,_xlfn.XLOOKUP($C28,Assumptions!$B$36:$B$41,Assumptions!$B$36:$H$41))</f>
        <v>0</v>
      </c>
      <c r="QZU28">
        <f t="array" ref="QZU28">_xlfn.XLOOKUP(QZU$11,Assumptions!$B$35:$H$35,_xlfn.XLOOKUP($C28,Assumptions!$B$36:$B$41,Assumptions!$B$36:$H$41))</f>
        <v>0</v>
      </c>
      <c r="QZV28">
        <f t="array" ref="QZV28">_xlfn.XLOOKUP(QZV$11,Assumptions!$B$35:$H$35,_xlfn.XLOOKUP($C28,Assumptions!$B$36:$B$41,Assumptions!$B$36:$H$41))</f>
        <v>0</v>
      </c>
      <c r="QZW28">
        <f t="array" ref="QZW28">_xlfn.XLOOKUP(QZW$11,Assumptions!$B$35:$H$35,_xlfn.XLOOKUP($C28,Assumptions!$B$36:$B$41,Assumptions!$B$36:$H$41))</f>
        <v>0</v>
      </c>
      <c r="QZX28">
        <f t="array" ref="QZX28">_xlfn.XLOOKUP(QZX$11,Assumptions!$B$35:$H$35,_xlfn.XLOOKUP($C28,Assumptions!$B$36:$B$41,Assumptions!$B$36:$H$41))</f>
        <v>0</v>
      </c>
      <c r="QZY28">
        <f t="array" ref="QZY28">_xlfn.XLOOKUP(QZY$11,Assumptions!$B$35:$H$35,_xlfn.XLOOKUP($C28,Assumptions!$B$36:$B$41,Assumptions!$B$36:$H$41))</f>
        <v>0</v>
      </c>
      <c r="QZZ28">
        <f t="array" ref="QZZ28">_xlfn.XLOOKUP(QZZ$11,Assumptions!$B$35:$H$35,_xlfn.XLOOKUP($C28,Assumptions!$B$36:$B$41,Assumptions!$B$36:$H$41))</f>
        <v>0</v>
      </c>
      <c r="RAA28">
        <f t="array" ref="RAA28">_xlfn.XLOOKUP(RAA$11,Assumptions!$B$35:$H$35,_xlfn.XLOOKUP($C28,Assumptions!$B$36:$B$41,Assumptions!$B$36:$H$41))</f>
        <v>0</v>
      </c>
      <c r="RAB28">
        <f t="array" ref="RAB28">_xlfn.XLOOKUP(RAB$11,Assumptions!$B$35:$H$35,_xlfn.XLOOKUP($C28,Assumptions!$B$36:$B$41,Assumptions!$B$36:$H$41))</f>
        <v>0</v>
      </c>
      <c r="RAC28">
        <f t="array" ref="RAC28">_xlfn.XLOOKUP(RAC$11,Assumptions!$B$35:$H$35,_xlfn.XLOOKUP($C28,Assumptions!$B$36:$B$41,Assumptions!$B$36:$H$41))</f>
        <v>0</v>
      </c>
      <c r="RAD28">
        <f t="array" ref="RAD28">_xlfn.XLOOKUP(RAD$11,Assumptions!$B$35:$H$35,_xlfn.XLOOKUP($C28,Assumptions!$B$36:$B$41,Assumptions!$B$36:$H$41))</f>
        <v>0</v>
      </c>
      <c r="RAE28">
        <f t="array" ref="RAE28">_xlfn.XLOOKUP(RAE$11,Assumptions!$B$35:$H$35,_xlfn.XLOOKUP($C28,Assumptions!$B$36:$B$41,Assumptions!$B$36:$H$41))</f>
        <v>0</v>
      </c>
      <c r="RAF28">
        <f t="array" ref="RAF28">_xlfn.XLOOKUP(RAF$11,Assumptions!$B$35:$H$35,_xlfn.XLOOKUP($C28,Assumptions!$B$36:$B$41,Assumptions!$B$36:$H$41))</f>
        <v>0</v>
      </c>
      <c r="RAG28">
        <f t="array" ref="RAG28">_xlfn.XLOOKUP(RAG$11,Assumptions!$B$35:$H$35,_xlfn.XLOOKUP($C28,Assumptions!$B$36:$B$41,Assumptions!$B$36:$H$41))</f>
        <v>0</v>
      </c>
      <c r="RAH28">
        <f t="array" ref="RAH28">_xlfn.XLOOKUP(RAH$11,Assumptions!$B$35:$H$35,_xlfn.XLOOKUP($C28,Assumptions!$B$36:$B$41,Assumptions!$B$36:$H$41))</f>
        <v>0</v>
      </c>
      <c r="RAI28">
        <f t="array" ref="RAI28">_xlfn.XLOOKUP(RAI$11,Assumptions!$B$35:$H$35,_xlfn.XLOOKUP($C28,Assumptions!$B$36:$B$41,Assumptions!$B$36:$H$41))</f>
        <v>0</v>
      </c>
      <c r="RAJ28">
        <f t="array" ref="RAJ28">_xlfn.XLOOKUP(RAJ$11,Assumptions!$B$35:$H$35,_xlfn.XLOOKUP($C28,Assumptions!$B$36:$B$41,Assumptions!$B$36:$H$41))</f>
        <v>0</v>
      </c>
      <c r="RAK28">
        <f t="array" ref="RAK28">_xlfn.XLOOKUP(RAK$11,Assumptions!$B$35:$H$35,_xlfn.XLOOKUP($C28,Assumptions!$B$36:$B$41,Assumptions!$B$36:$H$41))</f>
        <v>0</v>
      </c>
      <c r="RAL28">
        <f t="array" ref="RAL28">_xlfn.XLOOKUP(RAL$11,Assumptions!$B$35:$H$35,_xlfn.XLOOKUP($C28,Assumptions!$B$36:$B$41,Assumptions!$B$36:$H$41))</f>
        <v>0</v>
      </c>
      <c r="RAM28">
        <f t="array" ref="RAM28">_xlfn.XLOOKUP(RAM$11,Assumptions!$B$35:$H$35,_xlfn.XLOOKUP($C28,Assumptions!$B$36:$B$41,Assumptions!$B$36:$H$41))</f>
        <v>0</v>
      </c>
      <c r="RAN28">
        <f t="array" ref="RAN28">_xlfn.XLOOKUP(RAN$11,Assumptions!$B$35:$H$35,_xlfn.XLOOKUP($C28,Assumptions!$B$36:$B$41,Assumptions!$B$36:$H$41))</f>
        <v>0</v>
      </c>
      <c r="RAO28">
        <f t="array" ref="RAO28">_xlfn.XLOOKUP(RAO$11,Assumptions!$B$35:$H$35,_xlfn.XLOOKUP($C28,Assumptions!$B$36:$B$41,Assumptions!$B$36:$H$41))</f>
        <v>0</v>
      </c>
      <c r="RAP28">
        <f t="array" ref="RAP28">_xlfn.XLOOKUP(RAP$11,Assumptions!$B$35:$H$35,_xlfn.XLOOKUP($C28,Assumptions!$B$36:$B$41,Assumptions!$B$36:$H$41))</f>
        <v>0</v>
      </c>
      <c r="RAQ28">
        <f t="array" ref="RAQ28">_xlfn.XLOOKUP(RAQ$11,Assumptions!$B$35:$H$35,_xlfn.XLOOKUP($C28,Assumptions!$B$36:$B$41,Assumptions!$B$36:$H$41))</f>
        <v>0</v>
      </c>
      <c r="RAR28">
        <f t="array" ref="RAR28">_xlfn.XLOOKUP(RAR$11,Assumptions!$B$35:$H$35,_xlfn.XLOOKUP($C28,Assumptions!$B$36:$B$41,Assumptions!$B$36:$H$41))</f>
        <v>0</v>
      </c>
      <c r="RAS28">
        <f t="array" ref="RAS28">_xlfn.XLOOKUP(RAS$11,Assumptions!$B$35:$H$35,_xlfn.XLOOKUP($C28,Assumptions!$B$36:$B$41,Assumptions!$B$36:$H$41))</f>
        <v>0</v>
      </c>
      <c r="RAT28">
        <f t="array" ref="RAT28">_xlfn.XLOOKUP(RAT$11,Assumptions!$B$35:$H$35,_xlfn.XLOOKUP($C28,Assumptions!$B$36:$B$41,Assumptions!$B$36:$H$41))</f>
        <v>0</v>
      </c>
      <c r="RAU28">
        <f t="array" ref="RAU28">_xlfn.XLOOKUP(RAU$11,Assumptions!$B$35:$H$35,_xlfn.XLOOKUP($C28,Assumptions!$B$36:$B$41,Assumptions!$B$36:$H$41))</f>
        <v>0</v>
      </c>
      <c r="RAV28">
        <f t="array" ref="RAV28">_xlfn.XLOOKUP(RAV$11,Assumptions!$B$35:$H$35,_xlfn.XLOOKUP($C28,Assumptions!$B$36:$B$41,Assumptions!$B$36:$H$41))</f>
        <v>0</v>
      </c>
      <c r="RAW28">
        <f t="array" ref="RAW28">_xlfn.XLOOKUP(RAW$11,Assumptions!$B$35:$H$35,_xlfn.XLOOKUP($C28,Assumptions!$B$36:$B$41,Assumptions!$B$36:$H$41))</f>
        <v>0</v>
      </c>
      <c r="RAX28">
        <f t="array" ref="RAX28">_xlfn.XLOOKUP(RAX$11,Assumptions!$B$35:$H$35,_xlfn.XLOOKUP($C28,Assumptions!$B$36:$B$41,Assumptions!$B$36:$H$41))</f>
        <v>0</v>
      </c>
      <c r="RAY28">
        <f t="array" ref="RAY28">_xlfn.XLOOKUP(RAY$11,Assumptions!$B$35:$H$35,_xlfn.XLOOKUP($C28,Assumptions!$B$36:$B$41,Assumptions!$B$36:$H$41))</f>
        <v>0</v>
      </c>
      <c r="RAZ28">
        <f t="array" ref="RAZ28">_xlfn.XLOOKUP(RAZ$11,Assumptions!$B$35:$H$35,_xlfn.XLOOKUP($C28,Assumptions!$B$36:$B$41,Assumptions!$B$36:$H$41))</f>
        <v>0</v>
      </c>
      <c r="RBA28">
        <f t="array" ref="RBA28">_xlfn.XLOOKUP(RBA$11,Assumptions!$B$35:$H$35,_xlfn.XLOOKUP($C28,Assumptions!$B$36:$B$41,Assumptions!$B$36:$H$41))</f>
        <v>0</v>
      </c>
      <c r="RBB28">
        <f t="array" ref="RBB28">_xlfn.XLOOKUP(RBB$11,Assumptions!$B$35:$H$35,_xlfn.XLOOKUP($C28,Assumptions!$B$36:$B$41,Assumptions!$B$36:$H$41))</f>
        <v>0</v>
      </c>
      <c r="RBC28">
        <f t="array" ref="RBC28">_xlfn.XLOOKUP(RBC$11,Assumptions!$B$35:$H$35,_xlfn.XLOOKUP($C28,Assumptions!$B$36:$B$41,Assumptions!$B$36:$H$41))</f>
        <v>0</v>
      </c>
      <c r="RBD28">
        <f t="array" ref="RBD28">_xlfn.XLOOKUP(RBD$11,Assumptions!$B$35:$H$35,_xlfn.XLOOKUP($C28,Assumptions!$B$36:$B$41,Assumptions!$B$36:$H$41))</f>
        <v>0</v>
      </c>
      <c r="RBE28">
        <f t="array" ref="RBE28">_xlfn.XLOOKUP(RBE$11,Assumptions!$B$35:$H$35,_xlfn.XLOOKUP($C28,Assumptions!$B$36:$B$41,Assumptions!$B$36:$H$41))</f>
        <v>0</v>
      </c>
      <c r="RBF28">
        <f t="array" ref="RBF28">_xlfn.XLOOKUP(RBF$11,Assumptions!$B$35:$H$35,_xlfn.XLOOKUP($C28,Assumptions!$B$36:$B$41,Assumptions!$B$36:$H$41))</f>
        <v>0</v>
      </c>
      <c r="RBG28">
        <f t="array" ref="RBG28">_xlfn.XLOOKUP(RBG$11,Assumptions!$B$35:$H$35,_xlfn.XLOOKUP($C28,Assumptions!$B$36:$B$41,Assumptions!$B$36:$H$41))</f>
        <v>0</v>
      </c>
      <c r="RBH28">
        <f t="array" ref="RBH28">_xlfn.XLOOKUP(RBH$11,Assumptions!$B$35:$H$35,_xlfn.XLOOKUP($C28,Assumptions!$B$36:$B$41,Assumptions!$B$36:$H$41))</f>
        <v>0</v>
      </c>
      <c r="RBI28">
        <f t="array" ref="RBI28">_xlfn.XLOOKUP(RBI$11,Assumptions!$B$35:$H$35,_xlfn.XLOOKUP($C28,Assumptions!$B$36:$B$41,Assumptions!$B$36:$H$41))</f>
        <v>0</v>
      </c>
      <c r="RBJ28">
        <f t="array" ref="RBJ28">_xlfn.XLOOKUP(RBJ$11,Assumptions!$B$35:$H$35,_xlfn.XLOOKUP($C28,Assumptions!$B$36:$B$41,Assumptions!$B$36:$H$41))</f>
        <v>0</v>
      </c>
      <c r="RBK28">
        <f t="array" ref="RBK28">_xlfn.XLOOKUP(RBK$11,Assumptions!$B$35:$H$35,_xlfn.XLOOKUP($C28,Assumptions!$B$36:$B$41,Assumptions!$B$36:$H$41))</f>
        <v>0</v>
      </c>
      <c r="RBL28">
        <f t="array" ref="RBL28">_xlfn.XLOOKUP(RBL$11,Assumptions!$B$35:$H$35,_xlfn.XLOOKUP($C28,Assumptions!$B$36:$B$41,Assumptions!$B$36:$H$41))</f>
        <v>0</v>
      </c>
      <c r="RBM28">
        <f t="array" ref="RBM28">_xlfn.XLOOKUP(RBM$11,Assumptions!$B$35:$H$35,_xlfn.XLOOKUP($C28,Assumptions!$B$36:$B$41,Assumptions!$B$36:$H$41))</f>
        <v>0</v>
      </c>
      <c r="RBN28">
        <f t="array" ref="RBN28">_xlfn.XLOOKUP(RBN$11,Assumptions!$B$35:$H$35,_xlfn.XLOOKUP($C28,Assumptions!$B$36:$B$41,Assumptions!$B$36:$H$41))</f>
        <v>0</v>
      </c>
      <c r="RBO28">
        <f t="array" ref="RBO28">_xlfn.XLOOKUP(RBO$11,Assumptions!$B$35:$H$35,_xlfn.XLOOKUP($C28,Assumptions!$B$36:$B$41,Assumptions!$B$36:$H$41))</f>
        <v>0</v>
      </c>
      <c r="RBP28">
        <f t="array" ref="RBP28">_xlfn.XLOOKUP(RBP$11,Assumptions!$B$35:$H$35,_xlfn.XLOOKUP($C28,Assumptions!$B$36:$B$41,Assumptions!$B$36:$H$41))</f>
        <v>0</v>
      </c>
      <c r="RBQ28">
        <f t="array" ref="RBQ28">_xlfn.XLOOKUP(RBQ$11,Assumptions!$B$35:$H$35,_xlfn.XLOOKUP($C28,Assumptions!$B$36:$B$41,Assumptions!$B$36:$H$41))</f>
        <v>0</v>
      </c>
      <c r="RBR28">
        <f t="array" ref="RBR28">_xlfn.XLOOKUP(RBR$11,Assumptions!$B$35:$H$35,_xlfn.XLOOKUP($C28,Assumptions!$B$36:$B$41,Assumptions!$B$36:$H$41))</f>
        <v>0</v>
      </c>
      <c r="RBS28">
        <f t="array" ref="RBS28">_xlfn.XLOOKUP(RBS$11,Assumptions!$B$35:$H$35,_xlfn.XLOOKUP($C28,Assumptions!$B$36:$B$41,Assumptions!$B$36:$H$41))</f>
        <v>0</v>
      </c>
      <c r="RBT28">
        <f t="array" ref="RBT28">_xlfn.XLOOKUP(RBT$11,Assumptions!$B$35:$H$35,_xlfn.XLOOKUP($C28,Assumptions!$B$36:$B$41,Assumptions!$B$36:$H$41))</f>
        <v>0</v>
      </c>
      <c r="RBU28">
        <f t="array" ref="RBU28">_xlfn.XLOOKUP(RBU$11,Assumptions!$B$35:$H$35,_xlfn.XLOOKUP($C28,Assumptions!$B$36:$B$41,Assumptions!$B$36:$H$41))</f>
        <v>0</v>
      </c>
      <c r="RBV28">
        <f t="array" ref="RBV28">_xlfn.XLOOKUP(RBV$11,Assumptions!$B$35:$H$35,_xlfn.XLOOKUP($C28,Assumptions!$B$36:$B$41,Assumptions!$B$36:$H$41))</f>
        <v>0</v>
      </c>
      <c r="RBW28">
        <f t="array" ref="RBW28">_xlfn.XLOOKUP(RBW$11,Assumptions!$B$35:$H$35,_xlfn.XLOOKUP($C28,Assumptions!$B$36:$B$41,Assumptions!$B$36:$H$41))</f>
        <v>0</v>
      </c>
      <c r="RBX28">
        <f t="array" ref="RBX28">_xlfn.XLOOKUP(RBX$11,Assumptions!$B$35:$H$35,_xlfn.XLOOKUP($C28,Assumptions!$B$36:$B$41,Assumptions!$B$36:$H$41))</f>
        <v>0</v>
      </c>
      <c r="RBY28">
        <f t="array" ref="RBY28">_xlfn.XLOOKUP(RBY$11,Assumptions!$B$35:$H$35,_xlfn.XLOOKUP($C28,Assumptions!$B$36:$B$41,Assumptions!$B$36:$H$41))</f>
        <v>0</v>
      </c>
      <c r="RBZ28">
        <f t="array" ref="RBZ28">_xlfn.XLOOKUP(RBZ$11,Assumptions!$B$35:$H$35,_xlfn.XLOOKUP($C28,Assumptions!$B$36:$B$41,Assumptions!$B$36:$H$41))</f>
        <v>0</v>
      </c>
      <c r="RCA28">
        <f t="array" ref="RCA28">_xlfn.XLOOKUP(RCA$11,Assumptions!$B$35:$H$35,_xlfn.XLOOKUP($C28,Assumptions!$B$36:$B$41,Assumptions!$B$36:$H$41))</f>
        <v>0</v>
      </c>
      <c r="RCB28">
        <f t="array" ref="RCB28">_xlfn.XLOOKUP(RCB$11,Assumptions!$B$35:$H$35,_xlfn.XLOOKUP($C28,Assumptions!$B$36:$B$41,Assumptions!$B$36:$H$41))</f>
        <v>0</v>
      </c>
      <c r="RCC28">
        <f t="array" ref="RCC28">_xlfn.XLOOKUP(RCC$11,Assumptions!$B$35:$H$35,_xlfn.XLOOKUP($C28,Assumptions!$B$36:$B$41,Assumptions!$B$36:$H$41))</f>
        <v>0</v>
      </c>
      <c r="RCD28">
        <f t="array" ref="RCD28">_xlfn.XLOOKUP(RCD$11,Assumptions!$B$35:$H$35,_xlfn.XLOOKUP($C28,Assumptions!$B$36:$B$41,Assumptions!$B$36:$H$41))</f>
        <v>0</v>
      </c>
      <c r="RCE28">
        <f t="array" ref="RCE28">_xlfn.XLOOKUP(RCE$11,Assumptions!$B$35:$H$35,_xlfn.XLOOKUP($C28,Assumptions!$B$36:$B$41,Assumptions!$B$36:$H$41))</f>
        <v>0</v>
      </c>
      <c r="RCF28">
        <f t="array" ref="RCF28">_xlfn.XLOOKUP(RCF$11,Assumptions!$B$35:$H$35,_xlfn.XLOOKUP($C28,Assumptions!$B$36:$B$41,Assumptions!$B$36:$H$41))</f>
        <v>0</v>
      </c>
      <c r="RCG28">
        <f t="array" ref="RCG28">_xlfn.XLOOKUP(RCG$11,Assumptions!$B$35:$H$35,_xlfn.XLOOKUP($C28,Assumptions!$B$36:$B$41,Assumptions!$B$36:$H$41))</f>
        <v>0</v>
      </c>
      <c r="RCH28">
        <f t="array" ref="RCH28">_xlfn.XLOOKUP(RCH$11,Assumptions!$B$35:$H$35,_xlfn.XLOOKUP($C28,Assumptions!$B$36:$B$41,Assumptions!$B$36:$H$41))</f>
        <v>0</v>
      </c>
      <c r="RCI28">
        <f t="array" ref="RCI28">_xlfn.XLOOKUP(RCI$11,Assumptions!$B$35:$H$35,_xlfn.XLOOKUP($C28,Assumptions!$B$36:$B$41,Assumptions!$B$36:$H$41))</f>
        <v>0</v>
      </c>
      <c r="RCJ28">
        <f t="array" ref="RCJ28">_xlfn.XLOOKUP(RCJ$11,Assumptions!$B$35:$H$35,_xlfn.XLOOKUP($C28,Assumptions!$B$36:$B$41,Assumptions!$B$36:$H$41))</f>
        <v>0</v>
      </c>
      <c r="RCK28">
        <f t="array" ref="RCK28">_xlfn.XLOOKUP(RCK$11,Assumptions!$B$35:$H$35,_xlfn.XLOOKUP($C28,Assumptions!$B$36:$B$41,Assumptions!$B$36:$H$41))</f>
        <v>0</v>
      </c>
      <c r="RCL28">
        <f t="array" ref="RCL28">_xlfn.XLOOKUP(RCL$11,Assumptions!$B$35:$H$35,_xlfn.XLOOKUP($C28,Assumptions!$B$36:$B$41,Assumptions!$B$36:$H$41))</f>
        <v>0</v>
      </c>
      <c r="RCM28">
        <f t="array" ref="RCM28">_xlfn.XLOOKUP(RCM$11,Assumptions!$B$35:$H$35,_xlfn.XLOOKUP($C28,Assumptions!$B$36:$B$41,Assumptions!$B$36:$H$41))</f>
        <v>0</v>
      </c>
      <c r="RCN28">
        <f t="array" ref="RCN28">_xlfn.XLOOKUP(RCN$11,Assumptions!$B$35:$H$35,_xlfn.XLOOKUP($C28,Assumptions!$B$36:$B$41,Assumptions!$B$36:$H$41))</f>
        <v>0</v>
      </c>
      <c r="RCO28">
        <f t="array" ref="RCO28">_xlfn.XLOOKUP(RCO$11,Assumptions!$B$35:$H$35,_xlfn.XLOOKUP($C28,Assumptions!$B$36:$B$41,Assumptions!$B$36:$H$41))</f>
        <v>0</v>
      </c>
      <c r="RCP28">
        <f t="array" ref="RCP28">_xlfn.XLOOKUP(RCP$11,Assumptions!$B$35:$H$35,_xlfn.XLOOKUP($C28,Assumptions!$B$36:$B$41,Assumptions!$B$36:$H$41))</f>
        <v>0</v>
      </c>
      <c r="RCQ28">
        <f t="array" ref="RCQ28">_xlfn.XLOOKUP(RCQ$11,Assumptions!$B$35:$H$35,_xlfn.XLOOKUP($C28,Assumptions!$B$36:$B$41,Assumptions!$B$36:$H$41))</f>
        <v>0</v>
      </c>
      <c r="RCR28">
        <f t="array" ref="RCR28">_xlfn.XLOOKUP(RCR$11,Assumptions!$B$35:$H$35,_xlfn.XLOOKUP($C28,Assumptions!$B$36:$B$41,Assumptions!$B$36:$H$41))</f>
        <v>0</v>
      </c>
      <c r="RCS28">
        <f t="array" ref="RCS28">_xlfn.XLOOKUP(RCS$11,Assumptions!$B$35:$H$35,_xlfn.XLOOKUP($C28,Assumptions!$B$36:$B$41,Assumptions!$B$36:$H$41))</f>
        <v>0</v>
      </c>
      <c r="RCT28">
        <f t="array" ref="RCT28">_xlfn.XLOOKUP(RCT$11,Assumptions!$B$35:$H$35,_xlfn.XLOOKUP($C28,Assumptions!$B$36:$B$41,Assumptions!$B$36:$H$41))</f>
        <v>0</v>
      </c>
      <c r="RCU28">
        <f t="array" ref="RCU28">_xlfn.XLOOKUP(RCU$11,Assumptions!$B$35:$H$35,_xlfn.XLOOKUP($C28,Assumptions!$B$36:$B$41,Assumptions!$B$36:$H$41))</f>
        <v>0</v>
      </c>
      <c r="RCV28">
        <f t="array" ref="RCV28">_xlfn.XLOOKUP(RCV$11,Assumptions!$B$35:$H$35,_xlfn.XLOOKUP($C28,Assumptions!$B$36:$B$41,Assumptions!$B$36:$H$41))</f>
        <v>0</v>
      </c>
      <c r="RCW28">
        <f t="array" ref="RCW28">_xlfn.XLOOKUP(RCW$11,Assumptions!$B$35:$H$35,_xlfn.XLOOKUP($C28,Assumptions!$B$36:$B$41,Assumptions!$B$36:$H$41))</f>
        <v>0</v>
      </c>
      <c r="RCX28">
        <f t="array" ref="RCX28">_xlfn.XLOOKUP(RCX$11,Assumptions!$B$35:$H$35,_xlfn.XLOOKUP($C28,Assumptions!$B$36:$B$41,Assumptions!$B$36:$H$41))</f>
        <v>0</v>
      </c>
      <c r="RCY28">
        <f t="array" ref="RCY28">_xlfn.XLOOKUP(RCY$11,Assumptions!$B$35:$H$35,_xlfn.XLOOKUP($C28,Assumptions!$B$36:$B$41,Assumptions!$B$36:$H$41))</f>
        <v>0</v>
      </c>
      <c r="RCZ28">
        <f t="array" ref="RCZ28">_xlfn.XLOOKUP(RCZ$11,Assumptions!$B$35:$H$35,_xlfn.XLOOKUP($C28,Assumptions!$B$36:$B$41,Assumptions!$B$36:$H$41))</f>
        <v>0</v>
      </c>
      <c r="RDA28">
        <f t="array" ref="RDA28">_xlfn.XLOOKUP(RDA$11,Assumptions!$B$35:$H$35,_xlfn.XLOOKUP($C28,Assumptions!$B$36:$B$41,Assumptions!$B$36:$H$41))</f>
        <v>0</v>
      </c>
      <c r="RDB28">
        <f t="array" ref="RDB28">_xlfn.XLOOKUP(RDB$11,Assumptions!$B$35:$H$35,_xlfn.XLOOKUP($C28,Assumptions!$B$36:$B$41,Assumptions!$B$36:$H$41))</f>
        <v>0</v>
      </c>
      <c r="RDC28">
        <f t="array" ref="RDC28">_xlfn.XLOOKUP(RDC$11,Assumptions!$B$35:$H$35,_xlfn.XLOOKUP($C28,Assumptions!$B$36:$B$41,Assumptions!$B$36:$H$41))</f>
        <v>0</v>
      </c>
      <c r="RDD28">
        <f t="array" ref="RDD28">_xlfn.XLOOKUP(RDD$11,Assumptions!$B$35:$H$35,_xlfn.XLOOKUP($C28,Assumptions!$B$36:$B$41,Assumptions!$B$36:$H$41))</f>
        <v>0</v>
      </c>
      <c r="RDE28">
        <f t="array" ref="RDE28">_xlfn.XLOOKUP(RDE$11,Assumptions!$B$35:$H$35,_xlfn.XLOOKUP($C28,Assumptions!$B$36:$B$41,Assumptions!$B$36:$H$41))</f>
        <v>0</v>
      </c>
      <c r="RDF28">
        <f t="array" ref="RDF28">_xlfn.XLOOKUP(RDF$11,Assumptions!$B$35:$H$35,_xlfn.XLOOKUP($C28,Assumptions!$B$36:$B$41,Assumptions!$B$36:$H$41))</f>
        <v>0</v>
      </c>
      <c r="RDG28">
        <f t="array" ref="RDG28">_xlfn.XLOOKUP(RDG$11,Assumptions!$B$35:$H$35,_xlfn.XLOOKUP($C28,Assumptions!$B$36:$B$41,Assumptions!$B$36:$H$41))</f>
        <v>0</v>
      </c>
      <c r="RDH28">
        <f t="array" ref="RDH28">_xlfn.XLOOKUP(RDH$11,Assumptions!$B$35:$H$35,_xlfn.XLOOKUP($C28,Assumptions!$B$36:$B$41,Assumptions!$B$36:$H$41))</f>
        <v>0</v>
      </c>
      <c r="RDI28">
        <f t="array" ref="RDI28">_xlfn.XLOOKUP(RDI$11,Assumptions!$B$35:$H$35,_xlfn.XLOOKUP($C28,Assumptions!$B$36:$B$41,Assumptions!$B$36:$H$41))</f>
        <v>0</v>
      </c>
      <c r="RDJ28">
        <f t="array" ref="RDJ28">_xlfn.XLOOKUP(RDJ$11,Assumptions!$B$35:$H$35,_xlfn.XLOOKUP($C28,Assumptions!$B$36:$B$41,Assumptions!$B$36:$H$41))</f>
        <v>0</v>
      </c>
      <c r="RDK28">
        <f t="array" ref="RDK28">_xlfn.XLOOKUP(RDK$11,Assumptions!$B$35:$H$35,_xlfn.XLOOKUP($C28,Assumptions!$B$36:$B$41,Assumptions!$B$36:$H$41))</f>
        <v>0</v>
      </c>
      <c r="RDL28">
        <f t="array" ref="RDL28">_xlfn.XLOOKUP(RDL$11,Assumptions!$B$35:$H$35,_xlfn.XLOOKUP($C28,Assumptions!$B$36:$B$41,Assumptions!$B$36:$H$41))</f>
        <v>0</v>
      </c>
      <c r="RDM28">
        <f t="array" ref="RDM28">_xlfn.XLOOKUP(RDM$11,Assumptions!$B$35:$H$35,_xlfn.XLOOKUP($C28,Assumptions!$B$36:$B$41,Assumptions!$B$36:$H$41))</f>
        <v>0</v>
      </c>
      <c r="RDN28">
        <f t="array" ref="RDN28">_xlfn.XLOOKUP(RDN$11,Assumptions!$B$35:$H$35,_xlfn.XLOOKUP($C28,Assumptions!$B$36:$B$41,Assumptions!$B$36:$H$41))</f>
        <v>0</v>
      </c>
      <c r="RDO28">
        <f t="array" ref="RDO28">_xlfn.XLOOKUP(RDO$11,Assumptions!$B$35:$H$35,_xlfn.XLOOKUP($C28,Assumptions!$B$36:$B$41,Assumptions!$B$36:$H$41))</f>
        <v>0</v>
      </c>
      <c r="RDP28">
        <f t="array" ref="RDP28">_xlfn.XLOOKUP(RDP$11,Assumptions!$B$35:$H$35,_xlfn.XLOOKUP($C28,Assumptions!$B$36:$B$41,Assumptions!$B$36:$H$41))</f>
        <v>0</v>
      </c>
      <c r="RDQ28">
        <f t="array" ref="RDQ28">_xlfn.XLOOKUP(RDQ$11,Assumptions!$B$35:$H$35,_xlfn.XLOOKUP($C28,Assumptions!$B$36:$B$41,Assumptions!$B$36:$H$41))</f>
        <v>0</v>
      </c>
      <c r="RDR28">
        <f t="array" ref="RDR28">_xlfn.XLOOKUP(RDR$11,Assumptions!$B$35:$H$35,_xlfn.XLOOKUP($C28,Assumptions!$B$36:$B$41,Assumptions!$B$36:$H$41))</f>
        <v>0</v>
      </c>
      <c r="RDS28">
        <f t="array" ref="RDS28">_xlfn.XLOOKUP(RDS$11,Assumptions!$B$35:$H$35,_xlfn.XLOOKUP($C28,Assumptions!$B$36:$B$41,Assumptions!$B$36:$H$41))</f>
        <v>0</v>
      </c>
      <c r="RDT28">
        <f t="array" ref="RDT28">_xlfn.XLOOKUP(RDT$11,Assumptions!$B$35:$H$35,_xlfn.XLOOKUP($C28,Assumptions!$B$36:$B$41,Assumptions!$B$36:$H$41))</f>
        <v>0</v>
      </c>
      <c r="RDU28">
        <f t="array" ref="RDU28">_xlfn.XLOOKUP(RDU$11,Assumptions!$B$35:$H$35,_xlfn.XLOOKUP($C28,Assumptions!$B$36:$B$41,Assumptions!$B$36:$H$41))</f>
        <v>0</v>
      </c>
      <c r="RDV28">
        <f t="array" ref="RDV28">_xlfn.XLOOKUP(RDV$11,Assumptions!$B$35:$H$35,_xlfn.XLOOKUP($C28,Assumptions!$B$36:$B$41,Assumptions!$B$36:$H$41))</f>
        <v>0</v>
      </c>
      <c r="RDW28">
        <f t="array" ref="RDW28">_xlfn.XLOOKUP(RDW$11,Assumptions!$B$35:$H$35,_xlfn.XLOOKUP($C28,Assumptions!$B$36:$B$41,Assumptions!$B$36:$H$41))</f>
        <v>0</v>
      </c>
      <c r="RDX28">
        <f t="array" ref="RDX28">_xlfn.XLOOKUP(RDX$11,Assumptions!$B$35:$H$35,_xlfn.XLOOKUP($C28,Assumptions!$B$36:$B$41,Assumptions!$B$36:$H$41))</f>
        <v>0</v>
      </c>
      <c r="RDY28">
        <f t="array" ref="RDY28">_xlfn.XLOOKUP(RDY$11,Assumptions!$B$35:$H$35,_xlfn.XLOOKUP($C28,Assumptions!$B$36:$B$41,Assumptions!$B$36:$H$41))</f>
        <v>0</v>
      </c>
      <c r="RDZ28">
        <f t="array" ref="RDZ28">_xlfn.XLOOKUP(RDZ$11,Assumptions!$B$35:$H$35,_xlfn.XLOOKUP($C28,Assumptions!$B$36:$B$41,Assumptions!$B$36:$H$41))</f>
        <v>0</v>
      </c>
      <c r="REA28">
        <f t="array" ref="REA28">_xlfn.XLOOKUP(REA$11,Assumptions!$B$35:$H$35,_xlfn.XLOOKUP($C28,Assumptions!$B$36:$B$41,Assumptions!$B$36:$H$41))</f>
        <v>0</v>
      </c>
      <c r="REB28">
        <f t="array" ref="REB28">_xlfn.XLOOKUP(REB$11,Assumptions!$B$35:$H$35,_xlfn.XLOOKUP($C28,Assumptions!$B$36:$B$41,Assumptions!$B$36:$H$41))</f>
        <v>0</v>
      </c>
      <c r="REC28">
        <f t="array" ref="REC28">_xlfn.XLOOKUP(REC$11,Assumptions!$B$35:$H$35,_xlfn.XLOOKUP($C28,Assumptions!$B$36:$B$41,Assumptions!$B$36:$H$41))</f>
        <v>0</v>
      </c>
      <c r="RED28">
        <f t="array" ref="RED28">_xlfn.XLOOKUP(RED$11,Assumptions!$B$35:$H$35,_xlfn.XLOOKUP($C28,Assumptions!$B$36:$B$41,Assumptions!$B$36:$H$41))</f>
        <v>0</v>
      </c>
      <c r="REE28">
        <f t="array" ref="REE28">_xlfn.XLOOKUP(REE$11,Assumptions!$B$35:$H$35,_xlfn.XLOOKUP($C28,Assumptions!$B$36:$B$41,Assumptions!$B$36:$H$41))</f>
        <v>0</v>
      </c>
      <c r="REF28">
        <f t="array" ref="REF28">_xlfn.XLOOKUP(REF$11,Assumptions!$B$35:$H$35,_xlfn.XLOOKUP($C28,Assumptions!$B$36:$B$41,Assumptions!$B$36:$H$41))</f>
        <v>0</v>
      </c>
      <c r="REG28">
        <f t="array" ref="REG28">_xlfn.XLOOKUP(REG$11,Assumptions!$B$35:$H$35,_xlfn.XLOOKUP($C28,Assumptions!$B$36:$B$41,Assumptions!$B$36:$H$41))</f>
        <v>0</v>
      </c>
      <c r="REH28">
        <f t="array" ref="REH28">_xlfn.XLOOKUP(REH$11,Assumptions!$B$35:$H$35,_xlfn.XLOOKUP($C28,Assumptions!$B$36:$B$41,Assumptions!$B$36:$H$41))</f>
        <v>0</v>
      </c>
      <c r="REI28">
        <f t="array" ref="REI28">_xlfn.XLOOKUP(REI$11,Assumptions!$B$35:$H$35,_xlfn.XLOOKUP($C28,Assumptions!$B$36:$B$41,Assumptions!$B$36:$H$41))</f>
        <v>0</v>
      </c>
      <c r="REJ28">
        <f t="array" ref="REJ28">_xlfn.XLOOKUP(REJ$11,Assumptions!$B$35:$H$35,_xlfn.XLOOKUP($C28,Assumptions!$B$36:$B$41,Assumptions!$B$36:$H$41))</f>
        <v>0</v>
      </c>
      <c r="REK28">
        <f t="array" ref="REK28">_xlfn.XLOOKUP(REK$11,Assumptions!$B$35:$H$35,_xlfn.XLOOKUP($C28,Assumptions!$B$36:$B$41,Assumptions!$B$36:$H$41))</f>
        <v>0</v>
      </c>
      <c r="REL28">
        <f t="array" ref="REL28">_xlfn.XLOOKUP(REL$11,Assumptions!$B$35:$H$35,_xlfn.XLOOKUP($C28,Assumptions!$B$36:$B$41,Assumptions!$B$36:$H$41))</f>
        <v>0</v>
      </c>
      <c r="REM28">
        <f t="array" ref="REM28">_xlfn.XLOOKUP(REM$11,Assumptions!$B$35:$H$35,_xlfn.XLOOKUP($C28,Assumptions!$B$36:$B$41,Assumptions!$B$36:$H$41))</f>
        <v>0</v>
      </c>
      <c r="REN28">
        <f t="array" ref="REN28">_xlfn.XLOOKUP(REN$11,Assumptions!$B$35:$H$35,_xlfn.XLOOKUP($C28,Assumptions!$B$36:$B$41,Assumptions!$B$36:$H$41))</f>
        <v>0</v>
      </c>
      <c r="REO28">
        <f t="array" ref="REO28">_xlfn.XLOOKUP(REO$11,Assumptions!$B$35:$H$35,_xlfn.XLOOKUP($C28,Assumptions!$B$36:$B$41,Assumptions!$B$36:$H$41))</f>
        <v>0</v>
      </c>
      <c r="REP28">
        <f t="array" ref="REP28">_xlfn.XLOOKUP(REP$11,Assumptions!$B$35:$H$35,_xlfn.XLOOKUP($C28,Assumptions!$B$36:$B$41,Assumptions!$B$36:$H$41))</f>
        <v>0</v>
      </c>
      <c r="REQ28">
        <f t="array" ref="REQ28">_xlfn.XLOOKUP(REQ$11,Assumptions!$B$35:$H$35,_xlfn.XLOOKUP($C28,Assumptions!$B$36:$B$41,Assumptions!$B$36:$H$41))</f>
        <v>0</v>
      </c>
      <c r="RER28">
        <f t="array" ref="RER28">_xlfn.XLOOKUP(RER$11,Assumptions!$B$35:$H$35,_xlfn.XLOOKUP($C28,Assumptions!$B$36:$B$41,Assumptions!$B$36:$H$41))</f>
        <v>0</v>
      </c>
      <c r="RES28">
        <f t="array" ref="RES28">_xlfn.XLOOKUP(RES$11,Assumptions!$B$35:$H$35,_xlfn.XLOOKUP($C28,Assumptions!$B$36:$B$41,Assumptions!$B$36:$H$41))</f>
        <v>0</v>
      </c>
      <c r="RET28">
        <f t="array" ref="RET28">_xlfn.XLOOKUP(RET$11,Assumptions!$B$35:$H$35,_xlfn.XLOOKUP($C28,Assumptions!$B$36:$B$41,Assumptions!$B$36:$H$41))</f>
        <v>0</v>
      </c>
      <c r="REU28">
        <f t="array" ref="REU28">_xlfn.XLOOKUP(REU$11,Assumptions!$B$35:$H$35,_xlfn.XLOOKUP($C28,Assumptions!$B$36:$B$41,Assumptions!$B$36:$H$41))</f>
        <v>0</v>
      </c>
      <c r="REV28">
        <f t="array" ref="REV28">_xlfn.XLOOKUP(REV$11,Assumptions!$B$35:$H$35,_xlfn.XLOOKUP($C28,Assumptions!$B$36:$B$41,Assumptions!$B$36:$H$41))</f>
        <v>0</v>
      </c>
      <c r="REW28">
        <f t="array" ref="REW28">_xlfn.XLOOKUP(REW$11,Assumptions!$B$35:$H$35,_xlfn.XLOOKUP($C28,Assumptions!$B$36:$B$41,Assumptions!$B$36:$H$41))</f>
        <v>0</v>
      </c>
      <c r="REX28">
        <f t="array" ref="REX28">_xlfn.XLOOKUP(REX$11,Assumptions!$B$35:$H$35,_xlfn.XLOOKUP($C28,Assumptions!$B$36:$B$41,Assumptions!$B$36:$H$41))</f>
        <v>0</v>
      </c>
      <c r="REY28">
        <f t="array" ref="REY28">_xlfn.XLOOKUP(REY$11,Assumptions!$B$35:$H$35,_xlfn.XLOOKUP($C28,Assumptions!$B$36:$B$41,Assumptions!$B$36:$H$41))</f>
        <v>0</v>
      </c>
      <c r="REZ28">
        <f t="array" ref="REZ28">_xlfn.XLOOKUP(REZ$11,Assumptions!$B$35:$H$35,_xlfn.XLOOKUP($C28,Assumptions!$B$36:$B$41,Assumptions!$B$36:$H$41))</f>
        <v>0</v>
      </c>
      <c r="RFA28">
        <f t="array" ref="RFA28">_xlfn.XLOOKUP(RFA$11,Assumptions!$B$35:$H$35,_xlfn.XLOOKUP($C28,Assumptions!$B$36:$B$41,Assumptions!$B$36:$H$41))</f>
        <v>0</v>
      </c>
      <c r="RFB28">
        <f t="array" ref="RFB28">_xlfn.XLOOKUP(RFB$11,Assumptions!$B$35:$H$35,_xlfn.XLOOKUP($C28,Assumptions!$B$36:$B$41,Assumptions!$B$36:$H$41))</f>
        <v>0</v>
      </c>
      <c r="RFC28">
        <f t="array" ref="RFC28">_xlfn.XLOOKUP(RFC$11,Assumptions!$B$35:$H$35,_xlfn.XLOOKUP($C28,Assumptions!$B$36:$B$41,Assumptions!$B$36:$H$41))</f>
        <v>0</v>
      </c>
      <c r="RFD28">
        <f t="array" ref="RFD28">_xlfn.XLOOKUP(RFD$11,Assumptions!$B$35:$H$35,_xlfn.XLOOKUP($C28,Assumptions!$B$36:$B$41,Assumptions!$B$36:$H$41))</f>
        <v>0</v>
      </c>
      <c r="RFE28">
        <f t="array" ref="RFE28">_xlfn.XLOOKUP(RFE$11,Assumptions!$B$35:$H$35,_xlfn.XLOOKUP($C28,Assumptions!$B$36:$B$41,Assumptions!$B$36:$H$41))</f>
        <v>0</v>
      </c>
      <c r="RFF28">
        <f t="array" ref="RFF28">_xlfn.XLOOKUP(RFF$11,Assumptions!$B$35:$H$35,_xlfn.XLOOKUP($C28,Assumptions!$B$36:$B$41,Assumptions!$B$36:$H$41))</f>
        <v>0</v>
      </c>
      <c r="RFG28">
        <f t="array" ref="RFG28">_xlfn.XLOOKUP(RFG$11,Assumptions!$B$35:$H$35,_xlfn.XLOOKUP($C28,Assumptions!$B$36:$B$41,Assumptions!$B$36:$H$41))</f>
        <v>0</v>
      </c>
      <c r="RFH28">
        <f t="array" ref="RFH28">_xlfn.XLOOKUP(RFH$11,Assumptions!$B$35:$H$35,_xlfn.XLOOKUP($C28,Assumptions!$B$36:$B$41,Assumptions!$B$36:$H$41))</f>
        <v>0</v>
      </c>
      <c r="RFI28">
        <f t="array" ref="RFI28">_xlfn.XLOOKUP(RFI$11,Assumptions!$B$35:$H$35,_xlfn.XLOOKUP($C28,Assumptions!$B$36:$B$41,Assumptions!$B$36:$H$41))</f>
        <v>0</v>
      </c>
      <c r="RFJ28">
        <f t="array" ref="RFJ28">_xlfn.XLOOKUP(RFJ$11,Assumptions!$B$35:$H$35,_xlfn.XLOOKUP($C28,Assumptions!$B$36:$B$41,Assumptions!$B$36:$H$41))</f>
        <v>0</v>
      </c>
      <c r="RFK28">
        <f t="array" ref="RFK28">_xlfn.XLOOKUP(RFK$11,Assumptions!$B$35:$H$35,_xlfn.XLOOKUP($C28,Assumptions!$B$36:$B$41,Assumptions!$B$36:$H$41))</f>
        <v>0</v>
      </c>
      <c r="RFL28">
        <f t="array" ref="RFL28">_xlfn.XLOOKUP(RFL$11,Assumptions!$B$35:$H$35,_xlfn.XLOOKUP($C28,Assumptions!$B$36:$B$41,Assumptions!$B$36:$H$41))</f>
        <v>0</v>
      </c>
      <c r="RFM28">
        <f t="array" ref="RFM28">_xlfn.XLOOKUP(RFM$11,Assumptions!$B$35:$H$35,_xlfn.XLOOKUP($C28,Assumptions!$B$36:$B$41,Assumptions!$B$36:$H$41))</f>
        <v>0</v>
      </c>
      <c r="RFN28">
        <f t="array" ref="RFN28">_xlfn.XLOOKUP(RFN$11,Assumptions!$B$35:$H$35,_xlfn.XLOOKUP($C28,Assumptions!$B$36:$B$41,Assumptions!$B$36:$H$41))</f>
        <v>0</v>
      </c>
      <c r="RFO28">
        <f t="array" ref="RFO28">_xlfn.XLOOKUP(RFO$11,Assumptions!$B$35:$H$35,_xlfn.XLOOKUP($C28,Assumptions!$B$36:$B$41,Assumptions!$B$36:$H$41))</f>
        <v>0</v>
      </c>
      <c r="RFP28">
        <f t="array" ref="RFP28">_xlfn.XLOOKUP(RFP$11,Assumptions!$B$35:$H$35,_xlfn.XLOOKUP($C28,Assumptions!$B$36:$B$41,Assumptions!$B$36:$H$41))</f>
        <v>0</v>
      </c>
      <c r="RFQ28">
        <f t="array" ref="RFQ28">_xlfn.XLOOKUP(RFQ$11,Assumptions!$B$35:$H$35,_xlfn.XLOOKUP($C28,Assumptions!$B$36:$B$41,Assumptions!$B$36:$H$41))</f>
        <v>0</v>
      </c>
      <c r="RFR28">
        <f t="array" ref="RFR28">_xlfn.XLOOKUP(RFR$11,Assumptions!$B$35:$H$35,_xlfn.XLOOKUP($C28,Assumptions!$B$36:$B$41,Assumptions!$B$36:$H$41))</f>
        <v>0</v>
      </c>
      <c r="RFS28">
        <f t="array" ref="RFS28">_xlfn.XLOOKUP(RFS$11,Assumptions!$B$35:$H$35,_xlfn.XLOOKUP($C28,Assumptions!$B$36:$B$41,Assumptions!$B$36:$H$41))</f>
        <v>0</v>
      </c>
      <c r="RFT28">
        <f t="array" ref="RFT28">_xlfn.XLOOKUP(RFT$11,Assumptions!$B$35:$H$35,_xlfn.XLOOKUP($C28,Assumptions!$B$36:$B$41,Assumptions!$B$36:$H$41))</f>
        <v>0</v>
      </c>
      <c r="RFU28">
        <f t="array" ref="RFU28">_xlfn.XLOOKUP(RFU$11,Assumptions!$B$35:$H$35,_xlfn.XLOOKUP($C28,Assumptions!$B$36:$B$41,Assumptions!$B$36:$H$41))</f>
        <v>0</v>
      </c>
      <c r="RFV28">
        <f t="array" ref="RFV28">_xlfn.XLOOKUP(RFV$11,Assumptions!$B$35:$H$35,_xlfn.XLOOKUP($C28,Assumptions!$B$36:$B$41,Assumptions!$B$36:$H$41))</f>
        <v>0</v>
      </c>
      <c r="RFW28">
        <f t="array" ref="RFW28">_xlfn.XLOOKUP(RFW$11,Assumptions!$B$35:$H$35,_xlfn.XLOOKUP($C28,Assumptions!$B$36:$B$41,Assumptions!$B$36:$H$41))</f>
        <v>0</v>
      </c>
      <c r="RFX28">
        <f t="array" ref="RFX28">_xlfn.XLOOKUP(RFX$11,Assumptions!$B$35:$H$35,_xlfn.XLOOKUP($C28,Assumptions!$B$36:$B$41,Assumptions!$B$36:$H$41))</f>
        <v>0</v>
      </c>
      <c r="RFY28">
        <f t="array" ref="RFY28">_xlfn.XLOOKUP(RFY$11,Assumptions!$B$35:$H$35,_xlfn.XLOOKUP($C28,Assumptions!$B$36:$B$41,Assumptions!$B$36:$H$41))</f>
        <v>0</v>
      </c>
      <c r="RFZ28">
        <f t="array" ref="RFZ28">_xlfn.XLOOKUP(RFZ$11,Assumptions!$B$35:$H$35,_xlfn.XLOOKUP($C28,Assumptions!$B$36:$B$41,Assumptions!$B$36:$H$41))</f>
        <v>0</v>
      </c>
      <c r="RGA28">
        <f t="array" ref="RGA28">_xlfn.XLOOKUP(RGA$11,Assumptions!$B$35:$H$35,_xlfn.XLOOKUP($C28,Assumptions!$B$36:$B$41,Assumptions!$B$36:$H$41))</f>
        <v>0</v>
      </c>
      <c r="RGB28">
        <f t="array" ref="RGB28">_xlfn.XLOOKUP(RGB$11,Assumptions!$B$35:$H$35,_xlfn.XLOOKUP($C28,Assumptions!$B$36:$B$41,Assumptions!$B$36:$H$41))</f>
        <v>0</v>
      </c>
      <c r="RGC28">
        <f t="array" ref="RGC28">_xlfn.XLOOKUP(RGC$11,Assumptions!$B$35:$H$35,_xlfn.XLOOKUP($C28,Assumptions!$B$36:$B$41,Assumptions!$B$36:$H$41))</f>
        <v>0</v>
      </c>
      <c r="RGD28">
        <f t="array" ref="RGD28">_xlfn.XLOOKUP(RGD$11,Assumptions!$B$35:$H$35,_xlfn.XLOOKUP($C28,Assumptions!$B$36:$B$41,Assumptions!$B$36:$H$41))</f>
        <v>0</v>
      </c>
      <c r="RGE28">
        <f t="array" ref="RGE28">_xlfn.XLOOKUP(RGE$11,Assumptions!$B$35:$H$35,_xlfn.XLOOKUP($C28,Assumptions!$B$36:$B$41,Assumptions!$B$36:$H$41))</f>
        <v>0</v>
      </c>
      <c r="RGF28">
        <f t="array" ref="RGF28">_xlfn.XLOOKUP(RGF$11,Assumptions!$B$35:$H$35,_xlfn.XLOOKUP($C28,Assumptions!$B$36:$B$41,Assumptions!$B$36:$H$41))</f>
        <v>0</v>
      </c>
      <c r="RGG28">
        <f t="array" ref="RGG28">_xlfn.XLOOKUP(RGG$11,Assumptions!$B$35:$H$35,_xlfn.XLOOKUP($C28,Assumptions!$B$36:$B$41,Assumptions!$B$36:$H$41))</f>
        <v>0</v>
      </c>
      <c r="RGH28">
        <f t="array" ref="RGH28">_xlfn.XLOOKUP(RGH$11,Assumptions!$B$35:$H$35,_xlfn.XLOOKUP($C28,Assumptions!$B$36:$B$41,Assumptions!$B$36:$H$41))</f>
        <v>0</v>
      </c>
      <c r="RGI28">
        <f t="array" ref="RGI28">_xlfn.XLOOKUP(RGI$11,Assumptions!$B$35:$H$35,_xlfn.XLOOKUP($C28,Assumptions!$B$36:$B$41,Assumptions!$B$36:$H$41))</f>
        <v>0</v>
      </c>
      <c r="RGJ28">
        <f t="array" ref="RGJ28">_xlfn.XLOOKUP(RGJ$11,Assumptions!$B$35:$H$35,_xlfn.XLOOKUP($C28,Assumptions!$B$36:$B$41,Assumptions!$B$36:$H$41))</f>
        <v>0</v>
      </c>
      <c r="RGK28">
        <f t="array" ref="RGK28">_xlfn.XLOOKUP(RGK$11,Assumptions!$B$35:$H$35,_xlfn.XLOOKUP($C28,Assumptions!$B$36:$B$41,Assumptions!$B$36:$H$41))</f>
        <v>0</v>
      </c>
      <c r="RGL28">
        <f t="array" ref="RGL28">_xlfn.XLOOKUP(RGL$11,Assumptions!$B$35:$H$35,_xlfn.XLOOKUP($C28,Assumptions!$B$36:$B$41,Assumptions!$B$36:$H$41))</f>
        <v>0</v>
      </c>
      <c r="RGM28">
        <f t="array" ref="RGM28">_xlfn.XLOOKUP(RGM$11,Assumptions!$B$35:$H$35,_xlfn.XLOOKUP($C28,Assumptions!$B$36:$B$41,Assumptions!$B$36:$H$41))</f>
        <v>0</v>
      </c>
      <c r="RGN28">
        <f t="array" ref="RGN28">_xlfn.XLOOKUP(RGN$11,Assumptions!$B$35:$H$35,_xlfn.XLOOKUP($C28,Assumptions!$B$36:$B$41,Assumptions!$B$36:$H$41))</f>
        <v>0</v>
      </c>
      <c r="RGO28">
        <f t="array" ref="RGO28">_xlfn.XLOOKUP(RGO$11,Assumptions!$B$35:$H$35,_xlfn.XLOOKUP($C28,Assumptions!$B$36:$B$41,Assumptions!$B$36:$H$41))</f>
        <v>0</v>
      </c>
      <c r="RGP28">
        <f t="array" ref="RGP28">_xlfn.XLOOKUP(RGP$11,Assumptions!$B$35:$H$35,_xlfn.XLOOKUP($C28,Assumptions!$B$36:$B$41,Assumptions!$B$36:$H$41))</f>
        <v>0</v>
      </c>
      <c r="RGQ28">
        <f t="array" ref="RGQ28">_xlfn.XLOOKUP(RGQ$11,Assumptions!$B$35:$H$35,_xlfn.XLOOKUP($C28,Assumptions!$B$36:$B$41,Assumptions!$B$36:$H$41))</f>
        <v>0</v>
      </c>
      <c r="RGR28">
        <f t="array" ref="RGR28">_xlfn.XLOOKUP(RGR$11,Assumptions!$B$35:$H$35,_xlfn.XLOOKUP($C28,Assumptions!$B$36:$B$41,Assumptions!$B$36:$H$41))</f>
        <v>0</v>
      </c>
      <c r="RGS28">
        <f t="array" ref="RGS28">_xlfn.XLOOKUP(RGS$11,Assumptions!$B$35:$H$35,_xlfn.XLOOKUP($C28,Assumptions!$B$36:$B$41,Assumptions!$B$36:$H$41))</f>
        <v>0</v>
      </c>
      <c r="RGT28">
        <f t="array" ref="RGT28">_xlfn.XLOOKUP(RGT$11,Assumptions!$B$35:$H$35,_xlfn.XLOOKUP($C28,Assumptions!$B$36:$B$41,Assumptions!$B$36:$H$41))</f>
        <v>0</v>
      </c>
      <c r="RGU28">
        <f t="array" ref="RGU28">_xlfn.XLOOKUP(RGU$11,Assumptions!$B$35:$H$35,_xlfn.XLOOKUP($C28,Assumptions!$B$36:$B$41,Assumptions!$B$36:$H$41))</f>
        <v>0</v>
      </c>
      <c r="RGV28">
        <f t="array" ref="RGV28">_xlfn.XLOOKUP(RGV$11,Assumptions!$B$35:$H$35,_xlfn.XLOOKUP($C28,Assumptions!$B$36:$B$41,Assumptions!$B$36:$H$41))</f>
        <v>0</v>
      </c>
      <c r="RGW28">
        <f t="array" ref="RGW28">_xlfn.XLOOKUP(RGW$11,Assumptions!$B$35:$H$35,_xlfn.XLOOKUP($C28,Assumptions!$B$36:$B$41,Assumptions!$B$36:$H$41))</f>
        <v>0</v>
      </c>
      <c r="RGX28">
        <f t="array" ref="RGX28">_xlfn.XLOOKUP(RGX$11,Assumptions!$B$35:$H$35,_xlfn.XLOOKUP($C28,Assumptions!$B$36:$B$41,Assumptions!$B$36:$H$41))</f>
        <v>0</v>
      </c>
      <c r="RGY28">
        <f t="array" ref="RGY28">_xlfn.XLOOKUP(RGY$11,Assumptions!$B$35:$H$35,_xlfn.XLOOKUP($C28,Assumptions!$B$36:$B$41,Assumptions!$B$36:$H$41))</f>
        <v>0</v>
      </c>
      <c r="RGZ28">
        <f t="array" ref="RGZ28">_xlfn.XLOOKUP(RGZ$11,Assumptions!$B$35:$H$35,_xlfn.XLOOKUP($C28,Assumptions!$B$36:$B$41,Assumptions!$B$36:$H$41))</f>
        <v>0</v>
      </c>
      <c r="RHA28">
        <f t="array" ref="RHA28">_xlfn.XLOOKUP(RHA$11,Assumptions!$B$35:$H$35,_xlfn.XLOOKUP($C28,Assumptions!$B$36:$B$41,Assumptions!$B$36:$H$41))</f>
        <v>0</v>
      </c>
      <c r="RHB28">
        <f t="array" ref="RHB28">_xlfn.XLOOKUP(RHB$11,Assumptions!$B$35:$H$35,_xlfn.XLOOKUP($C28,Assumptions!$B$36:$B$41,Assumptions!$B$36:$H$41))</f>
        <v>0</v>
      </c>
      <c r="RHC28">
        <f t="array" ref="RHC28">_xlfn.XLOOKUP(RHC$11,Assumptions!$B$35:$H$35,_xlfn.XLOOKUP($C28,Assumptions!$B$36:$B$41,Assumptions!$B$36:$H$41))</f>
        <v>0</v>
      </c>
      <c r="RHD28">
        <f t="array" ref="RHD28">_xlfn.XLOOKUP(RHD$11,Assumptions!$B$35:$H$35,_xlfn.XLOOKUP($C28,Assumptions!$B$36:$B$41,Assumptions!$B$36:$H$41))</f>
        <v>0</v>
      </c>
      <c r="RHE28">
        <f t="array" ref="RHE28">_xlfn.XLOOKUP(RHE$11,Assumptions!$B$35:$H$35,_xlfn.XLOOKUP($C28,Assumptions!$B$36:$B$41,Assumptions!$B$36:$H$41))</f>
        <v>0</v>
      </c>
      <c r="RHF28">
        <f t="array" ref="RHF28">_xlfn.XLOOKUP(RHF$11,Assumptions!$B$35:$H$35,_xlfn.XLOOKUP($C28,Assumptions!$B$36:$B$41,Assumptions!$B$36:$H$41))</f>
        <v>0</v>
      </c>
      <c r="RHG28">
        <f t="array" ref="RHG28">_xlfn.XLOOKUP(RHG$11,Assumptions!$B$35:$H$35,_xlfn.XLOOKUP($C28,Assumptions!$B$36:$B$41,Assumptions!$B$36:$H$41))</f>
        <v>0</v>
      </c>
      <c r="RHH28">
        <f t="array" ref="RHH28">_xlfn.XLOOKUP(RHH$11,Assumptions!$B$35:$H$35,_xlfn.XLOOKUP($C28,Assumptions!$B$36:$B$41,Assumptions!$B$36:$H$41))</f>
        <v>0</v>
      </c>
      <c r="RHI28">
        <f t="array" ref="RHI28">_xlfn.XLOOKUP(RHI$11,Assumptions!$B$35:$H$35,_xlfn.XLOOKUP($C28,Assumptions!$B$36:$B$41,Assumptions!$B$36:$H$41))</f>
        <v>0</v>
      </c>
      <c r="RHJ28">
        <f t="array" ref="RHJ28">_xlfn.XLOOKUP(RHJ$11,Assumptions!$B$35:$H$35,_xlfn.XLOOKUP($C28,Assumptions!$B$36:$B$41,Assumptions!$B$36:$H$41))</f>
        <v>0</v>
      </c>
      <c r="RHK28">
        <f t="array" ref="RHK28">_xlfn.XLOOKUP(RHK$11,Assumptions!$B$35:$H$35,_xlfn.XLOOKUP($C28,Assumptions!$B$36:$B$41,Assumptions!$B$36:$H$41))</f>
        <v>0</v>
      </c>
      <c r="RHL28">
        <f t="array" ref="RHL28">_xlfn.XLOOKUP(RHL$11,Assumptions!$B$35:$H$35,_xlfn.XLOOKUP($C28,Assumptions!$B$36:$B$41,Assumptions!$B$36:$H$41))</f>
        <v>0</v>
      </c>
      <c r="RHM28">
        <f t="array" ref="RHM28">_xlfn.XLOOKUP(RHM$11,Assumptions!$B$35:$H$35,_xlfn.XLOOKUP($C28,Assumptions!$B$36:$B$41,Assumptions!$B$36:$H$41))</f>
        <v>0</v>
      </c>
      <c r="RHN28">
        <f t="array" ref="RHN28">_xlfn.XLOOKUP(RHN$11,Assumptions!$B$35:$H$35,_xlfn.XLOOKUP($C28,Assumptions!$B$36:$B$41,Assumptions!$B$36:$H$41))</f>
        <v>0</v>
      </c>
      <c r="RHO28">
        <f t="array" ref="RHO28">_xlfn.XLOOKUP(RHO$11,Assumptions!$B$35:$H$35,_xlfn.XLOOKUP($C28,Assumptions!$B$36:$B$41,Assumptions!$B$36:$H$41))</f>
        <v>0</v>
      </c>
      <c r="RHP28">
        <f t="array" ref="RHP28">_xlfn.XLOOKUP(RHP$11,Assumptions!$B$35:$H$35,_xlfn.XLOOKUP($C28,Assumptions!$B$36:$B$41,Assumptions!$B$36:$H$41))</f>
        <v>0</v>
      </c>
      <c r="RHQ28">
        <f t="array" ref="RHQ28">_xlfn.XLOOKUP(RHQ$11,Assumptions!$B$35:$H$35,_xlfn.XLOOKUP($C28,Assumptions!$B$36:$B$41,Assumptions!$B$36:$H$41))</f>
        <v>0</v>
      </c>
      <c r="RHR28">
        <f t="array" ref="RHR28">_xlfn.XLOOKUP(RHR$11,Assumptions!$B$35:$H$35,_xlfn.XLOOKUP($C28,Assumptions!$B$36:$B$41,Assumptions!$B$36:$H$41))</f>
        <v>0</v>
      </c>
      <c r="RHS28">
        <f t="array" ref="RHS28">_xlfn.XLOOKUP(RHS$11,Assumptions!$B$35:$H$35,_xlfn.XLOOKUP($C28,Assumptions!$B$36:$B$41,Assumptions!$B$36:$H$41))</f>
        <v>0</v>
      </c>
      <c r="RHT28">
        <f t="array" ref="RHT28">_xlfn.XLOOKUP(RHT$11,Assumptions!$B$35:$H$35,_xlfn.XLOOKUP($C28,Assumptions!$B$36:$B$41,Assumptions!$B$36:$H$41))</f>
        <v>0</v>
      </c>
      <c r="RHU28">
        <f t="array" ref="RHU28">_xlfn.XLOOKUP(RHU$11,Assumptions!$B$35:$H$35,_xlfn.XLOOKUP($C28,Assumptions!$B$36:$B$41,Assumptions!$B$36:$H$41))</f>
        <v>0</v>
      </c>
      <c r="RHV28">
        <f t="array" ref="RHV28">_xlfn.XLOOKUP(RHV$11,Assumptions!$B$35:$H$35,_xlfn.XLOOKUP($C28,Assumptions!$B$36:$B$41,Assumptions!$B$36:$H$41))</f>
        <v>0</v>
      </c>
      <c r="RHW28">
        <f t="array" ref="RHW28">_xlfn.XLOOKUP(RHW$11,Assumptions!$B$35:$H$35,_xlfn.XLOOKUP($C28,Assumptions!$B$36:$B$41,Assumptions!$B$36:$H$41))</f>
        <v>0</v>
      </c>
      <c r="RHX28">
        <f t="array" ref="RHX28">_xlfn.XLOOKUP(RHX$11,Assumptions!$B$35:$H$35,_xlfn.XLOOKUP($C28,Assumptions!$B$36:$B$41,Assumptions!$B$36:$H$41))</f>
        <v>0</v>
      </c>
      <c r="RHY28">
        <f t="array" ref="RHY28">_xlfn.XLOOKUP(RHY$11,Assumptions!$B$35:$H$35,_xlfn.XLOOKUP($C28,Assumptions!$B$36:$B$41,Assumptions!$B$36:$H$41))</f>
        <v>0</v>
      </c>
      <c r="RHZ28">
        <f t="array" ref="RHZ28">_xlfn.XLOOKUP(RHZ$11,Assumptions!$B$35:$H$35,_xlfn.XLOOKUP($C28,Assumptions!$B$36:$B$41,Assumptions!$B$36:$H$41))</f>
        <v>0</v>
      </c>
      <c r="RIA28">
        <f t="array" ref="RIA28">_xlfn.XLOOKUP(RIA$11,Assumptions!$B$35:$H$35,_xlfn.XLOOKUP($C28,Assumptions!$B$36:$B$41,Assumptions!$B$36:$H$41))</f>
        <v>0</v>
      </c>
      <c r="RIB28">
        <f t="array" ref="RIB28">_xlfn.XLOOKUP(RIB$11,Assumptions!$B$35:$H$35,_xlfn.XLOOKUP($C28,Assumptions!$B$36:$B$41,Assumptions!$B$36:$H$41))</f>
        <v>0</v>
      </c>
      <c r="RIC28">
        <f t="array" ref="RIC28">_xlfn.XLOOKUP(RIC$11,Assumptions!$B$35:$H$35,_xlfn.XLOOKUP($C28,Assumptions!$B$36:$B$41,Assumptions!$B$36:$H$41))</f>
        <v>0</v>
      </c>
      <c r="RID28">
        <f t="array" ref="RID28">_xlfn.XLOOKUP(RID$11,Assumptions!$B$35:$H$35,_xlfn.XLOOKUP($C28,Assumptions!$B$36:$B$41,Assumptions!$B$36:$H$41))</f>
        <v>0</v>
      </c>
      <c r="RIE28">
        <f t="array" ref="RIE28">_xlfn.XLOOKUP(RIE$11,Assumptions!$B$35:$H$35,_xlfn.XLOOKUP($C28,Assumptions!$B$36:$B$41,Assumptions!$B$36:$H$41))</f>
        <v>0</v>
      </c>
      <c r="RIF28">
        <f t="array" ref="RIF28">_xlfn.XLOOKUP(RIF$11,Assumptions!$B$35:$H$35,_xlfn.XLOOKUP($C28,Assumptions!$B$36:$B$41,Assumptions!$B$36:$H$41))</f>
        <v>0</v>
      </c>
      <c r="RIG28">
        <f t="array" ref="RIG28">_xlfn.XLOOKUP(RIG$11,Assumptions!$B$35:$H$35,_xlfn.XLOOKUP($C28,Assumptions!$B$36:$B$41,Assumptions!$B$36:$H$41))</f>
        <v>0</v>
      </c>
      <c r="RIH28">
        <f t="array" ref="RIH28">_xlfn.XLOOKUP(RIH$11,Assumptions!$B$35:$H$35,_xlfn.XLOOKUP($C28,Assumptions!$B$36:$B$41,Assumptions!$B$36:$H$41))</f>
        <v>0</v>
      </c>
      <c r="RII28">
        <f t="array" ref="RII28">_xlfn.XLOOKUP(RII$11,Assumptions!$B$35:$H$35,_xlfn.XLOOKUP($C28,Assumptions!$B$36:$B$41,Assumptions!$B$36:$H$41))</f>
        <v>0</v>
      </c>
      <c r="RIJ28">
        <f t="array" ref="RIJ28">_xlfn.XLOOKUP(RIJ$11,Assumptions!$B$35:$H$35,_xlfn.XLOOKUP($C28,Assumptions!$B$36:$B$41,Assumptions!$B$36:$H$41))</f>
        <v>0</v>
      </c>
      <c r="RIK28">
        <f t="array" ref="RIK28">_xlfn.XLOOKUP(RIK$11,Assumptions!$B$35:$H$35,_xlfn.XLOOKUP($C28,Assumptions!$B$36:$B$41,Assumptions!$B$36:$H$41))</f>
        <v>0</v>
      </c>
      <c r="RIL28">
        <f t="array" ref="RIL28">_xlfn.XLOOKUP(RIL$11,Assumptions!$B$35:$H$35,_xlfn.XLOOKUP($C28,Assumptions!$B$36:$B$41,Assumptions!$B$36:$H$41))</f>
        <v>0</v>
      </c>
      <c r="RIM28">
        <f t="array" ref="RIM28">_xlfn.XLOOKUP(RIM$11,Assumptions!$B$35:$H$35,_xlfn.XLOOKUP($C28,Assumptions!$B$36:$B$41,Assumptions!$B$36:$H$41))</f>
        <v>0</v>
      </c>
      <c r="RIN28">
        <f t="array" ref="RIN28">_xlfn.XLOOKUP(RIN$11,Assumptions!$B$35:$H$35,_xlfn.XLOOKUP($C28,Assumptions!$B$36:$B$41,Assumptions!$B$36:$H$41))</f>
        <v>0</v>
      </c>
      <c r="RIO28">
        <f t="array" ref="RIO28">_xlfn.XLOOKUP(RIO$11,Assumptions!$B$35:$H$35,_xlfn.XLOOKUP($C28,Assumptions!$B$36:$B$41,Assumptions!$B$36:$H$41))</f>
        <v>0</v>
      </c>
      <c r="RIP28">
        <f t="array" ref="RIP28">_xlfn.XLOOKUP(RIP$11,Assumptions!$B$35:$H$35,_xlfn.XLOOKUP($C28,Assumptions!$B$36:$B$41,Assumptions!$B$36:$H$41))</f>
        <v>0</v>
      </c>
      <c r="RIQ28">
        <f t="array" ref="RIQ28">_xlfn.XLOOKUP(RIQ$11,Assumptions!$B$35:$H$35,_xlfn.XLOOKUP($C28,Assumptions!$B$36:$B$41,Assumptions!$B$36:$H$41))</f>
        <v>0</v>
      </c>
      <c r="RIR28">
        <f t="array" ref="RIR28">_xlfn.XLOOKUP(RIR$11,Assumptions!$B$35:$H$35,_xlfn.XLOOKUP($C28,Assumptions!$B$36:$B$41,Assumptions!$B$36:$H$41))</f>
        <v>0</v>
      </c>
      <c r="RIS28">
        <f t="array" ref="RIS28">_xlfn.XLOOKUP(RIS$11,Assumptions!$B$35:$H$35,_xlfn.XLOOKUP($C28,Assumptions!$B$36:$B$41,Assumptions!$B$36:$H$41))</f>
        <v>0</v>
      </c>
      <c r="RIT28">
        <f t="array" ref="RIT28">_xlfn.XLOOKUP(RIT$11,Assumptions!$B$35:$H$35,_xlfn.XLOOKUP($C28,Assumptions!$B$36:$B$41,Assumptions!$B$36:$H$41))</f>
        <v>0</v>
      </c>
      <c r="RIU28">
        <f t="array" ref="RIU28">_xlfn.XLOOKUP(RIU$11,Assumptions!$B$35:$H$35,_xlfn.XLOOKUP($C28,Assumptions!$B$36:$B$41,Assumptions!$B$36:$H$41))</f>
        <v>0</v>
      </c>
      <c r="RIV28">
        <f t="array" ref="RIV28">_xlfn.XLOOKUP(RIV$11,Assumptions!$B$35:$H$35,_xlfn.XLOOKUP($C28,Assumptions!$B$36:$B$41,Assumptions!$B$36:$H$41))</f>
        <v>0</v>
      </c>
      <c r="RIW28">
        <f t="array" ref="RIW28">_xlfn.XLOOKUP(RIW$11,Assumptions!$B$35:$H$35,_xlfn.XLOOKUP($C28,Assumptions!$B$36:$B$41,Assumptions!$B$36:$H$41))</f>
        <v>0</v>
      </c>
      <c r="RIX28">
        <f t="array" ref="RIX28">_xlfn.XLOOKUP(RIX$11,Assumptions!$B$35:$H$35,_xlfn.XLOOKUP($C28,Assumptions!$B$36:$B$41,Assumptions!$B$36:$H$41))</f>
        <v>0</v>
      </c>
      <c r="RIY28">
        <f t="array" ref="RIY28">_xlfn.XLOOKUP(RIY$11,Assumptions!$B$35:$H$35,_xlfn.XLOOKUP($C28,Assumptions!$B$36:$B$41,Assumptions!$B$36:$H$41))</f>
        <v>0</v>
      </c>
      <c r="RIZ28">
        <f t="array" ref="RIZ28">_xlfn.XLOOKUP(RIZ$11,Assumptions!$B$35:$H$35,_xlfn.XLOOKUP($C28,Assumptions!$B$36:$B$41,Assumptions!$B$36:$H$41))</f>
        <v>0</v>
      </c>
      <c r="RJA28">
        <f t="array" ref="RJA28">_xlfn.XLOOKUP(RJA$11,Assumptions!$B$35:$H$35,_xlfn.XLOOKUP($C28,Assumptions!$B$36:$B$41,Assumptions!$B$36:$H$41))</f>
        <v>0</v>
      </c>
      <c r="RJB28">
        <f t="array" ref="RJB28">_xlfn.XLOOKUP(RJB$11,Assumptions!$B$35:$H$35,_xlfn.XLOOKUP($C28,Assumptions!$B$36:$B$41,Assumptions!$B$36:$H$41))</f>
        <v>0</v>
      </c>
      <c r="RJC28">
        <f t="array" ref="RJC28">_xlfn.XLOOKUP(RJC$11,Assumptions!$B$35:$H$35,_xlfn.XLOOKUP($C28,Assumptions!$B$36:$B$41,Assumptions!$B$36:$H$41))</f>
        <v>0</v>
      </c>
      <c r="RJD28">
        <f t="array" ref="RJD28">_xlfn.XLOOKUP(RJD$11,Assumptions!$B$35:$H$35,_xlfn.XLOOKUP($C28,Assumptions!$B$36:$B$41,Assumptions!$B$36:$H$41))</f>
        <v>0</v>
      </c>
      <c r="RJE28">
        <f t="array" ref="RJE28">_xlfn.XLOOKUP(RJE$11,Assumptions!$B$35:$H$35,_xlfn.XLOOKUP($C28,Assumptions!$B$36:$B$41,Assumptions!$B$36:$H$41))</f>
        <v>0</v>
      </c>
      <c r="RJF28">
        <f t="array" ref="RJF28">_xlfn.XLOOKUP(RJF$11,Assumptions!$B$35:$H$35,_xlfn.XLOOKUP($C28,Assumptions!$B$36:$B$41,Assumptions!$B$36:$H$41))</f>
        <v>0</v>
      </c>
      <c r="RJG28">
        <f t="array" ref="RJG28">_xlfn.XLOOKUP(RJG$11,Assumptions!$B$35:$H$35,_xlfn.XLOOKUP($C28,Assumptions!$B$36:$B$41,Assumptions!$B$36:$H$41))</f>
        <v>0</v>
      </c>
      <c r="RJH28">
        <f t="array" ref="RJH28">_xlfn.XLOOKUP(RJH$11,Assumptions!$B$35:$H$35,_xlfn.XLOOKUP($C28,Assumptions!$B$36:$B$41,Assumptions!$B$36:$H$41))</f>
        <v>0</v>
      </c>
      <c r="RJI28">
        <f t="array" ref="RJI28">_xlfn.XLOOKUP(RJI$11,Assumptions!$B$35:$H$35,_xlfn.XLOOKUP($C28,Assumptions!$B$36:$B$41,Assumptions!$B$36:$H$41))</f>
        <v>0</v>
      </c>
      <c r="RJJ28">
        <f t="array" ref="RJJ28">_xlfn.XLOOKUP(RJJ$11,Assumptions!$B$35:$H$35,_xlfn.XLOOKUP($C28,Assumptions!$B$36:$B$41,Assumptions!$B$36:$H$41))</f>
        <v>0</v>
      </c>
      <c r="RJK28">
        <f t="array" ref="RJK28">_xlfn.XLOOKUP(RJK$11,Assumptions!$B$35:$H$35,_xlfn.XLOOKUP($C28,Assumptions!$B$36:$B$41,Assumptions!$B$36:$H$41))</f>
        <v>0</v>
      </c>
      <c r="RJL28">
        <f t="array" ref="RJL28">_xlfn.XLOOKUP(RJL$11,Assumptions!$B$35:$H$35,_xlfn.XLOOKUP($C28,Assumptions!$B$36:$B$41,Assumptions!$B$36:$H$41))</f>
        <v>0</v>
      </c>
      <c r="RJM28">
        <f t="array" ref="RJM28">_xlfn.XLOOKUP(RJM$11,Assumptions!$B$35:$H$35,_xlfn.XLOOKUP($C28,Assumptions!$B$36:$B$41,Assumptions!$B$36:$H$41))</f>
        <v>0</v>
      </c>
      <c r="RJN28">
        <f t="array" ref="RJN28">_xlfn.XLOOKUP(RJN$11,Assumptions!$B$35:$H$35,_xlfn.XLOOKUP($C28,Assumptions!$B$36:$B$41,Assumptions!$B$36:$H$41))</f>
        <v>0</v>
      </c>
      <c r="RJO28">
        <f t="array" ref="RJO28">_xlfn.XLOOKUP(RJO$11,Assumptions!$B$35:$H$35,_xlfn.XLOOKUP($C28,Assumptions!$B$36:$B$41,Assumptions!$B$36:$H$41))</f>
        <v>0</v>
      </c>
      <c r="RJP28">
        <f t="array" ref="RJP28">_xlfn.XLOOKUP(RJP$11,Assumptions!$B$35:$H$35,_xlfn.XLOOKUP($C28,Assumptions!$B$36:$B$41,Assumptions!$B$36:$H$41))</f>
        <v>0</v>
      </c>
      <c r="RJQ28">
        <f t="array" ref="RJQ28">_xlfn.XLOOKUP(RJQ$11,Assumptions!$B$35:$H$35,_xlfn.XLOOKUP($C28,Assumptions!$B$36:$B$41,Assumptions!$B$36:$H$41))</f>
        <v>0</v>
      </c>
      <c r="RJR28">
        <f t="array" ref="RJR28">_xlfn.XLOOKUP(RJR$11,Assumptions!$B$35:$H$35,_xlfn.XLOOKUP($C28,Assumptions!$B$36:$B$41,Assumptions!$B$36:$H$41))</f>
        <v>0</v>
      </c>
      <c r="RJS28">
        <f t="array" ref="RJS28">_xlfn.XLOOKUP(RJS$11,Assumptions!$B$35:$H$35,_xlfn.XLOOKUP($C28,Assumptions!$B$36:$B$41,Assumptions!$B$36:$H$41))</f>
        <v>0</v>
      </c>
      <c r="RJT28">
        <f t="array" ref="RJT28">_xlfn.XLOOKUP(RJT$11,Assumptions!$B$35:$H$35,_xlfn.XLOOKUP($C28,Assumptions!$B$36:$B$41,Assumptions!$B$36:$H$41))</f>
        <v>0</v>
      </c>
      <c r="RJU28">
        <f t="array" ref="RJU28">_xlfn.XLOOKUP(RJU$11,Assumptions!$B$35:$H$35,_xlfn.XLOOKUP($C28,Assumptions!$B$36:$B$41,Assumptions!$B$36:$H$41))</f>
        <v>0</v>
      </c>
      <c r="RJV28">
        <f t="array" ref="RJV28">_xlfn.XLOOKUP(RJV$11,Assumptions!$B$35:$H$35,_xlfn.XLOOKUP($C28,Assumptions!$B$36:$B$41,Assumptions!$B$36:$H$41))</f>
        <v>0</v>
      </c>
      <c r="RJW28">
        <f t="array" ref="RJW28">_xlfn.XLOOKUP(RJW$11,Assumptions!$B$35:$H$35,_xlfn.XLOOKUP($C28,Assumptions!$B$36:$B$41,Assumptions!$B$36:$H$41))</f>
        <v>0</v>
      </c>
      <c r="RJX28">
        <f t="array" ref="RJX28">_xlfn.XLOOKUP(RJX$11,Assumptions!$B$35:$H$35,_xlfn.XLOOKUP($C28,Assumptions!$B$36:$B$41,Assumptions!$B$36:$H$41))</f>
        <v>0</v>
      </c>
      <c r="RJY28">
        <f t="array" ref="RJY28">_xlfn.XLOOKUP(RJY$11,Assumptions!$B$35:$H$35,_xlfn.XLOOKUP($C28,Assumptions!$B$36:$B$41,Assumptions!$B$36:$H$41))</f>
        <v>0</v>
      </c>
      <c r="RJZ28">
        <f t="array" ref="RJZ28">_xlfn.XLOOKUP(RJZ$11,Assumptions!$B$35:$H$35,_xlfn.XLOOKUP($C28,Assumptions!$B$36:$B$41,Assumptions!$B$36:$H$41))</f>
        <v>0</v>
      </c>
      <c r="RKA28">
        <f t="array" ref="RKA28">_xlfn.XLOOKUP(RKA$11,Assumptions!$B$35:$H$35,_xlfn.XLOOKUP($C28,Assumptions!$B$36:$B$41,Assumptions!$B$36:$H$41))</f>
        <v>0</v>
      </c>
      <c r="RKB28">
        <f t="array" ref="RKB28">_xlfn.XLOOKUP(RKB$11,Assumptions!$B$35:$H$35,_xlfn.XLOOKUP($C28,Assumptions!$B$36:$B$41,Assumptions!$B$36:$H$41))</f>
        <v>0</v>
      </c>
      <c r="RKC28">
        <f t="array" ref="RKC28">_xlfn.XLOOKUP(RKC$11,Assumptions!$B$35:$H$35,_xlfn.XLOOKUP($C28,Assumptions!$B$36:$B$41,Assumptions!$B$36:$H$41))</f>
        <v>0</v>
      </c>
      <c r="RKD28">
        <f t="array" ref="RKD28">_xlfn.XLOOKUP(RKD$11,Assumptions!$B$35:$H$35,_xlfn.XLOOKUP($C28,Assumptions!$B$36:$B$41,Assumptions!$B$36:$H$41))</f>
        <v>0</v>
      </c>
      <c r="RKE28">
        <f t="array" ref="RKE28">_xlfn.XLOOKUP(RKE$11,Assumptions!$B$35:$H$35,_xlfn.XLOOKUP($C28,Assumptions!$B$36:$B$41,Assumptions!$B$36:$H$41))</f>
        <v>0</v>
      </c>
      <c r="RKF28">
        <f t="array" ref="RKF28">_xlfn.XLOOKUP(RKF$11,Assumptions!$B$35:$H$35,_xlfn.XLOOKUP($C28,Assumptions!$B$36:$B$41,Assumptions!$B$36:$H$41))</f>
        <v>0</v>
      </c>
      <c r="RKG28">
        <f t="array" ref="RKG28">_xlfn.XLOOKUP(RKG$11,Assumptions!$B$35:$H$35,_xlfn.XLOOKUP($C28,Assumptions!$B$36:$B$41,Assumptions!$B$36:$H$41))</f>
        <v>0</v>
      </c>
      <c r="RKH28">
        <f t="array" ref="RKH28">_xlfn.XLOOKUP(RKH$11,Assumptions!$B$35:$H$35,_xlfn.XLOOKUP($C28,Assumptions!$B$36:$B$41,Assumptions!$B$36:$H$41))</f>
        <v>0</v>
      </c>
      <c r="RKI28">
        <f t="array" ref="RKI28">_xlfn.XLOOKUP(RKI$11,Assumptions!$B$35:$H$35,_xlfn.XLOOKUP($C28,Assumptions!$B$36:$B$41,Assumptions!$B$36:$H$41))</f>
        <v>0</v>
      </c>
      <c r="RKJ28">
        <f t="array" ref="RKJ28">_xlfn.XLOOKUP(RKJ$11,Assumptions!$B$35:$H$35,_xlfn.XLOOKUP($C28,Assumptions!$B$36:$B$41,Assumptions!$B$36:$H$41))</f>
        <v>0</v>
      </c>
      <c r="RKK28">
        <f t="array" ref="RKK28">_xlfn.XLOOKUP(RKK$11,Assumptions!$B$35:$H$35,_xlfn.XLOOKUP($C28,Assumptions!$B$36:$B$41,Assumptions!$B$36:$H$41))</f>
        <v>0</v>
      </c>
      <c r="RKL28">
        <f t="array" ref="RKL28">_xlfn.XLOOKUP(RKL$11,Assumptions!$B$35:$H$35,_xlfn.XLOOKUP($C28,Assumptions!$B$36:$B$41,Assumptions!$B$36:$H$41))</f>
        <v>0</v>
      </c>
      <c r="RKM28">
        <f t="array" ref="RKM28">_xlfn.XLOOKUP(RKM$11,Assumptions!$B$35:$H$35,_xlfn.XLOOKUP($C28,Assumptions!$B$36:$B$41,Assumptions!$B$36:$H$41))</f>
        <v>0</v>
      </c>
      <c r="RKN28">
        <f t="array" ref="RKN28">_xlfn.XLOOKUP(RKN$11,Assumptions!$B$35:$H$35,_xlfn.XLOOKUP($C28,Assumptions!$B$36:$B$41,Assumptions!$B$36:$H$41))</f>
        <v>0</v>
      </c>
      <c r="RKO28">
        <f t="array" ref="RKO28">_xlfn.XLOOKUP(RKO$11,Assumptions!$B$35:$H$35,_xlfn.XLOOKUP($C28,Assumptions!$B$36:$B$41,Assumptions!$B$36:$H$41))</f>
        <v>0</v>
      </c>
      <c r="RKP28">
        <f t="array" ref="RKP28">_xlfn.XLOOKUP(RKP$11,Assumptions!$B$35:$H$35,_xlfn.XLOOKUP($C28,Assumptions!$B$36:$B$41,Assumptions!$B$36:$H$41))</f>
        <v>0</v>
      </c>
      <c r="RKQ28">
        <f t="array" ref="RKQ28">_xlfn.XLOOKUP(RKQ$11,Assumptions!$B$35:$H$35,_xlfn.XLOOKUP($C28,Assumptions!$B$36:$B$41,Assumptions!$B$36:$H$41))</f>
        <v>0</v>
      </c>
      <c r="RKR28">
        <f t="array" ref="RKR28">_xlfn.XLOOKUP(RKR$11,Assumptions!$B$35:$H$35,_xlfn.XLOOKUP($C28,Assumptions!$B$36:$B$41,Assumptions!$B$36:$H$41))</f>
        <v>0</v>
      </c>
      <c r="RKS28">
        <f t="array" ref="RKS28">_xlfn.XLOOKUP(RKS$11,Assumptions!$B$35:$H$35,_xlfn.XLOOKUP($C28,Assumptions!$B$36:$B$41,Assumptions!$B$36:$H$41))</f>
        <v>0</v>
      </c>
      <c r="RKT28">
        <f t="array" ref="RKT28">_xlfn.XLOOKUP(RKT$11,Assumptions!$B$35:$H$35,_xlfn.XLOOKUP($C28,Assumptions!$B$36:$B$41,Assumptions!$B$36:$H$41))</f>
        <v>0</v>
      </c>
      <c r="RKU28">
        <f t="array" ref="RKU28">_xlfn.XLOOKUP(RKU$11,Assumptions!$B$35:$H$35,_xlfn.XLOOKUP($C28,Assumptions!$B$36:$B$41,Assumptions!$B$36:$H$41))</f>
        <v>0</v>
      </c>
      <c r="RKV28">
        <f t="array" ref="RKV28">_xlfn.XLOOKUP(RKV$11,Assumptions!$B$35:$H$35,_xlfn.XLOOKUP($C28,Assumptions!$B$36:$B$41,Assumptions!$B$36:$H$41))</f>
        <v>0</v>
      </c>
      <c r="RKW28">
        <f t="array" ref="RKW28">_xlfn.XLOOKUP(RKW$11,Assumptions!$B$35:$H$35,_xlfn.XLOOKUP($C28,Assumptions!$B$36:$B$41,Assumptions!$B$36:$H$41))</f>
        <v>0</v>
      </c>
      <c r="RKX28">
        <f t="array" ref="RKX28">_xlfn.XLOOKUP(RKX$11,Assumptions!$B$35:$H$35,_xlfn.XLOOKUP($C28,Assumptions!$B$36:$B$41,Assumptions!$B$36:$H$41))</f>
        <v>0</v>
      </c>
      <c r="RKY28">
        <f t="array" ref="RKY28">_xlfn.XLOOKUP(RKY$11,Assumptions!$B$35:$H$35,_xlfn.XLOOKUP($C28,Assumptions!$B$36:$B$41,Assumptions!$B$36:$H$41))</f>
        <v>0</v>
      </c>
      <c r="RKZ28">
        <f t="array" ref="RKZ28">_xlfn.XLOOKUP(RKZ$11,Assumptions!$B$35:$H$35,_xlfn.XLOOKUP($C28,Assumptions!$B$36:$B$41,Assumptions!$B$36:$H$41))</f>
        <v>0</v>
      </c>
      <c r="RLA28">
        <f t="array" ref="RLA28">_xlfn.XLOOKUP(RLA$11,Assumptions!$B$35:$H$35,_xlfn.XLOOKUP($C28,Assumptions!$B$36:$B$41,Assumptions!$B$36:$H$41))</f>
        <v>0</v>
      </c>
      <c r="RLB28">
        <f t="array" ref="RLB28">_xlfn.XLOOKUP(RLB$11,Assumptions!$B$35:$H$35,_xlfn.XLOOKUP($C28,Assumptions!$B$36:$B$41,Assumptions!$B$36:$H$41))</f>
        <v>0</v>
      </c>
      <c r="RLC28">
        <f t="array" ref="RLC28">_xlfn.XLOOKUP(RLC$11,Assumptions!$B$35:$H$35,_xlfn.XLOOKUP($C28,Assumptions!$B$36:$B$41,Assumptions!$B$36:$H$41))</f>
        <v>0</v>
      </c>
      <c r="RLD28">
        <f t="array" ref="RLD28">_xlfn.XLOOKUP(RLD$11,Assumptions!$B$35:$H$35,_xlfn.XLOOKUP($C28,Assumptions!$B$36:$B$41,Assumptions!$B$36:$H$41))</f>
        <v>0</v>
      </c>
      <c r="RLE28">
        <f t="array" ref="RLE28">_xlfn.XLOOKUP(RLE$11,Assumptions!$B$35:$H$35,_xlfn.XLOOKUP($C28,Assumptions!$B$36:$B$41,Assumptions!$B$36:$H$41))</f>
        <v>0</v>
      </c>
      <c r="RLF28">
        <f t="array" ref="RLF28">_xlfn.XLOOKUP(RLF$11,Assumptions!$B$35:$H$35,_xlfn.XLOOKUP($C28,Assumptions!$B$36:$B$41,Assumptions!$B$36:$H$41))</f>
        <v>0</v>
      </c>
      <c r="RLG28">
        <f t="array" ref="RLG28">_xlfn.XLOOKUP(RLG$11,Assumptions!$B$35:$H$35,_xlfn.XLOOKUP($C28,Assumptions!$B$36:$B$41,Assumptions!$B$36:$H$41))</f>
        <v>0</v>
      </c>
      <c r="RLH28">
        <f t="array" ref="RLH28">_xlfn.XLOOKUP(RLH$11,Assumptions!$B$35:$H$35,_xlfn.XLOOKUP($C28,Assumptions!$B$36:$B$41,Assumptions!$B$36:$H$41))</f>
        <v>0</v>
      </c>
      <c r="RLI28">
        <f t="array" ref="RLI28">_xlfn.XLOOKUP(RLI$11,Assumptions!$B$35:$H$35,_xlfn.XLOOKUP($C28,Assumptions!$B$36:$B$41,Assumptions!$B$36:$H$41))</f>
        <v>0</v>
      </c>
      <c r="RLJ28">
        <f t="array" ref="RLJ28">_xlfn.XLOOKUP(RLJ$11,Assumptions!$B$35:$H$35,_xlfn.XLOOKUP($C28,Assumptions!$B$36:$B$41,Assumptions!$B$36:$H$41))</f>
        <v>0</v>
      </c>
      <c r="RLK28">
        <f t="array" ref="RLK28">_xlfn.XLOOKUP(RLK$11,Assumptions!$B$35:$H$35,_xlfn.XLOOKUP($C28,Assumptions!$B$36:$B$41,Assumptions!$B$36:$H$41))</f>
        <v>0</v>
      </c>
      <c r="RLL28">
        <f t="array" ref="RLL28">_xlfn.XLOOKUP(RLL$11,Assumptions!$B$35:$H$35,_xlfn.XLOOKUP($C28,Assumptions!$B$36:$B$41,Assumptions!$B$36:$H$41))</f>
        <v>0</v>
      </c>
      <c r="RLM28">
        <f t="array" ref="RLM28">_xlfn.XLOOKUP(RLM$11,Assumptions!$B$35:$H$35,_xlfn.XLOOKUP($C28,Assumptions!$B$36:$B$41,Assumptions!$B$36:$H$41))</f>
        <v>0</v>
      </c>
      <c r="RLN28">
        <f t="array" ref="RLN28">_xlfn.XLOOKUP(RLN$11,Assumptions!$B$35:$H$35,_xlfn.XLOOKUP($C28,Assumptions!$B$36:$B$41,Assumptions!$B$36:$H$41))</f>
        <v>0</v>
      </c>
      <c r="RLO28">
        <f t="array" ref="RLO28">_xlfn.XLOOKUP(RLO$11,Assumptions!$B$35:$H$35,_xlfn.XLOOKUP($C28,Assumptions!$B$36:$B$41,Assumptions!$B$36:$H$41))</f>
        <v>0</v>
      </c>
      <c r="RLP28">
        <f t="array" ref="RLP28">_xlfn.XLOOKUP(RLP$11,Assumptions!$B$35:$H$35,_xlfn.XLOOKUP($C28,Assumptions!$B$36:$B$41,Assumptions!$B$36:$H$41))</f>
        <v>0</v>
      </c>
      <c r="RLQ28">
        <f t="array" ref="RLQ28">_xlfn.XLOOKUP(RLQ$11,Assumptions!$B$35:$H$35,_xlfn.XLOOKUP($C28,Assumptions!$B$36:$B$41,Assumptions!$B$36:$H$41))</f>
        <v>0</v>
      </c>
      <c r="RLR28">
        <f t="array" ref="RLR28">_xlfn.XLOOKUP(RLR$11,Assumptions!$B$35:$H$35,_xlfn.XLOOKUP($C28,Assumptions!$B$36:$B$41,Assumptions!$B$36:$H$41))</f>
        <v>0</v>
      </c>
      <c r="RLS28">
        <f t="array" ref="RLS28">_xlfn.XLOOKUP(RLS$11,Assumptions!$B$35:$H$35,_xlfn.XLOOKUP($C28,Assumptions!$B$36:$B$41,Assumptions!$B$36:$H$41))</f>
        <v>0</v>
      </c>
      <c r="RLT28">
        <f t="array" ref="RLT28">_xlfn.XLOOKUP(RLT$11,Assumptions!$B$35:$H$35,_xlfn.XLOOKUP($C28,Assumptions!$B$36:$B$41,Assumptions!$B$36:$H$41))</f>
        <v>0</v>
      </c>
      <c r="RLU28">
        <f t="array" ref="RLU28">_xlfn.XLOOKUP(RLU$11,Assumptions!$B$35:$H$35,_xlfn.XLOOKUP($C28,Assumptions!$B$36:$B$41,Assumptions!$B$36:$H$41))</f>
        <v>0</v>
      </c>
      <c r="RLV28">
        <f t="array" ref="RLV28">_xlfn.XLOOKUP(RLV$11,Assumptions!$B$35:$H$35,_xlfn.XLOOKUP($C28,Assumptions!$B$36:$B$41,Assumptions!$B$36:$H$41))</f>
        <v>0</v>
      </c>
      <c r="RLW28">
        <f t="array" ref="RLW28">_xlfn.XLOOKUP(RLW$11,Assumptions!$B$35:$H$35,_xlfn.XLOOKUP($C28,Assumptions!$B$36:$B$41,Assumptions!$B$36:$H$41))</f>
        <v>0</v>
      </c>
      <c r="RLX28">
        <f t="array" ref="RLX28">_xlfn.XLOOKUP(RLX$11,Assumptions!$B$35:$H$35,_xlfn.XLOOKUP($C28,Assumptions!$B$36:$B$41,Assumptions!$B$36:$H$41))</f>
        <v>0</v>
      </c>
      <c r="RLY28">
        <f t="array" ref="RLY28">_xlfn.XLOOKUP(RLY$11,Assumptions!$B$35:$H$35,_xlfn.XLOOKUP($C28,Assumptions!$B$36:$B$41,Assumptions!$B$36:$H$41))</f>
        <v>0</v>
      </c>
      <c r="RLZ28">
        <f t="array" ref="RLZ28">_xlfn.XLOOKUP(RLZ$11,Assumptions!$B$35:$H$35,_xlfn.XLOOKUP($C28,Assumptions!$B$36:$B$41,Assumptions!$B$36:$H$41))</f>
        <v>0</v>
      </c>
      <c r="RMA28">
        <f t="array" ref="RMA28">_xlfn.XLOOKUP(RMA$11,Assumptions!$B$35:$H$35,_xlfn.XLOOKUP($C28,Assumptions!$B$36:$B$41,Assumptions!$B$36:$H$41))</f>
        <v>0</v>
      </c>
      <c r="RMB28">
        <f t="array" ref="RMB28">_xlfn.XLOOKUP(RMB$11,Assumptions!$B$35:$H$35,_xlfn.XLOOKUP($C28,Assumptions!$B$36:$B$41,Assumptions!$B$36:$H$41))</f>
        <v>0</v>
      </c>
      <c r="RMC28">
        <f t="array" ref="RMC28">_xlfn.XLOOKUP(RMC$11,Assumptions!$B$35:$H$35,_xlfn.XLOOKUP($C28,Assumptions!$B$36:$B$41,Assumptions!$B$36:$H$41))</f>
        <v>0</v>
      </c>
      <c r="RMD28">
        <f t="array" ref="RMD28">_xlfn.XLOOKUP(RMD$11,Assumptions!$B$35:$H$35,_xlfn.XLOOKUP($C28,Assumptions!$B$36:$B$41,Assumptions!$B$36:$H$41))</f>
        <v>0</v>
      </c>
      <c r="RME28">
        <f t="array" ref="RME28">_xlfn.XLOOKUP(RME$11,Assumptions!$B$35:$H$35,_xlfn.XLOOKUP($C28,Assumptions!$B$36:$B$41,Assumptions!$B$36:$H$41))</f>
        <v>0</v>
      </c>
      <c r="RMF28">
        <f t="array" ref="RMF28">_xlfn.XLOOKUP(RMF$11,Assumptions!$B$35:$H$35,_xlfn.XLOOKUP($C28,Assumptions!$B$36:$B$41,Assumptions!$B$36:$H$41))</f>
        <v>0</v>
      </c>
      <c r="RMG28">
        <f t="array" ref="RMG28">_xlfn.XLOOKUP(RMG$11,Assumptions!$B$35:$H$35,_xlfn.XLOOKUP($C28,Assumptions!$B$36:$B$41,Assumptions!$B$36:$H$41))</f>
        <v>0</v>
      </c>
      <c r="RMH28">
        <f t="array" ref="RMH28">_xlfn.XLOOKUP(RMH$11,Assumptions!$B$35:$H$35,_xlfn.XLOOKUP($C28,Assumptions!$B$36:$B$41,Assumptions!$B$36:$H$41))</f>
        <v>0</v>
      </c>
      <c r="RMI28">
        <f t="array" ref="RMI28">_xlfn.XLOOKUP(RMI$11,Assumptions!$B$35:$H$35,_xlfn.XLOOKUP($C28,Assumptions!$B$36:$B$41,Assumptions!$B$36:$H$41))</f>
        <v>0</v>
      </c>
      <c r="RMJ28">
        <f t="array" ref="RMJ28">_xlfn.XLOOKUP(RMJ$11,Assumptions!$B$35:$H$35,_xlfn.XLOOKUP($C28,Assumptions!$B$36:$B$41,Assumptions!$B$36:$H$41))</f>
        <v>0</v>
      </c>
      <c r="RMK28">
        <f t="array" ref="RMK28">_xlfn.XLOOKUP(RMK$11,Assumptions!$B$35:$H$35,_xlfn.XLOOKUP($C28,Assumptions!$B$36:$B$41,Assumptions!$B$36:$H$41))</f>
        <v>0</v>
      </c>
      <c r="RML28">
        <f t="array" ref="RML28">_xlfn.XLOOKUP(RML$11,Assumptions!$B$35:$H$35,_xlfn.XLOOKUP($C28,Assumptions!$B$36:$B$41,Assumptions!$B$36:$H$41))</f>
        <v>0</v>
      </c>
      <c r="RMM28">
        <f t="array" ref="RMM28">_xlfn.XLOOKUP(RMM$11,Assumptions!$B$35:$H$35,_xlfn.XLOOKUP($C28,Assumptions!$B$36:$B$41,Assumptions!$B$36:$H$41))</f>
        <v>0</v>
      </c>
      <c r="RMN28">
        <f t="array" ref="RMN28">_xlfn.XLOOKUP(RMN$11,Assumptions!$B$35:$H$35,_xlfn.XLOOKUP($C28,Assumptions!$B$36:$B$41,Assumptions!$B$36:$H$41))</f>
        <v>0</v>
      </c>
      <c r="RMO28">
        <f t="array" ref="RMO28">_xlfn.XLOOKUP(RMO$11,Assumptions!$B$35:$H$35,_xlfn.XLOOKUP($C28,Assumptions!$B$36:$B$41,Assumptions!$B$36:$H$41))</f>
        <v>0</v>
      </c>
      <c r="RMP28">
        <f t="array" ref="RMP28">_xlfn.XLOOKUP(RMP$11,Assumptions!$B$35:$H$35,_xlfn.XLOOKUP($C28,Assumptions!$B$36:$B$41,Assumptions!$B$36:$H$41))</f>
        <v>0</v>
      </c>
      <c r="RMQ28">
        <f t="array" ref="RMQ28">_xlfn.XLOOKUP(RMQ$11,Assumptions!$B$35:$H$35,_xlfn.XLOOKUP($C28,Assumptions!$B$36:$B$41,Assumptions!$B$36:$H$41))</f>
        <v>0</v>
      </c>
      <c r="RMR28">
        <f t="array" ref="RMR28">_xlfn.XLOOKUP(RMR$11,Assumptions!$B$35:$H$35,_xlfn.XLOOKUP($C28,Assumptions!$B$36:$B$41,Assumptions!$B$36:$H$41))</f>
        <v>0</v>
      </c>
      <c r="RMS28">
        <f t="array" ref="RMS28">_xlfn.XLOOKUP(RMS$11,Assumptions!$B$35:$H$35,_xlfn.XLOOKUP($C28,Assumptions!$B$36:$B$41,Assumptions!$B$36:$H$41))</f>
        <v>0</v>
      </c>
      <c r="RMT28">
        <f t="array" ref="RMT28">_xlfn.XLOOKUP(RMT$11,Assumptions!$B$35:$H$35,_xlfn.XLOOKUP($C28,Assumptions!$B$36:$B$41,Assumptions!$B$36:$H$41))</f>
        <v>0</v>
      </c>
      <c r="RMU28">
        <f t="array" ref="RMU28">_xlfn.XLOOKUP(RMU$11,Assumptions!$B$35:$H$35,_xlfn.XLOOKUP($C28,Assumptions!$B$36:$B$41,Assumptions!$B$36:$H$41))</f>
        <v>0</v>
      </c>
      <c r="RMV28">
        <f t="array" ref="RMV28">_xlfn.XLOOKUP(RMV$11,Assumptions!$B$35:$H$35,_xlfn.XLOOKUP($C28,Assumptions!$B$36:$B$41,Assumptions!$B$36:$H$41))</f>
        <v>0</v>
      </c>
      <c r="RMW28">
        <f t="array" ref="RMW28">_xlfn.XLOOKUP(RMW$11,Assumptions!$B$35:$H$35,_xlfn.XLOOKUP($C28,Assumptions!$B$36:$B$41,Assumptions!$B$36:$H$41))</f>
        <v>0</v>
      </c>
      <c r="RMX28">
        <f t="array" ref="RMX28">_xlfn.XLOOKUP(RMX$11,Assumptions!$B$35:$H$35,_xlfn.XLOOKUP($C28,Assumptions!$B$36:$B$41,Assumptions!$B$36:$H$41))</f>
        <v>0</v>
      </c>
      <c r="RMY28">
        <f t="array" ref="RMY28">_xlfn.XLOOKUP(RMY$11,Assumptions!$B$35:$H$35,_xlfn.XLOOKUP($C28,Assumptions!$B$36:$B$41,Assumptions!$B$36:$H$41))</f>
        <v>0</v>
      </c>
      <c r="RMZ28">
        <f t="array" ref="RMZ28">_xlfn.XLOOKUP(RMZ$11,Assumptions!$B$35:$H$35,_xlfn.XLOOKUP($C28,Assumptions!$B$36:$B$41,Assumptions!$B$36:$H$41))</f>
        <v>0</v>
      </c>
      <c r="RNA28">
        <f t="array" ref="RNA28">_xlfn.XLOOKUP(RNA$11,Assumptions!$B$35:$H$35,_xlfn.XLOOKUP($C28,Assumptions!$B$36:$B$41,Assumptions!$B$36:$H$41))</f>
        <v>0</v>
      </c>
      <c r="RNB28">
        <f t="array" ref="RNB28">_xlfn.XLOOKUP(RNB$11,Assumptions!$B$35:$H$35,_xlfn.XLOOKUP($C28,Assumptions!$B$36:$B$41,Assumptions!$B$36:$H$41))</f>
        <v>0</v>
      </c>
      <c r="RNC28">
        <f t="array" ref="RNC28">_xlfn.XLOOKUP(RNC$11,Assumptions!$B$35:$H$35,_xlfn.XLOOKUP($C28,Assumptions!$B$36:$B$41,Assumptions!$B$36:$H$41))</f>
        <v>0</v>
      </c>
      <c r="RND28">
        <f t="array" ref="RND28">_xlfn.XLOOKUP(RND$11,Assumptions!$B$35:$H$35,_xlfn.XLOOKUP($C28,Assumptions!$B$36:$B$41,Assumptions!$B$36:$H$41))</f>
        <v>0</v>
      </c>
      <c r="RNE28">
        <f t="array" ref="RNE28">_xlfn.XLOOKUP(RNE$11,Assumptions!$B$35:$H$35,_xlfn.XLOOKUP($C28,Assumptions!$B$36:$B$41,Assumptions!$B$36:$H$41))</f>
        <v>0</v>
      </c>
      <c r="RNF28">
        <f t="array" ref="RNF28">_xlfn.XLOOKUP(RNF$11,Assumptions!$B$35:$H$35,_xlfn.XLOOKUP($C28,Assumptions!$B$36:$B$41,Assumptions!$B$36:$H$41))</f>
        <v>0</v>
      </c>
      <c r="RNG28">
        <f t="array" ref="RNG28">_xlfn.XLOOKUP(RNG$11,Assumptions!$B$35:$H$35,_xlfn.XLOOKUP($C28,Assumptions!$B$36:$B$41,Assumptions!$B$36:$H$41))</f>
        <v>0</v>
      </c>
      <c r="RNH28">
        <f t="array" ref="RNH28">_xlfn.XLOOKUP(RNH$11,Assumptions!$B$35:$H$35,_xlfn.XLOOKUP($C28,Assumptions!$B$36:$B$41,Assumptions!$B$36:$H$41))</f>
        <v>0</v>
      </c>
      <c r="RNI28">
        <f t="array" ref="RNI28">_xlfn.XLOOKUP(RNI$11,Assumptions!$B$35:$H$35,_xlfn.XLOOKUP($C28,Assumptions!$B$36:$B$41,Assumptions!$B$36:$H$41))</f>
        <v>0</v>
      </c>
      <c r="RNJ28">
        <f t="array" ref="RNJ28">_xlfn.XLOOKUP(RNJ$11,Assumptions!$B$35:$H$35,_xlfn.XLOOKUP($C28,Assumptions!$B$36:$B$41,Assumptions!$B$36:$H$41))</f>
        <v>0</v>
      </c>
      <c r="RNK28">
        <f t="array" ref="RNK28">_xlfn.XLOOKUP(RNK$11,Assumptions!$B$35:$H$35,_xlfn.XLOOKUP($C28,Assumptions!$B$36:$B$41,Assumptions!$B$36:$H$41))</f>
        <v>0</v>
      </c>
      <c r="RNL28">
        <f t="array" ref="RNL28">_xlfn.XLOOKUP(RNL$11,Assumptions!$B$35:$H$35,_xlfn.XLOOKUP($C28,Assumptions!$B$36:$B$41,Assumptions!$B$36:$H$41))</f>
        <v>0</v>
      </c>
      <c r="RNM28">
        <f t="array" ref="RNM28">_xlfn.XLOOKUP(RNM$11,Assumptions!$B$35:$H$35,_xlfn.XLOOKUP($C28,Assumptions!$B$36:$B$41,Assumptions!$B$36:$H$41))</f>
        <v>0</v>
      </c>
      <c r="RNN28">
        <f t="array" ref="RNN28">_xlfn.XLOOKUP(RNN$11,Assumptions!$B$35:$H$35,_xlfn.XLOOKUP($C28,Assumptions!$B$36:$B$41,Assumptions!$B$36:$H$41))</f>
        <v>0</v>
      </c>
      <c r="RNO28">
        <f t="array" ref="RNO28">_xlfn.XLOOKUP(RNO$11,Assumptions!$B$35:$H$35,_xlfn.XLOOKUP($C28,Assumptions!$B$36:$B$41,Assumptions!$B$36:$H$41))</f>
        <v>0</v>
      </c>
      <c r="RNP28">
        <f t="array" ref="RNP28">_xlfn.XLOOKUP(RNP$11,Assumptions!$B$35:$H$35,_xlfn.XLOOKUP($C28,Assumptions!$B$36:$B$41,Assumptions!$B$36:$H$41))</f>
        <v>0</v>
      </c>
      <c r="RNQ28">
        <f t="array" ref="RNQ28">_xlfn.XLOOKUP(RNQ$11,Assumptions!$B$35:$H$35,_xlfn.XLOOKUP($C28,Assumptions!$B$36:$B$41,Assumptions!$B$36:$H$41))</f>
        <v>0</v>
      </c>
      <c r="RNR28">
        <f t="array" ref="RNR28">_xlfn.XLOOKUP(RNR$11,Assumptions!$B$35:$H$35,_xlfn.XLOOKUP($C28,Assumptions!$B$36:$B$41,Assumptions!$B$36:$H$41))</f>
        <v>0</v>
      </c>
      <c r="RNS28">
        <f t="array" ref="RNS28">_xlfn.XLOOKUP(RNS$11,Assumptions!$B$35:$H$35,_xlfn.XLOOKUP($C28,Assumptions!$B$36:$B$41,Assumptions!$B$36:$H$41))</f>
        <v>0</v>
      </c>
      <c r="RNT28">
        <f t="array" ref="RNT28">_xlfn.XLOOKUP(RNT$11,Assumptions!$B$35:$H$35,_xlfn.XLOOKUP($C28,Assumptions!$B$36:$B$41,Assumptions!$B$36:$H$41))</f>
        <v>0</v>
      </c>
      <c r="RNU28">
        <f t="array" ref="RNU28">_xlfn.XLOOKUP(RNU$11,Assumptions!$B$35:$H$35,_xlfn.XLOOKUP($C28,Assumptions!$B$36:$B$41,Assumptions!$B$36:$H$41))</f>
        <v>0</v>
      </c>
      <c r="RNV28">
        <f t="array" ref="RNV28">_xlfn.XLOOKUP(RNV$11,Assumptions!$B$35:$H$35,_xlfn.XLOOKUP($C28,Assumptions!$B$36:$B$41,Assumptions!$B$36:$H$41))</f>
        <v>0</v>
      </c>
      <c r="RNW28">
        <f t="array" ref="RNW28">_xlfn.XLOOKUP(RNW$11,Assumptions!$B$35:$H$35,_xlfn.XLOOKUP($C28,Assumptions!$B$36:$B$41,Assumptions!$B$36:$H$41))</f>
        <v>0</v>
      </c>
      <c r="RNX28">
        <f t="array" ref="RNX28">_xlfn.XLOOKUP(RNX$11,Assumptions!$B$35:$H$35,_xlfn.XLOOKUP($C28,Assumptions!$B$36:$B$41,Assumptions!$B$36:$H$41))</f>
        <v>0</v>
      </c>
      <c r="RNY28">
        <f t="array" ref="RNY28">_xlfn.XLOOKUP(RNY$11,Assumptions!$B$35:$H$35,_xlfn.XLOOKUP($C28,Assumptions!$B$36:$B$41,Assumptions!$B$36:$H$41))</f>
        <v>0</v>
      </c>
      <c r="RNZ28">
        <f t="array" ref="RNZ28">_xlfn.XLOOKUP(RNZ$11,Assumptions!$B$35:$H$35,_xlfn.XLOOKUP($C28,Assumptions!$B$36:$B$41,Assumptions!$B$36:$H$41))</f>
        <v>0</v>
      </c>
      <c r="ROA28">
        <f t="array" ref="ROA28">_xlfn.XLOOKUP(ROA$11,Assumptions!$B$35:$H$35,_xlfn.XLOOKUP($C28,Assumptions!$B$36:$B$41,Assumptions!$B$36:$H$41))</f>
        <v>0</v>
      </c>
      <c r="ROB28">
        <f t="array" ref="ROB28">_xlfn.XLOOKUP(ROB$11,Assumptions!$B$35:$H$35,_xlfn.XLOOKUP($C28,Assumptions!$B$36:$B$41,Assumptions!$B$36:$H$41))</f>
        <v>0</v>
      </c>
      <c r="ROC28">
        <f t="array" ref="ROC28">_xlfn.XLOOKUP(ROC$11,Assumptions!$B$35:$H$35,_xlfn.XLOOKUP($C28,Assumptions!$B$36:$B$41,Assumptions!$B$36:$H$41))</f>
        <v>0</v>
      </c>
      <c r="ROD28">
        <f t="array" ref="ROD28">_xlfn.XLOOKUP(ROD$11,Assumptions!$B$35:$H$35,_xlfn.XLOOKUP($C28,Assumptions!$B$36:$B$41,Assumptions!$B$36:$H$41))</f>
        <v>0</v>
      </c>
      <c r="ROE28">
        <f t="array" ref="ROE28">_xlfn.XLOOKUP(ROE$11,Assumptions!$B$35:$H$35,_xlfn.XLOOKUP($C28,Assumptions!$B$36:$B$41,Assumptions!$B$36:$H$41))</f>
        <v>0</v>
      </c>
      <c r="ROF28">
        <f t="array" ref="ROF28">_xlfn.XLOOKUP(ROF$11,Assumptions!$B$35:$H$35,_xlfn.XLOOKUP($C28,Assumptions!$B$36:$B$41,Assumptions!$B$36:$H$41))</f>
        <v>0</v>
      </c>
      <c r="ROG28">
        <f t="array" ref="ROG28">_xlfn.XLOOKUP(ROG$11,Assumptions!$B$35:$H$35,_xlfn.XLOOKUP($C28,Assumptions!$B$36:$B$41,Assumptions!$B$36:$H$41))</f>
        <v>0</v>
      </c>
      <c r="ROH28">
        <f t="array" ref="ROH28">_xlfn.XLOOKUP(ROH$11,Assumptions!$B$35:$H$35,_xlfn.XLOOKUP($C28,Assumptions!$B$36:$B$41,Assumptions!$B$36:$H$41))</f>
        <v>0</v>
      </c>
      <c r="ROI28">
        <f t="array" ref="ROI28">_xlfn.XLOOKUP(ROI$11,Assumptions!$B$35:$H$35,_xlfn.XLOOKUP($C28,Assumptions!$B$36:$B$41,Assumptions!$B$36:$H$41))</f>
        <v>0</v>
      </c>
      <c r="ROJ28">
        <f t="array" ref="ROJ28">_xlfn.XLOOKUP(ROJ$11,Assumptions!$B$35:$H$35,_xlfn.XLOOKUP($C28,Assumptions!$B$36:$B$41,Assumptions!$B$36:$H$41))</f>
        <v>0</v>
      </c>
      <c r="ROK28">
        <f t="array" ref="ROK28">_xlfn.XLOOKUP(ROK$11,Assumptions!$B$35:$H$35,_xlfn.XLOOKUP($C28,Assumptions!$B$36:$B$41,Assumptions!$B$36:$H$41))</f>
        <v>0</v>
      </c>
      <c r="ROL28">
        <f t="array" ref="ROL28">_xlfn.XLOOKUP(ROL$11,Assumptions!$B$35:$H$35,_xlfn.XLOOKUP($C28,Assumptions!$B$36:$B$41,Assumptions!$B$36:$H$41))</f>
        <v>0</v>
      </c>
      <c r="ROM28">
        <f t="array" ref="ROM28">_xlfn.XLOOKUP(ROM$11,Assumptions!$B$35:$H$35,_xlfn.XLOOKUP($C28,Assumptions!$B$36:$B$41,Assumptions!$B$36:$H$41))</f>
        <v>0</v>
      </c>
      <c r="RON28">
        <f t="array" ref="RON28">_xlfn.XLOOKUP(RON$11,Assumptions!$B$35:$H$35,_xlfn.XLOOKUP($C28,Assumptions!$B$36:$B$41,Assumptions!$B$36:$H$41))</f>
        <v>0</v>
      </c>
      <c r="ROO28">
        <f t="array" ref="ROO28">_xlfn.XLOOKUP(ROO$11,Assumptions!$B$35:$H$35,_xlfn.XLOOKUP($C28,Assumptions!$B$36:$B$41,Assumptions!$B$36:$H$41))</f>
        <v>0</v>
      </c>
      <c r="ROP28">
        <f t="array" ref="ROP28">_xlfn.XLOOKUP(ROP$11,Assumptions!$B$35:$H$35,_xlfn.XLOOKUP($C28,Assumptions!$B$36:$B$41,Assumptions!$B$36:$H$41))</f>
        <v>0</v>
      </c>
      <c r="ROQ28">
        <f t="array" ref="ROQ28">_xlfn.XLOOKUP(ROQ$11,Assumptions!$B$35:$H$35,_xlfn.XLOOKUP($C28,Assumptions!$B$36:$B$41,Assumptions!$B$36:$H$41))</f>
        <v>0</v>
      </c>
      <c r="ROR28">
        <f t="array" ref="ROR28">_xlfn.XLOOKUP(ROR$11,Assumptions!$B$35:$H$35,_xlfn.XLOOKUP($C28,Assumptions!$B$36:$B$41,Assumptions!$B$36:$H$41))</f>
        <v>0</v>
      </c>
      <c r="ROS28">
        <f t="array" ref="ROS28">_xlfn.XLOOKUP(ROS$11,Assumptions!$B$35:$H$35,_xlfn.XLOOKUP($C28,Assumptions!$B$36:$B$41,Assumptions!$B$36:$H$41))</f>
        <v>0</v>
      </c>
      <c r="ROT28">
        <f t="array" ref="ROT28">_xlfn.XLOOKUP(ROT$11,Assumptions!$B$35:$H$35,_xlfn.XLOOKUP($C28,Assumptions!$B$36:$B$41,Assumptions!$B$36:$H$41))</f>
        <v>0</v>
      </c>
      <c r="ROU28">
        <f t="array" ref="ROU28">_xlfn.XLOOKUP(ROU$11,Assumptions!$B$35:$H$35,_xlfn.XLOOKUP($C28,Assumptions!$B$36:$B$41,Assumptions!$B$36:$H$41))</f>
        <v>0</v>
      </c>
      <c r="ROV28">
        <f t="array" ref="ROV28">_xlfn.XLOOKUP(ROV$11,Assumptions!$B$35:$H$35,_xlfn.XLOOKUP($C28,Assumptions!$B$36:$B$41,Assumptions!$B$36:$H$41))</f>
        <v>0</v>
      </c>
      <c r="ROW28">
        <f t="array" ref="ROW28">_xlfn.XLOOKUP(ROW$11,Assumptions!$B$35:$H$35,_xlfn.XLOOKUP($C28,Assumptions!$B$36:$B$41,Assumptions!$B$36:$H$41))</f>
        <v>0</v>
      </c>
      <c r="ROX28">
        <f t="array" ref="ROX28">_xlfn.XLOOKUP(ROX$11,Assumptions!$B$35:$H$35,_xlfn.XLOOKUP($C28,Assumptions!$B$36:$B$41,Assumptions!$B$36:$H$41))</f>
        <v>0</v>
      </c>
      <c r="ROY28">
        <f t="array" ref="ROY28">_xlfn.XLOOKUP(ROY$11,Assumptions!$B$35:$H$35,_xlfn.XLOOKUP($C28,Assumptions!$B$36:$B$41,Assumptions!$B$36:$H$41))</f>
        <v>0</v>
      </c>
      <c r="ROZ28">
        <f t="array" ref="ROZ28">_xlfn.XLOOKUP(ROZ$11,Assumptions!$B$35:$H$35,_xlfn.XLOOKUP($C28,Assumptions!$B$36:$B$41,Assumptions!$B$36:$H$41))</f>
        <v>0</v>
      </c>
      <c r="RPA28">
        <f t="array" ref="RPA28">_xlfn.XLOOKUP(RPA$11,Assumptions!$B$35:$H$35,_xlfn.XLOOKUP($C28,Assumptions!$B$36:$B$41,Assumptions!$B$36:$H$41))</f>
        <v>0</v>
      </c>
      <c r="RPB28">
        <f t="array" ref="RPB28">_xlfn.XLOOKUP(RPB$11,Assumptions!$B$35:$H$35,_xlfn.XLOOKUP($C28,Assumptions!$B$36:$B$41,Assumptions!$B$36:$H$41))</f>
        <v>0</v>
      </c>
      <c r="RPC28">
        <f t="array" ref="RPC28">_xlfn.XLOOKUP(RPC$11,Assumptions!$B$35:$H$35,_xlfn.XLOOKUP($C28,Assumptions!$B$36:$B$41,Assumptions!$B$36:$H$41))</f>
        <v>0</v>
      </c>
      <c r="RPD28">
        <f t="array" ref="RPD28">_xlfn.XLOOKUP(RPD$11,Assumptions!$B$35:$H$35,_xlfn.XLOOKUP($C28,Assumptions!$B$36:$B$41,Assumptions!$B$36:$H$41))</f>
        <v>0</v>
      </c>
      <c r="RPE28">
        <f t="array" ref="RPE28">_xlfn.XLOOKUP(RPE$11,Assumptions!$B$35:$H$35,_xlfn.XLOOKUP($C28,Assumptions!$B$36:$B$41,Assumptions!$B$36:$H$41))</f>
        <v>0</v>
      </c>
      <c r="RPF28">
        <f t="array" ref="RPF28">_xlfn.XLOOKUP(RPF$11,Assumptions!$B$35:$H$35,_xlfn.XLOOKUP($C28,Assumptions!$B$36:$B$41,Assumptions!$B$36:$H$41))</f>
        <v>0</v>
      </c>
      <c r="RPG28">
        <f t="array" ref="RPG28">_xlfn.XLOOKUP(RPG$11,Assumptions!$B$35:$H$35,_xlfn.XLOOKUP($C28,Assumptions!$B$36:$B$41,Assumptions!$B$36:$H$41))</f>
        <v>0</v>
      </c>
      <c r="RPH28">
        <f t="array" ref="RPH28">_xlfn.XLOOKUP(RPH$11,Assumptions!$B$35:$H$35,_xlfn.XLOOKUP($C28,Assumptions!$B$36:$B$41,Assumptions!$B$36:$H$41))</f>
        <v>0</v>
      </c>
      <c r="RPI28">
        <f t="array" ref="RPI28">_xlfn.XLOOKUP(RPI$11,Assumptions!$B$35:$H$35,_xlfn.XLOOKUP($C28,Assumptions!$B$36:$B$41,Assumptions!$B$36:$H$41))</f>
        <v>0</v>
      </c>
      <c r="RPJ28">
        <f t="array" ref="RPJ28">_xlfn.XLOOKUP(RPJ$11,Assumptions!$B$35:$H$35,_xlfn.XLOOKUP($C28,Assumptions!$B$36:$B$41,Assumptions!$B$36:$H$41))</f>
        <v>0</v>
      </c>
      <c r="RPK28">
        <f t="array" ref="RPK28">_xlfn.XLOOKUP(RPK$11,Assumptions!$B$35:$H$35,_xlfn.XLOOKUP($C28,Assumptions!$B$36:$B$41,Assumptions!$B$36:$H$41))</f>
        <v>0</v>
      </c>
      <c r="RPL28">
        <f t="array" ref="RPL28">_xlfn.XLOOKUP(RPL$11,Assumptions!$B$35:$H$35,_xlfn.XLOOKUP($C28,Assumptions!$B$36:$B$41,Assumptions!$B$36:$H$41))</f>
        <v>0</v>
      </c>
      <c r="RPM28">
        <f t="array" ref="RPM28">_xlfn.XLOOKUP(RPM$11,Assumptions!$B$35:$H$35,_xlfn.XLOOKUP($C28,Assumptions!$B$36:$B$41,Assumptions!$B$36:$H$41))</f>
        <v>0</v>
      </c>
      <c r="RPN28">
        <f t="array" ref="RPN28">_xlfn.XLOOKUP(RPN$11,Assumptions!$B$35:$H$35,_xlfn.XLOOKUP($C28,Assumptions!$B$36:$B$41,Assumptions!$B$36:$H$41))</f>
        <v>0</v>
      </c>
      <c r="RPO28">
        <f t="array" ref="RPO28">_xlfn.XLOOKUP(RPO$11,Assumptions!$B$35:$H$35,_xlfn.XLOOKUP($C28,Assumptions!$B$36:$B$41,Assumptions!$B$36:$H$41))</f>
        <v>0</v>
      </c>
      <c r="RPP28">
        <f t="array" ref="RPP28">_xlfn.XLOOKUP(RPP$11,Assumptions!$B$35:$H$35,_xlfn.XLOOKUP($C28,Assumptions!$B$36:$B$41,Assumptions!$B$36:$H$41))</f>
        <v>0</v>
      </c>
      <c r="RPQ28">
        <f t="array" ref="RPQ28">_xlfn.XLOOKUP(RPQ$11,Assumptions!$B$35:$H$35,_xlfn.XLOOKUP($C28,Assumptions!$B$36:$B$41,Assumptions!$B$36:$H$41))</f>
        <v>0</v>
      </c>
      <c r="RPR28">
        <f t="array" ref="RPR28">_xlfn.XLOOKUP(RPR$11,Assumptions!$B$35:$H$35,_xlfn.XLOOKUP($C28,Assumptions!$B$36:$B$41,Assumptions!$B$36:$H$41))</f>
        <v>0</v>
      </c>
      <c r="RPS28">
        <f t="array" ref="RPS28">_xlfn.XLOOKUP(RPS$11,Assumptions!$B$35:$H$35,_xlfn.XLOOKUP($C28,Assumptions!$B$36:$B$41,Assumptions!$B$36:$H$41))</f>
        <v>0</v>
      </c>
      <c r="RPT28">
        <f t="array" ref="RPT28">_xlfn.XLOOKUP(RPT$11,Assumptions!$B$35:$H$35,_xlfn.XLOOKUP($C28,Assumptions!$B$36:$B$41,Assumptions!$B$36:$H$41))</f>
        <v>0</v>
      </c>
      <c r="RPU28">
        <f t="array" ref="RPU28">_xlfn.XLOOKUP(RPU$11,Assumptions!$B$35:$H$35,_xlfn.XLOOKUP($C28,Assumptions!$B$36:$B$41,Assumptions!$B$36:$H$41))</f>
        <v>0</v>
      </c>
      <c r="RPV28">
        <f t="array" ref="RPV28">_xlfn.XLOOKUP(RPV$11,Assumptions!$B$35:$H$35,_xlfn.XLOOKUP($C28,Assumptions!$B$36:$B$41,Assumptions!$B$36:$H$41))</f>
        <v>0</v>
      </c>
      <c r="RPW28">
        <f t="array" ref="RPW28">_xlfn.XLOOKUP(RPW$11,Assumptions!$B$35:$H$35,_xlfn.XLOOKUP($C28,Assumptions!$B$36:$B$41,Assumptions!$B$36:$H$41))</f>
        <v>0</v>
      </c>
      <c r="RPX28">
        <f t="array" ref="RPX28">_xlfn.XLOOKUP(RPX$11,Assumptions!$B$35:$H$35,_xlfn.XLOOKUP($C28,Assumptions!$B$36:$B$41,Assumptions!$B$36:$H$41))</f>
        <v>0</v>
      </c>
      <c r="RPY28">
        <f t="array" ref="RPY28">_xlfn.XLOOKUP(RPY$11,Assumptions!$B$35:$H$35,_xlfn.XLOOKUP($C28,Assumptions!$B$36:$B$41,Assumptions!$B$36:$H$41))</f>
        <v>0</v>
      </c>
      <c r="RPZ28">
        <f t="array" ref="RPZ28">_xlfn.XLOOKUP(RPZ$11,Assumptions!$B$35:$H$35,_xlfn.XLOOKUP($C28,Assumptions!$B$36:$B$41,Assumptions!$B$36:$H$41))</f>
        <v>0</v>
      </c>
      <c r="RQA28">
        <f t="array" ref="RQA28">_xlfn.XLOOKUP(RQA$11,Assumptions!$B$35:$H$35,_xlfn.XLOOKUP($C28,Assumptions!$B$36:$B$41,Assumptions!$B$36:$H$41))</f>
        <v>0</v>
      </c>
      <c r="RQB28">
        <f t="array" ref="RQB28">_xlfn.XLOOKUP(RQB$11,Assumptions!$B$35:$H$35,_xlfn.XLOOKUP($C28,Assumptions!$B$36:$B$41,Assumptions!$B$36:$H$41))</f>
        <v>0</v>
      </c>
      <c r="RQC28">
        <f t="array" ref="RQC28">_xlfn.XLOOKUP(RQC$11,Assumptions!$B$35:$H$35,_xlfn.XLOOKUP($C28,Assumptions!$B$36:$B$41,Assumptions!$B$36:$H$41))</f>
        <v>0</v>
      </c>
      <c r="RQD28">
        <f t="array" ref="RQD28">_xlfn.XLOOKUP(RQD$11,Assumptions!$B$35:$H$35,_xlfn.XLOOKUP($C28,Assumptions!$B$36:$B$41,Assumptions!$B$36:$H$41))</f>
        <v>0</v>
      </c>
      <c r="RQE28">
        <f t="array" ref="RQE28">_xlfn.XLOOKUP(RQE$11,Assumptions!$B$35:$H$35,_xlfn.XLOOKUP($C28,Assumptions!$B$36:$B$41,Assumptions!$B$36:$H$41))</f>
        <v>0</v>
      </c>
      <c r="RQF28">
        <f t="array" ref="RQF28">_xlfn.XLOOKUP(RQF$11,Assumptions!$B$35:$H$35,_xlfn.XLOOKUP($C28,Assumptions!$B$36:$B$41,Assumptions!$B$36:$H$41))</f>
        <v>0</v>
      </c>
      <c r="RQG28">
        <f t="array" ref="RQG28">_xlfn.XLOOKUP(RQG$11,Assumptions!$B$35:$H$35,_xlfn.XLOOKUP($C28,Assumptions!$B$36:$B$41,Assumptions!$B$36:$H$41))</f>
        <v>0</v>
      </c>
      <c r="RQH28">
        <f t="array" ref="RQH28">_xlfn.XLOOKUP(RQH$11,Assumptions!$B$35:$H$35,_xlfn.XLOOKUP($C28,Assumptions!$B$36:$B$41,Assumptions!$B$36:$H$41))</f>
        <v>0</v>
      </c>
      <c r="RQI28">
        <f t="array" ref="RQI28">_xlfn.XLOOKUP(RQI$11,Assumptions!$B$35:$H$35,_xlfn.XLOOKUP($C28,Assumptions!$B$36:$B$41,Assumptions!$B$36:$H$41))</f>
        <v>0</v>
      </c>
      <c r="RQJ28">
        <f t="array" ref="RQJ28">_xlfn.XLOOKUP(RQJ$11,Assumptions!$B$35:$H$35,_xlfn.XLOOKUP($C28,Assumptions!$B$36:$B$41,Assumptions!$B$36:$H$41))</f>
        <v>0</v>
      </c>
      <c r="RQK28">
        <f t="array" ref="RQK28">_xlfn.XLOOKUP(RQK$11,Assumptions!$B$35:$H$35,_xlfn.XLOOKUP($C28,Assumptions!$B$36:$B$41,Assumptions!$B$36:$H$41))</f>
        <v>0</v>
      </c>
      <c r="RQL28">
        <f t="array" ref="RQL28">_xlfn.XLOOKUP(RQL$11,Assumptions!$B$35:$H$35,_xlfn.XLOOKUP($C28,Assumptions!$B$36:$B$41,Assumptions!$B$36:$H$41))</f>
        <v>0</v>
      </c>
      <c r="RQM28">
        <f t="array" ref="RQM28">_xlfn.XLOOKUP(RQM$11,Assumptions!$B$35:$H$35,_xlfn.XLOOKUP($C28,Assumptions!$B$36:$B$41,Assumptions!$B$36:$H$41))</f>
        <v>0</v>
      </c>
      <c r="RQN28">
        <f t="array" ref="RQN28">_xlfn.XLOOKUP(RQN$11,Assumptions!$B$35:$H$35,_xlfn.XLOOKUP($C28,Assumptions!$B$36:$B$41,Assumptions!$B$36:$H$41))</f>
        <v>0</v>
      </c>
      <c r="RQO28">
        <f t="array" ref="RQO28">_xlfn.XLOOKUP(RQO$11,Assumptions!$B$35:$H$35,_xlfn.XLOOKUP($C28,Assumptions!$B$36:$B$41,Assumptions!$B$36:$H$41))</f>
        <v>0</v>
      </c>
      <c r="RQP28">
        <f t="array" ref="RQP28">_xlfn.XLOOKUP(RQP$11,Assumptions!$B$35:$H$35,_xlfn.XLOOKUP($C28,Assumptions!$B$36:$B$41,Assumptions!$B$36:$H$41))</f>
        <v>0</v>
      </c>
      <c r="RQQ28">
        <f t="array" ref="RQQ28">_xlfn.XLOOKUP(RQQ$11,Assumptions!$B$35:$H$35,_xlfn.XLOOKUP($C28,Assumptions!$B$36:$B$41,Assumptions!$B$36:$H$41))</f>
        <v>0</v>
      </c>
      <c r="RQR28">
        <f t="array" ref="RQR28">_xlfn.XLOOKUP(RQR$11,Assumptions!$B$35:$H$35,_xlfn.XLOOKUP($C28,Assumptions!$B$36:$B$41,Assumptions!$B$36:$H$41))</f>
        <v>0</v>
      </c>
      <c r="RQS28">
        <f t="array" ref="RQS28">_xlfn.XLOOKUP(RQS$11,Assumptions!$B$35:$H$35,_xlfn.XLOOKUP($C28,Assumptions!$B$36:$B$41,Assumptions!$B$36:$H$41))</f>
        <v>0</v>
      </c>
      <c r="RQT28">
        <f t="array" ref="RQT28">_xlfn.XLOOKUP(RQT$11,Assumptions!$B$35:$H$35,_xlfn.XLOOKUP($C28,Assumptions!$B$36:$B$41,Assumptions!$B$36:$H$41))</f>
        <v>0</v>
      </c>
      <c r="RQU28">
        <f t="array" ref="RQU28">_xlfn.XLOOKUP(RQU$11,Assumptions!$B$35:$H$35,_xlfn.XLOOKUP($C28,Assumptions!$B$36:$B$41,Assumptions!$B$36:$H$41))</f>
        <v>0</v>
      </c>
      <c r="RQV28">
        <f t="array" ref="RQV28">_xlfn.XLOOKUP(RQV$11,Assumptions!$B$35:$H$35,_xlfn.XLOOKUP($C28,Assumptions!$B$36:$B$41,Assumptions!$B$36:$H$41))</f>
        <v>0</v>
      </c>
      <c r="RQW28">
        <f t="array" ref="RQW28">_xlfn.XLOOKUP(RQW$11,Assumptions!$B$35:$H$35,_xlfn.XLOOKUP($C28,Assumptions!$B$36:$B$41,Assumptions!$B$36:$H$41))</f>
        <v>0</v>
      </c>
      <c r="RQX28">
        <f t="array" ref="RQX28">_xlfn.XLOOKUP(RQX$11,Assumptions!$B$35:$H$35,_xlfn.XLOOKUP($C28,Assumptions!$B$36:$B$41,Assumptions!$B$36:$H$41))</f>
        <v>0</v>
      </c>
      <c r="RQY28">
        <f t="array" ref="RQY28">_xlfn.XLOOKUP(RQY$11,Assumptions!$B$35:$H$35,_xlfn.XLOOKUP($C28,Assumptions!$B$36:$B$41,Assumptions!$B$36:$H$41))</f>
        <v>0</v>
      </c>
      <c r="RQZ28">
        <f t="array" ref="RQZ28">_xlfn.XLOOKUP(RQZ$11,Assumptions!$B$35:$H$35,_xlfn.XLOOKUP($C28,Assumptions!$B$36:$B$41,Assumptions!$B$36:$H$41))</f>
        <v>0</v>
      </c>
      <c r="RRA28">
        <f t="array" ref="RRA28">_xlfn.XLOOKUP(RRA$11,Assumptions!$B$35:$H$35,_xlfn.XLOOKUP($C28,Assumptions!$B$36:$B$41,Assumptions!$B$36:$H$41))</f>
        <v>0</v>
      </c>
      <c r="RRB28">
        <f t="array" ref="RRB28">_xlfn.XLOOKUP(RRB$11,Assumptions!$B$35:$H$35,_xlfn.XLOOKUP($C28,Assumptions!$B$36:$B$41,Assumptions!$B$36:$H$41))</f>
        <v>0</v>
      </c>
      <c r="RRC28">
        <f t="array" ref="RRC28">_xlfn.XLOOKUP(RRC$11,Assumptions!$B$35:$H$35,_xlfn.XLOOKUP($C28,Assumptions!$B$36:$B$41,Assumptions!$B$36:$H$41))</f>
        <v>0</v>
      </c>
      <c r="RRD28">
        <f t="array" ref="RRD28">_xlfn.XLOOKUP(RRD$11,Assumptions!$B$35:$H$35,_xlfn.XLOOKUP($C28,Assumptions!$B$36:$B$41,Assumptions!$B$36:$H$41))</f>
        <v>0</v>
      </c>
      <c r="RRE28">
        <f t="array" ref="RRE28">_xlfn.XLOOKUP(RRE$11,Assumptions!$B$35:$H$35,_xlfn.XLOOKUP($C28,Assumptions!$B$36:$B$41,Assumptions!$B$36:$H$41))</f>
        <v>0</v>
      </c>
      <c r="RRF28">
        <f t="array" ref="RRF28">_xlfn.XLOOKUP(RRF$11,Assumptions!$B$35:$H$35,_xlfn.XLOOKUP($C28,Assumptions!$B$36:$B$41,Assumptions!$B$36:$H$41))</f>
        <v>0</v>
      </c>
      <c r="RRG28">
        <f t="array" ref="RRG28">_xlfn.XLOOKUP(RRG$11,Assumptions!$B$35:$H$35,_xlfn.XLOOKUP($C28,Assumptions!$B$36:$B$41,Assumptions!$B$36:$H$41))</f>
        <v>0</v>
      </c>
      <c r="RRH28">
        <f t="array" ref="RRH28">_xlfn.XLOOKUP(RRH$11,Assumptions!$B$35:$H$35,_xlfn.XLOOKUP($C28,Assumptions!$B$36:$B$41,Assumptions!$B$36:$H$41))</f>
        <v>0</v>
      </c>
      <c r="RRI28">
        <f t="array" ref="RRI28">_xlfn.XLOOKUP(RRI$11,Assumptions!$B$35:$H$35,_xlfn.XLOOKUP($C28,Assumptions!$B$36:$B$41,Assumptions!$B$36:$H$41))</f>
        <v>0</v>
      </c>
      <c r="RRJ28">
        <f t="array" ref="RRJ28">_xlfn.XLOOKUP(RRJ$11,Assumptions!$B$35:$H$35,_xlfn.XLOOKUP($C28,Assumptions!$B$36:$B$41,Assumptions!$B$36:$H$41))</f>
        <v>0</v>
      </c>
      <c r="RRK28">
        <f t="array" ref="RRK28">_xlfn.XLOOKUP(RRK$11,Assumptions!$B$35:$H$35,_xlfn.XLOOKUP($C28,Assumptions!$B$36:$B$41,Assumptions!$B$36:$H$41))</f>
        <v>0</v>
      </c>
      <c r="RRL28">
        <f t="array" ref="RRL28">_xlfn.XLOOKUP(RRL$11,Assumptions!$B$35:$H$35,_xlfn.XLOOKUP($C28,Assumptions!$B$36:$B$41,Assumptions!$B$36:$H$41))</f>
        <v>0</v>
      </c>
      <c r="RRM28">
        <f t="array" ref="RRM28">_xlfn.XLOOKUP(RRM$11,Assumptions!$B$35:$H$35,_xlfn.XLOOKUP($C28,Assumptions!$B$36:$B$41,Assumptions!$B$36:$H$41))</f>
        <v>0</v>
      </c>
      <c r="RRN28">
        <f t="array" ref="RRN28">_xlfn.XLOOKUP(RRN$11,Assumptions!$B$35:$H$35,_xlfn.XLOOKUP($C28,Assumptions!$B$36:$B$41,Assumptions!$B$36:$H$41))</f>
        <v>0</v>
      </c>
      <c r="RRO28">
        <f t="array" ref="RRO28">_xlfn.XLOOKUP(RRO$11,Assumptions!$B$35:$H$35,_xlfn.XLOOKUP($C28,Assumptions!$B$36:$B$41,Assumptions!$B$36:$H$41))</f>
        <v>0</v>
      </c>
      <c r="RRP28">
        <f t="array" ref="RRP28">_xlfn.XLOOKUP(RRP$11,Assumptions!$B$35:$H$35,_xlfn.XLOOKUP($C28,Assumptions!$B$36:$B$41,Assumptions!$B$36:$H$41))</f>
        <v>0</v>
      </c>
      <c r="RRQ28">
        <f t="array" ref="RRQ28">_xlfn.XLOOKUP(RRQ$11,Assumptions!$B$35:$H$35,_xlfn.XLOOKUP($C28,Assumptions!$B$36:$B$41,Assumptions!$B$36:$H$41))</f>
        <v>0</v>
      </c>
      <c r="RRR28">
        <f t="array" ref="RRR28">_xlfn.XLOOKUP(RRR$11,Assumptions!$B$35:$H$35,_xlfn.XLOOKUP($C28,Assumptions!$B$36:$B$41,Assumptions!$B$36:$H$41))</f>
        <v>0</v>
      </c>
      <c r="RRS28">
        <f t="array" ref="RRS28">_xlfn.XLOOKUP(RRS$11,Assumptions!$B$35:$H$35,_xlfn.XLOOKUP($C28,Assumptions!$B$36:$B$41,Assumptions!$B$36:$H$41))</f>
        <v>0</v>
      </c>
      <c r="RRT28">
        <f t="array" ref="RRT28">_xlfn.XLOOKUP(RRT$11,Assumptions!$B$35:$H$35,_xlfn.XLOOKUP($C28,Assumptions!$B$36:$B$41,Assumptions!$B$36:$H$41))</f>
        <v>0</v>
      </c>
      <c r="RRU28">
        <f t="array" ref="RRU28">_xlfn.XLOOKUP(RRU$11,Assumptions!$B$35:$H$35,_xlfn.XLOOKUP($C28,Assumptions!$B$36:$B$41,Assumptions!$B$36:$H$41))</f>
        <v>0</v>
      </c>
      <c r="RRV28">
        <f t="array" ref="RRV28">_xlfn.XLOOKUP(RRV$11,Assumptions!$B$35:$H$35,_xlfn.XLOOKUP($C28,Assumptions!$B$36:$B$41,Assumptions!$B$36:$H$41))</f>
        <v>0</v>
      </c>
      <c r="RRW28">
        <f t="array" ref="RRW28">_xlfn.XLOOKUP(RRW$11,Assumptions!$B$35:$H$35,_xlfn.XLOOKUP($C28,Assumptions!$B$36:$B$41,Assumptions!$B$36:$H$41))</f>
        <v>0</v>
      </c>
      <c r="RRX28">
        <f t="array" ref="RRX28">_xlfn.XLOOKUP(RRX$11,Assumptions!$B$35:$H$35,_xlfn.XLOOKUP($C28,Assumptions!$B$36:$B$41,Assumptions!$B$36:$H$41))</f>
        <v>0</v>
      </c>
      <c r="RRY28">
        <f t="array" ref="RRY28">_xlfn.XLOOKUP(RRY$11,Assumptions!$B$35:$H$35,_xlfn.XLOOKUP($C28,Assumptions!$B$36:$B$41,Assumptions!$B$36:$H$41))</f>
        <v>0</v>
      </c>
      <c r="RRZ28">
        <f t="array" ref="RRZ28">_xlfn.XLOOKUP(RRZ$11,Assumptions!$B$35:$H$35,_xlfn.XLOOKUP($C28,Assumptions!$B$36:$B$41,Assumptions!$B$36:$H$41))</f>
        <v>0</v>
      </c>
      <c r="RSA28">
        <f t="array" ref="RSA28">_xlfn.XLOOKUP(RSA$11,Assumptions!$B$35:$H$35,_xlfn.XLOOKUP($C28,Assumptions!$B$36:$B$41,Assumptions!$B$36:$H$41))</f>
        <v>0</v>
      </c>
      <c r="RSB28">
        <f t="array" ref="RSB28">_xlfn.XLOOKUP(RSB$11,Assumptions!$B$35:$H$35,_xlfn.XLOOKUP($C28,Assumptions!$B$36:$B$41,Assumptions!$B$36:$H$41))</f>
        <v>0</v>
      </c>
      <c r="RSC28">
        <f t="array" ref="RSC28">_xlfn.XLOOKUP(RSC$11,Assumptions!$B$35:$H$35,_xlfn.XLOOKUP($C28,Assumptions!$B$36:$B$41,Assumptions!$B$36:$H$41))</f>
        <v>0</v>
      </c>
      <c r="RSD28">
        <f t="array" ref="RSD28">_xlfn.XLOOKUP(RSD$11,Assumptions!$B$35:$H$35,_xlfn.XLOOKUP($C28,Assumptions!$B$36:$B$41,Assumptions!$B$36:$H$41))</f>
        <v>0</v>
      </c>
      <c r="RSE28">
        <f t="array" ref="RSE28">_xlfn.XLOOKUP(RSE$11,Assumptions!$B$35:$H$35,_xlfn.XLOOKUP($C28,Assumptions!$B$36:$B$41,Assumptions!$B$36:$H$41))</f>
        <v>0</v>
      </c>
      <c r="RSF28">
        <f t="array" ref="RSF28">_xlfn.XLOOKUP(RSF$11,Assumptions!$B$35:$H$35,_xlfn.XLOOKUP($C28,Assumptions!$B$36:$B$41,Assumptions!$B$36:$H$41))</f>
        <v>0</v>
      </c>
      <c r="RSG28">
        <f t="array" ref="RSG28">_xlfn.XLOOKUP(RSG$11,Assumptions!$B$35:$H$35,_xlfn.XLOOKUP($C28,Assumptions!$B$36:$B$41,Assumptions!$B$36:$H$41))</f>
        <v>0</v>
      </c>
      <c r="RSH28">
        <f t="array" ref="RSH28">_xlfn.XLOOKUP(RSH$11,Assumptions!$B$35:$H$35,_xlfn.XLOOKUP($C28,Assumptions!$B$36:$B$41,Assumptions!$B$36:$H$41))</f>
        <v>0</v>
      </c>
      <c r="RSI28">
        <f t="array" ref="RSI28">_xlfn.XLOOKUP(RSI$11,Assumptions!$B$35:$H$35,_xlfn.XLOOKUP($C28,Assumptions!$B$36:$B$41,Assumptions!$B$36:$H$41))</f>
        <v>0</v>
      </c>
      <c r="RSJ28">
        <f t="array" ref="RSJ28">_xlfn.XLOOKUP(RSJ$11,Assumptions!$B$35:$H$35,_xlfn.XLOOKUP($C28,Assumptions!$B$36:$B$41,Assumptions!$B$36:$H$41))</f>
        <v>0</v>
      </c>
      <c r="RSK28">
        <f t="array" ref="RSK28">_xlfn.XLOOKUP(RSK$11,Assumptions!$B$35:$H$35,_xlfn.XLOOKUP($C28,Assumptions!$B$36:$B$41,Assumptions!$B$36:$H$41))</f>
        <v>0</v>
      </c>
      <c r="RSL28">
        <f t="array" ref="RSL28">_xlfn.XLOOKUP(RSL$11,Assumptions!$B$35:$H$35,_xlfn.XLOOKUP($C28,Assumptions!$B$36:$B$41,Assumptions!$B$36:$H$41))</f>
        <v>0</v>
      </c>
      <c r="RSM28">
        <f t="array" ref="RSM28">_xlfn.XLOOKUP(RSM$11,Assumptions!$B$35:$H$35,_xlfn.XLOOKUP($C28,Assumptions!$B$36:$B$41,Assumptions!$B$36:$H$41))</f>
        <v>0</v>
      </c>
      <c r="RSN28">
        <f t="array" ref="RSN28">_xlfn.XLOOKUP(RSN$11,Assumptions!$B$35:$H$35,_xlfn.XLOOKUP($C28,Assumptions!$B$36:$B$41,Assumptions!$B$36:$H$41))</f>
        <v>0</v>
      </c>
      <c r="RSO28">
        <f t="array" ref="RSO28">_xlfn.XLOOKUP(RSO$11,Assumptions!$B$35:$H$35,_xlfn.XLOOKUP($C28,Assumptions!$B$36:$B$41,Assumptions!$B$36:$H$41))</f>
        <v>0</v>
      </c>
      <c r="RSP28">
        <f t="array" ref="RSP28">_xlfn.XLOOKUP(RSP$11,Assumptions!$B$35:$H$35,_xlfn.XLOOKUP($C28,Assumptions!$B$36:$B$41,Assumptions!$B$36:$H$41))</f>
        <v>0</v>
      </c>
      <c r="RSQ28">
        <f t="array" ref="RSQ28">_xlfn.XLOOKUP(RSQ$11,Assumptions!$B$35:$H$35,_xlfn.XLOOKUP($C28,Assumptions!$B$36:$B$41,Assumptions!$B$36:$H$41))</f>
        <v>0</v>
      </c>
      <c r="RSR28">
        <f t="array" ref="RSR28">_xlfn.XLOOKUP(RSR$11,Assumptions!$B$35:$H$35,_xlfn.XLOOKUP($C28,Assumptions!$B$36:$B$41,Assumptions!$B$36:$H$41))</f>
        <v>0</v>
      </c>
      <c r="RSS28">
        <f t="array" ref="RSS28">_xlfn.XLOOKUP(RSS$11,Assumptions!$B$35:$H$35,_xlfn.XLOOKUP($C28,Assumptions!$B$36:$B$41,Assumptions!$B$36:$H$41))</f>
        <v>0</v>
      </c>
      <c r="RST28">
        <f t="array" ref="RST28">_xlfn.XLOOKUP(RST$11,Assumptions!$B$35:$H$35,_xlfn.XLOOKUP($C28,Assumptions!$B$36:$B$41,Assumptions!$B$36:$H$41))</f>
        <v>0</v>
      </c>
      <c r="RSU28">
        <f t="array" ref="RSU28">_xlfn.XLOOKUP(RSU$11,Assumptions!$B$35:$H$35,_xlfn.XLOOKUP($C28,Assumptions!$B$36:$B$41,Assumptions!$B$36:$H$41))</f>
        <v>0</v>
      </c>
      <c r="RSV28">
        <f t="array" ref="RSV28">_xlfn.XLOOKUP(RSV$11,Assumptions!$B$35:$H$35,_xlfn.XLOOKUP($C28,Assumptions!$B$36:$B$41,Assumptions!$B$36:$H$41))</f>
        <v>0</v>
      </c>
      <c r="RSW28">
        <f t="array" ref="RSW28">_xlfn.XLOOKUP(RSW$11,Assumptions!$B$35:$H$35,_xlfn.XLOOKUP($C28,Assumptions!$B$36:$B$41,Assumptions!$B$36:$H$41))</f>
        <v>0</v>
      </c>
      <c r="RSX28">
        <f t="array" ref="RSX28">_xlfn.XLOOKUP(RSX$11,Assumptions!$B$35:$H$35,_xlfn.XLOOKUP($C28,Assumptions!$B$36:$B$41,Assumptions!$B$36:$H$41))</f>
        <v>0</v>
      </c>
      <c r="RSY28">
        <f t="array" ref="RSY28">_xlfn.XLOOKUP(RSY$11,Assumptions!$B$35:$H$35,_xlfn.XLOOKUP($C28,Assumptions!$B$36:$B$41,Assumptions!$B$36:$H$41))</f>
        <v>0</v>
      </c>
      <c r="RSZ28">
        <f t="array" ref="RSZ28">_xlfn.XLOOKUP(RSZ$11,Assumptions!$B$35:$H$35,_xlfn.XLOOKUP($C28,Assumptions!$B$36:$B$41,Assumptions!$B$36:$H$41))</f>
        <v>0</v>
      </c>
      <c r="RTA28">
        <f t="array" ref="RTA28">_xlfn.XLOOKUP(RTA$11,Assumptions!$B$35:$H$35,_xlfn.XLOOKUP($C28,Assumptions!$B$36:$B$41,Assumptions!$B$36:$H$41))</f>
        <v>0</v>
      </c>
      <c r="RTB28">
        <f t="array" ref="RTB28">_xlfn.XLOOKUP(RTB$11,Assumptions!$B$35:$H$35,_xlfn.XLOOKUP($C28,Assumptions!$B$36:$B$41,Assumptions!$B$36:$H$41))</f>
        <v>0</v>
      </c>
      <c r="RTC28">
        <f t="array" ref="RTC28">_xlfn.XLOOKUP(RTC$11,Assumptions!$B$35:$H$35,_xlfn.XLOOKUP($C28,Assumptions!$B$36:$B$41,Assumptions!$B$36:$H$41))</f>
        <v>0</v>
      </c>
      <c r="RTD28">
        <f t="array" ref="RTD28">_xlfn.XLOOKUP(RTD$11,Assumptions!$B$35:$H$35,_xlfn.XLOOKUP($C28,Assumptions!$B$36:$B$41,Assumptions!$B$36:$H$41))</f>
        <v>0</v>
      </c>
      <c r="RTE28">
        <f t="array" ref="RTE28">_xlfn.XLOOKUP(RTE$11,Assumptions!$B$35:$H$35,_xlfn.XLOOKUP($C28,Assumptions!$B$36:$B$41,Assumptions!$B$36:$H$41))</f>
        <v>0</v>
      </c>
      <c r="RTF28">
        <f t="array" ref="RTF28">_xlfn.XLOOKUP(RTF$11,Assumptions!$B$35:$H$35,_xlfn.XLOOKUP($C28,Assumptions!$B$36:$B$41,Assumptions!$B$36:$H$41))</f>
        <v>0</v>
      </c>
      <c r="RTG28">
        <f t="array" ref="RTG28">_xlfn.XLOOKUP(RTG$11,Assumptions!$B$35:$H$35,_xlfn.XLOOKUP($C28,Assumptions!$B$36:$B$41,Assumptions!$B$36:$H$41))</f>
        <v>0</v>
      </c>
      <c r="RTH28">
        <f t="array" ref="RTH28">_xlfn.XLOOKUP(RTH$11,Assumptions!$B$35:$H$35,_xlfn.XLOOKUP($C28,Assumptions!$B$36:$B$41,Assumptions!$B$36:$H$41))</f>
        <v>0</v>
      </c>
      <c r="RTI28">
        <f t="array" ref="RTI28">_xlfn.XLOOKUP(RTI$11,Assumptions!$B$35:$H$35,_xlfn.XLOOKUP($C28,Assumptions!$B$36:$B$41,Assumptions!$B$36:$H$41))</f>
        <v>0</v>
      </c>
      <c r="RTJ28">
        <f t="array" ref="RTJ28">_xlfn.XLOOKUP(RTJ$11,Assumptions!$B$35:$H$35,_xlfn.XLOOKUP($C28,Assumptions!$B$36:$B$41,Assumptions!$B$36:$H$41))</f>
        <v>0</v>
      </c>
      <c r="RTK28">
        <f t="array" ref="RTK28">_xlfn.XLOOKUP(RTK$11,Assumptions!$B$35:$H$35,_xlfn.XLOOKUP($C28,Assumptions!$B$36:$B$41,Assumptions!$B$36:$H$41))</f>
        <v>0</v>
      </c>
      <c r="RTL28">
        <f t="array" ref="RTL28">_xlfn.XLOOKUP(RTL$11,Assumptions!$B$35:$H$35,_xlfn.XLOOKUP($C28,Assumptions!$B$36:$B$41,Assumptions!$B$36:$H$41))</f>
        <v>0</v>
      </c>
      <c r="RTM28">
        <f t="array" ref="RTM28">_xlfn.XLOOKUP(RTM$11,Assumptions!$B$35:$H$35,_xlfn.XLOOKUP($C28,Assumptions!$B$36:$B$41,Assumptions!$B$36:$H$41))</f>
        <v>0</v>
      </c>
      <c r="RTN28">
        <f t="array" ref="RTN28">_xlfn.XLOOKUP(RTN$11,Assumptions!$B$35:$H$35,_xlfn.XLOOKUP($C28,Assumptions!$B$36:$B$41,Assumptions!$B$36:$H$41))</f>
        <v>0</v>
      </c>
      <c r="RTO28">
        <f t="array" ref="RTO28">_xlfn.XLOOKUP(RTO$11,Assumptions!$B$35:$H$35,_xlfn.XLOOKUP($C28,Assumptions!$B$36:$B$41,Assumptions!$B$36:$H$41))</f>
        <v>0</v>
      </c>
      <c r="RTP28">
        <f t="array" ref="RTP28">_xlfn.XLOOKUP(RTP$11,Assumptions!$B$35:$H$35,_xlfn.XLOOKUP($C28,Assumptions!$B$36:$B$41,Assumptions!$B$36:$H$41))</f>
        <v>0</v>
      </c>
      <c r="RTQ28">
        <f t="array" ref="RTQ28">_xlfn.XLOOKUP(RTQ$11,Assumptions!$B$35:$H$35,_xlfn.XLOOKUP($C28,Assumptions!$B$36:$B$41,Assumptions!$B$36:$H$41))</f>
        <v>0</v>
      </c>
      <c r="RTR28">
        <f t="array" ref="RTR28">_xlfn.XLOOKUP(RTR$11,Assumptions!$B$35:$H$35,_xlfn.XLOOKUP($C28,Assumptions!$B$36:$B$41,Assumptions!$B$36:$H$41))</f>
        <v>0</v>
      </c>
      <c r="RTS28">
        <f t="array" ref="RTS28">_xlfn.XLOOKUP(RTS$11,Assumptions!$B$35:$H$35,_xlfn.XLOOKUP($C28,Assumptions!$B$36:$B$41,Assumptions!$B$36:$H$41))</f>
        <v>0</v>
      </c>
      <c r="RTT28">
        <f t="array" ref="RTT28">_xlfn.XLOOKUP(RTT$11,Assumptions!$B$35:$H$35,_xlfn.XLOOKUP($C28,Assumptions!$B$36:$B$41,Assumptions!$B$36:$H$41))</f>
        <v>0</v>
      </c>
      <c r="RTU28">
        <f t="array" ref="RTU28">_xlfn.XLOOKUP(RTU$11,Assumptions!$B$35:$H$35,_xlfn.XLOOKUP($C28,Assumptions!$B$36:$B$41,Assumptions!$B$36:$H$41))</f>
        <v>0</v>
      </c>
      <c r="RTV28">
        <f t="array" ref="RTV28">_xlfn.XLOOKUP(RTV$11,Assumptions!$B$35:$H$35,_xlfn.XLOOKUP($C28,Assumptions!$B$36:$B$41,Assumptions!$B$36:$H$41))</f>
        <v>0</v>
      </c>
      <c r="RTW28">
        <f t="array" ref="RTW28">_xlfn.XLOOKUP(RTW$11,Assumptions!$B$35:$H$35,_xlfn.XLOOKUP($C28,Assumptions!$B$36:$B$41,Assumptions!$B$36:$H$41))</f>
        <v>0</v>
      </c>
      <c r="RTX28">
        <f t="array" ref="RTX28">_xlfn.XLOOKUP(RTX$11,Assumptions!$B$35:$H$35,_xlfn.XLOOKUP($C28,Assumptions!$B$36:$B$41,Assumptions!$B$36:$H$41))</f>
        <v>0</v>
      </c>
      <c r="RTY28">
        <f t="array" ref="RTY28">_xlfn.XLOOKUP(RTY$11,Assumptions!$B$35:$H$35,_xlfn.XLOOKUP($C28,Assumptions!$B$36:$B$41,Assumptions!$B$36:$H$41))</f>
        <v>0</v>
      </c>
      <c r="RTZ28">
        <f t="array" ref="RTZ28">_xlfn.XLOOKUP(RTZ$11,Assumptions!$B$35:$H$35,_xlfn.XLOOKUP($C28,Assumptions!$B$36:$B$41,Assumptions!$B$36:$H$41))</f>
        <v>0</v>
      </c>
      <c r="RUA28">
        <f t="array" ref="RUA28">_xlfn.XLOOKUP(RUA$11,Assumptions!$B$35:$H$35,_xlfn.XLOOKUP($C28,Assumptions!$B$36:$B$41,Assumptions!$B$36:$H$41))</f>
        <v>0</v>
      </c>
      <c r="RUB28">
        <f t="array" ref="RUB28">_xlfn.XLOOKUP(RUB$11,Assumptions!$B$35:$H$35,_xlfn.XLOOKUP($C28,Assumptions!$B$36:$B$41,Assumptions!$B$36:$H$41))</f>
        <v>0</v>
      </c>
      <c r="RUC28">
        <f t="array" ref="RUC28">_xlfn.XLOOKUP(RUC$11,Assumptions!$B$35:$H$35,_xlfn.XLOOKUP($C28,Assumptions!$B$36:$B$41,Assumptions!$B$36:$H$41))</f>
        <v>0</v>
      </c>
      <c r="RUD28">
        <f t="array" ref="RUD28">_xlfn.XLOOKUP(RUD$11,Assumptions!$B$35:$H$35,_xlfn.XLOOKUP($C28,Assumptions!$B$36:$B$41,Assumptions!$B$36:$H$41))</f>
        <v>0</v>
      </c>
      <c r="RUE28">
        <f t="array" ref="RUE28">_xlfn.XLOOKUP(RUE$11,Assumptions!$B$35:$H$35,_xlfn.XLOOKUP($C28,Assumptions!$B$36:$B$41,Assumptions!$B$36:$H$41))</f>
        <v>0</v>
      </c>
      <c r="RUF28">
        <f t="array" ref="RUF28">_xlfn.XLOOKUP(RUF$11,Assumptions!$B$35:$H$35,_xlfn.XLOOKUP($C28,Assumptions!$B$36:$B$41,Assumptions!$B$36:$H$41))</f>
        <v>0</v>
      </c>
      <c r="RUG28">
        <f t="array" ref="RUG28">_xlfn.XLOOKUP(RUG$11,Assumptions!$B$35:$H$35,_xlfn.XLOOKUP($C28,Assumptions!$B$36:$B$41,Assumptions!$B$36:$H$41))</f>
        <v>0</v>
      </c>
      <c r="RUH28">
        <f t="array" ref="RUH28">_xlfn.XLOOKUP(RUH$11,Assumptions!$B$35:$H$35,_xlfn.XLOOKUP($C28,Assumptions!$B$36:$B$41,Assumptions!$B$36:$H$41))</f>
        <v>0</v>
      </c>
      <c r="RUI28">
        <f t="array" ref="RUI28">_xlfn.XLOOKUP(RUI$11,Assumptions!$B$35:$H$35,_xlfn.XLOOKUP($C28,Assumptions!$B$36:$B$41,Assumptions!$B$36:$H$41))</f>
        <v>0</v>
      </c>
      <c r="RUJ28">
        <f t="array" ref="RUJ28">_xlfn.XLOOKUP(RUJ$11,Assumptions!$B$35:$H$35,_xlfn.XLOOKUP($C28,Assumptions!$B$36:$B$41,Assumptions!$B$36:$H$41))</f>
        <v>0</v>
      </c>
      <c r="RUK28">
        <f t="array" ref="RUK28">_xlfn.XLOOKUP(RUK$11,Assumptions!$B$35:$H$35,_xlfn.XLOOKUP($C28,Assumptions!$B$36:$B$41,Assumptions!$B$36:$H$41))</f>
        <v>0</v>
      </c>
      <c r="RUL28">
        <f t="array" ref="RUL28">_xlfn.XLOOKUP(RUL$11,Assumptions!$B$35:$H$35,_xlfn.XLOOKUP($C28,Assumptions!$B$36:$B$41,Assumptions!$B$36:$H$41))</f>
        <v>0</v>
      </c>
      <c r="RUM28">
        <f t="array" ref="RUM28">_xlfn.XLOOKUP(RUM$11,Assumptions!$B$35:$H$35,_xlfn.XLOOKUP($C28,Assumptions!$B$36:$B$41,Assumptions!$B$36:$H$41))</f>
        <v>0</v>
      </c>
      <c r="RUN28">
        <f t="array" ref="RUN28">_xlfn.XLOOKUP(RUN$11,Assumptions!$B$35:$H$35,_xlfn.XLOOKUP($C28,Assumptions!$B$36:$B$41,Assumptions!$B$36:$H$41))</f>
        <v>0</v>
      </c>
      <c r="RUO28">
        <f t="array" ref="RUO28">_xlfn.XLOOKUP(RUO$11,Assumptions!$B$35:$H$35,_xlfn.XLOOKUP($C28,Assumptions!$B$36:$B$41,Assumptions!$B$36:$H$41))</f>
        <v>0</v>
      </c>
      <c r="RUP28">
        <f t="array" ref="RUP28">_xlfn.XLOOKUP(RUP$11,Assumptions!$B$35:$H$35,_xlfn.XLOOKUP($C28,Assumptions!$B$36:$B$41,Assumptions!$B$36:$H$41))</f>
        <v>0</v>
      </c>
      <c r="RUQ28">
        <f t="array" ref="RUQ28">_xlfn.XLOOKUP(RUQ$11,Assumptions!$B$35:$H$35,_xlfn.XLOOKUP($C28,Assumptions!$B$36:$B$41,Assumptions!$B$36:$H$41))</f>
        <v>0</v>
      </c>
      <c r="RUR28">
        <f t="array" ref="RUR28">_xlfn.XLOOKUP(RUR$11,Assumptions!$B$35:$H$35,_xlfn.XLOOKUP($C28,Assumptions!$B$36:$B$41,Assumptions!$B$36:$H$41))</f>
        <v>0</v>
      </c>
      <c r="RUS28">
        <f t="array" ref="RUS28">_xlfn.XLOOKUP(RUS$11,Assumptions!$B$35:$H$35,_xlfn.XLOOKUP($C28,Assumptions!$B$36:$B$41,Assumptions!$B$36:$H$41))</f>
        <v>0</v>
      </c>
      <c r="RUT28">
        <f t="array" ref="RUT28">_xlfn.XLOOKUP(RUT$11,Assumptions!$B$35:$H$35,_xlfn.XLOOKUP($C28,Assumptions!$B$36:$B$41,Assumptions!$B$36:$H$41))</f>
        <v>0</v>
      </c>
      <c r="RUU28">
        <f t="array" ref="RUU28">_xlfn.XLOOKUP(RUU$11,Assumptions!$B$35:$H$35,_xlfn.XLOOKUP($C28,Assumptions!$B$36:$B$41,Assumptions!$B$36:$H$41))</f>
        <v>0</v>
      </c>
      <c r="RUV28">
        <f t="array" ref="RUV28">_xlfn.XLOOKUP(RUV$11,Assumptions!$B$35:$H$35,_xlfn.XLOOKUP($C28,Assumptions!$B$36:$B$41,Assumptions!$B$36:$H$41))</f>
        <v>0</v>
      </c>
      <c r="RUW28">
        <f t="array" ref="RUW28">_xlfn.XLOOKUP(RUW$11,Assumptions!$B$35:$H$35,_xlfn.XLOOKUP($C28,Assumptions!$B$36:$B$41,Assumptions!$B$36:$H$41))</f>
        <v>0</v>
      </c>
      <c r="RUX28">
        <f t="array" ref="RUX28">_xlfn.XLOOKUP(RUX$11,Assumptions!$B$35:$H$35,_xlfn.XLOOKUP($C28,Assumptions!$B$36:$B$41,Assumptions!$B$36:$H$41))</f>
        <v>0</v>
      </c>
      <c r="RUY28">
        <f t="array" ref="RUY28">_xlfn.XLOOKUP(RUY$11,Assumptions!$B$35:$H$35,_xlfn.XLOOKUP($C28,Assumptions!$B$36:$B$41,Assumptions!$B$36:$H$41))</f>
        <v>0</v>
      </c>
      <c r="RUZ28">
        <f t="array" ref="RUZ28">_xlfn.XLOOKUP(RUZ$11,Assumptions!$B$35:$H$35,_xlfn.XLOOKUP($C28,Assumptions!$B$36:$B$41,Assumptions!$B$36:$H$41))</f>
        <v>0</v>
      </c>
      <c r="RVA28">
        <f t="array" ref="RVA28">_xlfn.XLOOKUP(RVA$11,Assumptions!$B$35:$H$35,_xlfn.XLOOKUP($C28,Assumptions!$B$36:$B$41,Assumptions!$B$36:$H$41))</f>
        <v>0</v>
      </c>
      <c r="RVB28">
        <f t="array" ref="RVB28">_xlfn.XLOOKUP(RVB$11,Assumptions!$B$35:$H$35,_xlfn.XLOOKUP($C28,Assumptions!$B$36:$B$41,Assumptions!$B$36:$H$41))</f>
        <v>0</v>
      </c>
      <c r="RVC28">
        <f t="array" ref="RVC28">_xlfn.XLOOKUP(RVC$11,Assumptions!$B$35:$H$35,_xlfn.XLOOKUP($C28,Assumptions!$B$36:$B$41,Assumptions!$B$36:$H$41))</f>
        <v>0</v>
      </c>
      <c r="RVD28">
        <f t="array" ref="RVD28">_xlfn.XLOOKUP(RVD$11,Assumptions!$B$35:$H$35,_xlfn.XLOOKUP($C28,Assumptions!$B$36:$B$41,Assumptions!$B$36:$H$41))</f>
        <v>0</v>
      </c>
      <c r="RVE28">
        <f t="array" ref="RVE28">_xlfn.XLOOKUP(RVE$11,Assumptions!$B$35:$H$35,_xlfn.XLOOKUP($C28,Assumptions!$B$36:$B$41,Assumptions!$B$36:$H$41))</f>
        <v>0</v>
      </c>
      <c r="RVF28">
        <f t="array" ref="RVF28">_xlfn.XLOOKUP(RVF$11,Assumptions!$B$35:$H$35,_xlfn.XLOOKUP($C28,Assumptions!$B$36:$B$41,Assumptions!$B$36:$H$41))</f>
        <v>0</v>
      </c>
      <c r="RVG28">
        <f t="array" ref="RVG28">_xlfn.XLOOKUP(RVG$11,Assumptions!$B$35:$H$35,_xlfn.XLOOKUP($C28,Assumptions!$B$36:$B$41,Assumptions!$B$36:$H$41))</f>
        <v>0</v>
      </c>
      <c r="RVH28">
        <f t="array" ref="RVH28">_xlfn.XLOOKUP(RVH$11,Assumptions!$B$35:$H$35,_xlfn.XLOOKUP($C28,Assumptions!$B$36:$B$41,Assumptions!$B$36:$H$41))</f>
        <v>0</v>
      </c>
      <c r="RVI28">
        <f t="array" ref="RVI28">_xlfn.XLOOKUP(RVI$11,Assumptions!$B$35:$H$35,_xlfn.XLOOKUP($C28,Assumptions!$B$36:$B$41,Assumptions!$B$36:$H$41))</f>
        <v>0</v>
      </c>
      <c r="RVJ28">
        <f t="array" ref="RVJ28">_xlfn.XLOOKUP(RVJ$11,Assumptions!$B$35:$H$35,_xlfn.XLOOKUP($C28,Assumptions!$B$36:$B$41,Assumptions!$B$36:$H$41))</f>
        <v>0</v>
      </c>
      <c r="RVK28">
        <f t="array" ref="RVK28">_xlfn.XLOOKUP(RVK$11,Assumptions!$B$35:$H$35,_xlfn.XLOOKUP($C28,Assumptions!$B$36:$B$41,Assumptions!$B$36:$H$41))</f>
        <v>0</v>
      </c>
      <c r="RVL28">
        <f t="array" ref="RVL28">_xlfn.XLOOKUP(RVL$11,Assumptions!$B$35:$H$35,_xlfn.XLOOKUP($C28,Assumptions!$B$36:$B$41,Assumptions!$B$36:$H$41))</f>
        <v>0</v>
      </c>
      <c r="RVM28">
        <f t="array" ref="RVM28">_xlfn.XLOOKUP(RVM$11,Assumptions!$B$35:$H$35,_xlfn.XLOOKUP($C28,Assumptions!$B$36:$B$41,Assumptions!$B$36:$H$41))</f>
        <v>0</v>
      </c>
      <c r="RVN28">
        <f t="array" ref="RVN28">_xlfn.XLOOKUP(RVN$11,Assumptions!$B$35:$H$35,_xlfn.XLOOKUP($C28,Assumptions!$B$36:$B$41,Assumptions!$B$36:$H$41))</f>
        <v>0</v>
      </c>
      <c r="RVO28">
        <f t="array" ref="RVO28">_xlfn.XLOOKUP(RVO$11,Assumptions!$B$35:$H$35,_xlfn.XLOOKUP($C28,Assumptions!$B$36:$B$41,Assumptions!$B$36:$H$41))</f>
        <v>0</v>
      </c>
      <c r="RVP28">
        <f t="array" ref="RVP28">_xlfn.XLOOKUP(RVP$11,Assumptions!$B$35:$H$35,_xlfn.XLOOKUP($C28,Assumptions!$B$36:$B$41,Assumptions!$B$36:$H$41))</f>
        <v>0</v>
      </c>
      <c r="RVQ28">
        <f t="array" ref="RVQ28">_xlfn.XLOOKUP(RVQ$11,Assumptions!$B$35:$H$35,_xlfn.XLOOKUP($C28,Assumptions!$B$36:$B$41,Assumptions!$B$36:$H$41))</f>
        <v>0</v>
      </c>
      <c r="RVR28">
        <f t="array" ref="RVR28">_xlfn.XLOOKUP(RVR$11,Assumptions!$B$35:$H$35,_xlfn.XLOOKUP($C28,Assumptions!$B$36:$B$41,Assumptions!$B$36:$H$41))</f>
        <v>0</v>
      </c>
      <c r="RVS28">
        <f t="array" ref="RVS28">_xlfn.XLOOKUP(RVS$11,Assumptions!$B$35:$H$35,_xlfn.XLOOKUP($C28,Assumptions!$B$36:$B$41,Assumptions!$B$36:$H$41))</f>
        <v>0</v>
      </c>
      <c r="RVT28">
        <f t="array" ref="RVT28">_xlfn.XLOOKUP(RVT$11,Assumptions!$B$35:$H$35,_xlfn.XLOOKUP($C28,Assumptions!$B$36:$B$41,Assumptions!$B$36:$H$41))</f>
        <v>0</v>
      </c>
      <c r="RVU28">
        <f t="array" ref="RVU28">_xlfn.XLOOKUP(RVU$11,Assumptions!$B$35:$H$35,_xlfn.XLOOKUP($C28,Assumptions!$B$36:$B$41,Assumptions!$B$36:$H$41))</f>
        <v>0</v>
      </c>
      <c r="RVV28">
        <f t="array" ref="RVV28">_xlfn.XLOOKUP(RVV$11,Assumptions!$B$35:$H$35,_xlfn.XLOOKUP($C28,Assumptions!$B$36:$B$41,Assumptions!$B$36:$H$41))</f>
        <v>0</v>
      </c>
      <c r="RVW28">
        <f t="array" ref="RVW28">_xlfn.XLOOKUP(RVW$11,Assumptions!$B$35:$H$35,_xlfn.XLOOKUP($C28,Assumptions!$B$36:$B$41,Assumptions!$B$36:$H$41))</f>
        <v>0</v>
      </c>
      <c r="RVX28">
        <f t="array" ref="RVX28">_xlfn.XLOOKUP(RVX$11,Assumptions!$B$35:$H$35,_xlfn.XLOOKUP($C28,Assumptions!$B$36:$B$41,Assumptions!$B$36:$H$41))</f>
        <v>0</v>
      </c>
      <c r="RVY28">
        <f t="array" ref="RVY28">_xlfn.XLOOKUP(RVY$11,Assumptions!$B$35:$H$35,_xlfn.XLOOKUP($C28,Assumptions!$B$36:$B$41,Assumptions!$B$36:$H$41))</f>
        <v>0</v>
      </c>
      <c r="RVZ28">
        <f t="array" ref="RVZ28">_xlfn.XLOOKUP(RVZ$11,Assumptions!$B$35:$H$35,_xlfn.XLOOKUP($C28,Assumptions!$B$36:$B$41,Assumptions!$B$36:$H$41))</f>
        <v>0</v>
      </c>
      <c r="RWA28">
        <f t="array" ref="RWA28">_xlfn.XLOOKUP(RWA$11,Assumptions!$B$35:$H$35,_xlfn.XLOOKUP($C28,Assumptions!$B$36:$B$41,Assumptions!$B$36:$H$41))</f>
        <v>0</v>
      </c>
      <c r="RWB28">
        <f t="array" ref="RWB28">_xlfn.XLOOKUP(RWB$11,Assumptions!$B$35:$H$35,_xlfn.XLOOKUP($C28,Assumptions!$B$36:$B$41,Assumptions!$B$36:$H$41))</f>
        <v>0</v>
      </c>
      <c r="RWC28">
        <f t="array" ref="RWC28">_xlfn.XLOOKUP(RWC$11,Assumptions!$B$35:$H$35,_xlfn.XLOOKUP($C28,Assumptions!$B$36:$B$41,Assumptions!$B$36:$H$41))</f>
        <v>0</v>
      </c>
      <c r="RWD28">
        <f t="array" ref="RWD28">_xlfn.XLOOKUP(RWD$11,Assumptions!$B$35:$H$35,_xlfn.XLOOKUP($C28,Assumptions!$B$36:$B$41,Assumptions!$B$36:$H$41))</f>
        <v>0</v>
      </c>
      <c r="RWE28">
        <f t="array" ref="RWE28">_xlfn.XLOOKUP(RWE$11,Assumptions!$B$35:$H$35,_xlfn.XLOOKUP($C28,Assumptions!$B$36:$B$41,Assumptions!$B$36:$H$41))</f>
        <v>0</v>
      </c>
      <c r="RWF28">
        <f t="array" ref="RWF28">_xlfn.XLOOKUP(RWF$11,Assumptions!$B$35:$H$35,_xlfn.XLOOKUP($C28,Assumptions!$B$36:$B$41,Assumptions!$B$36:$H$41))</f>
        <v>0</v>
      </c>
      <c r="RWG28">
        <f t="array" ref="RWG28">_xlfn.XLOOKUP(RWG$11,Assumptions!$B$35:$H$35,_xlfn.XLOOKUP($C28,Assumptions!$B$36:$B$41,Assumptions!$B$36:$H$41))</f>
        <v>0</v>
      </c>
      <c r="RWH28">
        <f t="array" ref="RWH28">_xlfn.XLOOKUP(RWH$11,Assumptions!$B$35:$H$35,_xlfn.XLOOKUP($C28,Assumptions!$B$36:$B$41,Assumptions!$B$36:$H$41))</f>
        <v>0</v>
      </c>
      <c r="RWI28">
        <f t="array" ref="RWI28">_xlfn.XLOOKUP(RWI$11,Assumptions!$B$35:$H$35,_xlfn.XLOOKUP($C28,Assumptions!$B$36:$B$41,Assumptions!$B$36:$H$41))</f>
        <v>0</v>
      </c>
      <c r="RWJ28">
        <f t="array" ref="RWJ28">_xlfn.XLOOKUP(RWJ$11,Assumptions!$B$35:$H$35,_xlfn.XLOOKUP($C28,Assumptions!$B$36:$B$41,Assumptions!$B$36:$H$41))</f>
        <v>0</v>
      </c>
      <c r="RWK28">
        <f t="array" ref="RWK28">_xlfn.XLOOKUP(RWK$11,Assumptions!$B$35:$H$35,_xlfn.XLOOKUP($C28,Assumptions!$B$36:$B$41,Assumptions!$B$36:$H$41))</f>
        <v>0</v>
      </c>
      <c r="RWL28">
        <f t="array" ref="RWL28">_xlfn.XLOOKUP(RWL$11,Assumptions!$B$35:$H$35,_xlfn.XLOOKUP($C28,Assumptions!$B$36:$B$41,Assumptions!$B$36:$H$41))</f>
        <v>0</v>
      </c>
      <c r="RWM28">
        <f t="array" ref="RWM28">_xlfn.XLOOKUP(RWM$11,Assumptions!$B$35:$H$35,_xlfn.XLOOKUP($C28,Assumptions!$B$36:$B$41,Assumptions!$B$36:$H$41))</f>
        <v>0</v>
      </c>
      <c r="RWN28">
        <f t="array" ref="RWN28">_xlfn.XLOOKUP(RWN$11,Assumptions!$B$35:$H$35,_xlfn.XLOOKUP($C28,Assumptions!$B$36:$B$41,Assumptions!$B$36:$H$41))</f>
        <v>0</v>
      </c>
      <c r="RWO28">
        <f t="array" ref="RWO28">_xlfn.XLOOKUP(RWO$11,Assumptions!$B$35:$H$35,_xlfn.XLOOKUP($C28,Assumptions!$B$36:$B$41,Assumptions!$B$36:$H$41))</f>
        <v>0</v>
      </c>
      <c r="RWP28">
        <f t="array" ref="RWP28">_xlfn.XLOOKUP(RWP$11,Assumptions!$B$35:$H$35,_xlfn.XLOOKUP($C28,Assumptions!$B$36:$B$41,Assumptions!$B$36:$H$41))</f>
        <v>0</v>
      </c>
      <c r="RWQ28">
        <f t="array" ref="RWQ28">_xlfn.XLOOKUP(RWQ$11,Assumptions!$B$35:$H$35,_xlfn.XLOOKUP($C28,Assumptions!$B$36:$B$41,Assumptions!$B$36:$H$41))</f>
        <v>0</v>
      </c>
      <c r="RWR28">
        <f t="array" ref="RWR28">_xlfn.XLOOKUP(RWR$11,Assumptions!$B$35:$H$35,_xlfn.XLOOKUP($C28,Assumptions!$B$36:$B$41,Assumptions!$B$36:$H$41))</f>
        <v>0</v>
      </c>
      <c r="RWS28">
        <f t="array" ref="RWS28">_xlfn.XLOOKUP(RWS$11,Assumptions!$B$35:$H$35,_xlfn.XLOOKUP($C28,Assumptions!$B$36:$B$41,Assumptions!$B$36:$H$41))</f>
        <v>0</v>
      </c>
      <c r="RWT28">
        <f t="array" ref="RWT28">_xlfn.XLOOKUP(RWT$11,Assumptions!$B$35:$H$35,_xlfn.XLOOKUP($C28,Assumptions!$B$36:$B$41,Assumptions!$B$36:$H$41))</f>
        <v>0</v>
      </c>
      <c r="RWU28">
        <f t="array" ref="RWU28">_xlfn.XLOOKUP(RWU$11,Assumptions!$B$35:$H$35,_xlfn.XLOOKUP($C28,Assumptions!$B$36:$B$41,Assumptions!$B$36:$H$41))</f>
        <v>0</v>
      </c>
      <c r="RWV28">
        <f t="array" ref="RWV28">_xlfn.XLOOKUP(RWV$11,Assumptions!$B$35:$H$35,_xlfn.XLOOKUP($C28,Assumptions!$B$36:$B$41,Assumptions!$B$36:$H$41))</f>
        <v>0</v>
      </c>
      <c r="RWW28">
        <f t="array" ref="RWW28">_xlfn.XLOOKUP(RWW$11,Assumptions!$B$35:$H$35,_xlfn.XLOOKUP($C28,Assumptions!$B$36:$B$41,Assumptions!$B$36:$H$41))</f>
        <v>0</v>
      </c>
      <c r="RWX28">
        <f t="array" ref="RWX28">_xlfn.XLOOKUP(RWX$11,Assumptions!$B$35:$H$35,_xlfn.XLOOKUP($C28,Assumptions!$B$36:$B$41,Assumptions!$B$36:$H$41))</f>
        <v>0</v>
      </c>
      <c r="RWY28">
        <f t="array" ref="RWY28">_xlfn.XLOOKUP(RWY$11,Assumptions!$B$35:$H$35,_xlfn.XLOOKUP($C28,Assumptions!$B$36:$B$41,Assumptions!$B$36:$H$41))</f>
        <v>0</v>
      </c>
      <c r="RWZ28">
        <f t="array" ref="RWZ28">_xlfn.XLOOKUP(RWZ$11,Assumptions!$B$35:$H$35,_xlfn.XLOOKUP($C28,Assumptions!$B$36:$B$41,Assumptions!$B$36:$H$41))</f>
        <v>0</v>
      </c>
      <c r="RXA28">
        <f t="array" ref="RXA28">_xlfn.XLOOKUP(RXA$11,Assumptions!$B$35:$H$35,_xlfn.XLOOKUP($C28,Assumptions!$B$36:$B$41,Assumptions!$B$36:$H$41))</f>
        <v>0</v>
      </c>
      <c r="RXB28">
        <f t="array" ref="RXB28">_xlfn.XLOOKUP(RXB$11,Assumptions!$B$35:$H$35,_xlfn.XLOOKUP($C28,Assumptions!$B$36:$B$41,Assumptions!$B$36:$H$41))</f>
        <v>0</v>
      </c>
      <c r="RXC28">
        <f t="array" ref="RXC28">_xlfn.XLOOKUP(RXC$11,Assumptions!$B$35:$H$35,_xlfn.XLOOKUP($C28,Assumptions!$B$36:$B$41,Assumptions!$B$36:$H$41))</f>
        <v>0</v>
      </c>
      <c r="RXD28">
        <f t="array" ref="RXD28">_xlfn.XLOOKUP(RXD$11,Assumptions!$B$35:$H$35,_xlfn.XLOOKUP($C28,Assumptions!$B$36:$B$41,Assumptions!$B$36:$H$41))</f>
        <v>0</v>
      </c>
      <c r="RXE28">
        <f t="array" ref="RXE28">_xlfn.XLOOKUP(RXE$11,Assumptions!$B$35:$H$35,_xlfn.XLOOKUP($C28,Assumptions!$B$36:$B$41,Assumptions!$B$36:$H$41))</f>
        <v>0</v>
      </c>
      <c r="RXF28">
        <f t="array" ref="RXF28">_xlfn.XLOOKUP(RXF$11,Assumptions!$B$35:$H$35,_xlfn.XLOOKUP($C28,Assumptions!$B$36:$B$41,Assumptions!$B$36:$H$41))</f>
        <v>0</v>
      </c>
      <c r="RXG28">
        <f t="array" ref="RXG28">_xlfn.XLOOKUP(RXG$11,Assumptions!$B$35:$H$35,_xlfn.XLOOKUP($C28,Assumptions!$B$36:$B$41,Assumptions!$B$36:$H$41))</f>
        <v>0</v>
      </c>
      <c r="RXH28">
        <f t="array" ref="RXH28">_xlfn.XLOOKUP(RXH$11,Assumptions!$B$35:$H$35,_xlfn.XLOOKUP($C28,Assumptions!$B$36:$B$41,Assumptions!$B$36:$H$41))</f>
        <v>0</v>
      </c>
      <c r="RXI28">
        <f t="array" ref="RXI28">_xlfn.XLOOKUP(RXI$11,Assumptions!$B$35:$H$35,_xlfn.XLOOKUP($C28,Assumptions!$B$36:$B$41,Assumptions!$B$36:$H$41))</f>
        <v>0</v>
      </c>
      <c r="RXJ28">
        <f t="array" ref="RXJ28">_xlfn.XLOOKUP(RXJ$11,Assumptions!$B$35:$H$35,_xlfn.XLOOKUP($C28,Assumptions!$B$36:$B$41,Assumptions!$B$36:$H$41))</f>
        <v>0</v>
      </c>
      <c r="RXK28">
        <f t="array" ref="RXK28">_xlfn.XLOOKUP(RXK$11,Assumptions!$B$35:$H$35,_xlfn.XLOOKUP($C28,Assumptions!$B$36:$B$41,Assumptions!$B$36:$H$41))</f>
        <v>0</v>
      </c>
      <c r="RXL28">
        <f t="array" ref="RXL28">_xlfn.XLOOKUP(RXL$11,Assumptions!$B$35:$H$35,_xlfn.XLOOKUP($C28,Assumptions!$B$36:$B$41,Assumptions!$B$36:$H$41))</f>
        <v>0</v>
      </c>
      <c r="RXM28">
        <f t="array" ref="RXM28">_xlfn.XLOOKUP(RXM$11,Assumptions!$B$35:$H$35,_xlfn.XLOOKUP($C28,Assumptions!$B$36:$B$41,Assumptions!$B$36:$H$41))</f>
        <v>0</v>
      </c>
      <c r="RXN28">
        <f t="array" ref="RXN28">_xlfn.XLOOKUP(RXN$11,Assumptions!$B$35:$H$35,_xlfn.XLOOKUP($C28,Assumptions!$B$36:$B$41,Assumptions!$B$36:$H$41))</f>
        <v>0</v>
      </c>
      <c r="RXO28">
        <f t="array" ref="RXO28">_xlfn.XLOOKUP(RXO$11,Assumptions!$B$35:$H$35,_xlfn.XLOOKUP($C28,Assumptions!$B$36:$B$41,Assumptions!$B$36:$H$41))</f>
        <v>0</v>
      </c>
      <c r="RXP28">
        <f t="array" ref="RXP28">_xlfn.XLOOKUP(RXP$11,Assumptions!$B$35:$H$35,_xlfn.XLOOKUP($C28,Assumptions!$B$36:$B$41,Assumptions!$B$36:$H$41))</f>
        <v>0</v>
      </c>
      <c r="RXQ28">
        <f t="array" ref="RXQ28">_xlfn.XLOOKUP(RXQ$11,Assumptions!$B$35:$H$35,_xlfn.XLOOKUP($C28,Assumptions!$B$36:$B$41,Assumptions!$B$36:$H$41))</f>
        <v>0</v>
      </c>
      <c r="RXR28">
        <f t="array" ref="RXR28">_xlfn.XLOOKUP(RXR$11,Assumptions!$B$35:$H$35,_xlfn.XLOOKUP($C28,Assumptions!$B$36:$B$41,Assumptions!$B$36:$H$41))</f>
        <v>0</v>
      </c>
      <c r="RXS28">
        <f t="array" ref="RXS28">_xlfn.XLOOKUP(RXS$11,Assumptions!$B$35:$H$35,_xlfn.XLOOKUP($C28,Assumptions!$B$36:$B$41,Assumptions!$B$36:$H$41))</f>
        <v>0</v>
      </c>
      <c r="RXT28">
        <f t="array" ref="RXT28">_xlfn.XLOOKUP(RXT$11,Assumptions!$B$35:$H$35,_xlfn.XLOOKUP($C28,Assumptions!$B$36:$B$41,Assumptions!$B$36:$H$41))</f>
        <v>0</v>
      </c>
      <c r="RXU28">
        <f t="array" ref="RXU28">_xlfn.XLOOKUP(RXU$11,Assumptions!$B$35:$H$35,_xlfn.XLOOKUP($C28,Assumptions!$B$36:$B$41,Assumptions!$B$36:$H$41))</f>
        <v>0</v>
      </c>
      <c r="RXV28">
        <f t="array" ref="RXV28">_xlfn.XLOOKUP(RXV$11,Assumptions!$B$35:$H$35,_xlfn.XLOOKUP($C28,Assumptions!$B$36:$B$41,Assumptions!$B$36:$H$41))</f>
        <v>0</v>
      </c>
      <c r="RXW28">
        <f t="array" ref="RXW28">_xlfn.XLOOKUP(RXW$11,Assumptions!$B$35:$H$35,_xlfn.XLOOKUP($C28,Assumptions!$B$36:$B$41,Assumptions!$B$36:$H$41))</f>
        <v>0</v>
      </c>
      <c r="RXX28">
        <f t="array" ref="RXX28">_xlfn.XLOOKUP(RXX$11,Assumptions!$B$35:$H$35,_xlfn.XLOOKUP($C28,Assumptions!$B$36:$B$41,Assumptions!$B$36:$H$41))</f>
        <v>0</v>
      </c>
      <c r="RXY28">
        <f t="array" ref="RXY28">_xlfn.XLOOKUP(RXY$11,Assumptions!$B$35:$H$35,_xlfn.XLOOKUP($C28,Assumptions!$B$36:$B$41,Assumptions!$B$36:$H$41))</f>
        <v>0</v>
      </c>
      <c r="RXZ28">
        <f t="array" ref="RXZ28">_xlfn.XLOOKUP(RXZ$11,Assumptions!$B$35:$H$35,_xlfn.XLOOKUP($C28,Assumptions!$B$36:$B$41,Assumptions!$B$36:$H$41))</f>
        <v>0</v>
      </c>
      <c r="RYA28">
        <f t="array" ref="RYA28">_xlfn.XLOOKUP(RYA$11,Assumptions!$B$35:$H$35,_xlfn.XLOOKUP($C28,Assumptions!$B$36:$B$41,Assumptions!$B$36:$H$41))</f>
        <v>0</v>
      </c>
      <c r="RYB28">
        <f t="array" ref="RYB28">_xlfn.XLOOKUP(RYB$11,Assumptions!$B$35:$H$35,_xlfn.XLOOKUP($C28,Assumptions!$B$36:$B$41,Assumptions!$B$36:$H$41))</f>
        <v>0</v>
      </c>
      <c r="RYC28">
        <f t="array" ref="RYC28">_xlfn.XLOOKUP(RYC$11,Assumptions!$B$35:$H$35,_xlfn.XLOOKUP($C28,Assumptions!$B$36:$B$41,Assumptions!$B$36:$H$41))</f>
        <v>0</v>
      </c>
      <c r="RYD28">
        <f t="array" ref="RYD28">_xlfn.XLOOKUP(RYD$11,Assumptions!$B$35:$H$35,_xlfn.XLOOKUP($C28,Assumptions!$B$36:$B$41,Assumptions!$B$36:$H$41))</f>
        <v>0</v>
      </c>
      <c r="RYE28">
        <f t="array" ref="RYE28">_xlfn.XLOOKUP(RYE$11,Assumptions!$B$35:$H$35,_xlfn.XLOOKUP($C28,Assumptions!$B$36:$B$41,Assumptions!$B$36:$H$41))</f>
        <v>0</v>
      </c>
      <c r="RYF28">
        <f t="array" ref="RYF28">_xlfn.XLOOKUP(RYF$11,Assumptions!$B$35:$H$35,_xlfn.XLOOKUP($C28,Assumptions!$B$36:$B$41,Assumptions!$B$36:$H$41))</f>
        <v>0</v>
      </c>
      <c r="RYG28">
        <f t="array" ref="RYG28">_xlfn.XLOOKUP(RYG$11,Assumptions!$B$35:$H$35,_xlfn.XLOOKUP($C28,Assumptions!$B$36:$B$41,Assumptions!$B$36:$H$41))</f>
        <v>0</v>
      </c>
      <c r="RYH28">
        <f t="array" ref="RYH28">_xlfn.XLOOKUP(RYH$11,Assumptions!$B$35:$H$35,_xlfn.XLOOKUP($C28,Assumptions!$B$36:$B$41,Assumptions!$B$36:$H$41))</f>
        <v>0</v>
      </c>
      <c r="RYI28">
        <f t="array" ref="RYI28">_xlfn.XLOOKUP(RYI$11,Assumptions!$B$35:$H$35,_xlfn.XLOOKUP($C28,Assumptions!$B$36:$B$41,Assumptions!$B$36:$H$41))</f>
        <v>0</v>
      </c>
      <c r="RYJ28">
        <f t="array" ref="RYJ28">_xlfn.XLOOKUP(RYJ$11,Assumptions!$B$35:$H$35,_xlfn.XLOOKUP($C28,Assumptions!$B$36:$B$41,Assumptions!$B$36:$H$41))</f>
        <v>0</v>
      </c>
      <c r="RYK28">
        <f t="array" ref="RYK28">_xlfn.XLOOKUP(RYK$11,Assumptions!$B$35:$H$35,_xlfn.XLOOKUP($C28,Assumptions!$B$36:$B$41,Assumptions!$B$36:$H$41))</f>
        <v>0</v>
      </c>
      <c r="RYL28">
        <f t="array" ref="RYL28">_xlfn.XLOOKUP(RYL$11,Assumptions!$B$35:$H$35,_xlfn.XLOOKUP($C28,Assumptions!$B$36:$B$41,Assumptions!$B$36:$H$41))</f>
        <v>0</v>
      </c>
      <c r="RYM28">
        <f t="array" ref="RYM28">_xlfn.XLOOKUP(RYM$11,Assumptions!$B$35:$H$35,_xlfn.XLOOKUP($C28,Assumptions!$B$36:$B$41,Assumptions!$B$36:$H$41))</f>
        <v>0</v>
      </c>
      <c r="RYN28">
        <f t="array" ref="RYN28">_xlfn.XLOOKUP(RYN$11,Assumptions!$B$35:$H$35,_xlfn.XLOOKUP($C28,Assumptions!$B$36:$B$41,Assumptions!$B$36:$H$41))</f>
        <v>0</v>
      </c>
      <c r="RYO28">
        <f t="array" ref="RYO28">_xlfn.XLOOKUP(RYO$11,Assumptions!$B$35:$H$35,_xlfn.XLOOKUP($C28,Assumptions!$B$36:$B$41,Assumptions!$B$36:$H$41))</f>
        <v>0</v>
      </c>
      <c r="RYP28">
        <f t="array" ref="RYP28">_xlfn.XLOOKUP(RYP$11,Assumptions!$B$35:$H$35,_xlfn.XLOOKUP($C28,Assumptions!$B$36:$B$41,Assumptions!$B$36:$H$41))</f>
        <v>0</v>
      </c>
      <c r="RYQ28">
        <f t="array" ref="RYQ28">_xlfn.XLOOKUP(RYQ$11,Assumptions!$B$35:$H$35,_xlfn.XLOOKUP($C28,Assumptions!$B$36:$B$41,Assumptions!$B$36:$H$41))</f>
        <v>0</v>
      </c>
      <c r="RYR28">
        <f t="array" ref="RYR28">_xlfn.XLOOKUP(RYR$11,Assumptions!$B$35:$H$35,_xlfn.XLOOKUP($C28,Assumptions!$B$36:$B$41,Assumptions!$B$36:$H$41))</f>
        <v>0</v>
      </c>
      <c r="RYS28">
        <f t="array" ref="RYS28">_xlfn.XLOOKUP(RYS$11,Assumptions!$B$35:$H$35,_xlfn.XLOOKUP($C28,Assumptions!$B$36:$B$41,Assumptions!$B$36:$H$41))</f>
        <v>0</v>
      </c>
      <c r="RYT28">
        <f t="array" ref="RYT28">_xlfn.XLOOKUP(RYT$11,Assumptions!$B$35:$H$35,_xlfn.XLOOKUP($C28,Assumptions!$B$36:$B$41,Assumptions!$B$36:$H$41))</f>
        <v>0</v>
      </c>
      <c r="RYU28">
        <f t="array" ref="RYU28">_xlfn.XLOOKUP(RYU$11,Assumptions!$B$35:$H$35,_xlfn.XLOOKUP($C28,Assumptions!$B$36:$B$41,Assumptions!$B$36:$H$41))</f>
        <v>0</v>
      </c>
      <c r="RYV28">
        <f t="array" ref="RYV28">_xlfn.XLOOKUP(RYV$11,Assumptions!$B$35:$H$35,_xlfn.XLOOKUP($C28,Assumptions!$B$36:$B$41,Assumptions!$B$36:$H$41))</f>
        <v>0</v>
      </c>
      <c r="RYW28">
        <f t="array" ref="RYW28">_xlfn.XLOOKUP(RYW$11,Assumptions!$B$35:$H$35,_xlfn.XLOOKUP($C28,Assumptions!$B$36:$B$41,Assumptions!$B$36:$H$41))</f>
        <v>0</v>
      </c>
      <c r="RYX28">
        <f t="array" ref="RYX28">_xlfn.XLOOKUP(RYX$11,Assumptions!$B$35:$H$35,_xlfn.XLOOKUP($C28,Assumptions!$B$36:$B$41,Assumptions!$B$36:$H$41))</f>
        <v>0</v>
      </c>
      <c r="RYY28">
        <f t="array" ref="RYY28">_xlfn.XLOOKUP(RYY$11,Assumptions!$B$35:$H$35,_xlfn.XLOOKUP($C28,Assumptions!$B$36:$B$41,Assumptions!$B$36:$H$41))</f>
        <v>0</v>
      </c>
      <c r="RYZ28">
        <f t="array" ref="RYZ28">_xlfn.XLOOKUP(RYZ$11,Assumptions!$B$35:$H$35,_xlfn.XLOOKUP($C28,Assumptions!$B$36:$B$41,Assumptions!$B$36:$H$41))</f>
        <v>0</v>
      </c>
      <c r="RZA28">
        <f t="array" ref="RZA28">_xlfn.XLOOKUP(RZA$11,Assumptions!$B$35:$H$35,_xlfn.XLOOKUP($C28,Assumptions!$B$36:$B$41,Assumptions!$B$36:$H$41))</f>
        <v>0</v>
      </c>
      <c r="RZB28">
        <f t="array" ref="RZB28">_xlfn.XLOOKUP(RZB$11,Assumptions!$B$35:$H$35,_xlfn.XLOOKUP($C28,Assumptions!$B$36:$B$41,Assumptions!$B$36:$H$41))</f>
        <v>0</v>
      </c>
      <c r="RZC28">
        <f t="array" ref="RZC28">_xlfn.XLOOKUP(RZC$11,Assumptions!$B$35:$H$35,_xlfn.XLOOKUP($C28,Assumptions!$B$36:$B$41,Assumptions!$B$36:$H$41))</f>
        <v>0</v>
      </c>
      <c r="RZD28">
        <f t="array" ref="RZD28">_xlfn.XLOOKUP(RZD$11,Assumptions!$B$35:$H$35,_xlfn.XLOOKUP($C28,Assumptions!$B$36:$B$41,Assumptions!$B$36:$H$41))</f>
        <v>0</v>
      </c>
      <c r="RZE28">
        <f t="array" ref="RZE28">_xlfn.XLOOKUP(RZE$11,Assumptions!$B$35:$H$35,_xlfn.XLOOKUP($C28,Assumptions!$B$36:$B$41,Assumptions!$B$36:$H$41))</f>
        <v>0</v>
      </c>
      <c r="RZF28">
        <f t="array" ref="RZF28">_xlfn.XLOOKUP(RZF$11,Assumptions!$B$35:$H$35,_xlfn.XLOOKUP($C28,Assumptions!$B$36:$B$41,Assumptions!$B$36:$H$41))</f>
        <v>0</v>
      </c>
      <c r="RZG28">
        <f t="array" ref="RZG28">_xlfn.XLOOKUP(RZG$11,Assumptions!$B$35:$H$35,_xlfn.XLOOKUP($C28,Assumptions!$B$36:$B$41,Assumptions!$B$36:$H$41))</f>
        <v>0</v>
      </c>
      <c r="RZH28">
        <f t="array" ref="RZH28">_xlfn.XLOOKUP(RZH$11,Assumptions!$B$35:$H$35,_xlfn.XLOOKUP($C28,Assumptions!$B$36:$B$41,Assumptions!$B$36:$H$41))</f>
        <v>0</v>
      </c>
      <c r="RZI28">
        <f t="array" ref="RZI28">_xlfn.XLOOKUP(RZI$11,Assumptions!$B$35:$H$35,_xlfn.XLOOKUP($C28,Assumptions!$B$36:$B$41,Assumptions!$B$36:$H$41))</f>
        <v>0</v>
      </c>
      <c r="RZJ28">
        <f t="array" ref="RZJ28">_xlfn.XLOOKUP(RZJ$11,Assumptions!$B$35:$H$35,_xlfn.XLOOKUP($C28,Assumptions!$B$36:$B$41,Assumptions!$B$36:$H$41))</f>
        <v>0</v>
      </c>
      <c r="RZK28">
        <f t="array" ref="RZK28">_xlfn.XLOOKUP(RZK$11,Assumptions!$B$35:$H$35,_xlfn.XLOOKUP($C28,Assumptions!$B$36:$B$41,Assumptions!$B$36:$H$41))</f>
        <v>0</v>
      </c>
      <c r="RZL28">
        <f t="array" ref="RZL28">_xlfn.XLOOKUP(RZL$11,Assumptions!$B$35:$H$35,_xlfn.XLOOKUP($C28,Assumptions!$B$36:$B$41,Assumptions!$B$36:$H$41))</f>
        <v>0</v>
      </c>
      <c r="RZM28">
        <f t="array" ref="RZM28">_xlfn.XLOOKUP(RZM$11,Assumptions!$B$35:$H$35,_xlfn.XLOOKUP($C28,Assumptions!$B$36:$B$41,Assumptions!$B$36:$H$41))</f>
        <v>0</v>
      </c>
      <c r="RZN28">
        <f t="array" ref="RZN28">_xlfn.XLOOKUP(RZN$11,Assumptions!$B$35:$H$35,_xlfn.XLOOKUP($C28,Assumptions!$B$36:$B$41,Assumptions!$B$36:$H$41))</f>
        <v>0</v>
      </c>
      <c r="RZO28">
        <f t="array" ref="RZO28">_xlfn.XLOOKUP(RZO$11,Assumptions!$B$35:$H$35,_xlfn.XLOOKUP($C28,Assumptions!$B$36:$B$41,Assumptions!$B$36:$H$41))</f>
        <v>0</v>
      </c>
      <c r="RZP28">
        <f t="array" ref="RZP28">_xlfn.XLOOKUP(RZP$11,Assumptions!$B$35:$H$35,_xlfn.XLOOKUP($C28,Assumptions!$B$36:$B$41,Assumptions!$B$36:$H$41))</f>
        <v>0</v>
      </c>
      <c r="RZQ28">
        <f t="array" ref="RZQ28">_xlfn.XLOOKUP(RZQ$11,Assumptions!$B$35:$H$35,_xlfn.XLOOKUP($C28,Assumptions!$B$36:$B$41,Assumptions!$B$36:$H$41))</f>
        <v>0</v>
      </c>
      <c r="RZR28">
        <f t="array" ref="RZR28">_xlfn.XLOOKUP(RZR$11,Assumptions!$B$35:$H$35,_xlfn.XLOOKUP($C28,Assumptions!$B$36:$B$41,Assumptions!$B$36:$H$41))</f>
        <v>0</v>
      </c>
      <c r="RZS28">
        <f t="array" ref="RZS28">_xlfn.XLOOKUP(RZS$11,Assumptions!$B$35:$H$35,_xlfn.XLOOKUP($C28,Assumptions!$B$36:$B$41,Assumptions!$B$36:$H$41))</f>
        <v>0</v>
      </c>
      <c r="RZT28">
        <f t="array" ref="RZT28">_xlfn.XLOOKUP(RZT$11,Assumptions!$B$35:$H$35,_xlfn.XLOOKUP($C28,Assumptions!$B$36:$B$41,Assumptions!$B$36:$H$41))</f>
        <v>0</v>
      </c>
      <c r="RZU28">
        <f t="array" ref="RZU28">_xlfn.XLOOKUP(RZU$11,Assumptions!$B$35:$H$35,_xlfn.XLOOKUP($C28,Assumptions!$B$36:$B$41,Assumptions!$B$36:$H$41))</f>
        <v>0</v>
      </c>
      <c r="RZV28">
        <f t="array" ref="RZV28">_xlfn.XLOOKUP(RZV$11,Assumptions!$B$35:$H$35,_xlfn.XLOOKUP($C28,Assumptions!$B$36:$B$41,Assumptions!$B$36:$H$41))</f>
        <v>0</v>
      </c>
      <c r="RZW28">
        <f t="array" ref="RZW28">_xlfn.XLOOKUP(RZW$11,Assumptions!$B$35:$H$35,_xlfn.XLOOKUP($C28,Assumptions!$B$36:$B$41,Assumptions!$B$36:$H$41))</f>
        <v>0</v>
      </c>
      <c r="RZX28">
        <f t="array" ref="RZX28">_xlfn.XLOOKUP(RZX$11,Assumptions!$B$35:$H$35,_xlfn.XLOOKUP($C28,Assumptions!$B$36:$B$41,Assumptions!$B$36:$H$41))</f>
        <v>0</v>
      </c>
      <c r="RZY28">
        <f t="array" ref="RZY28">_xlfn.XLOOKUP(RZY$11,Assumptions!$B$35:$H$35,_xlfn.XLOOKUP($C28,Assumptions!$B$36:$B$41,Assumptions!$B$36:$H$41))</f>
        <v>0</v>
      </c>
      <c r="RZZ28">
        <f t="array" ref="RZZ28">_xlfn.XLOOKUP(RZZ$11,Assumptions!$B$35:$H$35,_xlfn.XLOOKUP($C28,Assumptions!$B$36:$B$41,Assumptions!$B$36:$H$41))</f>
        <v>0</v>
      </c>
      <c r="SAA28">
        <f t="array" ref="SAA28">_xlfn.XLOOKUP(SAA$11,Assumptions!$B$35:$H$35,_xlfn.XLOOKUP($C28,Assumptions!$B$36:$B$41,Assumptions!$B$36:$H$41))</f>
        <v>0</v>
      </c>
      <c r="SAB28">
        <f t="array" ref="SAB28">_xlfn.XLOOKUP(SAB$11,Assumptions!$B$35:$H$35,_xlfn.XLOOKUP($C28,Assumptions!$B$36:$B$41,Assumptions!$B$36:$H$41))</f>
        <v>0</v>
      </c>
      <c r="SAC28">
        <f t="array" ref="SAC28">_xlfn.XLOOKUP(SAC$11,Assumptions!$B$35:$H$35,_xlfn.XLOOKUP($C28,Assumptions!$B$36:$B$41,Assumptions!$B$36:$H$41))</f>
        <v>0</v>
      </c>
      <c r="SAD28">
        <f t="array" ref="SAD28">_xlfn.XLOOKUP(SAD$11,Assumptions!$B$35:$H$35,_xlfn.XLOOKUP($C28,Assumptions!$B$36:$B$41,Assumptions!$B$36:$H$41))</f>
        <v>0</v>
      </c>
      <c r="SAE28">
        <f t="array" ref="SAE28">_xlfn.XLOOKUP(SAE$11,Assumptions!$B$35:$H$35,_xlfn.XLOOKUP($C28,Assumptions!$B$36:$B$41,Assumptions!$B$36:$H$41))</f>
        <v>0</v>
      </c>
      <c r="SAF28">
        <f t="array" ref="SAF28">_xlfn.XLOOKUP(SAF$11,Assumptions!$B$35:$H$35,_xlfn.XLOOKUP($C28,Assumptions!$B$36:$B$41,Assumptions!$B$36:$H$41))</f>
        <v>0</v>
      </c>
      <c r="SAG28">
        <f t="array" ref="SAG28">_xlfn.XLOOKUP(SAG$11,Assumptions!$B$35:$H$35,_xlfn.XLOOKUP($C28,Assumptions!$B$36:$B$41,Assumptions!$B$36:$H$41))</f>
        <v>0</v>
      </c>
      <c r="SAH28">
        <f t="array" ref="SAH28">_xlfn.XLOOKUP(SAH$11,Assumptions!$B$35:$H$35,_xlfn.XLOOKUP($C28,Assumptions!$B$36:$B$41,Assumptions!$B$36:$H$41))</f>
        <v>0</v>
      </c>
      <c r="SAI28">
        <f t="array" ref="SAI28">_xlfn.XLOOKUP(SAI$11,Assumptions!$B$35:$H$35,_xlfn.XLOOKUP($C28,Assumptions!$B$36:$B$41,Assumptions!$B$36:$H$41))</f>
        <v>0</v>
      </c>
      <c r="SAJ28">
        <f t="array" ref="SAJ28">_xlfn.XLOOKUP(SAJ$11,Assumptions!$B$35:$H$35,_xlfn.XLOOKUP($C28,Assumptions!$B$36:$B$41,Assumptions!$B$36:$H$41))</f>
        <v>0</v>
      </c>
      <c r="SAK28">
        <f t="array" ref="SAK28">_xlfn.XLOOKUP(SAK$11,Assumptions!$B$35:$H$35,_xlfn.XLOOKUP($C28,Assumptions!$B$36:$B$41,Assumptions!$B$36:$H$41))</f>
        <v>0</v>
      </c>
      <c r="SAL28">
        <f t="array" ref="SAL28">_xlfn.XLOOKUP(SAL$11,Assumptions!$B$35:$H$35,_xlfn.XLOOKUP($C28,Assumptions!$B$36:$B$41,Assumptions!$B$36:$H$41))</f>
        <v>0</v>
      </c>
      <c r="SAM28">
        <f t="array" ref="SAM28">_xlfn.XLOOKUP(SAM$11,Assumptions!$B$35:$H$35,_xlfn.XLOOKUP($C28,Assumptions!$B$36:$B$41,Assumptions!$B$36:$H$41))</f>
        <v>0</v>
      </c>
      <c r="SAN28">
        <f t="array" ref="SAN28">_xlfn.XLOOKUP(SAN$11,Assumptions!$B$35:$H$35,_xlfn.XLOOKUP($C28,Assumptions!$B$36:$B$41,Assumptions!$B$36:$H$41))</f>
        <v>0</v>
      </c>
      <c r="SAO28">
        <f t="array" ref="SAO28">_xlfn.XLOOKUP(SAO$11,Assumptions!$B$35:$H$35,_xlfn.XLOOKUP($C28,Assumptions!$B$36:$B$41,Assumptions!$B$36:$H$41))</f>
        <v>0</v>
      </c>
      <c r="SAP28">
        <f t="array" ref="SAP28">_xlfn.XLOOKUP(SAP$11,Assumptions!$B$35:$H$35,_xlfn.XLOOKUP($C28,Assumptions!$B$36:$B$41,Assumptions!$B$36:$H$41))</f>
        <v>0</v>
      </c>
      <c r="SAQ28">
        <f t="array" ref="SAQ28">_xlfn.XLOOKUP(SAQ$11,Assumptions!$B$35:$H$35,_xlfn.XLOOKUP($C28,Assumptions!$B$36:$B$41,Assumptions!$B$36:$H$41))</f>
        <v>0</v>
      </c>
      <c r="SAR28">
        <f t="array" ref="SAR28">_xlfn.XLOOKUP(SAR$11,Assumptions!$B$35:$H$35,_xlfn.XLOOKUP($C28,Assumptions!$B$36:$B$41,Assumptions!$B$36:$H$41))</f>
        <v>0</v>
      </c>
      <c r="SAS28">
        <f t="array" ref="SAS28">_xlfn.XLOOKUP(SAS$11,Assumptions!$B$35:$H$35,_xlfn.XLOOKUP($C28,Assumptions!$B$36:$B$41,Assumptions!$B$36:$H$41))</f>
        <v>0</v>
      </c>
      <c r="SAT28">
        <f t="array" ref="SAT28">_xlfn.XLOOKUP(SAT$11,Assumptions!$B$35:$H$35,_xlfn.XLOOKUP($C28,Assumptions!$B$36:$B$41,Assumptions!$B$36:$H$41))</f>
        <v>0</v>
      </c>
      <c r="SAU28">
        <f t="array" ref="SAU28">_xlfn.XLOOKUP(SAU$11,Assumptions!$B$35:$H$35,_xlfn.XLOOKUP($C28,Assumptions!$B$36:$B$41,Assumptions!$B$36:$H$41))</f>
        <v>0</v>
      </c>
      <c r="SAV28">
        <f t="array" ref="SAV28">_xlfn.XLOOKUP(SAV$11,Assumptions!$B$35:$H$35,_xlfn.XLOOKUP($C28,Assumptions!$B$36:$B$41,Assumptions!$B$36:$H$41))</f>
        <v>0</v>
      </c>
      <c r="SAW28">
        <f t="array" ref="SAW28">_xlfn.XLOOKUP(SAW$11,Assumptions!$B$35:$H$35,_xlfn.XLOOKUP($C28,Assumptions!$B$36:$B$41,Assumptions!$B$36:$H$41))</f>
        <v>0</v>
      </c>
      <c r="SAX28">
        <f t="array" ref="SAX28">_xlfn.XLOOKUP(SAX$11,Assumptions!$B$35:$H$35,_xlfn.XLOOKUP($C28,Assumptions!$B$36:$B$41,Assumptions!$B$36:$H$41))</f>
        <v>0</v>
      </c>
      <c r="SAY28">
        <f t="array" ref="SAY28">_xlfn.XLOOKUP(SAY$11,Assumptions!$B$35:$H$35,_xlfn.XLOOKUP($C28,Assumptions!$B$36:$B$41,Assumptions!$B$36:$H$41))</f>
        <v>0</v>
      </c>
      <c r="SAZ28">
        <f t="array" ref="SAZ28">_xlfn.XLOOKUP(SAZ$11,Assumptions!$B$35:$H$35,_xlfn.XLOOKUP($C28,Assumptions!$B$36:$B$41,Assumptions!$B$36:$H$41))</f>
        <v>0</v>
      </c>
      <c r="SBA28">
        <f t="array" ref="SBA28">_xlfn.XLOOKUP(SBA$11,Assumptions!$B$35:$H$35,_xlfn.XLOOKUP($C28,Assumptions!$B$36:$B$41,Assumptions!$B$36:$H$41))</f>
        <v>0</v>
      </c>
      <c r="SBB28">
        <f t="array" ref="SBB28">_xlfn.XLOOKUP(SBB$11,Assumptions!$B$35:$H$35,_xlfn.XLOOKUP($C28,Assumptions!$B$36:$B$41,Assumptions!$B$36:$H$41))</f>
        <v>0</v>
      </c>
      <c r="SBC28">
        <f t="array" ref="SBC28">_xlfn.XLOOKUP(SBC$11,Assumptions!$B$35:$H$35,_xlfn.XLOOKUP($C28,Assumptions!$B$36:$B$41,Assumptions!$B$36:$H$41))</f>
        <v>0</v>
      </c>
      <c r="SBD28">
        <f t="array" ref="SBD28">_xlfn.XLOOKUP(SBD$11,Assumptions!$B$35:$H$35,_xlfn.XLOOKUP($C28,Assumptions!$B$36:$B$41,Assumptions!$B$36:$H$41))</f>
        <v>0</v>
      </c>
      <c r="SBE28">
        <f t="array" ref="SBE28">_xlfn.XLOOKUP(SBE$11,Assumptions!$B$35:$H$35,_xlfn.XLOOKUP($C28,Assumptions!$B$36:$B$41,Assumptions!$B$36:$H$41))</f>
        <v>0</v>
      </c>
      <c r="SBF28">
        <f t="array" ref="SBF28">_xlfn.XLOOKUP(SBF$11,Assumptions!$B$35:$H$35,_xlfn.XLOOKUP($C28,Assumptions!$B$36:$B$41,Assumptions!$B$36:$H$41))</f>
        <v>0</v>
      </c>
      <c r="SBG28">
        <f t="array" ref="SBG28">_xlfn.XLOOKUP(SBG$11,Assumptions!$B$35:$H$35,_xlfn.XLOOKUP($C28,Assumptions!$B$36:$B$41,Assumptions!$B$36:$H$41))</f>
        <v>0</v>
      </c>
      <c r="SBH28">
        <f t="array" ref="SBH28">_xlfn.XLOOKUP(SBH$11,Assumptions!$B$35:$H$35,_xlfn.XLOOKUP($C28,Assumptions!$B$36:$B$41,Assumptions!$B$36:$H$41))</f>
        <v>0</v>
      </c>
      <c r="SBI28">
        <f t="array" ref="SBI28">_xlfn.XLOOKUP(SBI$11,Assumptions!$B$35:$H$35,_xlfn.XLOOKUP($C28,Assumptions!$B$36:$B$41,Assumptions!$B$36:$H$41))</f>
        <v>0</v>
      </c>
      <c r="SBJ28">
        <f t="array" ref="SBJ28">_xlfn.XLOOKUP(SBJ$11,Assumptions!$B$35:$H$35,_xlfn.XLOOKUP($C28,Assumptions!$B$36:$B$41,Assumptions!$B$36:$H$41))</f>
        <v>0</v>
      </c>
      <c r="SBK28">
        <f t="array" ref="SBK28">_xlfn.XLOOKUP(SBK$11,Assumptions!$B$35:$H$35,_xlfn.XLOOKUP($C28,Assumptions!$B$36:$B$41,Assumptions!$B$36:$H$41))</f>
        <v>0</v>
      </c>
      <c r="SBL28">
        <f t="array" ref="SBL28">_xlfn.XLOOKUP(SBL$11,Assumptions!$B$35:$H$35,_xlfn.XLOOKUP($C28,Assumptions!$B$36:$B$41,Assumptions!$B$36:$H$41))</f>
        <v>0</v>
      </c>
      <c r="SBM28">
        <f t="array" ref="SBM28">_xlfn.XLOOKUP(SBM$11,Assumptions!$B$35:$H$35,_xlfn.XLOOKUP($C28,Assumptions!$B$36:$B$41,Assumptions!$B$36:$H$41))</f>
        <v>0</v>
      </c>
      <c r="SBN28">
        <f t="array" ref="SBN28">_xlfn.XLOOKUP(SBN$11,Assumptions!$B$35:$H$35,_xlfn.XLOOKUP($C28,Assumptions!$B$36:$B$41,Assumptions!$B$36:$H$41))</f>
        <v>0</v>
      </c>
      <c r="SBO28">
        <f t="array" ref="SBO28">_xlfn.XLOOKUP(SBO$11,Assumptions!$B$35:$H$35,_xlfn.XLOOKUP($C28,Assumptions!$B$36:$B$41,Assumptions!$B$36:$H$41))</f>
        <v>0</v>
      </c>
      <c r="SBP28">
        <f t="array" ref="SBP28">_xlfn.XLOOKUP(SBP$11,Assumptions!$B$35:$H$35,_xlfn.XLOOKUP($C28,Assumptions!$B$36:$B$41,Assumptions!$B$36:$H$41))</f>
        <v>0</v>
      </c>
      <c r="SBQ28">
        <f t="array" ref="SBQ28">_xlfn.XLOOKUP(SBQ$11,Assumptions!$B$35:$H$35,_xlfn.XLOOKUP($C28,Assumptions!$B$36:$B$41,Assumptions!$B$36:$H$41))</f>
        <v>0</v>
      </c>
      <c r="SBR28">
        <f t="array" ref="SBR28">_xlfn.XLOOKUP(SBR$11,Assumptions!$B$35:$H$35,_xlfn.XLOOKUP($C28,Assumptions!$B$36:$B$41,Assumptions!$B$36:$H$41))</f>
        <v>0</v>
      </c>
      <c r="SBS28">
        <f t="array" ref="SBS28">_xlfn.XLOOKUP(SBS$11,Assumptions!$B$35:$H$35,_xlfn.XLOOKUP($C28,Assumptions!$B$36:$B$41,Assumptions!$B$36:$H$41))</f>
        <v>0</v>
      </c>
      <c r="SBT28">
        <f t="array" ref="SBT28">_xlfn.XLOOKUP(SBT$11,Assumptions!$B$35:$H$35,_xlfn.XLOOKUP($C28,Assumptions!$B$36:$B$41,Assumptions!$B$36:$H$41))</f>
        <v>0</v>
      </c>
      <c r="SBU28">
        <f t="array" ref="SBU28">_xlfn.XLOOKUP(SBU$11,Assumptions!$B$35:$H$35,_xlfn.XLOOKUP($C28,Assumptions!$B$36:$B$41,Assumptions!$B$36:$H$41))</f>
        <v>0</v>
      </c>
      <c r="SBV28">
        <f t="array" ref="SBV28">_xlfn.XLOOKUP(SBV$11,Assumptions!$B$35:$H$35,_xlfn.XLOOKUP($C28,Assumptions!$B$36:$B$41,Assumptions!$B$36:$H$41))</f>
        <v>0</v>
      </c>
      <c r="SBW28">
        <f t="array" ref="SBW28">_xlfn.XLOOKUP(SBW$11,Assumptions!$B$35:$H$35,_xlfn.XLOOKUP($C28,Assumptions!$B$36:$B$41,Assumptions!$B$36:$H$41))</f>
        <v>0</v>
      </c>
      <c r="SBX28">
        <f t="array" ref="SBX28">_xlfn.XLOOKUP(SBX$11,Assumptions!$B$35:$H$35,_xlfn.XLOOKUP($C28,Assumptions!$B$36:$B$41,Assumptions!$B$36:$H$41))</f>
        <v>0</v>
      </c>
      <c r="SBY28">
        <f t="array" ref="SBY28">_xlfn.XLOOKUP(SBY$11,Assumptions!$B$35:$H$35,_xlfn.XLOOKUP($C28,Assumptions!$B$36:$B$41,Assumptions!$B$36:$H$41))</f>
        <v>0</v>
      </c>
      <c r="SBZ28">
        <f t="array" ref="SBZ28">_xlfn.XLOOKUP(SBZ$11,Assumptions!$B$35:$H$35,_xlfn.XLOOKUP($C28,Assumptions!$B$36:$B$41,Assumptions!$B$36:$H$41))</f>
        <v>0</v>
      </c>
      <c r="SCA28">
        <f t="array" ref="SCA28">_xlfn.XLOOKUP(SCA$11,Assumptions!$B$35:$H$35,_xlfn.XLOOKUP($C28,Assumptions!$B$36:$B$41,Assumptions!$B$36:$H$41))</f>
        <v>0</v>
      </c>
      <c r="SCB28">
        <f t="array" ref="SCB28">_xlfn.XLOOKUP(SCB$11,Assumptions!$B$35:$H$35,_xlfn.XLOOKUP($C28,Assumptions!$B$36:$B$41,Assumptions!$B$36:$H$41))</f>
        <v>0</v>
      </c>
      <c r="SCC28">
        <f t="array" ref="SCC28">_xlfn.XLOOKUP(SCC$11,Assumptions!$B$35:$H$35,_xlfn.XLOOKUP($C28,Assumptions!$B$36:$B$41,Assumptions!$B$36:$H$41))</f>
        <v>0</v>
      </c>
      <c r="SCD28">
        <f t="array" ref="SCD28">_xlfn.XLOOKUP(SCD$11,Assumptions!$B$35:$H$35,_xlfn.XLOOKUP($C28,Assumptions!$B$36:$B$41,Assumptions!$B$36:$H$41))</f>
        <v>0</v>
      </c>
      <c r="SCE28">
        <f t="array" ref="SCE28">_xlfn.XLOOKUP(SCE$11,Assumptions!$B$35:$H$35,_xlfn.XLOOKUP($C28,Assumptions!$B$36:$B$41,Assumptions!$B$36:$H$41))</f>
        <v>0</v>
      </c>
      <c r="SCF28">
        <f t="array" ref="SCF28">_xlfn.XLOOKUP(SCF$11,Assumptions!$B$35:$H$35,_xlfn.XLOOKUP($C28,Assumptions!$B$36:$B$41,Assumptions!$B$36:$H$41))</f>
        <v>0</v>
      </c>
      <c r="SCG28">
        <f t="array" ref="SCG28">_xlfn.XLOOKUP(SCG$11,Assumptions!$B$35:$H$35,_xlfn.XLOOKUP($C28,Assumptions!$B$36:$B$41,Assumptions!$B$36:$H$41))</f>
        <v>0</v>
      </c>
      <c r="SCH28">
        <f t="array" ref="SCH28">_xlfn.XLOOKUP(SCH$11,Assumptions!$B$35:$H$35,_xlfn.XLOOKUP($C28,Assumptions!$B$36:$B$41,Assumptions!$B$36:$H$41))</f>
        <v>0</v>
      </c>
      <c r="SCI28">
        <f t="array" ref="SCI28">_xlfn.XLOOKUP(SCI$11,Assumptions!$B$35:$H$35,_xlfn.XLOOKUP($C28,Assumptions!$B$36:$B$41,Assumptions!$B$36:$H$41))</f>
        <v>0</v>
      </c>
      <c r="SCJ28">
        <f t="array" ref="SCJ28">_xlfn.XLOOKUP(SCJ$11,Assumptions!$B$35:$H$35,_xlfn.XLOOKUP($C28,Assumptions!$B$36:$B$41,Assumptions!$B$36:$H$41))</f>
        <v>0</v>
      </c>
      <c r="SCK28">
        <f t="array" ref="SCK28">_xlfn.XLOOKUP(SCK$11,Assumptions!$B$35:$H$35,_xlfn.XLOOKUP($C28,Assumptions!$B$36:$B$41,Assumptions!$B$36:$H$41))</f>
        <v>0</v>
      </c>
      <c r="SCL28">
        <f t="array" ref="SCL28">_xlfn.XLOOKUP(SCL$11,Assumptions!$B$35:$H$35,_xlfn.XLOOKUP($C28,Assumptions!$B$36:$B$41,Assumptions!$B$36:$H$41))</f>
        <v>0</v>
      </c>
      <c r="SCM28">
        <f t="array" ref="SCM28">_xlfn.XLOOKUP(SCM$11,Assumptions!$B$35:$H$35,_xlfn.XLOOKUP($C28,Assumptions!$B$36:$B$41,Assumptions!$B$36:$H$41))</f>
        <v>0</v>
      </c>
      <c r="SCN28">
        <f t="array" ref="SCN28">_xlfn.XLOOKUP(SCN$11,Assumptions!$B$35:$H$35,_xlfn.XLOOKUP($C28,Assumptions!$B$36:$B$41,Assumptions!$B$36:$H$41))</f>
        <v>0</v>
      </c>
      <c r="SCO28">
        <f t="array" ref="SCO28">_xlfn.XLOOKUP(SCO$11,Assumptions!$B$35:$H$35,_xlfn.XLOOKUP($C28,Assumptions!$B$36:$B$41,Assumptions!$B$36:$H$41))</f>
        <v>0</v>
      </c>
      <c r="SCP28">
        <f t="array" ref="SCP28">_xlfn.XLOOKUP(SCP$11,Assumptions!$B$35:$H$35,_xlfn.XLOOKUP($C28,Assumptions!$B$36:$B$41,Assumptions!$B$36:$H$41))</f>
        <v>0</v>
      </c>
      <c r="SCQ28">
        <f t="array" ref="SCQ28">_xlfn.XLOOKUP(SCQ$11,Assumptions!$B$35:$H$35,_xlfn.XLOOKUP($C28,Assumptions!$B$36:$B$41,Assumptions!$B$36:$H$41))</f>
        <v>0</v>
      </c>
      <c r="SCR28">
        <f t="array" ref="SCR28">_xlfn.XLOOKUP(SCR$11,Assumptions!$B$35:$H$35,_xlfn.XLOOKUP($C28,Assumptions!$B$36:$B$41,Assumptions!$B$36:$H$41))</f>
        <v>0</v>
      </c>
      <c r="SCS28">
        <f t="array" ref="SCS28">_xlfn.XLOOKUP(SCS$11,Assumptions!$B$35:$H$35,_xlfn.XLOOKUP($C28,Assumptions!$B$36:$B$41,Assumptions!$B$36:$H$41))</f>
        <v>0</v>
      </c>
      <c r="SCT28">
        <f t="array" ref="SCT28">_xlfn.XLOOKUP(SCT$11,Assumptions!$B$35:$H$35,_xlfn.XLOOKUP($C28,Assumptions!$B$36:$B$41,Assumptions!$B$36:$H$41))</f>
        <v>0</v>
      </c>
      <c r="SCU28">
        <f t="array" ref="SCU28">_xlfn.XLOOKUP(SCU$11,Assumptions!$B$35:$H$35,_xlfn.XLOOKUP($C28,Assumptions!$B$36:$B$41,Assumptions!$B$36:$H$41))</f>
        <v>0</v>
      </c>
      <c r="SCV28">
        <f t="array" ref="SCV28">_xlfn.XLOOKUP(SCV$11,Assumptions!$B$35:$H$35,_xlfn.XLOOKUP($C28,Assumptions!$B$36:$B$41,Assumptions!$B$36:$H$41))</f>
        <v>0</v>
      </c>
      <c r="SCW28">
        <f t="array" ref="SCW28">_xlfn.XLOOKUP(SCW$11,Assumptions!$B$35:$H$35,_xlfn.XLOOKUP($C28,Assumptions!$B$36:$B$41,Assumptions!$B$36:$H$41))</f>
        <v>0</v>
      </c>
      <c r="SCX28">
        <f t="array" ref="SCX28">_xlfn.XLOOKUP(SCX$11,Assumptions!$B$35:$H$35,_xlfn.XLOOKUP($C28,Assumptions!$B$36:$B$41,Assumptions!$B$36:$H$41))</f>
        <v>0</v>
      </c>
      <c r="SCY28">
        <f t="array" ref="SCY28">_xlfn.XLOOKUP(SCY$11,Assumptions!$B$35:$H$35,_xlfn.XLOOKUP($C28,Assumptions!$B$36:$B$41,Assumptions!$B$36:$H$41))</f>
        <v>0</v>
      </c>
      <c r="SCZ28">
        <f t="array" ref="SCZ28">_xlfn.XLOOKUP(SCZ$11,Assumptions!$B$35:$H$35,_xlfn.XLOOKUP($C28,Assumptions!$B$36:$B$41,Assumptions!$B$36:$H$41))</f>
        <v>0</v>
      </c>
      <c r="SDA28">
        <f t="array" ref="SDA28">_xlfn.XLOOKUP(SDA$11,Assumptions!$B$35:$H$35,_xlfn.XLOOKUP($C28,Assumptions!$B$36:$B$41,Assumptions!$B$36:$H$41))</f>
        <v>0</v>
      </c>
      <c r="SDB28">
        <f t="array" ref="SDB28">_xlfn.XLOOKUP(SDB$11,Assumptions!$B$35:$H$35,_xlfn.XLOOKUP($C28,Assumptions!$B$36:$B$41,Assumptions!$B$36:$H$41))</f>
        <v>0</v>
      </c>
      <c r="SDC28">
        <f t="array" ref="SDC28">_xlfn.XLOOKUP(SDC$11,Assumptions!$B$35:$H$35,_xlfn.XLOOKUP($C28,Assumptions!$B$36:$B$41,Assumptions!$B$36:$H$41))</f>
        <v>0</v>
      </c>
      <c r="SDD28">
        <f t="array" ref="SDD28">_xlfn.XLOOKUP(SDD$11,Assumptions!$B$35:$H$35,_xlfn.XLOOKUP($C28,Assumptions!$B$36:$B$41,Assumptions!$B$36:$H$41))</f>
        <v>0</v>
      </c>
      <c r="SDE28">
        <f t="array" ref="SDE28">_xlfn.XLOOKUP(SDE$11,Assumptions!$B$35:$H$35,_xlfn.XLOOKUP($C28,Assumptions!$B$36:$B$41,Assumptions!$B$36:$H$41))</f>
        <v>0</v>
      </c>
      <c r="SDF28">
        <f t="array" ref="SDF28">_xlfn.XLOOKUP(SDF$11,Assumptions!$B$35:$H$35,_xlfn.XLOOKUP($C28,Assumptions!$B$36:$B$41,Assumptions!$B$36:$H$41))</f>
        <v>0</v>
      </c>
      <c r="SDG28">
        <f t="array" ref="SDG28">_xlfn.XLOOKUP(SDG$11,Assumptions!$B$35:$H$35,_xlfn.XLOOKUP($C28,Assumptions!$B$36:$B$41,Assumptions!$B$36:$H$41))</f>
        <v>0</v>
      </c>
      <c r="SDH28">
        <f t="array" ref="SDH28">_xlfn.XLOOKUP(SDH$11,Assumptions!$B$35:$H$35,_xlfn.XLOOKUP($C28,Assumptions!$B$36:$B$41,Assumptions!$B$36:$H$41))</f>
        <v>0</v>
      </c>
      <c r="SDI28">
        <f t="array" ref="SDI28">_xlfn.XLOOKUP(SDI$11,Assumptions!$B$35:$H$35,_xlfn.XLOOKUP($C28,Assumptions!$B$36:$B$41,Assumptions!$B$36:$H$41))</f>
        <v>0</v>
      </c>
      <c r="SDJ28">
        <f t="array" ref="SDJ28">_xlfn.XLOOKUP(SDJ$11,Assumptions!$B$35:$H$35,_xlfn.XLOOKUP($C28,Assumptions!$B$36:$B$41,Assumptions!$B$36:$H$41))</f>
        <v>0</v>
      </c>
      <c r="SDK28">
        <f t="array" ref="SDK28">_xlfn.XLOOKUP(SDK$11,Assumptions!$B$35:$H$35,_xlfn.XLOOKUP($C28,Assumptions!$B$36:$B$41,Assumptions!$B$36:$H$41))</f>
        <v>0</v>
      </c>
      <c r="SDL28">
        <f t="array" ref="SDL28">_xlfn.XLOOKUP(SDL$11,Assumptions!$B$35:$H$35,_xlfn.XLOOKUP($C28,Assumptions!$B$36:$B$41,Assumptions!$B$36:$H$41))</f>
        <v>0</v>
      </c>
      <c r="SDM28">
        <f t="array" ref="SDM28">_xlfn.XLOOKUP(SDM$11,Assumptions!$B$35:$H$35,_xlfn.XLOOKUP($C28,Assumptions!$B$36:$B$41,Assumptions!$B$36:$H$41))</f>
        <v>0</v>
      </c>
      <c r="SDN28">
        <f t="array" ref="SDN28">_xlfn.XLOOKUP(SDN$11,Assumptions!$B$35:$H$35,_xlfn.XLOOKUP($C28,Assumptions!$B$36:$B$41,Assumptions!$B$36:$H$41))</f>
        <v>0</v>
      </c>
      <c r="SDO28">
        <f t="array" ref="SDO28">_xlfn.XLOOKUP(SDO$11,Assumptions!$B$35:$H$35,_xlfn.XLOOKUP($C28,Assumptions!$B$36:$B$41,Assumptions!$B$36:$H$41))</f>
        <v>0</v>
      </c>
      <c r="SDP28">
        <f t="array" ref="SDP28">_xlfn.XLOOKUP(SDP$11,Assumptions!$B$35:$H$35,_xlfn.XLOOKUP($C28,Assumptions!$B$36:$B$41,Assumptions!$B$36:$H$41))</f>
        <v>0</v>
      </c>
      <c r="SDQ28">
        <f t="array" ref="SDQ28">_xlfn.XLOOKUP(SDQ$11,Assumptions!$B$35:$H$35,_xlfn.XLOOKUP($C28,Assumptions!$B$36:$B$41,Assumptions!$B$36:$H$41))</f>
        <v>0</v>
      </c>
      <c r="SDR28">
        <f t="array" ref="SDR28">_xlfn.XLOOKUP(SDR$11,Assumptions!$B$35:$H$35,_xlfn.XLOOKUP($C28,Assumptions!$B$36:$B$41,Assumptions!$B$36:$H$41))</f>
        <v>0</v>
      </c>
      <c r="SDS28">
        <f t="array" ref="SDS28">_xlfn.XLOOKUP(SDS$11,Assumptions!$B$35:$H$35,_xlfn.XLOOKUP($C28,Assumptions!$B$36:$B$41,Assumptions!$B$36:$H$41))</f>
        <v>0</v>
      </c>
      <c r="SDT28">
        <f t="array" ref="SDT28">_xlfn.XLOOKUP(SDT$11,Assumptions!$B$35:$H$35,_xlfn.XLOOKUP($C28,Assumptions!$B$36:$B$41,Assumptions!$B$36:$H$41))</f>
        <v>0</v>
      </c>
      <c r="SDU28">
        <f t="array" ref="SDU28">_xlfn.XLOOKUP(SDU$11,Assumptions!$B$35:$H$35,_xlfn.XLOOKUP($C28,Assumptions!$B$36:$B$41,Assumptions!$B$36:$H$41))</f>
        <v>0</v>
      </c>
      <c r="SDV28">
        <f t="array" ref="SDV28">_xlfn.XLOOKUP(SDV$11,Assumptions!$B$35:$H$35,_xlfn.XLOOKUP($C28,Assumptions!$B$36:$B$41,Assumptions!$B$36:$H$41))</f>
        <v>0</v>
      </c>
      <c r="SDW28">
        <f t="array" ref="SDW28">_xlfn.XLOOKUP(SDW$11,Assumptions!$B$35:$H$35,_xlfn.XLOOKUP($C28,Assumptions!$B$36:$B$41,Assumptions!$B$36:$H$41))</f>
        <v>0</v>
      </c>
      <c r="SDX28">
        <f t="array" ref="SDX28">_xlfn.XLOOKUP(SDX$11,Assumptions!$B$35:$H$35,_xlfn.XLOOKUP($C28,Assumptions!$B$36:$B$41,Assumptions!$B$36:$H$41))</f>
        <v>0</v>
      </c>
      <c r="SDY28">
        <f t="array" ref="SDY28">_xlfn.XLOOKUP(SDY$11,Assumptions!$B$35:$H$35,_xlfn.XLOOKUP($C28,Assumptions!$B$36:$B$41,Assumptions!$B$36:$H$41))</f>
        <v>0</v>
      </c>
      <c r="SDZ28">
        <f t="array" ref="SDZ28">_xlfn.XLOOKUP(SDZ$11,Assumptions!$B$35:$H$35,_xlfn.XLOOKUP($C28,Assumptions!$B$36:$B$41,Assumptions!$B$36:$H$41))</f>
        <v>0</v>
      </c>
      <c r="SEA28">
        <f t="array" ref="SEA28">_xlfn.XLOOKUP(SEA$11,Assumptions!$B$35:$H$35,_xlfn.XLOOKUP($C28,Assumptions!$B$36:$B$41,Assumptions!$B$36:$H$41))</f>
        <v>0</v>
      </c>
      <c r="SEB28">
        <f t="array" ref="SEB28">_xlfn.XLOOKUP(SEB$11,Assumptions!$B$35:$H$35,_xlfn.XLOOKUP($C28,Assumptions!$B$36:$B$41,Assumptions!$B$36:$H$41))</f>
        <v>0</v>
      </c>
      <c r="SEC28">
        <f t="array" ref="SEC28">_xlfn.XLOOKUP(SEC$11,Assumptions!$B$35:$H$35,_xlfn.XLOOKUP($C28,Assumptions!$B$36:$B$41,Assumptions!$B$36:$H$41))</f>
        <v>0</v>
      </c>
      <c r="SED28">
        <f t="array" ref="SED28">_xlfn.XLOOKUP(SED$11,Assumptions!$B$35:$H$35,_xlfn.XLOOKUP($C28,Assumptions!$B$36:$B$41,Assumptions!$B$36:$H$41))</f>
        <v>0</v>
      </c>
      <c r="SEE28">
        <f t="array" ref="SEE28">_xlfn.XLOOKUP(SEE$11,Assumptions!$B$35:$H$35,_xlfn.XLOOKUP($C28,Assumptions!$B$36:$B$41,Assumptions!$B$36:$H$41))</f>
        <v>0</v>
      </c>
      <c r="SEF28">
        <f t="array" ref="SEF28">_xlfn.XLOOKUP(SEF$11,Assumptions!$B$35:$H$35,_xlfn.XLOOKUP($C28,Assumptions!$B$36:$B$41,Assumptions!$B$36:$H$41))</f>
        <v>0</v>
      </c>
      <c r="SEG28">
        <f t="array" ref="SEG28">_xlfn.XLOOKUP(SEG$11,Assumptions!$B$35:$H$35,_xlfn.XLOOKUP($C28,Assumptions!$B$36:$B$41,Assumptions!$B$36:$H$41))</f>
        <v>0</v>
      </c>
      <c r="SEH28">
        <f t="array" ref="SEH28">_xlfn.XLOOKUP(SEH$11,Assumptions!$B$35:$H$35,_xlfn.XLOOKUP($C28,Assumptions!$B$36:$B$41,Assumptions!$B$36:$H$41))</f>
        <v>0</v>
      </c>
      <c r="SEI28">
        <f t="array" ref="SEI28">_xlfn.XLOOKUP(SEI$11,Assumptions!$B$35:$H$35,_xlfn.XLOOKUP($C28,Assumptions!$B$36:$B$41,Assumptions!$B$36:$H$41))</f>
        <v>0</v>
      </c>
      <c r="SEJ28">
        <f t="array" ref="SEJ28">_xlfn.XLOOKUP(SEJ$11,Assumptions!$B$35:$H$35,_xlfn.XLOOKUP($C28,Assumptions!$B$36:$B$41,Assumptions!$B$36:$H$41))</f>
        <v>0</v>
      </c>
      <c r="SEK28">
        <f t="array" ref="SEK28">_xlfn.XLOOKUP(SEK$11,Assumptions!$B$35:$H$35,_xlfn.XLOOKUP($C28,Assumptions!$B$36:$B$41,Assumptions!$B$36:$H$41))</f>
        <v>0</v>
      </c>
      <c r="SEL28">
        <f t="array" ref="SEL28">_xlfn.XLOOKUP(SEL$11,Assumptions!$B$35:$H$35,_xlfn.XLOOKUP($C28,Assumptions!$B$36:$B$41,Assumptions!$B$36:$H$41))</f>
        <v>0</v>
      </c>
      <c r="SEM28">
        <f t="array" ref="SEM28">_xlfn.XLOOKUP(SEM$11,Assumptions!$B$35:$H$35,_xlfn.XLOOKUP($C28,Assumptions!$B$36:$B$41,Assumptions!$B$36:$H$41))</f>
        <v>0</v>
      </c>
      <c r="SEN28">
        <f t="array" ref="SEN28">_xlfn.XLOOKUP(SEN$11,Assumptions!$B$35:$H$35,_xlfn.XLOOKUP($C28,Assumptions!$B$36:$B$41,Assumptions!$B$36:$H$41))</f>
        <v>0</v>
      </c>
      <c r="SEO28">
        <f t="array" ref="SEO28">_xlfn.XLOOKUP(SEO$11,Assumptions!$B$35:$H$35,_xlfn.XLOOKUP($C28,Assumptions!$B$36:$B$41,Assumptions!$B$36:$H$41))</f>
        <v>0</v>
      </c>
      <c r="SEP28">
        <f t="array" ref="SEP28">_xlfn.XLOOKUP(SEP$11,Assumptions!$B$35:$H$35,_xlfn.XLOOKUP($C28,Assumptions!$B$36:$B$41,Assumptions!$B$36:$H$41))</f>
        <v>0</v>
      </c>
      <c r="SEQ28">
        <f t="array" ref="SEQ28">_xlfn.XLOOKUP(SEQ$11,Assumptions!$B$35:$H$35,_xlfn.XLOOKUP($C28,Assumptions!$B$36:$B$41,Assumptions!$B$36:$H$41))</f>
        <v>0</v>
      </c>
      <c r="SER28">
        <f t="array" ref="SER28">_xlfn.XLOOKUP(SER$11,Assumptions!$B$35:$H$35,_xlfn.XLOOKUP($C28,Assumptions!$B$36:$B$41,Assumptions!$B$36:$H$41))</f>
        <v>0</v>
      </c>
      <c r="SES28">
        <f t="array" ref="SES28">_xlfn.XLOOKUP(SES$11,Assumptions!$B$35:$H$35,_xlfn.XLOOKUP($C28,Assumptions!$B$36:$B$41,Assumptions!$B$36:$H$41))</f>
        <v>0</v>
      </c>
      <c r="SET28">
        <f t="array" ref="SET28">_xlfn.XLOOKUP(SET$11,Assumptions!$B$35:$H$35,_xlfn.XLOOKUP($C28,Assumptions!$B$36:$B$41,Assumptions!$B$36:$H$41))</f>
        <v>0</v>
      </c>
      <c r="SEU28">
        <f t="array" ref="SEU28">_xlfn.XLOOKUP(SEU$11,Assumptions!$B$35:$H$35,_xlfn.XLOOKUP($C28,Assumptions!$B$36:$B$41,Assumptions!$B$36:$H$41))</f>
        <v>0</v>
      </c>
      <c r="SEV28">
        <f t="array" ref="SEV28">_xlfn.XLOOKUP(SEV$11,Assumptions!$B$35:$H$35,_xlfn.XLOOKUP($C28,Assumptions!$B$36:$B$41,Assumptions!$B$36:$H$41))</f>
        <v>0</v>
      </c>
      <c r="SEW28">
        <f t="array" ref="SEW28">_xlfn.XLOOKUP(SEW$11,Assumptions!$B$35:$H$35,_xlfn.XLOOKUP($C28,Assumptions!$B$36:$B$41,Assumptions!$B$36:$H$41))</f>
        <v>0</v>
      </c>
      <c r="SEX28">
        <f t="array" ref="SEX28">_xlfn.XLOOKUP(SEX$11,Assumptions!$B$35:$H$35,_xlfn.XLOOKUP($C28,Assumptions!$B$36:$B$41,Assumptions!$B$36:$H$41))</f>
        <v>0</v>
      </c>
      <c r="SEY28">
        <f t="array" ref="SEY28">_xlfn.XLOOKUP(SEY$11,Assumptions!$B$35:$H$35,_xlfn.XLOOKUP($C28,Assumptions!$B$36:$B$41,Assumptions!$B$36:$H$41))</f>
        <v>0</v>
      </c>
      <c r="SEZ28">
        <f t="array" ref="SEZ28">_xlfn.XLOOKUP(SEZ$11,Assumptions!$B$35:$H$35,_xlfn.XLOOKUP($C28,Assumptions!$B$36:$B$41,Assumptions!$B$36:$H$41))</f>
        <v>0</v>
      </c>
      <c r="SFA28">
        <f t="array" ref="SFA28">_xlfn.XLOOKUP(SFA$11,Assumptions!$B$35:$H$35,_xlfn.XLOOKUP($C28,Assumptions!$B$36:$B$41,Assumptions!$B$36:$H$41))</f>
        <v>0</v>
      </c>
      <c r="SFB28">
        <f t="array" ref="SFB28">_xlfn.XLOOKUP(SFB$11,Assumptions!$B$35:$H$35,_xlfn.XLOOKUP($C28,Assumptions!$B$36:$B$41,Assumptions!$B$36:$H$41))</f>
        <v>0</v>
      </c>
      <c r="SFC28">
        <f t="array" ref="SFC28">_xlfn.XLOOKUP(SFC$11,Assumptions!$B$35:$H$35,_xlfn.XLOOKUP($C28,Assumptions!$B$36:$B$41,Assumptions!$B$36:$H$41))</f>
        <v>0</v>
      </c>
      <c r="SFD28">
        <f t="array" ref="SFD28">_xlfn.XLOOKUP(SFD$11,Assumptions!$B$35:$H$35,_xlfn.XLOOKUP($C28,Assumptions!$B$36:$B$41,Assumptions!$B$36:$H$41))</f>
        <v>0</v>
      </c>
      <c r="SFE28">
        <f t="array" ref="SFE28">_xlfn.XLOOKUP(SFE$11,Assumptions!$B$35:$H$35,_xlfn.XLOOKUP($C28,Assumptions!$B$36:$B$41,Assumptions!$B$36:$H$41))</f>
        <v>0</v>
      </c>
      <c r="SFF28">
        <f t="array" ref="SFF28">_xlfn.XLOOKUP(SFF$11,Assumptions!$B$35:$H$35,_xlfn.XLOOKUP($C28,Assumptions!$B$36:$B$41,Assumptions!$B$36:$H$41))</f>
        <v>0</v>
      </c>
      <c r="SFG28">
        <f t="array" ref="SFG28">_xlfn.XLOOKUP(SFG$11,Assumptions!$B$35:$H$35,_xlfn.XLOOKUP($C28,Assumptions!$B$36:$B$41,Assumptions!$B$36:$H$41))</f>
        <v>0</v>
      </c>
      <c r="SFH28">
        <f t="array" ref="SFH28">_xlfn.XLOOKUP(SFH$11,Assumptions!$B$35:$H$35,_xlfn.XLOOKUP($C28,Assumptions!$B$36:$B$41,Assumptions!$B$36:$H$41))</f>
        <v>0</v>
      </c>
      <c r="SFI28">
        <f t="array" ref="SFI28">_xlfn.XLOOKUP(SFI$11,Assumptions!$B$35:$H$35,_xlfn.XLOOKUP($C28,Assumptions!$B$36:$B$41,Assumptions!$B$36:$H$41))</f>
        <v>0</v>
      </c>
      <c r="SFJ28">
        <f t="array" ref="SFJ28">_xlfn.XLOOKUP(SFJ$11,Assumptions!$B$35:$H$35,_xlfn.XLOOKUP($C28,Assumptions!$B$36:$B$41,Assumptions!$B$36:$H$41))</f>
        <v>0</v>
      </c>
      <c r="SFK28">
        <f t="array" ref="SFK28">_xlfn.XLOOKUP(SFK$11,Assumptions!$B$35:$H$35,_xlfn.XLOOKUP($C28,Assumptions!$B$36:$B$41,Assumptions!$B$36:$H$41))</f>
        <v>0</v>
      </c>
      <c r="SFL28">
        <f t="array" ref="SFL28">_xlfn.XLOOKUP(SFL$11,Assumptions!$B$35:$H$35,_xlfn.XLOOKUP($C28,Assumptions!$B$36:$B$41,Assumptions!$B$36:$H$41))</f>
        <v>0</v>
      </c>
      <c r="SFM28">
        <f t="array" ref="SFM28">_xlfn.XLOOKUP(SFM$11,Assumptions!$B$35:$H$35,_xlfn.XLOOKUP($C28,Assumptions!$B$36:$B$41,Assumptions!$B$36:$H$41))</f>
        <v>0</v>
      </c>
      <c r="SFN28">
        <f t="array" ref="SFN28">_xlfn.XLOOKUP(SFN$11,Assumptions!$B$35:$H$35,_xlfn.XLOOKUP($C28,Assumptions!$B$36:$B$41,Assumptions!$B$36:$H$41))</f>
        <v>0</v>
      </c>
      <c r="SFO28">
        <f t="array" ref="SFO28">_xlfn.XLOOKUP(SFO$11,Assumptions!$B$35:$H$35,_xlfn.XLOOKUP($C28,Assumptions!$B$36:$B$41,Assumptions!$B$36:$H$41))</f>
        <v>0</v>
      </c>
      <c r="SFP28">
        <f t="array" ref="SFP28">_xlfn.XLOOKUP(SFP$11,Assumptions!$B$35:$H$35,_xlfn.XLOOKUP($C28,Assumptions!$B$36:$B$41,Assumptions!$B$36:$H$41))</f>
        <v>0</v>
      </c>
      <c r="SFQ28">
        <f t="array" ref="SFQ28">_xlfn.XLOOKUP(SFQ$11,Assumptions!$B$35:$H$35,_xlfn.XLOOKUP($C28,Assumptions!$B$36:$B$41,Assumptions!$B$36:$H$41))</f>
        <v>0</v>
      </c>
      <c r="SFR28">
        <f t="array" ref="SFR28">_xlfn.XLOOKUP(SFR$11,Assumptions!$B$35:$H$35,_xlfn.XLOOKUP($C28,Assumptions!$B$36:$B$41,Assumptions!$B$36:$H$41))</f>
        <v>0</v>
      </c>
      <c r="SFS28">
        <f t="array" ref="SFS28">_xlfn.XLOOKUP(SFS$11,Assumptions!$B$35:$H$35,_xlfn.XLOOKUP($C28,Assumptions!$B$36:$B$41,Assumptions!$B$36:$H$41))</f>
        <v>0</v>
      </c>
      <c r="SFT28">
        <f t="array" ref="SFT28">_xlfn.XLOOKUP(SFT$11,Assumptions!$B$35:$H$35,_xlfn.XLOOKUP($C28,Assumptions!$B$36:$B$41,Assumptions!$B$36:$H$41))</f>
        <v>0</v>
      </c>
      <c r="SFU28">
        <f t="array" ref="SFU28">_xlfn.XLOOKUP(SFU$11,Assumptions!$B$35:$H$35,_xlfn.XLOOKUP($C28,Assumptions!$B$36:$B$41,Assumptions!$B$36:$H$41))</f>
        <v>0</v>
      </c>
      <c r="SFV28">
        <f t="array" ref="SFV28">_xlfn.XLOOKUP(SFV$11,Assumptions!$B$35:$H$35,_xlfn.XLOOKUP($C28,Assumptions!$B$36:$B$41,Assumptions!$B$36:$H$41))</f>
        <v>0</v>
      </c>
      <c r="SFW28">
        <f t="array" ref="SFW28">_xlfn.XLOOKUP(SFW$11,Assumptions!$B$35:$H$35,_xlfn.XLOOKUP($C28,Assumptions!$B$36:$B$41,Assumptions!$B$36:$H$41))</f>
        <v>0</v>
      </c>
      <c r="SFX28">
        <f t="array" ref="SFX28">_xlfn.XLOOKUP(SFX$11,Assumptions!$B$35:$H$35,_xlfn.XLOOKUP($C28,Assumptions!$B$36:$B$41,Assumptions!$B$36:$H$41))</f>
        <v>0</v>
      </c>
      <c r="SFY28">
        <f t="array" ref="SFY28">_xlfn.XLOOKUP(SFY$11,Assumptions!$B$35:$H$35,_xlfn.XLOOKUP($C28,Assumptions!$B$36:$B$41,Assumptions!$B$36:$H$41))</f>
        <v>0</v>
      </c>
      <c r="SFZ28">
        <f t="array" ref="SFZ28">_xlfn.XLOOKUP(SFZ$11,Assumptions!$B$35:$H$35,_xlfn.XLOOKUP($C28,Assumptions!$B$36:$B$41,Assumptions!$B$36:$H$41))</f>
        <v>0</v>
      </c>
      <c r="SGA28">
        <f t="array" ref="SGA28">_xlfn.XLOOKUP(SGA$11,Assumptions!$B$35:$H$35,_xlfn.XLOOKUP($C28,Assumptions!$B$36:$B$41,Assumptions!$B$36:$H$41))</f>
        <v>0</v>
      </c>
      <c r="SGB28">
        <f t="array" ref="SGB28">_xlfn.XLOOKUP(SGB$11,Assumptions!$B$35:$H$35,_xlfn.XLOOKUP($C28,Assumptions!$B$36:$B$41,Assumptions!$B$36:$H$41))</f>
        <v>0</v>
      </c>
      <c r="SGC28">
        <f t="array" ref="SGC28">_xlfn.XLOOKUP(SGC$11,Assumptions!$B$35:$H$35,_xlfn.XLOOKUP($C28,Assumptions!$B$36:$B$41,Assumptions!$B$36:$H$41))</f>
        <v>0</v>
      </c>
      <c r="SGD28">
        <f t="array" ref="SGD28">_xlfn.XLOOKUP(SGD$11,Assumptions!$B$35:$H$35,_xlfn.XLOOKUP($C28,Assumptions!$B$36:$B$41,Assumptions!$B$36:$H$41))</f>
        <v>0</v>
      </c>
      <c r="SGE28">
        <f t="array" ref="SGE28">_xlfn.XLOOKUP(SGE$11,Assumptions!$B$35:$H$35,_xlfn.XLOOKUP($C28,Assumptions!$B$36:$B$41,Assumptions!$B$36:$H$41))</f>
        <v>0</v>
      </c>
      <c r="SGF28">
        <f t="array" ref="SGF28">_xlfn.XLOOKUP(SGF$11,Assumptions!$B$35:$H$35,_xlfn.XLOOKUP($C28,Assumptions!$B$36:$B$41,Assumptions!$B$36:$H$41))</f>
        <v>0</v>
      </c>
      <c r="SGG28">
        <f t="array" ref="SGG28">_xlfn.XLOOKUP(SGG$11,Assumptions!$B$35:$H$35,_xlfn.XLOOKUP($C28,Assumptions!$B$36:$B$41,Assumptions!$B$36:$H$41))</f>
        <v>0</v>
      </c>
      <c r="SGH28">
        <f t="array" ref="SGH28">_xlfn.XLOOKUP(SGH$11,Assumptions!$B$35:$H$35,_xlfn.XLOOKUP($C28,Assumptions!$B$36:$B$41,Assumptions!$B$36:$H$41))</f>
        <v>0</v>
      </c>
      <c r="SGI28">
        <f t="array" ref="SGI28">_xlfn.XLOOKUP(SGI$11,Assumptions!$B$35:$H$35,_xlfn.XLOOKUP($C28,Assumptions!$B$36:$B$41,Assumptions!$B$36:$H$41))</f>
        <v>0</v>
      </c>
      <c r="SGJ28">
        <f t="array" ref="SGJ28">_xlfn.XLOOKUP(SGJ$11,Assumptions!$B$35:$H$35,_xlfn.XLOOKUP($C28,Assumptions!$B$36:$B$41,Assumptions!$B$36:$H$41))</f>
        <v>0</v>
      </c>
      <c r="SGK28">
        <f t="array" ref="SGK28">_xlfn.XLOOKUP(SGK$11,Assumptions!$B$35:$H$35,_xlfn.XLOOKUP($C28,Assumptions!$B$36:$B$41,Assumptions!$B$36:$H$41))</f>
        <v>0</v>
      </c>
      <c r="SGL28">
        <f t="array" ref="SGL28">_xlfn.XLOOKUP(SGL$11,Assumptions!$B$35:$H$35,_xlfn.XLOOKUP($C28,Assumptions!$B$36:$B$41,Assumptions!$B$36:$H$41))</f>
        <v>0</v>
      </c>
      <c r="SGM28">
        <f t="array" ref="SGM28">_xlfn.XLOOKUP(SGM$11,Assumptions!$B$35:$H$35,_xlfn.XLOOKUP($C28,Assumptions!$B$36:$B$41,Assumptions!$B$36:$H$41))</f>
        <v>0</v>
      </c>
      <c r="SGN28">
        <f t="array" ref="SGN28">_xlfn.XLOOKUP(SGN$11,Assumptions!$B$35:$H$35,_xlfn.XLOOKUP($C28,Assumptions!$B$36:$B$41,Assumptions!$B$36:$H$41))</f>
        <v>0</v>
      </c>
      <c r="SGO28">
        <f t="array" ref="SGO28">_xlfn.XLOOKUP(SGO$11,Assumptions!$B$35:$H$35,_xlfn.XLOOKUP($C28,Assumptions!$B$36:$B$41,Assumptions!$B$36:$H$41))</f>
        <v>0</v>
      </c>
      <c r="SGP28">
        <f t="array" ref="SGP28">_xlfn.XLOOKUP(SGP$11,Assumptions!$B$35:$H$35,_xlfn.XLOOKUP($C28,Assumptions!$B$36:$B$41,Assumptions!$B$36:$H$41))</f>
        <v>0</v>
      </c>
      <c r="SGQ28">
        <f t="array" ref="SGQ28">_xlfn.XLOOKUP(SGQ$11,Assumptions!$B$35:$H$35,_xlfn.XLOOKUP($C28,Assumptions!$B$36:$B$41,Assumptions!$B$36:$H$41))</f>
        <v>0</v>
      </c>
      <c r="SGR28">
        <f t="array" ref="SGR28">_xlfn.XLOOKUP(SGR$11,Assumptions!$B$35:$H$35,_xlfn.XLOOKUP($C28,Assumptions!$B$36:$B$41,Assumptions!$B$36:$H$41))</f>
        <v>0</v>
      </c>
      <c r="SGS28">
        <f t="array" ref="SGS28">_xlfn.XLOOKUP(SGS$11,Assumptions!$B$35:$H$35,_xlfn.XLOOKUP($C28,Assumptions!$B$36:$B$41,Assumptions!$B$36:$H$41))</f>
        <v>0</v>
      </c>
      <c r="SGT28">
        <f t="array" ref="SGT28">_xlfn.XLOOKUP(SGT$11,Assumptions!$B$35:$H$35,_xlfn.XLOOKUP($C28,Assumptions!$B$36:$B$41,Assumptions!$B$36:$H$41))</f>
        <v>0</v>
      </c>
      <c r="SGU28">
        <f t="array" ref="SGU28">_xlfn.XLOOKUP(SGU$11,Assumptions!$B$35:$H$35,_xlfn.XLOOKUP($C28,Assumptions!$B$36:$B$41,Assumptions!$B$36:$H$41))</f>
        <v>0</v>
      </c>
      <c r="SGV28">
        <f t="array" ref="SGV28">_xlfn.XLOOKUP(SGV$11,Assumptions!$B$35:$H$35,_xlfn.XLOOKUP($C28,Assumptions!$B$36:$B$41,Assumptions!$B$36:$H$41))</f>
        <v>0</v>
      </c>
      <c r="SGW28">
        <f t="array" ref="SGW28">_xlfn.XLOOKUP(SGW$11,Assumptions!$B$35:$H$35,_xlfn.XLOOKUP($C28,Assumptions!$B$36:$B$41,Assumptions!$B$36:$H$41))</f>
        <v>0</v>
      </c>
      <c r="SGX28">
        <f t="array" ref="SGX28">_xlfn.XLOOKUP(SGX$11,Assumptions!$B$35:$H$35,_xlfn.XLOOKUP($C28,Assumptions!$B$36:$B$41,Assumptions!$B$36:$H$41))</f>
        <v>0</v>
      </c>
      <c r="SGY28">
        <f t="array" ref="SGY28">_xlfn.XLOOKUP(SGY$11,Assumptions!$B$35:$H$35,_xlfn.XLOOKUP($C28,Assumptions!$B$36:$B$41,Assumptions!$B$36:$H$41))</f>
        <v>0</v>
      </c>
      <c r="SGZ28">
        <f t="array" ref="SGZ28">_xlfn.XLOOKUP(SGZ$11,Assumptions!$B$35:$H$35,_xlfn.XLOOKUP($C28,Assumptions!$B$36:$B$41,Assumptions!$B$36:$H$41))</f>
        <v>0</v>
      </c>
      <c r="SHA28">
        <f t="array" ref="SHA28">_xlfn.XLOOKUP(SHA$11,Assumptions!$B$35:$H$35,_xlfn.XLOOKUP($C28,Assumptions!$B$36:$B$41,Assumptions!$B$36:$H$41))</f>
        <v>0</v>
      </c>
      <c r="SHB28">
        <f t="array" ref="SHB28">_xlfn.XLOOKUP(SHB$11,Assumptions!$B$35:$H$35,_xlfn.XLOOKUP($C28,Assumptions!$B$36:$B$41,Assumptions!$B$36:$H$41))</f>
        <v>0</v>
      </c>
      <c r="SHC28">
        <f t="array" ref="SHC28">_xlfn.XLOOKUP(SHC$11,Assumptions!$B$35:$H$35,_xlfn.XLOOKUP($C28,Assumptions!$B$36:$B$41,Assumptions!$B$36:$H$41))</f>
        <v>0</v>
      </c>
      <c r="SHD28">
        <f t="array" ref="SHD28">_xlfn.XLOOKUP(SHD$11,Assumptions!$B$35:$H$35,_xlfn.XLOOKUP($C28,Assumptions!$B$36:$B$41,Assumptions!$B$36:$H$41))</f>
        <v>0</v>
      </c>
      <c r="SHE28">
        <f t="array" ref="SHE28">_xlfn.XLOOKUP(SHE$11,Assumptions!$B$35:$H$35,_xlfn.XLOOKUP($C28,Assumptions!$B$36:$B$41,Assumptions!$B$36:$H$41))</f>
        <v>0</v>
      </c>
      <c r="SHF28">
        <f t="array" ref="SHF28">_xlfn.XLOOKUP(SHF$11,Assumptions!$B$35:$H$35,_xlfn.XLOOKUP($C28,Assumptions!$B$36:$B$41,Assumptions!$B$36:$H$41))</f>
        <v>0</v>
      </c>
      <c r="SHG28">
        <f t="array" ref="SHG28">_xlfn.XLOOKUP(SHG$11,Assumptions!$B$35:$H$35,_xlfn.XLOOKUP($C28,Assumptions!$B$36:$B$41,Assumptions!$B$36:$H$41))</f>
        <v>0</v>
      </c>
      <c r="SHH28">
        <f t="array" ref="SHH28">_xlfn.XLOOKUP(SHH$11,Assumptions!$B$35:$H$35,_xlfn.XLOOKUP($C28,Assumptions!$B$36:$B$41,Assumptions!$B$36:$H$41))</f>
        <v>0</v>
      </c>
      <c r="SHI28">
        <f t="array" ref="SHI28">_xlfn.XLOOKUP(SHI$11,Assumptions!$B$35:$H$35,_xlfn.XLOOKUP($C28,Assumptions!$B$36:$B$41,Assumptions!$B$36:$H$41))</f>
        <v>0</v>
      </c>
      <c r="SHJ28">
        <f t="array" ref="SHJ28">_xlfn.XLOOKUP(SHJ$11,Assumptions!$B$35:$H$35,_xlfn.XLOOKUP($C28,Assumptions!$B$36:$B$41,Assumptions!$B$36:$H$41))</f>
        <v>0</v>
      </c>
      <c r="SHK28">
        <f t="array" ref="SHK28">_xlfn.XLOOKUP(SHK$11,Assumptions!$B$35:$H$35,_xlfn.XLOOKUP($C28,Assumptions!$B$36:$B$41,Assumptions!$B$36:$H$41))</f>
        <v>0</v>
      </c>
      <c r="SHL28">
        <f t="array" ref="SHL28">_xlfn.XLOOKUP(SHL$11,Assumptions!$B$35:$H$35,_xlfn.XLOOKUP($C28,Assumptions!$B$36:$B$41,Assumptions!$B$36:$H$41))</f>
        <v>0</v>
      </c>
      <c r="SHM28">
        <f t="array" ref="SHM28">_xlfn.XLOOKUP(SHM$11,Assumptions!$B$35:$H$35,_xlfn.XLOOKUP($C28,Assumptions!$B$36:$B$41,Assumptions!$B$36:$H$41))</f>
        <v>0</v>
      </c>
      <c r="SHN28">
        <f t="array" ref="SHN28">_xlfn.XLOOKUP(SHN$11,Assumptions!$B$35:$H$35,_xlfn.XLOOKUP($C28,Assumptions!$B$36:$B$41,Assumptions!$B$36:$H$41))</f>
        <v>0</v>
      </c>
      <c r="SHO28">
        <f t="array" ref="SHO28">_xlfn.XLOOKUP(SHO$11,Assumptions!$B$35:$H$35,_xlfn.XLOOKUP($C28,Assumptions!$B$36:$B$41,Assumptions!$B$36:$H$41))</f>
        <v>0</v>
      </c>
      <c r="SHP28">
        <f t="array" ref="SHP28">_xlfn.XLOOKUP(SHP$11,Assumptions!$B$35:$H$35,_xlfn.XLOOKUP($C28,Assumptions!$B$36:$B$41,Assumptions!$B$36:$H$41))</f>
        <v>0</v>
      </c>
      <c r="SHQ28">
        <f t="array" ref="SHQ28">_xlfn.XLOOKUP(SHQ$11,Assumptions!$B$35:$H$35,_xlfn.XLOOKUP($C28,Assumptions!$B$36:$B$41,Assumptions!$B$36:$H$41))</f>
        <v>0</v>
      </c>
      <c r="SHR28">
        <f t="array" ref="SHR28">_xlfn.XLOOKUP(SHR$11,Assumptions!$B$35:$H$35,_xlfn.XLOOKUP($C28,Assumptions!$B$36:$B$41,Assumptions!$B$36:$H$41))</f>
        <v>0</v>
      </c>
      <c r="SHS28">
        <f t="array" ref="SHS28">_xlfn.XLOOKUP(SHS$11,Assumptions!$B$35:$H$35,_xlfn.XLOOKUP($C28,Assumptions!$B$36:$B$41,Assumptions!$B$36:$H$41))</f>
        <v>0</v>
      </c>
      <c r="SHT28">
        <f t="array" ref="SHT28">_xlfn.XLOOKUP(SHT$11,Assumptions!$B$35:$H$35,_xlfn.XLOOKUP($C28,Assumptions!$B$36:$B$41,Assumptions!$B$36:$H$41))</f>
        <v>0</v>
      </c>
      <c r="SHU28">
        <f t="array" ref="SHU28">_xlfn.XLOOKUP(SHU$11,Assumptions!$B$35:$H$35,_xlfn.XLOOKUP($C28,Assumptions!$B$36:$B$41,Assumptions!$B$36:$H$41))</f>
        <v>0</v>
      </c>
      <c r="SHV28">
        <f t="array" ref="SHV28">_xlfn.XLOOKUP(SHV$11,Assumptions!$B$35:$H$35,_xlfn.XLOOKUP($C28,Assumptions!$B$36:$B$41,Assumptions!$B$36:$H$41))</f>
        <v>0</v>
      </c>
      <c r="SHW28">
        <f t="array" ref="SHW28">_xlfn.XLOOKUP(SHW$11,Assumptions!$B$35:$H$35,_xlfn.XLOOKUP($C28,Assumptions!$B$36:$B$41,Assumptions!$B$36:$H$41))</f>
        <v>0</v>
      </c>
      <c r="SHX28">
        <f t="array" ref="SHX28">_xlfn.XLOOKUP(SHX$11,Assumptions!$B$35:$H$35,_xlfn.XLOOKUP($C28,Assumptions!$B$36:$B$41,Assumptions!$B$36:$H$41))</f>
        <v>0</v>
      </c>
      <c r="SHY28">
        <f t="array" ref="SHY28">_xlfn.XLOOKUP(SHY$11,Assumptions!$B$35:$H$35,_xlfn.XLOOKUP($C28,Assumptions!$B$36:$B$41,Assumptions!$B$36:$H$41))</f>
        <v>0</v>
      </c>
      <c r="SHZ28">
        <f t="array" ref="SHZ28">_xlfn.XLOOKUP(SHZ$11,Assumptions!$B$35:$H$35,_xlfn.XLOOKUP($C28,Assumptions!$B$36:$B$41,Assumptions!$B$36:$H$41))</f>
        <v>0</v>
      </c>
      <c r="SIA28">
        <f t="array" ref="SIA28">_xlfn.XLOOKUP(SIA$11,Assumptions!$B$35:$H$35,_xlfn.XLOOKUP($C28,Assumptions!$B$36:$B$41,Assumptions!$B$36:$H$41))</f>
        <v>0</v>
      </c>
      <c r="SIB28">
        <f t="array" ref="SIB28">_xlfn.XLOOKUP(SIB$11,Assumptions!$B$35:$H$35,_xlfn.XLOOKUP($C28,Assumptions!$B$36:$B$41,Assumptions!$B$36:$H$41))</f>
        <v>0</v>
      </c>
      <c r="SIC28">
        <f t="array" ref="SIC28">_xlfn.XLOOKUP(SIC$11,Assumptions!$B$35:$H$35,_xlfn.XLOOKUP($C28,Assumptions!$B$36:$B$41,Assumptions!$B$36:$H$41))</f>
        <v>0</v>
      </c>
      <c r="SID28">
        <f t="array" ref="SID28">_xlfn.XLOOKUP(SID$11,Assumptions!$B$35:$H$35,_xlfn.XLOOKUP($C28,Assumptions!$B$36:$B$41,Assumptions!$B$36:$H$41))</f>
        <v>0</v>
      </c>
      <c r="SIE28">
        <f t="array" ref="SIE28">_xlfn.XLOOKUP(SIE$11,Assumptions!$B$35:$H$35,_xlfn.XLOOKUP($C28,Assumptions!$B$36:$B$41,Assumptions!$B$36:$H$41))</f>
        <v>0</v>
      </c>
      <c r="SIF28">
        <f t="array" ref="SIF28">_xlfn.XLOOKUP(SIF$11,Assumptions!$B$35:$H$35,_xlfn.XLOOKUP($C28,Assumptions!$B$36:$B$41,Assumptions!$B$36:$H$41))</f>
        <v>0</v>
      </c>
      <c r="SIG28">
        <f t="array" ref="SIG28">_xlfn.XLOOKUP(SIG$11,Assumptions!$B$35:$H$35,_xlfn.XLOOKUP($C28,Assumptions!$B$36:$B$41,Assumptions!$B$36:$H$41))</f>
        <v>0</v>
      </c>
      <c r="SIH28">
        <f t="array" ref="SIH28">_xlfn.XLOOKUP(SIH$11,Assumptions!$B$35:$H$35,_xlfn.XLOOKUP($C28,Assumptions!$B$36:$B$41,Assumptions!$B$36:$H$41))</f>
        <v>0</v>
      </c>
      <c r="SII28">
        <f t="array" ref="SII28">_xlfn.XLOOKUP(SII$11,Assumptions!$B$35:$H$35,_xlfn.XLOOKUP($C28,Assumptions!$B$36:$B$41,Assumptions!$B$36:$H$41))</f>
        <v>0</v>
      </c>
      <c r="SIJ28">
        <f t="array" ref="SIJ28">_xlfn.XLOOKUP(SIJ$11,Assumptions!$B$35:$H$35,_xlfn.XLOOKUP($C28,Assumptions!$B$36:$B$41,Assumptions!$B$36:$H$41))</f>
        <v>0</v>
      </c>
      <c r="SIK28">
        <f t="array" ref="SIK28">_xlfn.XLOOKUP(SIK$11,Assumptions!$B$35:$H$35,_xlfn.XLOOKUP($C28,Assumptions!$B$36:$B$41,Assumptions!$B$36:$H$41))</f>
        <v>0</v>
      </c>
      <c r="SIL28">
        <f t="array" ref="SIL28">_xlfn.XLOOKUP(SIL$11,Assumptions!$B$35:$H$35,_xlfn.XLOOKUP($C28,Assumptions!$B$36:$B$41,Assumptions!$B$36:$H$41))</f>
        <v>0</v>
      </c>
      <c r="SIM28">
        <f t="array" ref="SIM28">_xlfn.XLOOKUP(SIM$11,Assumptions!$B$35:$H$35,_xlfn.XLOOKUP($C28,Assumptions!$B$36:$B$41,Assumptions!$B$36:$H$41))</f>
        <v>0</v>
      </c>
      <c r="SIN28">
        <f t="array" ref="SIN28">_xlfn.XLOOKUP(SIN$11,Assumptions!$B$35:$H$35,_xlfn.XLOOKUP($C28,Assumptions!$B$36:$B$41,Assumptions!$B$36:$H$41))</f>
        <v>0</v>
      </c>
      <c r="SIO28">
        <f t="array" ref="SIO28">_xlfn.XLOOKUP(SIO$11,Assumptions!$B$35:$H$35,_xlfn.XLOOKUP($C28,Assumptions!$B$36:$B$41,Assumptions!$B$36:$H$41))</f>
        <v>0</v>
      </c>
      <c r="SIP28">
        <f t="array" ref="SIP28">_xlfn.XLOOKUP(SIP$11,Assumptions!$B$35:$H$35,_xlfn.XLOOKUP($C28,Assumptions!$B$36:$B$41,Assumptions!$B$36:$H$41))</f>
        <v>0</v>
      </c>
      <c r="SIQ28">
        <f t="array" ref="SIQ28">_xlfn.XLOOKUP(SIQ$11,Assumptions!$B$35:$H$35,_xlfn.XLOOKUP($C28,Assumptions!$B$36:$B$41,Assumptions!$B$36:$H$41))</f>
        <v>0</v>
      </c>
      <c r="SIR28">
        <f t="array" ref="SIR28">_xlfn.XLOOKUP(SIR$11,Assumptions!$B$35:$H$35,_xlfn.XLOOKUP($C28,Assumptions!$B$36:$B$41,Assumptions!$B$36:$H$41))</f>
        <v>0</v>
      </c>
      <c r="SIS28">
        <f t="array" ref="SIS28">_xlfn.XLOOKUP(SIS$11,Assumptions!$B$35:$H$35,_xlfn.XLOOKUP($C28,Assumptions!$B$36:$B$41,Assumptions!$B$36:$H$41))</f>
        <v>0</v>
      </c>
      <c r="SIT28">
        <f t="array" ref="SIT28">_xlfn.XLOOKUP(SIT$11,Assumptions!$B$35:$H$35,_xlfn.XLOOKUP($C28,Assumptions!$B$36:$B$41,Assumptions!$B$36:$H$41))</f>
        <v>0</v>
      </c>
      <c r="SIU28">
        <f t="array" ref="SIU28">_xlfn.XLOOKUP(SIU$11,Assumptions!$B$35:$H$35,_xlfn.XLOOKUP($C28,Assumptions!$B$36:$B$41,Assumptions!$B$36:$H$41))</f>
        <v>0</v>
      </c>
      <c r="SIV28">
        <f t="array" ref="SIV28">_xlfn.XLOOKUP(SIV$11,Assumptions!$B$35:$H$35,_xlfn.XLOOKUP($C28,Assumptions!$B$36:$B$41,Assumptions!$B$36:$H$41))</f>
        <v>0</v>
      </c>
      <c r="SIW28">
        <f t="array" ref="SIW28">_xlfn.XLOOKUP(SIW$11,Assumptions!$B$35:$H$35,_xlfn.XLOOKUP($C28,Assumptions!$B$36:$B$41,Assumptions!$B$36:$H$41))</f>
        <v>0</v>
      </c>
      <c r="SIX28">
        <f t="array" ref="SIX28">_xlfn.XLOOKUP(SIX$11,Assumptions!$B$35:$H$35,_xlfn.XLOOKUP($C28,Assumptions!$B$36:$B$41,Assumptions!$B$36:$H$41))</f>
        <v>0</v>
      </c>
      <c r="SIY28">
        <f t="array" ref="SIY28">_xlfn.XLOOKUP(SIY$11,Assumptions!$B$35:$H$35,_xlfn.XLOOKUP($C28,Assumptions!$B$36:$B$41,Assumptions!$B$36:$H$41))</f>
        <v>0</v>
      </c>
      <c r="SIZ28">
        <f t="array" ref="SIZ28">_xlfn.XLOOKUP(SIZ$11,Assumptions!$B$35:$H$35,_xlfn.XLOOKUP($C28,Assumptions!$B$36:$B$41,Assumptions!$B$36:$H$41))</f>
        <v>0</v>
      </c>
      <c r="SJA28">
        <f t="array" ref="SJA28">_xlfn.XLOOKUP(SJA$11,Assumptions!$B$35:$H$35,_xlfn.XLOOKUP($C28,Assumptions!$B$36:$B$41,Assumptions!$B$36:$H$41))</f>
        <v>0</v>
      </c>
      <c r="SJB28">
        <f t="array" ref="SJB28">_xlfn.XLOOKUP(SJB$11,Assumptions!$B$35:$H$35,_xlfn.XLOOKUP($C28,Assumptions!$B$36:$B$41,Assumptions!$B$36:$H$41))</f>
        <v>0</v>
      </c>
      <c r="SJC28">
        <f t="array" ref="SJC28">_xlfn.XLOOKUP(SJC$11,Assumptions!$B$35:$H$35,_xlfn.XLOOKUP($C28,Assumptions!$B$36:$B$41,Assumptions!$B$36:$H$41))</f>
        <v>0</v>
      </c>
      <c r="SJD28">
        <f t="array" ref="SJD28">_xlfn.XLOOKUP(SJD$11,Assumptions!$B$35:$H$35,_xlfn.XLOOKUP($C28,Assumptions!$B$36:$B$41,Assumptions!$B$36:$H$41))</f>
        <v>0</v>
      </c>
      <c r="SJE28">
        <f t="array" ref="SJE28">_xlfn.XLOOKUP(SJE$11,Assumptions!$B$35:$H$35,_xlfn.XLOOKUP($C28,Assumptions!$B$36:$B$41,Assumptions!$B$36:$H$41))</f>
        <v>0</v>
      </c>
      <c r="SJF28">
        <f t="array" ref="SJF28">_xlfn.XLOOKUP(SJF$11,Assumptions!$B$35:$H$35,_xlfn.XLOOKUP($C28,Assumptions!$B$36:$B$41,Assumptions!$B$36:$H$41))</f>
        <v>0</v>
      </c>
      <c r="SJG28">
        <f t="array" ref="SJG28">_xlfn.XLOOKUP(SJG$11,Assumptions!$B$35:$H$35,_xlfn.XLOOKUP($C28,Assumptions!$B$36:$B$41,Assumptions!$B$36:$H$41))</f>
        <v>0</v>
      </c>
      <c r="SJH28">
        <f t="array" ref="SJH28">_xlfn.XLOOKUP(SJH$11,Assumptions!$B$35:$H$35,_xlfn.XLOOKUP($C28,Assumptions!$B$36:$B$41,Assumptions!$B$36:$H$41))</f>
        <v>0</v>
      </c>
      <c r="SJI28">
        <f t="array" ref="SJI28">_xlfn.XLOOKUP(SJI$11,Assumptions!$B$35:$H$35,_xlfn.XLOOKUP($C28,Assumptions!$B$36:$B$41,Assumptions!$B$36:$H$41))</f>
        <v>0</v>
      </c>
      <c r="SJJ28">
        <f t="array" ref="SJJ28">_xlfn.XLOOKUP(SJJ$11,Assumptions!$B$35:$H$35,_xlfn.XLOOKUP($C28,Assumptions!$B$36:$B$41,Assumptions!$B$36:$H$41))</f>
        <v>0</v>
      </c>
      <c r="SJK28">
        <f t="array" ref="SJK28">_xlfn.XLOOKUP(SJK$11,Assumptions!$B$35:$H$35,_xlfn.XLOOKUP($C28,Assumptions!$B$36:$B$41,Assumptions!$B$36:$H$41))</f>
        <v>0</v>
      </c>
      <c r="SJL28">
        <f t="array" ref="SJL28">_xlfn.XLOOKUP(SJL$11,Assumptions!$B$35:$H$35,_xlfn.XLOOKUP($C28,Assumptions!$B$36:$B$41,Assumptions!$B$36:$H$41))</f>
        <v>0</v>
      </c>
      <c r="SJM28">
        <f t="array" ref="SJM28">_xlfn.XLOOKUP(SJM$11,Assumptions!$B$35:$H$35,_xlfn.XLOOKUP($C28,Assumptions!$B$36:$B$41,Assumptions!$B$36:$H$41))</f>
        <v>0</v>
      </c>
      <c r="SJN28">
        <f t="array" ref="SJN28">_xlfn.XLOOKUP(SJN$11,Assumptions!$B$35:$H$35,_xlfn.XLOOKUP($C28,Assumptions!$B$36:$B$41,Assumptions!$B$36:$H$41))</f>
        <v>0</v>
      </c>
      <c r="SJO28">
        <f t="array" ref="SJO28">_xlfn.XLOOKUP(SJO$11,Assumptions!$B$35:$H$35,_xlfn.XLOOKUP($C28,Assumptions!$B$36:$B$41,Assumptions!$B$36:$H$41))</f>
        <v>0</v>
      </c>
      <c r="SJP28">
        <f t="array" ref="SJP28">_xlfn.XLOOKUP(SJP$11,Assumptions!$B$35:$H$35,_xlfn.XLOOKUP($C28,Assumptions!$B$36:$B$41,Assumptions!$B$36:$H$41))</f>
        <v>0</v>
      </c>
      <c r="SJQ28">
        <f t="array" ref="SJQ28">_xlfn.XLOOKUP(SJQ$11,Assumptions!$B$35:$H$35,_xlfn.XLOOKUP($C28,Assumptions!$B$36:$B$41,Assumptions!$B$36:$H$41))</f>
        <v>0</v>
      </c>
      <c r="SJR28">
        <f t="array" ref="SJR28">_xlfn.XLOOKUP(SJR$11,Assumptions!$B$35:$H$35,_xlfn.XLOOKUP($C28,Assumptions!$B$36:$B$41,Assumptions!$B$36:$H$41))</f>
        <v>0</v>
      </c>
      <c r="SJS28">
        <f t="array" ref="SJS28">_xlfn.XLOOKUP(SJS$11,Assumptions!$B$35:$H$35,_xlfn.XLOOKUP($C28,Assumptions!$B$36:$B$41,Assumptions!$B$36:$H$41))</f>
        <v>0</v>
      </c>
      <c r="SJT28">
        <f t="array" ref="SJT28">_xlfn.XLOOKUP(SJT$11,Assumptions!$B$35:$H$35,_xlfn.XLOOKUP($C28,Assumptions!$B$36:$B$41,Assumptions!$B$36:$H$41))</f>
        <v>0</v>
      </c>
      <c r="SJU28">
        <f t="array" ref="SJU28">_xlfn.XLOOKUP(SJU$11,Assumptions!$B$35:$H$35,_xlfn.XLOOKUP($C28,Assumptions!$B$36:$B$41,Assumptions!$B$36:$H$41))</f>
        <v>0</v>
      </c>
      <c r="SJV28">
        <f t="array" ref="SJV28">_xlfn.XLOOKUP(SJV$11,Assumptions!$B$35:$H$35,_xlfn.XLOOKUP($C28,Assumptions!$B$36:$B$41,Assumptions!$B$36:$H$41))</f>
        <v>0</v>
      </c>
      <c r="SJW28">
        <f t="array" ref="SJW28">_xlfn.XLOOKUP(SJW$11,Assumptions!$B$35:$H$35,_xlfn.XLOOKUP($C28,Assumptions!$B$36:$B$41,Assumptions!$B$36:$H$41))</f>
        <v>0</v>
      </c>
      <c r="SJX28">
        <f t="array" ref="SJX28">_xlfn.XLOOKUP(SJX$11,Assumptions!$B$35:$H$35,_xlfn.XLOOKUP($C28,Assumptions!$B$36:$B$41,Assumptions!$B$36:$H$41))</f>
        <v>0</v>
      </c>
      <c r="SJY28">
        <f t="array" ref="SJY28">_xlfn.XLOOKUP(SJY$11,Assumptions!$B$35:$H$35,_xlfn.XLOOKUP($C28,Assumptions!$B$36:$B$41,Assumptions!$B$36:$H$41))</f>
        <v>0</v>
      </c>
      <c r="SJZ28">
        <f t="array" ref="SJZ28">_xlfn.XLOOKUP(SJZ$11,Assumptions!$B$35:$H$35,_xlfn.XLOOKUP($C28,Assumptions!$B$36:$B$41,Assumptions!$B$36:$H$41))</f>
        <v>0</v>
      </c>
      <c r="SKA28">
        <f t="array" ref="SKA28">_xlfn.XLOOKUP(SKA$11,Assumptions!$B$35:$H$35,_xlfn.XLOOKUP($C28,Assumptions!$B$36:$B$41,Assumptions!$B$36:$H$41))</f>
        <v>0</v>
      </c>
      <c r="SKB28">
        <f t="array" ref="SKB28">_xlfn.XLOOKUP(SKB$11,Assumptions!$B$35:$H$35,_xlfn.XLOOKUP($C28,Assumptions!$B$36:$B$41,Assumptions!$B$36:$H$41))</f>
        <v>0</v>
      </c>
      <c r="SKC28">
        <f t="array" ref="SKC28">_xlfn.XLOOKUP(SKC$11,Assumptions!$B$35:$H$35,_xlfn.XLOOKUP($C28,Assumptions!$B$36:$B$41,Assumptions!$B$36:$H$41))</f>
        <v>0</v>
      </c>
      <c r="SKD28">
        <f t="array" ref="SKD28">_xlfn.XLOOKUP(SKD$11,Assumptions!$B$35:$H$35,_xlfn.XLOOKUP($C28,Assumptions!$B$36:$B$41,Assumptions!$B$36:$H$41))</f>
        <v>0</v>
      </c>
      <c r="SKE28">
        <f t="array" ref="SKE28">_xlfn.XLOOKUP(SKE$11,Assumptions!$B$35:$H$35,_xlfn.XLOOKUP($C28,Assumptions!$B$36:$B$41,Assumptions!$B$36:$H$41))</f>
        <v>0</v>
      </c>
      <c r="SKF28">
        <f t="array" ref="SKF28">_xlfn.XLOOKUP(SKF$11,Assumptions!$B$35:$H$35,_xlfn.XLOOKUP($C28,Assumptions!$B$36:$B$41,Assumptions!$B$36:$H$41))</f>
        <v>0</v>
      </c>
      <c r="SKG28">
        <f t="array" ref="SKG28">_xlfn.XLOOKUP(SKG$11,Assumptions!$B$35:$H$35,_xlfn.XLOOKUP($C28,Assumptions!$B$36:$B$41,Assumptions!$B$36:$H$41))</f>
        <v>0</v>
      </c>
      <c r="SKH28">
        <f t="array" ref="SKH28">_xlfn.XLOOKUP(SKH$11,Assumptions!$B$35:$H$35,_xlfn.XLOOKUP($C28,Assumptions!$B$36:$B$41,Assumptions!$B$36:$H$41))</f>
        <v>0</v>
      </c>
      <c r="SKI28">
        <f t="array" ref="SKI28">_xlfn.XLOOKUP(SKI$11,Assumptions!$B$35:$H$35,_xlfn.XLOOKUP($C28,Assumptions!$B$36:$B$41,Assumptions!$B$36:$H$41))</f>
        <v>0</v>
      </c>
      <c r="SKJ28">
        <f t="array" ref="SKJ28">_xlfn.XLOOKUP(SKJ$11,Assumptions!$B$35:$H$35,_xlfn.XLOOKUP($C28,Assumptions!$B$36:$B$41,Assumptions!$B$36:$H$41))</f>
        <v>0</v>
      </c>
      <c r="SKK28">
        <f t="array" ref="SKK28">_xlfn.XLOOKUP(SKK$11,Assumptions!$B$35:$H$35,_xlfn.XLOOKUP($C28,Assumptions!$B$36:$B$41,Assumptions!$B$36:$H$41))</f>
        <v>0</v>
      </c>
      <c r="SKL28">
        <f t="array" ref="SKL28">_xlfn.XLOOKUP(SKL$11,Assumptions!$B$35:$H$35,_xlfn.XLOOKUP($C28,Assumptions!$B$36:$B$41,Assumptions!$B$36:$H$41))</f>
        <v>0</v>
      </c>
      <c r="SKM28">
        <f t="array" ref="SKM28">_xlfn.XLOOKUP(SKM$11,Assumptions!$B$35:$H$35,_xlfn.XLOOKUP($C28,Assumptions!$B$36:$B$41,Assumptions!$B$36:$H$41))</f>
        <v>0</v>
      </c>
      <c r="SKN28">
        <f t="array" ref="SKN28">_xlfn.XLOOKUP(SKN$11,Assumptions!$B$35:$H$35,_xlfn.XLOOKUP($C28,Assumptions!$B$36:$B$41,Assumptions!$B$36:$H$41))</f>
        <v>0</v>
      </c>
      <c r="SKO28">
        <f t="array" ref="SKO28">_xlfn.XLOOKUP(SKO$11,Assumptions!$B$35:$H$35,_xlfn.XLOOKUP($C28,Assumptions!$B$36:$B$41,Assumptions!$B$36:$H$41))</f>
        <v>0</v>
      </c>
      <c r="SKP28">
        <f t="array" ref="SKP28">_xlfn.XLOOKUP(SKP$11,Assumptions!$B$35:$H$35,_xlfn.XLOOKUP($C28,Assumptions!$B$36:$B$41,Assumptions!$B$36:$H$41))</f>
        <v>0</v>
      </c>
      <c r="SKQ28">
        <f t="array" ref="SKQ28">_xlfn.XLOOKUP(SKQ$11,Assumptions!$B$35:$H$35,_xlfn.XLOOKUP($C28,Assumptions!$B$36:$B$41,Assumptions!$B$36:$H$41))</f>
        <v>0</v>
      </c>
      <c r="SKR28">
        <f t="array" ref="SKR28">_xlfn.XLOOKUP(SKR$11,Assumptions!$B$35:$H$35,_xlfn.XLOOKUP($C28,Assumptions!$B$36:$B$41,Assumptions!$B$36:$H$41))</f>
        <v>0</v>
      </c>
      <c r="SKS28">
        <f t="array" ref="SKS28">_xlfn.XLOOKUP(SKS$11,Assumptions!$B$35:$H$35,_xlfn.XLOOKUP($C28,Assumptions!$B$36:$B$41,Assumptions!$B$36:$H$41))</f>
        <v>0</v>
      </c>
      <c r="SKT28">
        <f t="array" ref="SKT28">_xlfn.XLOOKUP(SKT$11,Assumptions!$B$35:$H$35,_xlfn.XLOOKUP($C28,Assumptions!$B$36:$B$41,Assumptions!$B$36:$H$41))</f>
        <v>0</v>
      </c>
      <c r="SKU28">
        <f t="array" ref="SKU28">_xlfn.XLOOKUP(SKU$11,Assumptions!$B$35:$H$35,_xlfn.XLOOKUP($C28,Assumptions!$B$36:$B$41,Assumptions!$B$36:$H$41))</f>
        <v>0</v>
      </c>
      <c r="SKV28">
        <f t="array" ref="SKV28">_xlfn.XLOOKUP(SKV$11,Assumptions!$B$35:$H$35,_xlfn.XLOOKUP($C28,Assumptions!$B$36:$B$41,Assumptions!$B$36:$H$41))</f>
        <v>0</v>
      </c>
      <c r="SKW28">
        <f t="array" ref="SKW28">_xlfn.XLOOKUP(SKW$11,Assumptions!$B$35:$H$35,_xlfn.XLOOKUP($C28,Assumptions!$B$36:$B$41,Assumptions!$B$36:$H$41))</f>
        <v>0</v>
      </c>
      <c r="SKX28">
        <f t="array" ref="SKX28">_xlfn.XLOOKUP(SKX$11,Assumptions!$B$35:$H$35,_xlfn.XLOOKUP($C28,Assumptions!$B$36:$B$41,Assumptions!$B$36:$H$41))</f>
        <v>0</v>
      </c>
      <c r="SKY28">
        <f t="array" ref="SKY28">_xlfn.XLOOKUP(SKY$11,Assumptions!$B$35:$H$35,_xlfn.XLOOKUP($C28,Assumptions!$B$36:$B$41,Assumptions!$B$36:$H$41))</f>
        <v>0</v>
      </c>
      <c r="SKZ28">
        <f t="array" ref="SKZ28">_xlfn.XLOOKUP(SKZ$11,Assumptions!$B$35:$H$35,_xlfn.XLOOKUP($C28,Assumptions!$B$36:$B$41,Assumptions!$B$36:$H$41))</f>
        <v>0</v>
      </c>
      <c r="SLA28">
        <f t="array" ref="SLA28">_xlfn.XLOOKUP(SLA$11,Assumptions!$B$35:$H$35,_xlfn.XLOOKUP($C28,Assumptions!$B$36:$B$41,Assumptions!$B$36:$H$41))</f>
        <v>0</v>
      </c>
      <c r="SLB28">
        <f t="array" ref="SLB28">_xlfn.XLOOKUP(SLB$11,Assumptions!$B$35:$H$35,_xlfn.XLOOKUP($C28,Assumptions!$B$36:$B$41,Assumptions!$B$36:$H$41))</f>
        <v>0</v>
      </c>
      <c r="SLC28">
        <f t="array" ref="SLC28">_xlfn.XLOOKUP(SLC$11,Assumptions!$B$35:$H$35,_xlfn.XLOOKUP($C28,Assumptions!$B$36:$B$41,Assumptions!$B$36:$H$41))</f>
        <v>0</v>
      </c>
      <c r="SLD28">
        <f t="array" ref="SLD28">_xlfn.XLOOKUP(SLD$11,Assumptions!$B$35:$H$35,_xlfn.XLOOKUP($C28,Assumptions!$B$36:$B$41,Assumptions!$B$36:$H$41))</f>
        <v>0</v>
      </c>
      <c r="SLE28">
        <f t="array" ref="SLE28">_xlfn.XLOOKUP(SLE$11,Assumptions!$B$35:$H$35,_xlfn.XLOOKUP($C28,Assumptions!$B$36:$B$41,Assumptions!$B$36:$H$41))</f>
        <v>0</v>
      </c>
      <c r="SLF28">
        <f t="array" ref="SLF28">_xlfn.XLOOKUP(SLF$11,Assumptions!$B$35:$H$35,_xlfn.XLOOKUP($C28,Assumptions!$B$36:$B$41,Assumptions!$B$36:$H$41))</f>
        <v>0</v>
      </c>
      <c r="SLG28">
        <f t="array" ref="SLG28">_xlfn.XLOOKUP(SLG$11,Assumptions!$B$35:$H$35,_xlfn.XLOOKUP($C28,Assumptions!$B$36:$B$41,Assumptions!$B$36:$H$41))</f>
        <v>0</v>
      </c>
      <c r="SLH28">
        <f t="array" ref="SLH28">_xlfn.XLOOKUP(SLH$11,Assumptions!$B$35:$H$35,_xlfn.XLOOKUP($C28,Assumptions!$B$36:$B$41,Assumptions!$B$36:$H$41))</f>
        <v>0</v>
      </c>
      <c r="SLI28">
        <f t="array" ref="SLI28">_xlfn.XLOOKUP(SLI$11,Assumptions!$B$35:$H$35,_xlfn.XLOOKUP($C28,Assumptions!$B$36:$B$41,Assumptions!$B$36:$H$41))</f>
        <v>0</v>
      </c>
      <c r="SLJ28">
        <f t="array" ref="SLJ28">_xlfn.XLOOKUP(SLJ$11,Assumptions!$B$35:$H$35,_xlfn.XLOOKUP($C28,Assumptions!$B$36:$B$41,Assumptions!$B$36:$H$41))</f>
        <v>0</v>
      </c>
      <c r="SLK28">
        <f t="array" ref="SLK28">_xlfn.XLOOKUP(SLK$11,Assumptions!$B$35:$H$35,_xlfn.XLOOKUP($C28,Assumptions!$B$36:$B$41,Assumptions!$B$36:$H$41))</f>
        <v>0</v>
      </c>
      <c r="SLL28">
        <f t="array" ref="SLL28">_xlfn.XLOOKUP(SLL$11,Assumptions!$B$35:$H$35,_xlfn.XLOOKUP($C28,Assumptions!$B$36:$B$41,Assumptions!$B$36:$H$41))</f>
        <v>0</v>
      </c>
      <c r="SLM28">
        <f t="array" ref="SLM28">_xlfn.XLOOKUP(SLM$11,Assumptions!$B$35:$H$35,_xlfn.XLOOKUP($C28,Assumptions!$B$36:$B$41,Assumptions!$B$36:$H$41))</f>
        <v>0</v>
      </c>
      <c r="SLN28">
        <f t="array" ref="SLN28">_xlfn.XLOOKUP(SLN$11,Assumptions!$B$35:$H$35,_xlfn.XLOOKUP($C28,Assumptions!$B$36:$B$41,Assumptions!$B$36:$H$41))</f>
        <v>0</v>
      </c>
      <c r="SLO28">
        <f t="array" ref="SLO28">_xlfn.XLOOKUP(SLO$11,Assumptions!$B$35:$H$35,_xlfn.XLOOKUP($C28,Assumptions!$B$36:$B$41,Assumptions!$B$36:$H$41))</f>
        <v>0</v>
      </c>
      <c r="SLP28">
        <f t="array" ref="SLP28">_xlfn.XLOOKUP(SLP$11,Assumptions!$B$35:$H$35,_xlfn.XLOOKUP($C28,Assumptions!$B$36:$B$41,Assumptions!$B$36:$H$41))</f>
        <v>0</v>
      </c>
      <c r="SLQ28">
        <f t="array" ref="SLQ28">_xlfn.XLOOKUP(SLQ$11,Assumptions!$B$35:$H$35,_xlfn.XLOOKUP($C28,Assumptions!$B$36:$B$41,Assumptions!$B$36:$H$41))</f>
        <v>0</v>
      </c>
      <c r="SLR28">
        <f t="array" ref="SLR28">_xlfn.XLOOKUP(SLR$11,Assumptions!$B$35:$H$35,_xlfn.XLOOKUP($C28,Assumptions!$B$36:$B$41,Assumptions!$B$36:$H$41))</f>
        <v>0</v>
      </c>
      <c r="SLS28">
        <f t="array" ref="SLS28">_xlfn.XLOOKUP(SLS$11,Assumptions!$B$35:$H$35,_xlfn.XLOOKUP($C28,Assumptions!$B$36:$B$41,Assumptions!$B$36:$H$41))</f>
        <v>0</v>
      </c>
      <c r="SLT28">
        <f t="array" ref="SLT28">_xlfn.XLOOKUP(SLT$11,Assumptions!$B$35:$H$35,_xlfn.XLOOKUP($C28,Assumptions!$B$36:$B$41,Assumptions!$B$36:$H$41))</f>
        <v>0</v>
      </c>
      <c r="SLU28">
        <f t="array" ref="SLU28">_xlfn.XLOOKUP(SLU$11,Assumptions!$B$35:$H$35,_xlfn.XLOOKUP($C28,Assumptions!$B$36:$B$41,Assumptions!$B$36:$H$41))</f>
        <v>0</v>
      </c>
      <c r="SLV28">
        <f t="array" ref="SLV28">_xlfn.XLOOKUP(SLV$11,Assumptions!$B$35:$H$35,_xlfn.XLOOKUP($C28,Assumptions!$B$36:$B$41,Assumptions!$B$36:$H$41))</f>
        <v>0</v>
      </c>
      <c r="SLW28">
        <f t="array" ref="SLW28">_xlfn.XLOOKUP(SLW$11,Assumptions!$B$35:$H$35,_xlfn.XLOOKUP($C28,Assumptions!$B$36:$B$41,Assumptions!$B$36:$H$41))</f>
        <v>0</v>
      </c>
      <c r="SLX28">
        <f t="array" ref="SLX28">_xlfn.XLOOKUP(SLX$11,Assumptions!$B$35:$H$35,_xlfn.XLOOKUP($C28,Assumptions!$B$36:$B$41,Assumptions!$B$36:$H$41))</f>
        <v>0</v>
      </c>
      <c r="SLY28">
        <f t="array" ref="SLY28">_xlfn.XLOOKUP(SLY$11,Assumptions!$B$35:$H$35,_xlfn.XLOOKUP($C28,Assumptions!$B$36:$B$41,Assumptions!$B$36:$H$41))</f>
        <v>0</v>
      </c>
      <c r="SLZ28">
        <f t="array" ref="SLZ28">_xlfn.XLOOKUP(SLZ$11,Assumptions!$B$35:$H$35,_xlfn.XLOOKUP($C28,Assumptions!$B$36:$B$41,Assumptions!$B$36:$H$41))</f>
        <v>0</v>
      </c>
      <c r="SMA28">
        <f t="array" ref="SMA28">_xlfn.XLOOKUP(SMA$11,Assumptions!$B$35:$H$35,_xlfn.XLOOKUP($C28,Assumptions!$B$36:$B$41,Assumptions!$B$36:$H$41))</f>
        <v>0</v>
      </c>
      <c r="SMB28">
        <f t="array" ref="SMB28">_xlfn.XLOOKUP(SMB$11,Assumptions!$B$35:$H$35,_xlfn.XLOOKUP($C28,Assumptions!$B$36:$B$41,Assumptions!$B$36:$H$41))</f>
        <v>0</v>
      </c>
      <c r="SMC28">
        <f t="array" ref="SMC28">_xlfn.XLOOKUP(SMC$11,Assumptions!$B$35:$H$35,_xlfn.XLOOKUP($C28,Assumptions!$B$36:$B$41,Assumptions!$B$36:$H$41))</f>
        <v>0</v>
      </c>
      <c r="SMD28">
        <f t="array" ref="SMD28">_xlfn.XLOOKUP(SMD$11,Assumptions!$B$35:$H$35,_xlfn.XLOOKUP($C28,Assumptions!$B$36:$B$41,Assumptions!$B$36:$H$41))</f>
        <v>0</v>
      </c>
      <c r="SME28">
        <f t="array" ref="SME28">_xlfn.XLOOKUP(SME$11,Assumptions!$B$35:$H$35,_xlfn.XLOOKUP($C28,Assumptions!$B$36:$B$41,Assumptions!$B$36:$H$41))</f>
        <v>0</v>
      </c>
      <c r="SMF28">
        <f t="array" ref="SMF28">_xlfn.XLOOKUP(SMF$11,Assumptions!$B$35:$H$35,_xlfn.XLOOKUP($C28,Assumptions!$B$36:$B$41,Assumptions!$B$36:$H$41))</f>
        <v>0</v>
      </c>
      <c r="SMG28">
        <f t="array" ref="SMG28">_xlfn.XLOOKUP(SMG$11,Assumptions!$B$35:$H$35,_xlfn.XLOOKUP($C28,Assumptions!$B$36:$B$41,Assumptions!$B$36:$H$41))</f>
        <v>0</v>
      </c>
      <c r="SMH28">
        <f t="array" ref="SMH28">_xlfn.XLOOKUP(SMH$11,Assumptions!$B$35:$H$35,_xlfn.XLOOKUP($C28,Assumptions!$B$36:$B$41,Assumptions!$B$36:$H$41))</f>
        <v>0</v>
      </c>
      <c r="SMI28">
        <f t="array" ref="SMI28">_xlfn.XLOOKUP(SMI$11,Assumptions!$B$35:$H$35,_xlfn.XLOOKUP($C28,Assumptions!$B$36:$B$41,Assumptions!$B$36:$H$41))</f>
        <v>0</v>
      </c>
      <c r="SMJ28">
        <f t="array" ref="SMJ28">_xlfn.XLOOKUP(SMJ$11,Assumptions!$B$35:$H$35,_xlfn.XLOOKUP($C28,Assumptions!$B$36:$B$41,Assumptions!$B$36:$H$41))</f>
        <v>0</v>
      </c>
      <c r="SMK28">
        <f t="array" ref="SMK28">_xlfn.XLOOKUP(SMK$11,Assumptions!$B$35:$H$35,_xlfn.XLOOKUP($C28,Assumptions!$B$36:$B$41,Assumptions!$B$36:$H$41))</f>
        <v>0</v>
      </c>
      <c r="SML28">
        <f t="array" ref="SML28">_xlfn.XLOOKUP(SML$11,Assumptions!$B$35:$H$35,_xlfn.XLOOKUP($C28,Assumptions!$B$36:$B$41,Assumptions!$B$36:$H$41))</f>
        <v>0</v>
      </c>
      <c r="SMM28">
        <f t="array" ref="SMM28">_xlfn.XLOOKUP(SMM$11,Assumptions!$B$35:$H$35,_xlfn.XLOOKUP($C28,Assumptions!$B$36:$B$41,Assumptions!$B$36:$H$41))</f>
        <v>0</v>
      </c>
      <c r="SMN28">
        <f t="array" ref="SMN28">_xlfn.XLOOKUP(SMN$11,Assumptions!$B$35:$H$35,_xlfn.XLOOKUP($C28,Assumptions!$B$36:$B$41,Assumptions!$B$36:$H$41))</f>
        <v>0</v>
      </c>
      <c r="SMO28">
        <f t="array" ref="SMO28">_xlfn.XLOOKUP(SMO$11,Assumptions!$B$35:$H$35,_xlfn.XLOOKUP($C28,Assumptions!$B$36:$B$41,Assumptions!$B$36:$H$41))</f>
        <v>0</v>
      </c>
      <c r="SMP28">
        <f t="array" ref="SMP28">_xlfn.XLOOKUP(SMP$11,Assumptions!$B$35:$H$35,_xlfn.XLOOKUP($C28,Assumptions!$B$36:$B$41,Assumptions!$B$36:$H$41))</f>
        <v>0</v>
      </c>
      <c r="SMQ28">
        <f t="array" ref="SMQ28">_xlfn.XLOOKUP(SMQ$11,Assumptions!$B$35:$H$35,_xlfn.XLOOKUP($C28,Assumptions!$B$36:$B$41,Assumptions!$B$36:$H$41))</f>
        <v>0</v>
      </c>
      <c r="SMR28">
        <f t="array" ref="SMR28">_xlfn.XLOOKUP(SMR$11,Assumptions!$B$35:$H$35,_xlfn.XLOOKUP($C28,Assumptions!$B$36:$B$41,Assumptions!$B$36:$H$41))</f>
        <v>0</v>
      </c>
      <c r="SMS28">
        <f t="array" ref="SMS28">_xlfn.XLOOKUP(SMS$11,Assumptions!$B$35:$H$35,_xlfn.XLOOKUP($C28,Assumptions!$B$36:$B$41,Assumptions!$B$36:$H$41))</f>
        <v>0</v>
      </c>
      <c r="SMT28">
        <f t="array" ref="SMT28">_xlfn.XLOOKUP(SMT$11,Assumptions!$B$35:$H$35,_xlfn.XLOOKUP($C28,Assumptions!$B$36:$B$41,Assumptions!$B$36:$H$41))</f>
        <v>0</v>
      </c>
      <c r="SMU28">
        <f t="array" ref="SMU28">_xlfn.XLOOKUP(SMU$11,Assumptions!$B$35:$H$35,_xlfn.XLOOKUP($C28,Assumptions!$B$36:$B$41,Assumptions!$B$36:$H$41))</f>
        <v>0</v>
      </c>
      <c r="SMV28">
        <f t="array" ref="SMV28">_xlfn.XLOOKUP(SMV$11,Assumptions!$B$35:$H$35,_xlfn.XLOOKUP($C28,Assumptions!$B$36:$B$41,Assumptions!$B$36:$H$41))</f>
        <v>0</v>
      </c>
      <c r="SMW28">
        <f t="array" ref="SMW28">_xlfn.XLOOKUP(SMW$11,Assumptions!$B$35:$H$35,_xlfn.XLOOKUP($C28,Assumptions!$B$36:$B$41,Assumptions!$B$36:$H$41))</f>
        <v>0</v>
      </c>
      <c r="SMX28">
        <f t="array" ref="SMX28">_xlfn.XLOOKUP(SMX$11,Assumptions!$B$35:$H$35,_xlfn.XLOOKUP($C28,Assumptions!$B$36:$B$41,Assumptions!$B$36:$H$41))</f>
        <v>0</v>
      </c>
      <c r="SMY28">
        <f t="array" ref="SMY28">_xlfn.XLOOKUP(SMY$11,Assumptions!$B$35:$H$35,_xlfn.XLOOKUP($C28,Assumptions!$B$36:$B$41,Assumptions!$B$36:$H$41))</f>
        <v>0</v>
      </c>
      <c r="SMZ28">
        <f t="array" ref="SMZ28">_xlfn.XLOOKUP(SMZ$11,Assumptions!$B$35:$H$35,_xlfn.XLOOKUP($C28,Assumptions!$B$36:$B$41,Assumptions!$B$36:$H$41))</f>
        <v>0</v>
      </c>
      <c r="SNA28">
        <f t="array" ref="SNA28">_xlfn.XLOOKUP(SNA$11,Assumptions!$B$35:$H$35,_xlfn.XLOOKUP($C28,Assumptions!$B$36:$B$41,Assumptions!$B$36:$H$41))</f>
        <v>0</v>
      </c>
      <c r="SNB28">
        <f t="array" ref="SNB28">_xlfn.XLOOKUP(SNB$11,Assumptions!$B$35:$H$35,_xlfn.XLOOKUP($C28,Assumptions!$B$36:$B$41,Assumptions!$B$36:$H$41))</f>
        <v>0</v>
      </c>
      <c r="SNC28">
        <f t="array" ref="SNC28">_xlfn.XLOOKUP(SNC$11,Assumptions!$B$35:$H$35,_xlfn.XLOOKUP($C28,Assumptions!$B$36:$B$41,Assumptions!$B$36:$H$41))</f>
        <v>0</v>
      </c>
      <c r="SND28">
        <f t="array" ref="SND28">_xlfn.XLOOKUP(SND$11,Assumptions!$B$35:$H$35,_xlfn.XLOOKUP($C28,Assumptions!$B$36:$B$41,Assumptions!$B$36:$H$41))</f>
        <v>0</v>
      </c>
      <c r="SNE28">
        <f t="array" ref="SNE28">_xlfn.XLOOKUP(SNE$11,Assumptions!$B$35:$H$35,_xlfn.XLOOKUP($C28,Assumptions!$B$36:$B$41,Assumptions!$B$36:$H$41))</f>
        <v>0</v>
      </c>
      <c r="SNF28">
        <f t="array" ref="SNF28">_xlfn.XLOOKUP(SNF$11,Assumptions!$B$35:$H$35,_xlfn.XLOOKUP($C28,Assumptions!$B$36:$B$41,Assumptions!$B$36:$H$41))</f>
        <v>0</v>
      </c>
      <c r="SNG28">
        <f t="array" ref="SNG28">_xlfn.XLOOKUP(SNG$11,Assumptions!$B$35:$H$35,_xlfn.XLOOKUP($C28,Assumptions!$B$36:$B$41,Assumptions!$B$36:$H$41))</f>
        <v>0</v>
      </c>
      <c r="SNH28">
        <f t="array" ref="SNH28">_xlfn.XLOOKUP(SNH$11,Assumptions!$B$35:$H$35,_xlfn.XLOOKUP($C28,Assumptions!$B$36:$B$41,Assumptions!$B$36:$H$41))</f>
        <v>0</v>
      </c>
      <c r="SNI28">
        <f t="array" ref="SNI28">_xlfn.XLOOKUP(SNI$11,Assumptions!$B$35:$H$35,_xlfn.XLOOKUP($C28,Assumptions!$B$36:$B$41,Assumptions!$B$36:$H$41))</f>
        <v>0</v>
      </c>
      <c r="SNJ28">
        <f t="array" ref="SNJ28">_xlfn.XLOOKUP(SNJ$11,Assumptions!$B$35:$H$35,_xlfn.XLOOKUP($C28,Assumptions!$B$36:$B$41,Assumptions!$B$36:$H$41))</f>
        <v>0</v>
      </c>
      <c r="SNK28">
        <f t="array" ref="SNK28">_xlfn.XLOOKUP(SNK$11,Assumptions!$B$35:$H$35,_xlfn.XLOOKUP($C28,Assumptions!$B$36:$B$41,Assumptions!$B$36:$H$41))</f>
        <v>0</v>
      </c>
      <c r="SNL28">
        <f t="array" ref="SNL28">_xlfn.XLOOKUP(SNL$11,Assumptions!$B$35:$H$35,_xlfn.XLOOKUP($C28,Assumptions!$B$36:$B$41,Assumptions!$B$36:$H$41))</f>
        <v>0</v>
      </c>
      <c r="SNM28">
        <f t="array" ref="SNM28">_xlfn.XLOOKUP(SNM$11,Assumptions!$B$35:$H$35,_xlfn.XLOOKUP($C28,Assumptions!$B$36:$B$41,Assumptions!$B$36:$H$41))</f>
        <v>0</v>
      </c>
      <c r="SNN28">
        <f t="array" ref="SNN28">_xlfn.XLOOKUP(SNN$11,Assumptions!$B$35:$H$35,_xlfn.XLOOKUP($C28,Assumptions!$B$36:$B$41,Assumptions!$B$36:$H$41))</f>
        <v>0</v>
      </c>
      <c r="SNO28">
        <f t="array" ref="SNO28">_xlfn.XLOOKUP(SNO$11,Assumptions!$B$35:$H$35,_xlfn.XLOOKUP($C28,Assumptions!$B$36:$B$41,Assumptions!$B$36:$H$41))</f>
        <v>0</v>
      </c>
      <c r="SNP28">
        <f t="array" ref="SNP28">_xlfn.XLOOKUP(SNP$11,Assumptions!$B$35:$H$35,_xlfn.XLOOKUP($C28,Assumptions!$B$36:$B$41,Assumptions!$B$36:$H$41))</f>
        <v>0</v>
      </c>
      <c r="SNQ28">
        <f t="array" ref="SNQ28">_xlfn.XLOOKUP(SNQ$11,Assumptions!$B$35:$H$35,_xlfn.XLOOKUP($C28,Assumptions!$B$36:$B$41,Assumptions!$B$36:$H$41))</f>
        <v>0</v>
      </c>
      <c r="SNR28">
        <f t="array" ref="SNR28">_xlfn.XLOOKUP(SNR$11,Assumptions!$B$35:$H$35,_xlfn.XLOOKUP($C28,Assumptions!$B$36:$B$41,Assumptions!$B$36:$H$41))</f>
        <v>0</v>
      </c>
      <c r="SNS28">
        <f t="array" ref="SNS28">_xlfn.XLOOKUP(SNS$11,Assumptions!$B$35:$H$35,_xlfn.XLOOKUP($C28,Assumptions!$B$36:$B$41,Assumptions!$B$36:$H$41))</f>
        <v>0</v>
      </c>
      <c r="SNT28">
        <f t="array" ref="SNT28">_xlfn.XLOOKUP(SNT$11,Assumptions!$B$35:$H$35,_xlfn.XLOOKUP($C28,Assumptions!$B$36:$B$41,Assumptions!$B$36:$H$41))</f>
        <v>0</v>
      </c>
      <c r="SNU28">
        <f t="array" ref="SNU28">_xlfn.XLOOKUP(SNU$11,Assumptions!$B$35:$H$35,_xlfn.XLOOKUP($C28,Assumptions!$B$36:$B$41,Assumptions!$B$36:$H$41))</f>
        <v>0</v>
      </c>
      <c r="SNV28">
        <f t="array" ref="SNV28">_xlfn.XLOOKUP(SNV$11,Assumptions!$B$35:$H$35,_xlfn.XLOOKUP($C28,Assumptions!$B$36:$B$41,Assumptions!$B$36:$H$41))</f>
        <v>0</v>
      </c>
      <c r="SNW28">
        <f t="array" ref="SNW28">_xlfn.XLOOKUP(SNW$11,Assumptions!$B$35:$H$35,_xlfn.XLOOKUP($C28,Assumptions!$B$36:$B$41,Assumptions!$B$36:$H$41))</f>
        <v>0</v>
      </c>
      <c r="SNX28">
        <f t="array" ref="SNX28">_xlfn.XLOOKUP(SNX$11,Assumptions!$B$35:$H$35,_xlfn.XLOOKUP($C28,Assumptions!$B$36:$B$41,Assumptions!$B$36:$H$41))</f>
        <v>0</v>
      </c>
      <c r="SNY28">
        <f t="array" ref="SNY28">_xlfn.XLOOKUP(SNY$11,Assumptions!$B$35:$H$35,_xlfn.XLOOKUP($C28,Assumptions!$B$36:$B$41,Assumptions!$B$36:$H$41))</f>
        <v>0</v>
      </c>
      <c r="SNZ28">
        <f t="array" ref="SNZ28">_xlfn.XLOOKUP(SNZ$11,Assumptions!$B$35:$H$35,_xlfn.XLOOKUP($C28,Assumptions!$B$36:$B$41,Assumptions!$B$36:$H$41))</f>
        <v>0</v>
      </c>
      <c r="SOA28">
        <f t="array" ref="SOA28">_xlfn.XLOOKUP(SOA$11,Assumptions!$B$35:$H$35,_xlfn.XLOOKUP($C28,Assumptions!$B$36:$B$41,Assumptions!$B$36:$H$41))</f>
        <v>0</v>
      </c>
      <c r="SOB28">
        <f t="array" ref="SOB28">_xlfn.XLOOKUP(SOB$11,Assumptions!$B$35:$H$35,_xlfn.XLOOKUP($C28,Assumptions!$B$36:$B$41,Assumptions!$B$36:$H$41))</f>
        <v>0</v>
      </c>
      <c r="SOC28">
        <f t="array" ref="SOC28">_xlfn.XLOOKUP(SOC$11,Assumptions!$B$35:$H$35,_xlfn.XLOOKUP($C28,Assumptions!$B$36:$B$41,Assumptions!$B$36:$H$41))</f>
        <v>0</v>
      </c>
      <c r="SOD28">
        <f t="array" ref="SOD28">_xlfn.XLOOKUP(SOD$11,Assumptions!$B$35:$H$35,_xlfn.XLOOKUP($C28,Assumptions!$B$36:$B$41,Assumptions!$B$36:$H$41))</f>
        <v>0</v>
      </c>
      <c r="SOE28">
        <f t="array" ref="SOE28">_xlfn.XLOOKUP(SOE$11,Assumptions!$B$35:$H$35,_xlfn.XLOOKUP($C28,Assumptions!$B$36:$B$41,Assumptions!$B$36:$H$41))</f>
        <v>0</v>
      </c>
      <c r="SOF28">
        <f t="array" ref="SOF28">_xlfn.XLOOKUP(SOF$11,Assumptions!$B$35:$H$35,_xlfn.XLOOKUP($C28,Assumptions!$B$36:$B$41,Assumptions!$B$36:$H$41))</f>
        <v>0</v>
      </c>
      <c r="SOG28">
        <f t="array" ref="SOG28">_xlfn.XLOOKUP(SOG$11,Assumptions!$B$35:$H$35,_xlfn.XLOOKUP($C28,Assumptions!$B$36:$B$41,Assumptions!$B$36:$H$41))</f>
        <v>0</v>
      </c>
      <c r="SOH28">
        <f t="array" ref="SOH28">_xlfn.XLOOKUP(SOH$11,Assumptions!$B$35:$H$35,_xlfn.XLOOKUP($C28,Assumptions!$B$36:$B$41,Assumptions!$B$36:$H$41))</f>
        <v>0</v>
      </c>
      <c r="SOI28">
        <f t="array" ref="SOI28">_xlfn.XLOOKUP(SOI$11,Assumptions!$B$35:$H$35,_xlfn.XLOOKUP($C28,Assumptions!$B$36:$B$41,Assumptions!$B$36:$H$41))</f>
        <v>0</v>
      </c>
      <c r="SOJ28">
        <f t="array" ref="SOJ28">_xlfn.XLOOKUP(SOJ$11,Assumptions!$B$35:$H$35,_xlfn.XLOOKUP($C28,Assumptions!$B$36:$B$41,Assumptions!$B$36:$H$41))</f>
        <v>0</v>
      </c>
      <c r="SOK28">
        <f t="array" ref="SOK28">_xlfn.XLOOKUP(SOK$11,Assumptions!$B$35:$H$35,_xlfn.XLOOKUP($C28,Assumptions!$B$36:$B$41,Assumptions!$B$36:$H$41))</f>
        <v>0</v>
      </c>
      <c r="SOL28">
        <f t="array" ref="SOL28">_xlfn.XLOOKUP(SOL$11,Assumptions!$B$35:$H$35,_xlfn.XLOOKUP($C28,Assumptions!$B$36:$B$41,Assumptions!$B$36:$H$41))</f>
        <v>0</v>
      </c>
      <c r="SOM28">
        <f t="array" ref="SOM28">_xlfn.XLOOKUP(SOM$11,Assumptions!$B$35:$H$35,_xlfn.XLOOKUP($C28,Assumptions!$B$36:$B$41,Assumptions!$B$36:$H$41))</f>
        <v>0</v>
      </c>
      <c r="SON28">
        <f t="array" ref="SON28">_xlfn.XLOOKUP(SON$11,Assumptions!$B$35:$H$35,_xlfn.XLOOKUP($C28,Assumptions!$B$36:$B$41,Assumptions!$B$36:$H$41))</f>
        <v>0</v>
      </c>
      <c r="SOO28">
        <f t="array" ref="SOO28">_xlfn.XLOOKUP(SOO$11,Assumptions!$B$35:$H$35,_xlfn.XLOOKUP($C28,Assumptions!$B$36:$B$41,Assumptions!$B$36:$H$41))</f>
        <v>0</v>
      </c>
      <c r="SOP28">
        <f t="array" ref="SOP28">_xlfn.XLOOKUP(SOP$11,Assumptions!$B$35:$H$35,_xlfn.XLOOKUP($C28,Assumptions!$B$36:$B$41,Assumptions!$B$36:$H$41))</f>
        <v>0</v>
      </c>
      <c r="SOQ28">
        <f t="array" ref="SOQ28">_xlfn.XLOOKUP(SOQ$11,Assumptions!$B$35:$H$35,_xlfn.XLOOKUP($C28,Assumptions!$B$36:$B$41,Assumptions!$B$36:$H$41))</f>
        <v>0</v>
      </c>
      <c r="SOR28">
        <f t="array" ref="SOR28">_xlfn.XLOOKUP(SOR$11,Assumptions!$B$35:$H$35,_xlfn.XLOOKUP($C28,Assumptions!$B$36:$B$41,Assumptions!$B$36:$H$41))</f>
        <v>0</v>
      </c>
      <c r="SOS28">
        <f t="array" ref="SOS28">_xlfn.XLOOKUP(SOS$11,Assumptions!$B$35:$H$35,_xlfn.XLOOKUP($C28,Assumptions!$B$36:$B$41,Assumptions!$B$36:$H$41))</f>
        <v>0</v>
      </c>
      <c r="SOT28">
        <f t="array" ref="SOT28">_xlfn.XLOOKUP(SOT$11,Assumptions!$B$35:$H$35,_xlfn.XLOOKUP($C28,Assumptions!$B$36:$B$41,Assumptions!$B$36:$H$41))</f>
        <v>0</v>
      </c>
      <c r="SOU28">
        <f t="array" ref="SOU28">_xlfn.XLOOKUP(SOU$11,Assumptions!$B$35:$H$35,_xlfn.XLOOKUP($C28,Assumptions!$B$36:$B$41,Assumptions!$B$36:$H$41))</f>
        <v>0</v>
      </c>
      <c r="SOV28">
        <f t="array" ref="SOV28">_xlfn.XLOOKUP(SOV$11,Assumptions!$B$35:$H$35,_xlfn.XLOOKUP($C28,Assumptions!$B$36:$B$41,Assumptions!$B$36:$H$41))</f>
        <v>0</v>
      </c>
      <c r="SOW28">
        <f t="array" ref="SOW28">_xlfn.XLOOKUP(SOW$11,Assumptions!$B$35:$H$35,_xlfn.XLOOKUP($C28,Assumptions!$B$36:$B$41,Assumptions!$B$36:$H$41))</f>
        <v>0</v>
      </c>
      <c r="SOX28">
        <f t="array" ref="SOX28">_xlfn.XLOOKUP(SOX$11,Assumptions!$B$35:$H$35,_xlfn.XLOOKUP($C28,Assumptions!$B$36:$B$41,Assumptions!$B$36:$H$41))</f>
        <v>0</v>
      </c>
      <c r="SOY28">
        <f t="array" ref="SOY28">_xlfn.XLOOKUP(SOY$11,Assumptions!$B$35:$H$35,_xlfn.XLOOKUP($C28,Assumptions!$B$36:$B$41,Assumptions!$B$36:$H$41))</f>
        <v>0</v>
      </c>
      <c r="SOZ28">
        <f t="array" ref="SOZ28">_xlfn.XLOOKUP(SOZ$11,Assumptions!$B$35:$H$35,_xlfn.XLOOKUP($C28,Assumptions!$B$36:$B$41,Assumptions!$B$36:$H$41))</f>
        <v>0</v>
      </c>
      <c r="SPA28">
        <f t="array" ref="SPA28">_xlfn.XLOOKUP(SPA$11,Assumptions!$B$35:$H$35,_xlfn.XLOOKUP($C28,Assumptions!$B$36:$B$41,Assumptions!$B$36:$H$41))</f>
        <v>0</v>
      </c>
      <c r="SPB28">
        <f t="array" ref="SPB28">_xlfn.XLOOKUP(SPB$11,Assumptions!$B$35:$H$35,_xlfn.XLOOKUP($C28,Assumptions!$B$36:$B$41,Assumptions!$B$36:$H$41))</f>
        <v>0</v>
      </c>
      <c r="SPC28">
        <f t="array" ref="SPC28">_xlfn.XLOOKUP(SPC$11,Assumptions!$B$35:$H$35,_xlfn.XLOOKUP($C28,Assumptions!$B$36:$B$41,Assumptions!$B$36:$H$41))</f>
        <v>0</v>
      </c>
      <c r="SPD28">
        <f t="array" ref="SPD28">_xlfn.XLOOKUP(SPD$11,Assumptions!$B$35:$H$35,_xlfn.XLOOKUP($C28,Assumptions!$B$36:$B$41,Assumptions!$B$36:$H$41))</f>
        <v>0</v>
      </c>
      <c r="SPE28">
        <f t="array" ref="SPE28">_xlfn.XLOOKUP(SPE$11,Assumptions!$B$35:$H$35,_xlfn.XLOOKUP($C28,Assumptions!$B$36:$B$41,Assumptions!$B$36:$H$41))</f>
        <v>0</v>
      </c>
      <c r="SPF28">
        <f t="array" ref="SPF28">_xlfn.XLOOKUP(SPF$11,Assumptions!$B$35:$H$35,_xlfn.XLOOKUP($C28,Assumptions!$B$36:$B$41,Assumptions!$B$36:$H$41))</f>
        <v>0</v>
      </c>
      <c r="SPG28">
        <f t="array" ref="SPG28">_xlfn.XLOOKUP(SPG$11,Assumptions!$B$35:$H$35,_xlfn.XLOOKUP($C28,Assumptions!$B$36:$B$41,Assumptions!$B$36:$H$41))</f>
        <v>0</v>
      </c>
      <c r="SPH28">
        <f t="array" ref="SPH28">_xlfn.XLOOKUP(SPH$11,Assumptions!$B$35:$H$35,_xlfn.XLOOKUP($C28,Assumptions!$B$36:$B$41,Assumptions!$B$36:$H$41))</f>
        <v>0</v>
      </c>
      <c r="SPI28">
        <f t="array" ref="SPI28">_xlfn.XLOOKUP(SPI$11,Assumptions!$B$35:$H$35,_xlfn.XLOOKUP($C28,Assumptions!$B$36:$B$41,Assumptions!$B$36:$H$41))</f>
        <v>0</v>
      </c>
      <c r="SPJ28">
        <f t="array" ref="SPJ28">_xlfn.XLOOKUP(SPJ$11,Assumptions!$B$35:$H$35,_xlfn.XLOOKUP($C28,Assumptions!$B$36:$B$41,Assumptions!$B$36:$H$41))</f>
        <v>0</v>
      </c>
      <c r="SPK28">
        <f t="array" ref="SPK28">_xlfn.XLOOKUP(SPK$11,Assumptions!$B$35:$H$35,_xlfn.XLOOKUP($C28,Assumptions!$B$36:$B$41,Assumptions!$B$36:$H$41))</f>
        <v>0</v>
      </c>
      <c r="SPL28">
        <f t="array" ref="SPL28">_xlfn.XLOOKUP(SPL$11,Assumptions!$B$35:$H$35,_xlfn.XLOOKUP($C28,Assumptions!$B$36:$B$41,Assumptions!$B$36:$H$41))</f>
        <v>0</v>
      </c>
      <c r="SPM28">
        <f t="array" ref="SPM28">_xlfn.XLOOKUP(SPM$11,Assumptions!$B$35:$H$35,_xlfn.XLOOKUP($C28,Assumptions!$B$36:$B$41,Assumptions!$B$36:$H$41))</f>
        <v>0</v>
      </c>
      <c r="SPN28">
        <f t="array" ref="SPN28">_xlfn.XLOOKUP(SPN$11,Assumptions!$B$35:$H$35,_xlfn.XLOOKUP($C28,Assumptions!$B$36:$B$41,Assumptions!$B$36:$H$41))</f>
        <v>0</v>
      </c>
      <c r="SPO28">
        <f t="array" ref="SPO28">_xlfn.XLOOKUP(SPO$11,Assumptions!$B$35:$H$35,_xlfn.XLOOKUP($C28,Assumptions!$B$36:$B$41,Assumptions!$B$36:$H$41))</f>
        <v>0</v>
      </c>
      <c r="SPP28">
        <f t="array" ref="SPP28">_xlfn.XLOOKUP(SPP$11,Assumptions!$B$35:$H$35,_xlfn.XLOOKUP($C28,Assumptions!$B$36:$B$41,Assumptions!$B$36:$H$41))</f>
        <v>0</v>
      </c>
      <c r="SPQ28">
        <f t="array" ref="SPQ28">_xlfn.XLOOKUP(SPQ$11,Assumptions!$B$35:$H$35,_xlfn.XLOOKUP($C28,Assumptions!$B$36:$B$41,Assumptions!$B$36:$H$41))</f>
        <v>0</v>
      </c>
      <c r="SPR28">
        <f t="array" ref="SPR28">_xlfn.XLOOKUP(SPR$11,Assumptions!$B$35:$H$35,_xlfn.XLOOKUP($C28,Assumptions!$B$36:$B$41,Assumptions!$B$36:$H$41))</f>
        <v>0</v>
      </c>
      <c r="SPS28">
        <f t="array" ref="SPS28">_xlfn.XLOOKUP(SPS$11,Assumptions!$B$35:$H$35,_xlfn.XLOOKUP($C28,Assumptions!$B$36:$B$41,Assumptions!$B$36:$H$41))</f>
        <v>0</v>
      </c>
      <c r="SPT28">
        <f t="array" ref="SPT28">_xlfn.XLOOKUP(SPT$11,Assumptions!$B$35:$H$35,_xlfn.XLOOKUP($C28,Assumptions!$B$36:$B$41,Assumptions!$B$36:$H$41))</f>
        <v>0</v>
      </c>
      <c r="SPU28">
        <f t="array" ref="SPU28">_xlfn.XLOOKUP(SPU$11,Assumptions!$B$35:$H$35,_xlfn.XLOOKUP($C28,Assumptions!$B$36:$B$41,Assumptions!$B$36:$H$41))</f>
        <v>0</v>
      </c>
      <c r="SPV28">
        <f t="array" ref="SPV28">_xlfn.XLOOKUP(SPV$11,Assumptions!$B$35:$H$35,_xlfn.XLOOKUP($C28,Assumptions!$B$36:$B$41,Assumptions!$B$36:$H$41))</f>
        <v>0</v>
      </c>
      <c r="SPW28">
        <f t="array" ref="SPW28">_xlfn.XLOOKUP(SPW$11,Assumptions!$B$35:$H$35,_xlfn.XLOOKUP($C28,Assumptions!$B$36:$B$41,Assumptions!$B$36:$H$41))</f>
        <v>0</v>
      </c>
      <c r="SPX28">
        <f t="array" ref="SPX28">_xlfn.XLOOKUP(SPX$11,Assumptions!$B$35:$H$35,_xlfn.XLOOKUP($C28,Assumptions!$B$36:$B$41,Assumptions!$B$36:$H$41))</f>
        <v>0</v>
      </c>
      <c r="SPY28">
        <f t="array" ref="SPY28">_xlfn.XLOOKUP(SPY$11,Assumptions!$B$35:$H$35,_xlfn.XLOOKUP($C28,Assumptions!$B$36:$B$41,Assumptions!$B$36:$H$41))</f>
        <v>0</v>
      </c>
      <c r="SPZ28">
        <f t="array" ref="SPZ28">_xlfn.XLOOKUP(SPZ$11,Assumptions!$B$35:$H$35,_xlfn.XLOOKUP($C28,Assumptions!$B$36:$B$41,Assumptions!$B$36:$H$41))</f>
        <v>0</v>
      </c>
      <c r="SQA28">
        <f t="array" ref="SQA28">_xlfn.XLOOKUP(SQA$11,Assumptions!$B$35:$H$35,_xlfn.XLOOKUP($C28,Assumptions!$B$36:$B$41,Assumptions!$B$36:$H$41))</f>
        <v>0</v>
      </c>
      <c r="SQB28">
        <f t="array" ref="SQB28">_xlfn.XLOOKUP(SQB$11,Assumptions!$B$35:$H$35,_xlfn.XLOOKUP($C28,Assumptions!$B$36:$B$41,Assumptions!$B$36:$H$41))</f>
        <v>0</v>
      </c>
      <c r="SQC28">
        <f t="array" ref="SQC28">_xlfn.XLOOKUP(SQC$11,Assumptions!$B$35:$H$35,_xlfn.XLOOKUP($C28,Assumptions!$B$36:$B$41,Assumptions!$B$36:$H$41))</f>
        <v>0</v>
      </c>
      <c r="SQD28">
        <f t="array" ref="SQD28">_xlfn.XLOOKUP(SQD$11,Assumptions!$B$35:$H$35,_xlfn.XLOOKUP($C28,Assumptions!$B$36:$B$41,Assumptions!$B$36:$H$41))</f>
        <v>0</v>
      </c>
      <c r="SQE28">
        <f t="array" ref="SQE28">_xlfn.XLOOKUP(SQE$11,Assumptions!$B$35:$H$35,_xlfn.XLOOKUP($C28,Assumptions!$B$36:$B$41,Assumptions!$B$36:$H$41))</f>
        <v>0</v>
      </c>
      <c r="SQF28">
        <f t="array" ref="SQF28">_xlfn.XLOOKUP(SQF$11,Assumptions!$B$35:$H$35,_xlfn.XLOOKUP($C28,Assumptions!$B$36:$B$41,Assumptions!$B$36:$H$41))</f>
        <v>0</v>
      </c>
      <c r="SQG28">
        <f t="array" ref="SQG28">_xlfn.XLOOKUP(SQG$11,Assumptions!$B$35:$H$35,_xlfn.XLOOKUP($C28,Assumptions!$B$36:$B$41,Assumptions!$B$36:$H$41))</f>
        <v>0</v>
      </c>
      <c r="SQH28">
        <f t="array" ref="SQH28">_xlfn.XLOOKUP(SQH$11,Assumptions!$B$35:$H$35,_xlfn.XLOOKUP($C28,Assumptions!$B$36:$B$41,Assumptions!$B$36:$H$41))</f>
        <v>0</v>
      </c>
      <c r="SQI28">
        <f t="array" ref="SQI28">_xlfn.XLOOKUP(SQI$11,Assumptions!$B$35:$H$35,_xlfn.XLOOKUP($C28,Assumptions!$B$36:$B$41,Assumptions!$B$36:$H$41))</f>
        <v>0</v>
      </c>
      <c r="SQJ28">
        <f t="array" ref="SQJ28">_xlfn.XLOOKUP(SQJ$11,Assumptions!$B$35:$H$35,_xlfn.XLOOKUP($C28,Assumptions!$B$36:$B$41,Assumptions!$B$36:$H$41))</f>
        <v>0</v>
      </c>
      <c r="SQK28">
        <f t="array" ref="SQK28">_xlfn.XLOOKUP(SQK$11,Assumptions!$B$35:$H$35,_xlfn.XLOOKUP($C28,Assumptions!$B$36:$B$41,Assumptions!$B$36:$H$41))</f>
        <v>0</v>
      </c>
      <c r="SQL28">
        <f t="array" ref="SQL28">_xlfn.XLOOKUP(SQL$11,Assumptions!$B$35:$H$35,_xlfn.XLOOKUP($C28,Assumptions!$B$36:$B$41,Assumptions!$B$36:$H$41))</f>
        <v>0</v>
      </c>
      <c r="SQM28">
        <f t="array" ref="SQM28">_xlfn.XLOOKUP(SQM$11,Assumptions!$B$35:$H$35,_xlfn.XLOOKUP($C28,Assumptions!$B$36:$B$41,Assumptions!$B$36:$H$41))</f>
        <v>0</v>
      </c>
      <c r="SQN28">
        <f t="array" ref="SQN28">_xlfn.XLOOKUP(SQN$11,Assumptions!$B$35:$H$35,_xlfn.XLOOKUP($C28,Assumptions!$B$36:$B$41,Assumptions!$B$36:$H$41))</f>
        <v>0</v>
      </c>
      <c r="SQO28">
        <f t="array" ref="SQO28">_xlfn.XLOOKUP(SQO$11,Assumptions!$B$35:$H$35,_xlfn.XLOOKUP($C28,Assumptions!$B$36:$B$41,Assumptions!$B$36:$H$41))</f>
        <v>0</v>
      </c>
      <c r="SQP28">
        <f t="array" ref="SQP28">_xlfn.XLOOKUP(SQP$11,Assumptions!$B$35:$H$35,_xlfn.XLOOKUP($C28,Assumptions!$B$36:$B$41,Assumptions!$B$36:$H$41))</f>
        <v>0</v>
      </c>
      <c r="SQQ28">
        <f t="array" ref="SQQ28">_xlfn.XLOOKUP(SQQ$11,Assumptions!$B$35:$H$35,_xlfn.XLOOKUP($C28,Assumptions!$B$36:$B$41,Assumptions!$B$36:$H$41))</f>
        <v>0</v>
      </c>
      <c r="SQR28">
        <f t="array" ref="SQR28">_xlfn.XLOOKUP(SQR$11,Assumptions!$B$35:$H$35,_xlfn.XLOOKUP($C28,Assumptions!$B$36:$B$41,Assumptions!$B$36:$H$41))</f>
        <v>0</v>
      </c>
      <c r="SQS28">
        <f t="array" ref="SQS28">_xlfn.XLOOKUP(SQS$11,Assumptions!$B$35:$H$35,_xlfn.XLOOKUP($C28,Assumptions!$B$36:$B$41,Assumptions!$B$36:$H$41))</f>
        <v>0</v>
      </c>
      <c r="SQT28">
        <f t="array" ref="SQT28">_xlfn.XLOOKUP(SQT$11,Assumptions!$B$35:$H$35,_xlfn.XLOOKUP($C28,Assumptions!$B$36:$B$41,Assumptions!$B$36:$H$41))</f>
        <v>0</v>
      </c>
      <c r="SQU28">
        <f t="array" ref="SQU28">_xlfn.XLOOKUP(SQU$11,Assumptions!$B$35:$H$35,_xlfn.XLOOKUP($C28,Assumptions!$B$36:$B$41,Assumptions!$B$36:$H$41))</f>
        <v>0</v>
      </c>
      <c r="SQV28">
        <f t="array" ref="SQV28">_xlfn.XLOOKUP(SQV$11,Assumptions!$B$35:$H$35,_xlfn.XLOOKUP($C28,Assumptions!$B$36:$B$41,Assumptions!$B$36:$H$41))</f>
        <v>0</v>
      </c>
      <c r="SQW28">
        <f t="array" ref="SQW28">_xlfn.XLOOKUP(SQW$11,Assumptions!$B$35:$H$35,_xlfn.XLOOKUP($C28,Assumptions!$B$36:$B$41,Assumptions!$B$36:$H$41))</f>
        <v>0</v>
      </c>
      <c r="SQX28">
        <f t="array" ref="SQX28">_xlfn.XLOOKUP(SQX$11,Assumptions!$B$35:$H$35,_xlfn.XLOOKUP($C28,Assumptions!$B$36:$B$41,Assumptions!$B$36:$H$41))</f>
        <v>0</v>
      </c>
      <c r="SQY28">
        <f t="array" ref="SQY28">_xlfn.XLOOKUP(SQY$11,Assumptions!$B$35:$H$35,_xlfn.XLOOKUP($C28,Assumptions!$B$36:$B$41,Assumptions!$B$36:$H$41))</f>
        <v>0</v>
      </c>
      <c r="SQZ28">
        <f t="array" ref="SQZ28">_xlfn.XLOOKUP(SQZ$11,Assumptions!$B$35:$H$35,_xlfn.XLOOKUP($C28,Assumptions!$B$36:$B$41,Assumptions!$B$36:$H$41))</f>
        <v>0</v>
      </c>
      <c r="SRA28">
        <f t="array" ref="SRA28">_xlfn.XLOOKUP(SRA$11,Assumptions!$B$35:$H$35,_xlfn.XLOOKUP($C28,Assumptions!$B$36:$B$41,Assumptions!$B$36:$H$41))</f>
        <v>0</v>
      </c>
      <c r="SRB28">
        <f t="array" ref="SRB28">_xlfn.XLOOKUP(SRB$11,Assumptions!$B$35:$H$35,_xlfn.XLOOKUP($C28,Assumptions!$B$36:$B$41,Assumptions!$B$36:$H$41))</f>
        <v>0</v>
      </c>
      <c r="SRC28">
        <f t="array" ref="SRC28">_xlfn.XLOOKUP(SRC$11,Assumptions!$B$35:$H$35,_xlfn.XLOOKUP($C28,Assumptions!$B$36:$B$41,Assumptions!$B$36:$H$41))</f>
        <v>0</v>
      </c>
      <c r="SRD28">
        <f t="array" ref="SRD28">_xlfn.XLOOKUP(SRD$11,Assumptions!$B$35:$H$35,_xlfn.XLOOKUP($C28,Assumptions!$B$36:$B$41,Assumptions!$B$36:$H$41))</f>
        <v>0</v>
      </c>
      <c r="SRE28">
        <f t="array" ref="SRE28">_xlfn.XLOOKUP(SRE$11,Assumptions!$B$35:$H$35,_xlfn.XLOOKUP($C28,Assumptions!$B$36:$B$41,Assumptions!$B$36:$H$41))</f>
        <v>0</v>
      </c>
      <c r="SRF28">
        <f t="array" ref="SRF28">_xlfn.XLOOKUP(SRF$11,Assumptions!$B$35:$H$35,_xlfn.XLOOKUP($C28,Assumptions!$B$36:$B$41,Assumptions!$B$36:$H$41))</f>
        <v>0</v>
      </c>
      <c r="SRG28">
        <f t="array" ref="SRG28">_xlfn.XLOOKUP(SRG$11,Assumptions!$B$35:$H$35,_xlfn.XLOOKUP($C28,Assumptions!$B$36:$B$41,Assumptions!$B$36:$H$41))</f>
        <v>0</v>
      </c>
      <c r="SRH28">
        <f t="array" ref="SRH28">_xlfn.XLOOKUP(SRH$11,Assumptions!$B$35:$H$35,_xlfn.XLOOKUP($C28,Assumptions!$B$36:$B$41,Assumptions!$B$36:$H$41))</f>
        <v>0</v>
      </c>
      <c r="SRI28">
        <f t="array" ref="SRI28">_xlfn.XLOOKUP(SRI$11,Assumptions!$B$35:$H$35,_xlfn.XLOOKUP($C28,Assumptions!$B$36:$B$41,Assumptions!$B$36:$H$41))</f>
        <v>0</v>
      </c>
      <c r="SRJ28">
        <f t="array" ref="SRJ28">_xlfn.XLOOKUP(SRJ$11,Assumptions!$B$35:$H$35,_xlfn.XLOOKUP($C28,Assumptions!$B$36:$B$41,Assumptions!$B$36:$H$41))</f>
        <v>0</v>
      </c>
      <c r="SRK28">
        <f t="array" ref="SRK28">_xlfn.XLOOKUP(SRK$11,Assumptions!$B$35:$H$35,_xlfn.XLOOKUP($C28,Assumptions!$B$36:$B$41,Assumptions!$B$36:$H$41))</f>
        <v>0</v>
      </c>
      <c r="SRL28">
        <f t="array" ref="SRL28">_xlfn.XLOOKUP(SRL$11,Assumptions!$B$35:$H$35,_xlfn.XLOOKUP($C28,Assumptions!$B$36:$B$41,Assumptions!$B$36:$H$41))</f>
        <v>0</v>
      </c>
      <c r="SRM28">
        <f t="array" ref="SRM28">_xlfn.XLOOKUP(SRM$11,Assumptions!$B$35:$H$35,_xlfn.XLOOKUP($C28,Assumptions!$B$36:$B$41,Assumptions!$B$36:$H$41))</f>
        <v>0</v>
      </c>
      <c r="SRN28">
        <f t="array" ref="SRN28">_xlfn.XLOOKUP(SRN$11,Assumptions!$B$35:$H$35,_xlfn.XLOOKUP($C28,Assumptions!$B$36:$B$41,Assumptions!$B$36:$H$41))</f>
        <v>0</v>
      </c>
      <c r="SRO28">
        <f t="array" ref="SRO28">_xlfn.XLOOKUP(SRO$11,Assumptions!$B$35:$H$35,_xlfn.XLOOKUP($C28,Assumptions!$B$36:$B$41,Assumptions!$B$36:$H$41))</f>
        <v>0</v>
      </c>
      <c r="SRP28">
        <f t="array" ref="SRP28">_xlfn.XLOOKUP(SRP$11,Assumptions!$B$35:$H$35,_xlfn.XLOOKUP($C28,Assumptions!$B$36:$B$41,Assumptions!$B$36:$H$41))</f>
        <v>0</v>
      </c>
      <c r="SRQ28">
        <f t="array" ref="SRQ28">_xlfn.XLOOKUP(SRQ$11,Assumptions!$B$35:$H$35,_xlfn.XLOOKUP($C28,Assumptions!$B$36:$B$41,Assumptions!$B$36:$H$41))</f>
        <v>0</v>
      </c>
      <c r="SRR28">
        <f t="array" ref="SRR28">_xlfn.XLOOKUP(SRR$11,Assumptions!$B$35:$H$35,_xlfn.XLOOKUP($C28,Assumptions!$B$36:$B$41,Assumptions!$B$36:$H$41))</f>
        <v>0</v>
      </c>
      <c r="SRS28">
        <f t="array" ref="SRS28">_xlfn.XLOOKUP(SRS$11,Assumptions!$B$35:$H$35,_xlfn.XLOOKUP($C28,Assumptions!$B$36:$B$41,Assumptions!$B$36:$H$41))</f>
        <v>0</v>
      </c>
      <c r="SRT28">
        <f t="array" ref="SRT28">_xlfn.XLOOKUP(SRT$11,Assumptions!$B$35:$H$35,_xlfn.XLOOKUP($C28,Assumptions!$B$36:$B$41,Assumptions!$B$36:$H$41))</f>
        <v>0</v>
      </c>
      <c r="SRU28">
        <f t="array" ref="SRU28">_xlfn.XLOOKUP(SRU$11,Assumptions!$B$35:$H$35,_xlfn.XLOOKUP($C28,Assumptions!$B$36:$B$41,Assumptions!$B$36:$H$41))</f>
        <v>0</v>
      </c>
      <c r="SRV28">
        <f t="array" ref="SRV28">_xlfn.XLOOKUP(SRV$11,Assumptions!$B$35:$H$35,_xlfn.XLOOKUP($C28,Assumptions!$B$36:$B$41,Assumptions!$B$36:$H$41))</f>
        <v>0</v>
      </c>
      <c r="SRW28">
        <f t="array" ref="SRW28">_xlfn.XLOOKUP(SRW$11,Assumptions!$B$35:$H$35,_xlfn.XLOOKUP($C28,Assumptions!$B$36:$B$41,Assumptions!$B$36:$H$41))</f>
        <v>0</v>
      </c>
      <c r="SRX28">
        <f t="array" ref="SRX28">_xlfn.XLOOKUP(SRX$11,Assumptions!$B$35:$H$35,_xlfn.XLOOKUP($C28,Assumptions!$B$36:$B$41,Assumptions!$B$36:$H$41))</f>
        <v>0</v>
      </c>
      <c r="SRY28">
        <f t="array" ref="SRY28">_xlfn.XLOOKUP(SRY$11,Assumptions!$B$35:$H$35,_xlfn.XLOOKUP($C28,Assumptions!$B$36:$B$41,Assumptions!$B$36:$H$41))</f>
        <v>0</v>
      </c>
      <c r="SRZ28">
        <f t="array" ref="SRZ28">_xlfn.XLOOKUP(SRZ$11,Assumptions!$B$35:$H$35,_xlfn.XLOOKUP($C28,Assumptions!$B$36:$B$41,Assumptions!$B$36:$H$41))</f>
        <v>0</v>
      </c>
      <c r="SSA28">
        <f t="array" ref="SSA28">_xlfn.XLOOKUP(SSA$11,Assumptions!$B$35:$H$35,_xlfn.XLOOKUP($C28,Assumptions!$B$36:$B$41,Assumptions!$B$36:$H$41))</f>
        <v>0</v>
      </c>
      <c r="SSB28">
        <f t="array" ref="SSB28">_xlfn.XLOOKUP(SSB$11,Assumptions!$B$35:$H$35,_xlfn.XLOOKUP($C28,Assumptions!$B$36:$B$41,Assumptions!$B$36:$H$41))</f>
        <v>0</v>
      </c>
      <c r="SSC28">
        <f t="array" ref="SSC28">_xlfn.XLOOKUP(SSC$11,Assumptions!$B$35:$H$35,_xlfn.XLOOKUP($C28,Assumptions!$B$36:$B$41,Assumptions!$B$36:$H$41))</f>
        <v>0</v>
      </c>
      <c r="SSD28">
        <f t="array" ref="SSD28">_xlfn.XLOOKUP(SSD$11,Assumptions!$B$35:$H$35,_xlfn.XLOOKUP($C28,Assumptions!$B$36:$B$41,Assumptions!$B$36:$H$41))</f>
        <v>0</v>
      </c>
      <c r="SSE28">
        <f t="array" ref="SSE28">_xlfn.XLOOKUP(SSE$11,Assumptions!$B$35:$H$35,_xlfn.XLOOKUP($C28,Assumptions!$B$36:$B$41,Assumptions!$B$36:$H$41))</f>
        <v>0</v>
      </c>
      <c r="SSF28">
        <f t="array" ref="SSF28">_xlfn.XLOOKUP(SSF$11,Assumptions!$B$35:$H$35,_xlfn.XLOOKUP($C28,Assumptions!$B$36:$B$41,Assumptions!$B$36:$H$41))</f>
        <v>0</v>
      </c>
      <c r="SSG28">
        <f t="array" ref="SSG28">_xlfn.XLOOKUP(SSG$11,Assumptions!$B$35:$H$35,_xlfn.XLOOKUP($C28,Assumptions!$B$36:$B$41,Assumptions!$B$36:$H$41))</f>
        <v>0</v>
      </c>
      <c r="SSH28">
        <f t="array" ref="SSH28">_xlfn.XLOOKUP(SSH$11,Assumptions!$B$35:$H$35,_xlfn.XLOOKUP($C28,Assumptions!$B$36:$B$41,Assumptions!$B$36:$H$41))</f>
        <v>0</v>
      </c>
      <c r="SSI28">
        <f t="array" ref="SSI28">_xlfn.XLOOKUP(SSI$11,Assumptions!$B$35:$H$35,_xlfn.XLOOKUP($C28,Assumptions!$B$36:$B$41,Assumptions!$B$36:$H$41))</f>
        <v>0</v>
      </c>
      <c r="SSJ28">
        <f t="array" ref="SSJ28">_xlfn.XLOOKUP(SSJ$11,Assumptions!$B$35:$H$35,_xlfn.XLOOKUP($C28,Assumptions!$B$36:$B$41,Assumptions!$B$36:$H$41))</f>
        <v>0</v>
      </c>
      <c r="SSK28">
        <f t="array" ref="SSK28">_xlfn.XLOOKUP(SSK$11,Assumptions!$B$35:$H$35,_xlfn.XLOOKUP($C28,Assumptions!$B$36:$B$41,Assumptions!$B$36:$H$41))</f>
        <v>0</v>
      </c>
      <c r="SSL28">
        <f t="array" ref="SSL28">_xlfn.XLOOKUP(SSL$11,Assumptions!$B$35:$H$35,_xlfn.XLOOKUP($C28,Assumptions!$B$36:$B$41,Assumptions!$B$36:$H$41))</f>
        <v>0</v>
      </c>
      <c r="SSM28">
        <f t="array" ref="SSM28">_xlfn.XLOOKUP(SSM$11,Assumptions!$B$35:$H$35,_xlfn.XLOOKUP($C28,Assumptions!$B$36:$B$41,Assumptions!$B$36:$H$41))</f>
        <v>0</v>
      </c>
      <c r="SSN28">
        <f t="array" ref="SSN28">_xlfn.XLOOKUP(SSN$11,Assumptions!$B$35:$H$35,_xlfn.XLOOKUP($C28,Assumptions!$B$36:$B$41,Assumptions!$B$36:$H$41))</f>
        <v>0</v>
      </c>
      <c r="SSO28">
        <f t="array" ref="SSO28">_xlfn.XLOOKUP(SSO$11,Assumptions!$B$35:$H$35,_xlfn.XLOOKUP($C28,Assumptions!$B$36:$B$41,Assumptions!$B$36:$H$41))</f>
        <v>0</v>
      </c>
      <c r="SSP28">
        <f t="array" ref="SSP28">_xlfn.XLOOKUP(SSP$11,Assumptions!$B$35:$H$35,_xlfn.XLOOKUP($C28,Assumptions!$B$36:$B$41,Assumptions!$B$36:$H$41))</f>
        <v>0</v>
      </c>
      <c r="SSQ28">
        <f t="array" ref="SSQ28">_xlfn.XLOOKUP(SSQ$11,Assumptions!$B$35:$H$35,_xlfn.XLOOKUP($C28,Assumptions!$B$36:$B$41,Assumptions!$B$36:$H$41))</f>
        <v>0</v>
      </c>
      <c r="SSR28">
        <f t="array" ref="SSR28">_xlfn.XLOOKUP(SSR$11,Assumptions!$B$35:$H$35,_xlfn.XLOOKUP($C28,Assumptions!$B$36:$B$41,Assumptions!$B$36:$H$41))</f>
        <v>0</v>
      </c>
      <c r="SSS28">
        <f t="array" ref="SSS28">_xlfn.XLOOKUP(SSS$11,Assumptions!$B$35:$H$35,_xlfn.XLOOKUP($C28,Assumptions!$B$36:$B$41,Assumptions!$B$36:$H$41))</f>
        <v>0</v>
      </c>
      <c r="SST28">
        <f t="array" ref="SST28">_xlfn.XLOOKUP(SST$11,Assumptions!$B$35:$H$35,_xlfn.XLOOKUP($C28,Assumptions!$B$36:$B$41,Assumptions!$B$36:$H$41))</f>
        <v>0</v>
      </c>
      <c r="SSU28">
        <f t="array" ref="SSU28">_xlfn.XLOOKUP(SSU$11,Assumptions!$B$35:$H$35,_xlfn.XLOOKUP($C28,Assumptions!$B$36:$B$41,Assumptions!$B$36:$H$41))</f>
        <v>0</v>
      </c>
      <c r="SSV28">
        <f t="array" ref="SSV28">_xlfn.XLOOKUP(SSV$11,Assumptions!$B$35:$H$35,_xlfn.XLOOKUP($C28,Assumptions!$B$36:$B$41,Assumptions!$B$36:$H$41))</f>
        <v>0</v>
      </c>
      <c r="SSW28">
        <f t="array" ref="SSW28">_xlfn.XLOOKUP(SSW$11,Assumptions!$B$35:$H$35,_xlfn.XLOOKUP($C28,Assumptions!$B$36:$B$41,Assumptions!$B$36:$H$41))</f>
        <v>0</v>
      </c>
      <c r="SSX28">
        <f t="array" ref="SSX28">_xlfn.XLOOKUP(SSX$11,Assumptions!$B$35:$H$35,_xlfn.XLOOKUP($C28,Assumptions!$B$36:$B$41,Assumptions!$B$36:$H$41))</f>
        <v>0</v>
      </c>
      <c r="SSY28">
        <f t="array" ref="SSY28">_xlfn.XLOOKUP(SSY$11,Assumptions!$B$35:$H$35,_xlfn.XLOOKUP($C28,Assumptions!$B$36:$B$41,Assumptions!$B$36:$H$41))</f>
        <v>0</v>
      </c>
      <c r="SSZ28">
        <f t="array" ref="SSZ28">_xlfn.XLOOKUP(SSZ$11,Assumptions!$B$35:$H$35,_xlfn.XLOOKUP($C28,Assumptions!$B$36:$B$41,Assumptions!$B$36:$H$41))</f>
        <v>0</v>
      </c>
      <c r="STA28">
        <f t="array" ref="STA28">_xlfn.XLOOKUP(STA$11,Assumptions!$B$35:$H$35,_xlfn.XLOOKUP($C28,Assumptions!$B$36:$B$41,Assumptions!$B$36:$H$41))</f>
        <v>0</v>
      </c>
      <c r="STB28">
        <f t="array" ref="STB28">_xlfn.XLOOKUP(STB$11,Assumptions!$B$35:$H$35,_xlfn.XLOOKUP($C28,Assumptions!$B$36:$B$41,Assumptions!$B$36:$H$41))</f>
        <v>0</v>
      </c>
      <c r="STC28">
        <f t="array" ref="STC28">_xlfn.XLOOKUP(STC$11,Assumptions!$B$35:$H$35,_xlfn.XLOOKUP($C28,Assumptions!$B$36:$B$41,Assumptions!$B$36:$H$41))</f>
        <v>0</v>
      </c>
      <c r="STD28">
        <f t="array" ref="STD28">_xlfn.XLOOKUP(STD$11,Assumptions!$B$35:$H$35,_xlfn.XLOOKUP($C28,Assumptions!$B$36:$B$41,Assumptions!$B$36:$H$41))</f>
        <v>0</v>
      </c>
      <c r="STE28">
        <f t="array" ref="STE28">_xlfn.XLOOKUP(STE$11,Assumptions!$B$35:$H$35,_xlfn.XLOOKUP($C28,Assumptions!$B$36:$B$41,Assumptions!$B$36:$H$41))</f>
        <v>0</v>
      </c>
      <c r="STF28">
        <f t="array" ref="STF28">_xlfn.XLOOKUP(STF$11,Assumptions!$B$35:$H$35,_xlfn.XLOOKUP($C28,Assumptions!$B$36:$B$41,Assumptions!$B$36:$H$41))</f>
        <v>0</v>
      </c>
      <c r="STG28">
        <f t="array" ref="STG28">_xlfn.XLOOKUP(STG$11,Assumptions!$B$35:$H$35,_xlfn.XLOOKUP($C28,Assumptions!$B$36:$B$41,Assumptions!$B$36:$H$41))</f>
        <v>0</v>
      </c>
      <c r="STH28">
        <f t="array" ref="STH28">_xlfn.XLOOKUP(STH$11,Assumptions!$B$35:$H$35,_xlfn.XLOOKUP($C28,Assumptions!$B$36:$B$41,Assumptions!$B$36:$H$41))</f>
        <v>0</v>
      </c>
      <c r="STI28">
        <f t="array" ref="STI28">_xlfn.XLOOKUP(STI$11,Assumptions!$B$35:$H$35,_xlfn.XLOOKUP($C28,Assumptions!$B$36:$B$41,Assumptions!$B$36:$H$41))</f>
        <v>0</v>
      </c>
      <c r="STJ28">
        <f t="array" ref="STJ28">_xlfn.XLOOKUP(STJ$11,Assumptions!$B$35:$H$35,_xlfn.XLOOKUP($C28,Assumptions!$B$36:$B$41,Assumptions!$B$36:$H$41))</f>
        <v>0</v>
      </c>
      <c r="STK28">
        <f t="array" ref="STK28">_xlfn.XLOOKUP(STK$11,Assumptions!$B$35:$H$35,_xlfn.XLOOKUP($C28,Assumptions!$B$36:$B$41,Assumptions!$B$36:$H$41))</f>
        <v>0</v>
      </c>
      <c r="STL28">
        <f t="array" ref="STL28">_xlfn.XLOOKUP(STL$11,Assumptions!$B$35:$H$35,_xlfn.XLOOKUP($C28,Assumptions!$B$36:$B$41,Assumptions!$B$36:$H$41))</f>
        <v>0</v>
      </c>
      <c r="STM28">
        <f t="array" ref="STM28">_xlfn.XLOOKUP(STM$11,Assumptions!$B$35:$H$35,_xlfn.XLOOKUP($C28,Assumptions!$B$36:$B$41,Assumptions!$B$36:$H$41))</f>
        <v>0</v>
      </c>
      <c r="STN28">
        <f t="array" ref="STN28">_xlfn.XLOOKUP(STN$11,Assumptions!$B$35:$H$35,_xlfn.XLOOKUP($C28,Assumptions!$B$36:$B$41,Assumptions!$B$36:$H$41))</f>
        <v>0</v>
      </c>
      <c r="STO28">
        <f t="array" ref="STO28">_xlfn.XLOOKUP(STO$11,Assumptions!$B$35:$H$35,_xlfn.XLOOKUP($C28,Assumptions!$B$36:$B$41,Assumptions!$B$36:$H$41))</f>
        <v>0</v>
      </c>
      <c r="STP28">
        <f t="array" ref="STP28">_xlfn.XLOOKUP(STP$11,Assumptions!$B$35:$H$35,_xlfn.XLOOKUP($C28,Assumptions!$B$36:$B$41,Assumptions!$B$36:$H$41))</f>
        <v>0</v>
      </c>
      <c r="STQ28">
        <f t="array" ref="STQ28">_xlfn.XLOOKUP(STQ$11,Assumptions!$B$35:$H$35,_xlfn.XLOOKUP($C28,Assumptions!$B$36:$B$41,Assumptions!$B$36:$H$41))</f>
        <v>0</v>
      </c>
      <c r="STR28">
        <f t="array" ref="STR28">_xlfn.XLOOKUP(STR$11,Assumptions!$B$35:$H$35,_xlfn.XLOOKUP($C28,Assumptions!$B$36:$B$41,Assumptions!$B$36:$H$41))</f>
        <v>0</v>
      </c>
      <c r="STS28">
        <f t="array" ref="STS28">_xlfn.XLOOKUP(STS$11,Assumptions!$B$35:$H$35,_xlfn.XLOOKUP($C28,Assumptions!$B$36:$B$41,Assumptions!$B$36:$H$41))</f>
        <v>0</v>
      </c>
      <c r="STT28">
        <f t="array" ref="STT28">_xlfn.XLOOKUP(STT$11,Assumptions!$B$35:$H$35,_xlfn.XLOOKUP($C28,Assumptions!$B$36:$B$41,Assumptions!$B$36:$H$41))</f>
        <v>0</v>
      </c>
      <c r="STU28">
        <f t="array" ref="STU28">_xlfn.XLOOKUP(STU$11,Assumptions!$B$35:$H$35,_xlfn.XLOOKUP($C28,Assumptions!$B$36:$B$41,Assumptions!$B$36:$H$41))</f>
        <v>0</v>
      </c>
      <c r="STV28">
        <f t="array" ref="STV28">_xlfn.XLOOKUP(STV$11,Assumptions!$B$35:$H$35,_xlfn.XLOOKUP($C28,Assumptions!$B$36:$B$41,Assumptions!$B$36:$H$41))</f>
        <v>0</v>
      </c>
      <c r="STW28">
        <f t="array" ref="STW28">_xlfn.XLOOKUP(STW$11,Assumptions!$B$35:$H$35,_xlfn.XLOOKUP($C28,Assumptions!$B$36:$B$41,Assumptions!$B$36:$H$41))</f>
        <v>0</v>
      </c>
      <c r="STX28">
        <f t="array" ref="STX28">_xlfn.XLOOKUP(STX$11,Assumptions!$B$35:$H$35,_xlfn.XLOOKUP($C28,Assumptions!$B$36:$B$41,Assumptions!$B$36:$H$41))</f>
        <v>0</v>
      </c>
      <c r="STY28">
        <f t="array" ref="STY28">_xlfn.XLOOKUP(STY$11,Assumptions!$B$35:$H$35,_xlfn.XLOOKUP($C28,Assumptions!$B$36:$B$41,Assumptions!$B$36:$H$41))</f>
        <v>0</v>
      </c>
      <c r="STZ28">
        <f t="array" ref="STZ28">_xlfn.XLOOKUP(STZ$11,Assumptions!$B$35:$H$35,_xlfn.XLOOKUP($C28,Assumptions!$B$36:$B$41,Assumptions!$B$36:$H$41))</f>
        <v>0</v>
      </c>
      <c r="SUA28">
        <f t="array" ref="SUA28">_xlfn.XLOOKUP(SUA$11,Assumptions!$B$35:$H$35,_xlfn.XLOOKUP($C28,Assumptions!$B$36:$B$41,Assumptions!$B$36:$H$41))</f>
        <v>0</v>
      </c>
      <c r="SUB28">
        <f t="array" ref="SUB28">_xlfn.XLOOKUP(SUB$11,Assumptions!$B$35:$H$35,_xlfn.XLOOKUP($C28,Assumptions!$B$36:$B$41,Assumptions!$B$36:$H$41))</f>
        <v>0</v>
      </c>
      <c r="SUC28">
        <f t="array" ref="SUC28">_xlfn.XLOOKUP(SUC$11,Assumptions!$B$35:$H$35,_xlfn.XLOOKUP($C28,Assumptions!$B$36:$B$41,Assumptions!$B$36:$H$41))</f>
        <v>0</v>
      </c>
      <c r="SUD28">
        <f t="array" ref="SUD28">_xlfn.XLOOKUP(SUD$11,Assumptions!$B$35:$H$35,_xlfn.XLOOKUP($C28,Assumptions!$B$36:$B$41,Assumptions!$B$36:$H$41))</f>
        <v>0</v>
      </c>
      <c r="SUE28">
        <f t="array" ref="SUE28">_xlfn.XLOOKUP(SUE$11,Assumptions!$B$35:$H$35,_xlfn.XLOOKUP($C28,Assumptions!$B$36:$B$41,Assumptions!$B$36:$H$41))</f>
        <v>0</v>
      </c>
      <c r="SUF28">
        <f t="array" ref="SUF28">_xlfn.XLOOKUP(SUF$11,Assumptions!$B$35:$H$35,_xlfn.XLOOKUP($C28,Assumptions!$B$36:$B$41,Assumptions!$B$36:$H$41))</f>
        <v>0</v>
      </c>
      <c r="SUG28">
        <f t="array" ref="SUG28">_xlfn.XLOOKUP(SUG$11,Assumptions!$B$35:$H$35,_xlfn.XLOOKUP($C28,Assumptions!$B$36:$B$41,Assumptions!$B$36:$H$41))</f>
        <v>0</v>
      </c>
      <c r="SUH28">
        <f t="array" ref="SUH28">_xlfn.XLOOKUP(SUH$11,Assumptions!$B$35:$H$35,_xlfn.XLOOKUP($C28,Assumptions!$B$36:$B$41,Assumptions!$B$36:$H$41))</f>
        <v>0</v>
      </c>
      <c r="SUI28">
        <f t="array" ref="SUI28">_xlfn.XLOOKUP(SUI$11,Assumptions!$B$35:$H$35,_xlfn.XLOOKUP($C28,Assumptions!$B$36:$B$41,Assumptions!$B$36:$H$41))</f>
        <v>0</v>
      </c>
      <c r="SUJ28">
        <f t="array" ref="SUJ28">_xlfn.XLOOKUP(SUJ$11,Assumptions!$B$35:$H$35,_xlfn.XLOOKUP($C28,Assumptions!$B$36:$B$41,Assumptions!$B$36:$H$41))</f>
        <v>0</v>
      </c>
      <c r="SUK28">
        <f t="array" ref="SUK28">_xlfn.XLOOKUP(SUK$11,Assumptions!$B$35:$H$35,_xlfn.XLOOKUP($C28,Assumptions!$B$36:$B$41,Assumptions!$B$36:$H$41))</f>
        <v>0</v>
      </c>
      <c r="SUL28">
        <f t="array" ref="SUL28">_xlfn.XLOOKUP(SUL$11,Assumptions!$B$35:$H$35,_xlfn.XLOOKUP($C28,Assumptions!$B$36:$B$41,Assumptions!$B$36:$H$41))</f>
        <v>0</v>
      </c>
      <c r="SUM28">
        <f t="array" ref="SUM28">_xlfn.XLOOKUP(SUM$11,Assumptions!$B$35:$H$35,_xlfn.XLOOKUP($C28,Assumptions!$B$36:$B$41,Assumptions!$B$36:$H$41))</f>
        <v>0</v>
      </c>
      <c r="SUN28">
        <f t="array" ref="SUN28">_xlfn.XLOOKUP(SUN$11,Assumptions!$B$35:$H$35,_xlfn.XLOOKUP($C28,Assumptions!$B$36:$B$41,Assumptions!$B$36:$H$41))</f>
        <v>0</v>
      </c>
      <c r="SUO28">
        <f t="array" ref="SUO28">_xlfn.XLOOKUP(SUO$11,Assumptions!$B$35:$H$35,_xlfn.XLOOKUP($C28,Assumptions!$B$36:$B$41,Assumptions!$B$36:$H$41))</f>
        <v>0</v>
      </c>
      <c r="SUP28">
        <f t="array" ref="SUP28">_xlfn.XLOOKUP(SUP$11,Assumptions!$B$35:$H$35,_xlfn.XLOOKUP($C28,Assumptions!$B$36:$B$41,Assumptions!$B$36:$H$41))</f>
        <v>0</v>
      </c>
      <c r="SUQ28">
        <f t="array" ref="SUQ28">_xlfn.XLOOKUP(SUQ$11,Assumptions!$B$35:$H$35,_xlfn.XLOOKUP($C28,Assumptions!$B$36:$B$41,Assumptions!$B$36:$H$41))</f>
        <v>0</v>
      </c>
      <c r="SUR28">
        <f t="array" ref="SUR28">_xlfn.XLOOKUP(SUR$11,Assumptions!$B$35:$H$35,_xlfn.XLOOKUP($C28,Assumptions!$B$36:$B$41,Assumptions!$B$36:$H$41))</f>
        <v>0</v>
      </c>
      <c r="SUS28">
        <f t="array" ref="SUS28">_xlfn.XLOOKUP(SUS$11,Assumptions!$B$35:$H$35,_xlfn.XLOOKUP($C28,Assumptions!$B$36:$B$41,Assumptions!$B$36:$H$41))</f>
        <v>0</v>
      </c>
      <c r="SUT28">
        <f t="array" ref="SUT28">_xlfn.XLOOKUP(SUT$11,Assumptions!$B$35:$H$35,_xlfn.XLOOKUP($C28,Assumptions!$B$36:$B$41,Assumptions!$B$36:$H$41))</f>
        <v>0</v>
      </c>
      <c r="SUU28">
        <f t="array" ref="SUU28">_xlfn.XLOOKUP(SUU$11,Assumptions!$B$35:$H$35,_xlfn.XLOOKUP($C28,Assumptions!$B$36:$B$41,Assumptions!$B$36:$H$41))</f>
        <v>0</v>
      </c>
      <c r="SUV28">
        <f t="array" ref="SUV28">_xlfn.XLOOKUP(SUV$11,Assumptions!$B$35:$H$35,_xlfn.XLOOKUP($C28,Assumptions!$B$36:$B$41,Assumptions!$B$36:$H$41))</f>
        <v>0</v>
      </c>
      <c r="SUW28">
        <f t="array" ref="SUW28">_xlfn.XLOOKUP(SUW$11,Assumptions!$B$35:$H$35,_xlfn.XLOOKUP($C28,Assumptions!$B$36:$B$41,Assumptions!$B$36:$H$41))</f>
        <v>0</v>
      </c>
      <c r="SUX28">
        <f t="array" ref="SUX28">_xlfn.XLOOKUP(SUX$11,Assumptions!$B$35:$H$35,_xlfn.XLOOKUP($C28,Assumptions!$B$36:$B$41,Assumptions!$B$36:$H$41))</f>
        <v>0</v>
      </c>
      <c r="SUY28">
        <f t="array" ref="SUY28">_xlfn.XLOOKUP(SUY$11,Assumptions!$B$35:$H$35,_xlfn.XLOOKUP($C28,Assumptions!$B$36:$B$41,Assumptions!$B$36:$H$41))</f>
        <v>0</v>
      </c>
      <c r="SUZ28">
        <f t="array" ref="SUZ28">_xlfn.XLOOKUP(SUZ$11,Assumptions!$B$35:$H$35,_xlfn.XLOOKUP($C28,Assumptions!$B$36:$B$41,Assumptions!$B$36:$H$41))</f>
        <v>0</v>
      </c>
      <c r="SVA28">
        <f t="array" ref="SVA28">_xlfn.XLOOKUP(SVA$11,Assumptions!$B$35:$H$35,_xlfn.XLOOKUP($C28,Assumptions!$B$36:$B$41,Assumptions!$B$36:$H$41))</f>
        <v>0</v>
      </c>
      <c r="SVB28">
        <f t="array" ref="SVB28">_xlfn.XLOOKUP(SVB$11,Assumptions!$B$35:$H$35,_xlfn.XLOOKUP($C28,Assumptions!$B$36:$B$41,Assumptions!$B$36:$H$41))</f>
        <v>0</v>
      </c>
      <c r="SVC28">
        <f t="array" ref="SVC28">_xlfn.XLOOKUP(SVC$11,Assumptions!$B$35:$H$35,_xlfn.XLOOKUP($C28,Assumptions!$B$36:$B$41,Assumptions!$B$36:$H$41))</f>
        <v>0</v>
      </c>
      <c r="SVD28">
        <f t="array" ref="SVD28">_xlfn.XLOOKUP(SVD$11,Assumptions!$B$35:$H$35,_xlfn.XLOOKUP($C28,Assumptions!$B$36:$B$41,Assumptions!$B$36:$H$41))</f>
        <v>0</v>
      </c>
      <c r="SVE28">
        <f t="array" ref="SVE28">_xlfn.XLOOKUP(SVE$11,Assumptions!$B$35:$H$35,_xlfn.XLOOKUP($C28,Assumptions!$B$36:$B$41,Assumptions!$B$36:$H$41))</f>
        <v>0</v>
      </c>
      <c r="SVF28">
        <f t="array" ref="SVF28">_xlfn.XLOOKUP(SVF$11,Assumptions!$B$35:$H$35,_xlfn.XLOOKUP($C28,Assumptions!$B$36:$B$41,Assumptions!$B$36:$H$41))</f>
        <v>0</v>
      </c>
      <c r="SVG28">
        <f t="array" ref="SVG28">_xlfn.XLOOKUP(SVG$11,Assumptions!$B$35:$H$35,_xlfn.XLOOKUP($C28,Assumptions!$B$36:$B$41,Assumptions!$B$36:$H$41))</f>
        <v>0</v>
      </c>
      <c r="SVH28">
        <f t="array" ref="SVH28">_xlfn.XLOOKUP(SVH$11,Assumptions!$B$35:$H$35,_xlfn.XLOOKUP($C28,Assumptions!$B$36:$B$41,Assumptions!$B$36:$H$41))</f>
        <v>0</v>
      </c>
      <c r="SVI28">
        <f t="array" ref="SVI28">_xlfn.XLOOKUP(SVI$11,Assumptions!$B$35:$H$35,_xlfn.XLOOKUP($C28,Assumptions!$B$36:$B$41,Assumptions!$B$36:$H$41))</f>
        <v>0</v>
      </c>
      <c r="SVJ28">
        <f t="array" ref="SVJ28">_xlfn.XLOOKUP(SVJ$11,Assumptions!$B$35:$H$35,_xlfn.XLOOKUP($C28,Assumptions!$B$36:$B$41,Assumptions!$B$36:$H$41))</f>
        <v>0</v>
      </c>
      <c r="SVK28">
        <f t="array" ref="SVK28">_xlfn.XLOOKUP(SVK$11,Assumptions!$B$35:$H$35,_xlfn.XLOOKUP($C28,Assumptions!$B$36:$B$41,Assumptions!$B$36:$H$41))</f>
        <v>0</v>
      </c>
      <c r="SVL28">
        <f t="array" ref="SVL28">_xlfn.XLOOKUP(SVL$11,Assumptions!$B$35:$H$35,_xlfn.XLOOKUP($C28,Assumptions!$B$36:$B$41,Assumptions!$B$36:$H$41))</f>
        <v>0</v>
      </c>
      <c r="SVM28">
        <f t="array" ref="SVM28">_xlfn.XLOOKUP(SVM$11,Assumptions!$B$35:$H$35,_xlfn.XLOOKUP($C28,Assumptions!$B$36:$B$41,Assumptions!$B$36:$H$41))</f>
        <v>0</v>
      </c>
      <c r="SVN28">
        <f t="array" ref="SVN28">_xlfn.XLOOKUP(SVN$11,Assumptions!$B$35:$H$35,_xlfn.XLOOKUP($C28,Assumptions!$B$36:$B$41,Assumptions!$B$36:$H$41))</f>
        <v>0</v>
      </c>
      <c r="SVO28">
        <f t="array" ref="SVO28">_xlfn.XLOOKUP(SVO$11,Assumptions!$B$35:$H$35,_xlfn.XLOOKUP($C28,Assumptions!$B$36:$B$41,Assumptions!$B$36:$H$41))</f>
        <v>0</v>
      </c>
      <c r="SVP28">
        <f t="array" ref="SVP28">_xlfn.XLOOKUP(SVP$11,Assumptions!$B$35:$H$35,_xlfn.XLOOKUP($C28,Assumptions!$B$36:$B$41,Assumptions!$B$36:$H$41))</f>
        <v>0</v>
      </c>
      <c r="SVQ28">
        <f t="array" ref="SVQ28">_xlfn.XLOOKUP(SVQ$11,Assumptions!$B$35:$H$35,_xlfn.XLOOKUP($C28,Assumptions!$B$36:$B$41,Assumptions!$B$36:$H$41))</f>
        <v>0</v>
      </c>
      <c r="SVR28">
        <f t="array" ref="SVR28">_xlfn.XLOOKUP(SVR$11,Assumptions!$B$35:$H$35,_xlfn.XLOOKUP($C28,Assumptions!$B$36:$B$41,Assumptions!$B$36:$H$41))</f>
        <v>0</v>
      </c>
      <c r="SVS28">
        <f t="array" ref="SVS28">_xlfn.XLOOKUP(SVS$11,Assumptions!$B$35:$H$35,_xlfn.XLOOKUP($C28,Assumptions!$B$36:$B$41,Assumptions!$B$36:$H$41))</f>
        <v>0</v>
      </c>
      <c r="SVT28">
        <f t="array" ref="SVT28">_xlfn.XLOOKUP(SVT$11,Assumptions!$B$35:$H$35,_xlfn.XLOOKUP($C28,Assumptions!$B$36:$B$41,Assumptions!$B$36:$H$41))</f>
        <v>0</v>
      </c>
      <c r="SVU28">
        <f t="array" ref="SVU28">_xlfn.XLOOKUP(SVU$11,Assumptions!$B$35:$H$35,_xlfn.XLOOKUP($C28,Assumptions!$B$36:$B$41,Assumptions!$B$36:$H$41))</f>
        <v>0</v>
      </c>
      <c r="SVV28">
        <f t="array" ref="SVV28">_xlfn.XLOOKUP(SVV$11,Assumptions!$B$35:$H$35,_xlfn.XLOOKUP($C28,Assumptions!$B$36:$B$41,Assumptions!$B$36:$H$41))</f>
        <v>0</v>
      </c>
      <c r="SVW28">
        <f t="array" ref="SVW28">_xlfn.XLOOKUP(SVW$11,Assumptions!$B$35:$H$35,_xlfn.XLOOKUP($C28,Assumptions!$B$36:$B$41,Assumptions!$B$36:$H$41))</f>
        <v>0</v>
      </c>
      <c r="SVX28">
        <f t="array" ref="SVX28">_xlfn.XLOOKUP(SVX$11,Assumptions!$B$35:$H$35,_xlfn.XLOOKUP($C28,Assumptions!$B$36:$B$41,Assumptions!$B$36:$H$41))</f>
        <v>0</v>
      </c>
      <c r="SVY28">
        <f t="array" ref="SVY28">_xlfn.XLOOKUP(SVY$11,Assumptions!$B$35:$H$35,_xlfn.XLOOKUP($C28,Assumptions!$B$36:$B$41,Assumptions!$B$36:$H$41))</f>
        <v>0</v>
      </c>
      <c r="SVZ28">
        <f t="array" ref="SVZ28">_xlfn.XLOOKUP(SVZ$11,Assumptions!$B$35:$H$35,_xlfn.XLOOKUP($C28,Assumptions!$B$36:$B$41,Assumptions!$B$36:$H$41))</f>
        <v>0</v>
      </c>
      <c r="SWA28">
        <f t="array" ref="SWA28">_xlfn.XLOOKUP(SWA$11,Assumptions!$B$35:$H$35,_xlfn.XLOOKUP($C28,Assumptions!$B$36:$B$41,Assumptions!$B$36:$H$41))</f>
        <v>0</v>
      </c>
      <c r="SWB28">
        <f t="array" ref="SWB28">_xlfn.XLOOKUP(SWB$11,Assumptions!$B$35:$H$35,_xlfn.XLOOKUP($C28,Assumptions!$B$36:$B$41,Assumptions!$B$36:$H$41))</f>
        <v>0</v>
      </c>
      <c r="SWC28">
        <f t="array" ref="SWC28">_xlfn.XLOOKUP(SWC$11,Assumptions!$B$35:$H$35,_xlfn.XLOOKUP($C28,Assumptions!$B$36:$B$41,Assumptions!$B$36:$H$41))</f>
        <v>0</v>
      </c>
      <c r="SWD28">
        <f t="array" ref="SWD28">_xlfn.XLOOKUP(SWD$11,Assumptions!$B$35:$H$35,_xlfn.XLOOKUP($C28,Assumptions!$B$36:$B$41,Assumptions!$B$36:$H$41))</f>
        <v>0</v>
      </c>
      <c r="SWE28">
        <f t="array" ref="SWE28">_xlfn.XLOOKUP(SWE$11,Assumptions!$B$35:$H$35,_xlfn.XLOOKUP($C28,Assumptions!$B$36:$B$41,Assumptions!$B$36:$H$41))</f>
        <v>0</v>
      </c>
      <c r="SWF28">
        <f t="array" ref="SWF28">_xlfn.XLOOKUP(SWF$11,Assumptions!$B$35:$H$35,_xlfn.XLOOKUP($C28,Assumptions!$B$36:$B$41,Assumptions!$B$36:$H$41))</f>
        <v>0</v>
      </c>
      <c r="SWG28">
        <f t="array" ref="SWG28">_xlfn.XLOOKUP(SWG$11,Assumptions!$B$35:$H$35,_xlfn.XLOOKUP($C28,Assumptions!$B$36:$B$41,Assumptions!$B$36:$H$41))</f>
        <v>0</v>
      </c>
      <c r="SWH28">
        <f t="array" ref="SWH28">_xlfn.XLOOKUP(SWH$11,Assumptions!$B$35:$H$35,_xlfn.XLOOKUP($C28,Assumptions!$B$36:$B$41,Assumptions!$B$36:$H$41))</f>
        <v>0</v>
      </c>
      <c r="SWI28">
        <f t="array" ref="SWI28">_xlfn.XLOOKUP(SWI$11,Assumptions!$B$35:$H$35,_xlfn.XLOOKUP($C28,Assumptions!$B$36:$B$41,Assumptions!$B$36:$H$41))</f>
        <v>0</v>
      </c>
      <c r="SWJ28">
        <f t="array" ref="SWJ28">_xlfn.XLOOKUP(SWJ$11,Assumptions!$B$35:$H$35,_xlfn.XLOOKUP($C28,Assumptions!$B$36:$B$41,Assumptions!$B$36:$H$41))</f>
        <v>0</v>
      </c>
      <c r="SWK28">
        <f t="array" ref="SWK28">_xlfn.XLOOKUP(SWK$11,Assumptions!$B$35:$H$35,_xlfn.XLOOKUP($C28,Assumptions!$B$36:$B$41,Assumptions!$B$36:$H$41))</f>
        <v>0</v>
      </c>
      <c r="SWL28">
        <f t="array" ref="SWL28">_xlfn.XLOOKUP(SWL$11,Assumptions!$B$35:$H$35,_xlfn.XLOOKUP($C28,Assumptions!$B$36:$B$41,Assumptions!$B$36:$H$41))</f>
        <v>0</v>
      </c>
      <c r="SWM28">
        <f t="array" ref="SWM28">_xlfn.XLOOKUP(SWM$11,Assumptions!$B$35:$H$35,_xlfn.XLOOKUP($C28,Assumptions!$B$36:$B$41,Assumptions!$B$36:$H$41))</f>
        <v>0</v>
      </c>
      <c r="SWN28">
        <f t="array" ref="SWN28">_xlfn.XLOOKUP(SWN$11,Assumptions!$B$35:$H$35,_xlfn.XLOOKUP($C28,Assumptions!$B$36:$B$41,Assumptions!$B$36:$H$41))</f>
        <v>0</v>
      </c>
      <c r="SWO28">
        <f t="array" ref="SWO28">_xlfn.XLOOKUP(SWO$11,Assumptions!$B$35:$H$35,_xlfn.XLOOKUP($C28,Assumptions!$B$36:$B$41,Assumptions!$B$36:$H$41))</f>
        <v>0</v>
      </c>
      <c r="SWP28">
        <f t="array" ref="SWP28">_xlfn.XLOOKUP(SWP$11,Assumptions!$B$35:$H$35,_xlfn.XLOOKUP($C28,Assumptions!$B$36:$B$41,Assumptions!$B$36:$H$41))</f>
        <v>0</v>
      </c>
      <c r="SWQ28">
        <f t="array" ref="SWQ28">_xlfn.XLOOKUP(SWQ$11,Assumptions!$B$35:$H$35,_xlfn.XLOOKUP($C28,Assumptions!$B$36:$B$41,Assumptions!$B$36:$H$41))</f>
        <v>0</v>
      </c>
      <c r="SWR28">
        <f t="array" ref="SWR28">_xlfn.XLOOKUP(SWR$11,Assumptions!$B$35:$H$35,_xlfn.XLOOKUP($C28,Assumptions!$B$36:$B$41,Assumptions!$B$36:$H$41))</f>
        <v>0</v>
      </c>
      <c r="SWS28">
        <f t="array" ref="SWS28">_xlfn.XLOOKUP(SWS$11,Assumptions!$B$35:$H$35,_xlfn.XLOOKUP($C28,Assumptions!$B$36:$B$41,Assumptions!$B$36:$H$41))</f>
        <v>0</v>
      </c>
      <c r="SWT28">
        <f t="array" ref="SWT28">_xlfn.XLOOKUP(SWT$11,Assumptions!$B$35:$H$35,_xlfn.XLOOKUP($C28,Assumptions!$B$36:$B$41,Assumptions!$B$36:$H$41))</f>
        <v>0</v>
      </c>
      <c r="SWU28">
        <f t="array" ref="SWU28">_xlfn.XLOOKUP(SWU$11,Assumptions!$B$35:$H$35,_xlfn.XLOOKUP($C28,Assumptions!$B$36:$B$41,Assumptions!$B$36:$H$41))</f>
        <v>0</v>
      </c>
      <c r="SWV28">
        <f t="array" ref="SWV28">_xlfn.XLOOKUP(SWV$11,Assumptions!$B$35:$H$35,_xlfn.XLOOKUP($C28,Assumptions!$B$36:$B$41,Assumptions!$B$36:$H$41))</f>
        <v>0</v>
      </c>
      <c r="SWW28">
        <f t="array" ref="SWW28">_xlfn.XLOOKUP(SWW$11,Assumptions!$B$35:$H$35,_xlfn.XLOOKUP($C28,Assumptions!$B$36:$B$41,Assumptions!$B$36:$H$41))</f>
        <v>0</v>
      </c>
      <c r="SWX28">
        <f t="array" ref="SWX28">_xlfn.XLOOKUP(SWX$11,Assumptions!$B$35:$H$35,_xlfn.XLOOKUP($C28,Assumptions!$B$36:$B$41,Assumptions!$B$36:$H$41))</f>
        <v>0</v>
      </c>
      <c r="SWY28">
        <f t="array" ref="SWY28">_xlfn.XLOOKUP(SWY$11,Assumptions!$B$35:$H$35,_xlfn.XLOOKUP($C28,Assumptions!$B$36:$B$41,Assumptions!$B$36:$H$41))</f>
        <v>0</v>
      </c>
      <c r="SWZ28">
        <f t="array" ref="SWZ28">_xlfn.XLOOKUP(SWZ$11,Assumptions!$B$35:$H$35,_xlfn.XLOOKUP($C28,Assumptions!$B$36:$B$41,Assumptions!$B$36:$H$41))</f>
        <v>0</v>
      </c>
      <c r="SXA28">
        <f t="array" ref="SXA28">_xlfn.XLOOKUP(SXA$11,Assumptions!$B$35:$H$35,_xlfn.XLOOKUP($C28,Assumptions!$B$36:$B$41,Assumptions!$B$36:$H$41))</f>
        <v>0</v>
      </c>
      <c r="SXB28">
        <f t="array" ref="SXB28">_xlfn.XLOOKUP(SXB$11,Assumptions!$B$35:$H$35,_xlfn.XLOOKUP($C28,Assumptions!$B$36:$B$41,Assumptions!$B$36:$H$41))</f>
        <v>0</v>
      </c>
      <c r="SXC28">
        <f t="array" ref="SXC28">_xlfn.XLOOKUP(SXC$11,Assumptions!$B$35:$H$35,_xlfn.XLOOKUP($C28,Assumptions!$B$36:$B$41,Assumptions!$B$36:$H$41))</f>
        <v>0</v>
      </c>
      <c r="SXD28">
        <f t="array" ref="SXD28">_xlfn.XLOOKUP(SXD$11,Assumptions!$B$35:$H$35,_xlfn.XLOOKUP($C28,Assumptions!$B$36:$B$41,Assumptions!$B$36:$H$41))</f>
        <v>0</v>
      </c>
      <c r="SXE28">
        <f t="array" ref="SXE28">_xlfn.XLOOKUP(SXE$11,Assumptions!$B$35:$H$35,_xlfn.XLOOKUP($C28,Assumptions!$B$36:$B$41,Assumptions!$B$36:$H$41))</f>
        <v>0</v>
      </c>
      <c r="SXF28">
        <f t="array" ref="SXF28">_xlfn.XLOOKUP(SXF$11,Assumptions!$B$35:$H$35,_xlfn.XLOOKUP($C28,Assumptions!$B$36:$B$41,Assumptions!$B$36:$H$41))</f>
        <v>0</v>
      </c>
      <c r="SXG28">
        <f t="array" ref="SXG28">_xlfn.XLOOKUP(SXG$11,Assumptions!$B$35:$H$35,_xlfn.XLOOKUP($C28,Assumptions!$B$36:$B$41,Assumptions!$B$36:$H$41))</f>
        <v>0</v>
      </c>
      <c r="SXH28">
        <f t="array" ref="SXH28">_xlfn.XLOOKUP(SXH$11,Assumptions!$B$35:$H$35,_xlfn.XLOOKUP($C28,Assumptions!$B$36:$B$41,Assumptions!$B$36:$H$41))</f>
        <v>0</v>
      </c>
      <c r="SXI28">
        <f t="array" ref="SXI28">_xlfn.XLOOKUP(SXI$11,Assumptions!$B$35:$H$35,_xlfn.XLOOKUP($C28,Assumptions!$B$36:$B$41,Assumptions!$B$36:$H$41))</f>
        <v>0</v>
      </c>
      <c r="SXJ28">
        <f t="array" ref="SXJ28">_xlfn.XLOOKUP(SXJ$11,Assumptions!$B$35:$H$35,_xlfn.XLOOKUP($C28,Assumptions!$B$36:$B$41,Assumptions!$B$36:$H$41))</f>
        <v>0</v>
      </c>
      <c r="SXK28">
        <f t="array" ref="SXK28">_xlfn.XLOOKUP(SXK$11,Assumptions!$B$35:$H$35,_xlfn.XLOOKUP($C28,Assumptions!$B$36:$B$41,Assumptions!$B$36:$H$41))</f>
        <v>0</v>
      </c>
      <c r="SXL28">
        <f t="array" ref="SXL28">_xlfn.XLOOKUP(SXL$11,Assumptions!$B$35:$H$35,_xlfn.XLOOKUP($C28,Assumptions!$B$36:$B$41,Assumptions!$B$36:$H$41))</f>
        <v>0</v>
      </c>
      <c r="SXM28">
        <f t="array" ref="SXM28">_xlfn.XLOOKUP(SXM$11,Assumptions!$B$35:$H$35,_xlfn.XLOOKUP($C28,Assumptions!$B$36:$B$41,Assumptions!$B$36:$H$41))</f>
        <v>0</v>
      </c>
      <c r="SXN28">
        <f t="array" ref="SXN28">_xlfn.XLOOKUP(SXN$11,Assumptions!$B$35:$H$35,_xlfn.XLOOKUP($C28,Assumptions!$B$36:$B$41,Assumptions!$B$36:$H$41))</f>
        <v>0</v>
      </c>
      <c r="SXO28">
        <f t="array" ref="SXO28">_xlfn.XLOOKUP(SXO$11,Assumptions!$B$35:$H$35,_xlfn.XLOOKUP($C28,Assumptions!$B$36:$B$41,Assumptions!$B$36:$H$41))</f>
        <v>0</v>
      </c>
      <c r="SXP28">
        <f t="array" ref="SXP28">_xlfn.XLOOKUP(SXP$11,Assumptions!$B$35:$H$35,_xlfn.XLOOKUP($C28,Assumptions!$B$36:$B$41,Assumptions!$B$36:$H$41))</f>
        <v>0</v>
      </c>
      <c r="SXQ28">
        <f t="array" ref="SXQ28">_xlfn.XLOOKUP(SXQ$11,Assumptions!$B$35:$H$35,_xlfn.XLOOKUP($C28,Assumptions!$B$36:$B$41,Assumptions!$B$36:$H$41))</f>
        <v>0</v>
      </c>
      <c r="SXR28">
        <f t="array" ref="SXR28">_xlfn.XLOOKUP(SXR$11,Assumptions!$B$35:$H$35,_xlfn.XLOOKUP($C28,Assumptions!$B$36:$B$41,Assumptions!$B$36:$H$41))</f>
        <v>0</v>
      </c>
      <c r="SXS28">
        <f t="array" ref="SXS28">_xlfn.XLOOKUP(SXS$11,Assumptions!$B$35:$H$35,_xlfn.XLOOKUP($C28,Assumptions!$B$36:$B$41,Assumptions!$B$36:$H$41))</f>
        <v>0</v>
      </c>
      <c r="SXT28">
        <f t="array" ref="SXT28">_xlfn.XLOOKUP(SXT$11,Assumptions!$B$35:$H$35,_xlfn.XLOOKUP($C28,Assumptions!$B$36:$B$41,Assumptions!$B$36:$H$41))</f>
        <v>0</v>
      </c>
      <c r="SXU28">
        <f t="array" ref="SXU28">_xlfn.XLOOKUP(SXU$11,Assumptions!$B$35:$H$35,_xlfn.XLOOKUP($C28,Assumptions!$B$36:$B$41,Assumptions!$B$36:$H$41))</f>
        <v>0</v>
      </c>
      <c r="SXV28">
        <f t="array" ref="SXV28">_xlfn.XLOOKUP(SXV$11,Assumptions!$B$35:$H$35,_xlfn.XLOOKUP($C28,Assumptions!$B$36:$B$41,Assumptions!$B$36:$H$41))</f>
        <v>0</v>
      </c>
      <c r="SXW28">
        <f t="array" ref="SXW28">_xlfn.XLOOKUP(SXW$11,Assumptions!$B$35:$H$35,_xlfn.XLOOKUP($C28,Assumptions!$B$36:$B$41,Assumptions!$B$36:$H$41))</f>
        <v>0</v>
      </c>
      <c r="SXX28">
        <f t="array" ref="SXX28">_xlfn.XLOOKUP(SXX$11,Assumptions!$B$35:$H$35,_xlfn.XLOOKUP($C28,Assumptions!$B$36:$B$41,Assumptions!$B$36:$H$41))</f>
        <v>0</v>
      </c>
      <c r="SXY28">
        <f t="array" ref="SXY28">_xlfn.XLOOKUP(SXY$11,Assumptions!$B$35:$H$35,_xlfn.XLOOKUP($C28,Assumptions!$B$36:$B$41,Assumptions!$B$36:$H$41))</f>
        <v>0</v>
      </c>
      <c r="SXZ28">
        <f t="array" ref="SXZ28">_xlfn.XLOOKUP(SXZ$11,Assumptions!$B$35:$H$35,_xlfn.XLOOKUP($C28,Assumptions!$B$36:$B$41,Assumptions!$B$36:$H$41))</f>
        <v>0</v>
      </c>
      <c r="SYA28">
        <f t="array" ref="SYA28">_xlfn.XLOOKUP(SYA$11,Assumptions!$B$35:$H$35,_xlfn.XLOOKUP($C28,Assumptions!$B$36:$B$41,Assumptions!$B$36:$H$41))</f>
        <v>0</v>
      </c>
      <c r="SYB28">
        <f t="array" ref="SYB28">_xlfn.XLOOKUP(SYB$11,Assumptions!$B$35:$H$35,_xlfn.XLOOKUP($C28,Assumptions!$B$36:$B$41,Assumptions!$B$36:$H$41))</f>
        <v>0</v>
      </c>
      <c r="SYC28">
        <f t="array" ref="SYC28">_xlfn.XLOOKUP(SYC$11,Assumptions!$B$35:$H$35,_xlfn.XLOOKUP($C28,Assumptions!$B$36:$B$41,Assumptions!$B$36:$H$41))</f>
        <v>0</v>
      </c>
      <c r="SYD28">
        <f t="array" ref="SYD28">_xlfn.XLOOKUP(SYD$11,Assumptions!$B$35:$H$35,_xlfn.XLOOKUP($C28,Assumptions!$B$36:$B$41,Assumptions!$B$36:$H$41))</f>
        <v>0</v>
      </c>
      <c r="SYE28">
        <f t="array" ref="SYE28">_xlfn.XLOOKUP(SYE$11,Assumptions!$B$35:$H$35,_xlfn.XLOOKUP($C28,Assumptions!$B$36:$B$41,Assumptions!$B$36:$H$41))</f>
        <v>0</v>
      </c>
      <c r="SYF28">
        <f t="array" ref="SYF28">_xlfn.XLOOKUP(SYF$11,Assumptions!$B$35:$H$35,_xlfn.XLOOKUP($C28,Assumptions!$B$36:$B$41,Assumptions!$B$36:$H$41))</f>
        <v>0</v>
      </c>
      <c r="SYG28">
        <f t="array" ref="SYG28">_xlfn.XLOOKUP(SYG$11,Assumptions!$B$35:$H$35,_xlfn.XLOOKUP($C28,Assumptions!$B$36:$B$41,Assumptions!$B$36:$H$41))</f>
        <v>0</v>
      </c>
      <c r="SYH28">
        <f t="array" ref="SYH28">_xlfn.XLOOKUP(SYH$11,Assumptions!$B$35:$H$35,_xlfn.XLOOKUP($C28,Assumptions!$B$36:$B$41,Assumptions!$B$36:$H$41))</f>
        <v>0</v>
      </c>
      <c r="SYI28">
        <f t="array" ref="SYI28">_xlfn.XLOOKUP(SYI$11,Assumptions!$B$35:$H$35,_xlfn.XLOOKUP($C28,Assumptions!$B$36:$B$41,Assumptions!$B$36:$H$41))</f>
        <v>0</v>
      </c>
      <c r="SYJ28">
        <f t="array" ref="SYJ28">_xlfn.XLOOKUP(SYJ$11,Assumptions!$B$35:$H$35,_xlfn.XLOOKUP($C28,Assumptions!$B$36:$B$41,Assumptions!$B$36:$H$41))</f>
        <v>0</v>
      </c>
      <c r="SYK28">
        <f t="array" ref="SYK28">_xlfn.XLOOKUP(SYK$11,Assumptions!$B$35:$H$35,_xlfn.XLOOKUP($C28,Assumptions!$B$36:$B$41,Assumptions!$B$36:$H$41))</f>
        <v>0</v>
      </c>
      <c r="SYL28">
        <f t="array" ref="SYL28">_xlfn.XLOOKUP(SYL$11,Assumptions!$B$35:$H$35,_xlfn.XLOOKUP($C28,Assumptions!$B$36:$B$41,Assumptions!$B$36:$H$41))</f>
        <v>0</v>
      </c>
      <c r="SYM28">
        <f t="array" ref="SYM28">_xlfn.XLOOKUP(SYM$11,Assumptions!$B$35:$H$35,_xlfn.XLOOKUP($C28,Assumptions!$B$36:$B$41,Assumptions!$B$36:$H$41))</f>
        <v>0</v>
      </c>
      <c r="SYN28">
        <f t="array" ref="SYN28">_xlfn.XLOOKUP(SYN$11,Assumptions!$B$35:$H$35,_xlfn.XLOOKUP($C28,Assumptions!$B$36:$B$41,Assumptions!$B$36:$H$41))</f>
        <v>0</v>
      </c>
      <c r="SYO28">
        <f t="array" ref="SYO28">_xlfn.XLOOKUP(SYO$11,Assumptions!$B$35:$H$35,_xlfn.XLOOKUP($C28,Assumptions!$B$36:$B$41,Assumptions!$B$36:$H$41))</f>
        <v>0</v>
      </c>
      <c r="SYP28">
        <f t="array" ref="SYP28">_xlfn.XLOOKUP(SYP$11,Assumptions!$B$35:$H$35,_xlfn.XLOOKUP($C28,Assumptions!$B$36:$B$41,Assumptions!$B$36:$H$41))</f>
        <v>0</v>
      </c>
      <c r="SYQ28">
        <f t="array" ref="SYQ28">_xlfn.XLOOKUP(SYQ$11,Assumptions!$B$35:$H$35,_xlfn.XLOOKUP($C28,Assumptions!$B$36:$B$41,Assumptions!$B$36:$H$41))</f>
        <v>0</v>
      </c>
      <c r="SYR28">
        <f t="array" ref="SYR28">_xlfn.XLOOKUP(SYR$11,Assumptions!$B$35:$H$35,_xlfn.XLOOKUP($C28,Assumptions!$B$36:$B$41,Assumptions!$B$36:$H$41))</f>
        <v>0</v>
      </c>
      <c r="SYS28">
        <f t="array" ref="SYS28">_xlfn.XLOOKUP(SYS$11,Assumptions!$B$35:$H$35,_xlfn.XLOOKUP($C28,Assumptions!$B$36:$B$41,Assumptions!$B$36:$H$41))</f>
        <v>0</v>
      </c>
      <c r="SYT28">
        <f t="array" ref="SYT28">_xlfn.XLOOKUP(SYT$11,Assumptions!$B$35:$H$35,_xlfn.XLOOKUP($C28,Assumptions!$B$36:$B$41,Assumptions!$B$36:$H$41))</f>
        <v>0</v>
      </c>
      <c r="SYU28">
        <f t="array" ref="SYU28">_xlfn.XLOOKUP(SYU$11,Assumptions!$B$35:$H$35,_xlfn.XLOOKUP($C28,Assumptions!$B$36:$B$41,Assumptions!$B$36:$H$41))</f>
        <v>0</v>
      </c>
      <c r="SYV28">
        <f t="array" ref="SYV28">_xlfn.XLOOKUP(SYV$11,Assumptions!$B$35:$H$35,_xlfn.XLOOKUP($C28,Assumptions!$B$36:$B$41,Assumptions!$B$36:$H$41))</f>
        <v>0</v>
      </c>
      <c r="SYW28">
        <f t="array" ref="SYW28">_xlfn.XLOOKUP(SYW$11,Assumptions!$B$35:$H$35,_xlfn.XLOOKUP($C28,Assumptions!$B$36:$B$41,Assumptions!$B$36:$H$41))</f>
        <v>0</v>
      </c>
      <c r="SYX28">
        <f t="array" ref="SYX28">_xlfn.XLOOKUP(SYX$11,Assumptions!$B$35:$H$35,_xlfn.XLOOKUP($C28,Assumptions!$B$36:$B$41,Assumptions!$B$36:$H$41))</f>
        <v>0</v>
      </c>
      <c r="SYY28">
        <f t="array" ref="SYY28">_xlfn.XLOOKUP(SYY$11,Assumptions!$B$35:$H$35,_xlfn.XLOOKUP($C28,Assumptions!$B$36:$B$41,Assumptions!$B$36:$H$41))</f>
        <v>0</v>
      </c>
      <c r="SYZ28">
        <f t="array" ref="SYZ28">_xlfn.XLOOKUP(SYZ$11,Assumptions!$B$35:$H$35,_xlfn.XLOOKUP($C28,Assumptions!$B$36:$B$41,Assumptions!$B$36:$H$41))</f>
        <v>0</v>
      </c>
      <c r="SZA28">
        <f t="array" ref="SZA28">_xlfn.XLOOKUP(SZA$11,Assumptions!$B$35:$H$35,_xlfn.XLOOKUP($C28,Assumptions!$B$36:$B$41,Assumptions!$B$36:$H$41))</f>
        <v>0</v>
      </c>
      <c r="SZB28">
        <f t="array" ref="SZB28">_xlfn.XLOOKUP(SZB$11,Assumptions!$B$35:$H$35,_xlfn.XLOOKUP($C28,Assumptions!$B$36:$B$41,Assumptions!$B$36:$H$41))</f>
        <v>0</v>
      </c>
      <c r="SZC28">
        <f t="array" ref="SZC28">_xlfn.XLOOKUP(SZC$11,Assumptions!$B$35:$H$35,_xlfn.XLOOKUP($C28,Assumptions!$B$36:$B$41,Assumptions!$B$36:$H$41))</f>
        <v>0</v>
      </c>
      <c r="SZD28">
        <f t="array" ref="SZD28">_xlfn.XLOOKUP(SZD$11,Assumptions!$B$35:$H$35,_xlfn.XLOOKUP($C28,Assumptions!$B$36:$B$41,Assumptions!$B$36:$H$41))</f>
        <v>0</v>
      </c>
      <c r="SZE28">
        <f t="array" ref="SZE28">_xlfn.XLOOKUP(SZE$11,Assumptions!$B$35:$H$35,_xlfn.XLOOKUP($C28,Assumptions!$B$36:$B$41,Assumptions!$B$36:$H$41))</f>
        <v>0</v>
      </c>
      <c r="SZF28">
        <f t="array" ref="SZF28">_xlfn.XLOOKUP(SZF$11,Assumptions!$B$35:$H$35,_xlfn.XLOOKUP($C28,Assumptions!$B$36:$B$41,Assumptions!$B$36:$H$41))</f>
        <v>0</v>
      </c>
      <c r="SZG28">
        <f t="array" ref="SZG28">_xlfn.XLOOKUP(SZG$11,Assumptions!$B$35:$H$35,_xlfn.XLOOKUP($C28,Assumptions!$B$36:$B$41,Assumptions!$B$36:$H$41))</f>
        <v>0</v>
      </c>
      <c r="SZH28">
        <f t="array" ref="SZH28">_xlfn.XLOOKUP(SZH$11,Assumptions!$B$35:$H$35,_xlfn.XLOOKUP($C28,Assumptions!$B$36:$B$41,Assumptions!$B$36:$H$41))</f>
        <v>0</v>
      </c>
      <c r="SZI28">
        <f t="array" ref="SZI28">_xlfn.XLOOKUP(SZI$11,Assumptions!$B$35:$H$35,_xlfn.XLOOKUP($C28,Assumptions!$B$36:$B$41,Assumptions!$B$36:$H$41))</f>
        <v>0</v>
      </c>
      <c r="SZJ28">
        <f t="array" ref="SZJ28">_xlfn.XLOOKUP(SZJ$11,Assumptions!$B$35:$H$35,_xlfn.XLOOKUP($C28,Assumptions!$B$36:$B$41,Assumptions!$B$36:$H$41))</f>
        <v>0</v>
      </c>
      <c r="SZK28">
        <f t="array" ref="SZK28">_xlfn.XLOOKUP(SZK$11,Assumptions!$B$35:$H$35,_xlfn.XLOOKUP($C28,Assumptions!$B$36:$B$41,Assumptions!$B$36:$H$41))</f>
        <v>0</v>
      </c>
      <c r="SZL28">
        <f t="array" ref="SZL28">_xlfn.XLOOKUP(SZL$11,Assumptions!$B$35:$H$35,_xlfn.XLOOKUP($C28,Assumptions!$B$36:$B$41,Assumptions!$B$36:$H$41))</f>
        <v>0</v>
      </c>
      <c r="SZM28">
        <f t="array" ref="SZM28">_xlfn.XLOOKUP(SZM$11,Assumptions!$B$35:$H$35,_xlfn.XLOOKUP($C28,Assumptions!$B$36:$B$41,Assumptions!$B$36:$H$41))</f>
        <v>0</v>
      </c>
      <c r="SZN28">
        <f t="array" ref="SZN28">_xlfn.XLOOKUP(SZN$11,Assumptions!$B$35:$H$35,_xlfn.XLOOKUP($C28,Assumptions!$B$36:$B$41,Assumptions!$B$36:$H$41))</f>
        <v>0</v>
      </c>
      <c r="SZO28">
        <f t="array" ref="SZO28">_xlfn.XLOOKUP(SZO$11,Assumptions!$B$35:$H$35,_xlfn.XLOOKUP($C28,Assumptions!$B$36:$B$41,Assumptions!$B$36:$H$41))</f>
        <v>0</v>
      </c>
      <c r="SZP28">
        <f t="array" ref="SZP28">_xlfn.XLOOKUP(SZP$11,Assumptions!$B$35:$H$35,_xlfn.XLOOKUP($C28,Assumptions!$B$36:$B$41,Assumptions!$B$36:$H$41))</f>
        <v>0</v>
      </c>
      <c r="SZQ28">
        <f t="array" ref="SZQ28">_xlfn.XLOOKUP(SZQ$11,Assumptions!$B$35:$H$35,_xlfn.XLOOKUP($C28,Assumptions!$B$36:$B$41,Assumptions!$B$36:$H$41))</f>
        <v>0</v>
      </c>
      <c r="SZR28">
        <f t="array" ref="SZR28">_xlfn.XLOOKUP(SZR$11,Assumptions!$B$35:$H$35,_xlfn.XLOOKUP($C28,Assumptions!$B$36:$B$41,Assumptions!$B$36:$H$41))</f>
        <v>0</v>
      </c>
      <c r="SZS28">
        <f t="array" ref="SZS28">_xlfn.XLOOKUP(SZS$11,Assumptions!$B$35:$H$35,_xlfn.XLOOKUP($C28,Assumptions!$B$36:$B$41,Assumptions!$B$36:$H$41))</f>
        <v>0</v>
      </c>
      <c r="SZT28">
        <f t="array" ref="SZT28">_xlfn.XLOOKUP(SZT$11,Assumptions!$B$35:$H$35,_xlfn.XLOOKUP($C28,Assumptions!$B$36:$B$41,Assumptions!$B$36:$H$41))</f>
        <v>0</v>
      </c>
      <c r="SZU28">
        <f t="array" ref="SZU28">_xlfn.XLOOKUP(SZU$11,Assumptions!$B$35:$H$35,_xlfn.XLOOKUP($C28,Assumptions!$B$36:$B$41,Assumptions!$B$36:$H$41))</f>
        <v>0</v>
      </c>
      <c r="SZV28">
        <f t="array" ref="SZV28">_xlfn.XLOOKUP(SZV$11,Assumptions!$B$35:$H$35,_xlfn.XLOOKUP($C28,Assumptions!$B$36:$B$41,Assumptions!$B$36:$H$41))</f>
        <v>0</v>
      </c>
      <c r="SZW28">
        <f t="array" ref="SZW28">_xlfn.XLOOKUP(SZW$11,Assumptions!$B$35:$H$35,_xlfn.XLOOKUP($C28,Assumptions!$B$36:$B$41,Assumptions!$B$36:$H$41))</f>
        <v>0</v>
      </c>
      <c r="SZX28">
        <f t="array" ref="SZX28">_xlfn.XLOOKUP(SZX$11,Assumptions!$B$35:$H$35,_xlfn.XLOOKUP($C28,Assumptions!$B$36:$B$41,Assumptions!$B$36:$H$41))</f>
        <v>0</v>
      </c>
      <c r="SZY28">
        <f t="array" ref="SZY28">_xlfn.XLOOKUP(SZY$11,Assumptions!$B$35:$H$35,_xlfn.XLOOKUP($C28,Assumptions!$B$36:$B$41,Assumptions!$B$36:$H$41))</f>
        <v>0</v>
      </c>
      <c r="SZZ28">
        <f t="array" ref="SZZ28">_xlfn.XLOOKUP(SZZ$11,Assumptions!$B$35:$H$35,_xlfn.XLOOKUP($C28,Assumptions!$B$36:$B$41,Assumptions!$B$36:$H$41))</f>
        <v>0</v>
      </c>
      <c r="TAA28">
        <f t="array" ref="TAA28">_xlfn.XLOOKUP(TAA$11,Assumptions!$B$35:$H$35,_xlfn.XLOOKUP($C28,Assumptions!$B$36:$B$41,Assumptions!$B$36:$H$41))</f>
        <v>0</v>
      </c>
      <c r="TAB28">
        <f t="array" ref="TAB28">_xlfn.XLOOKUP(TAB$11,Assumptions!$B$35:$H$35,_xlfn.XLOOKUP($C28,Assumptions!$B$36:$B$41,Assumptions!$B$36:$H$41))</f>
        <v>0</v>
      </c>
      <c r="TAC28">
        <f t="array" ref="TAC28">_xlfn.XLOOKUP(TAC$11,Assumptions!$B$35:$H$35,_xlfn.XLOOKUP($C28,Assumptions!$B$36:$B$41,Assumptions!$B$36:$H$41))</f>
        <v>0</v>
      </c>
      <c r="TAD28">
        <f t="array" ref="TAD28">_xlfn.XLOOKUP(TAD$11,Assumptions!$B$35:$H$35,_xlfn.XLOOKUP($C28,Assumptions!$B$36:$B$41,Assumptions!$B$36:$H$41))</f>
        <v>0</v>
      </c>
      <c r="TAE28">
        <f t="array" ref="TAE28">_xlfn.XLOOKUP(TAE$11,Assumptions!$B$35:$H$35,_xlfn.XLOOKUP($C28,Assumptions!$B$36:$B$41,Assumptions!$B$36:$H$41))</f>
        <v>0</v>
      </c>
      <c r="TAF28">
        <f t="array" ref="TAF28">_xlfn.XLOOKUP(TAF$11,Assumptions!$B$35:$H$35,_xlfn.XLOOKUP($C28,Assumptions!$B$36:$B$41,Assumptions!$B$36:$H$41))</f>
        <v>0</v>
      </c>
      <c r="TAG28">
        <f t="array" ref="TAG28">_xlfn.XLOOKUP(TAG$11,Assumptions!$B$35:$H$35,_xlfn.XLOOKUP($C28,Assumptions!$B$36:$B$41,Assumptions!$B$36:$H$41))</f>
        <v>0</v>
      </c>
      <c r="TAH28">
        <f t="array" ref="TAH28">_xlfn.XLOOKUP(TAH$11,Assumptions!$B$35:$H$35,_xlfn.XLOOKUP($C28,Assumptions!$B$36:$B$41,Assumptions!$B$36:$H$41))</f>
        <v>0</v>
      </c>
      <c r="TAI28">
        <f t="array" ref="TAI28">_xlfn.XLOOKUP(TAI$11,Assumptions!$B$35:$H$35,_xlfn.XLOOKUP($C28,Assumptions!$B$36:$B$41,Assumptions!$B$36:$H$41))</f>
        <v>0</v>
      </c>
      <c r="TAJ28">
        <f t="array" ref="TAJ28">_xlfn.XLOOKUP(TAJ$11,Assumptions!$B$35:$H$35,_xlfn.XLOOKUP($C28,Assumptions!$B$36:$B$41,Assumptions!$B$36:$H$41))</f>
        <v>0</v>
      </c>
      <c r="TAK28">
        <f t="array" ref="TAK28">_xlfn.XLOOKUP(TAK$11,Assumptions!$B$35:$H$35,_xlfn.XLOOKUP($C28,Assumptions!$B$36:$B$41,Assumptions!$B$36:$H$41))</f>
        <v>0</v>
      </c>
      <c r="TAL28">
        <f t="array" ref="TAL28">_xlfn.XLOOKUP(TAL$11,Assumptions!$B$35:$H$35,_xlfn.XLOOKUP($C28,Assumptions!$B$36:$B$41,Assumptions!$B$36:$H$41))</f>
        <v>0</v>
      </c>
      <c r="TAM28">
        <f t="array" ref="TAM28">_xlfn.XLOOKUP(TAM$11,Assumptions!$B$35:$H$35,_xlfn.XLOOKUP($C28,Assumptions!$B$36:$B$41,Assumptions!$B$36:$H$41))</f>
        <v>0</v>
      </c>
      <c r="TAN28">
        <f t="array" ref="TAN28">_xlfn.XLOOKUP(TAN$11,Assumptions!$B$35:$H$35,_xlfn.XLOOKUP($C28,Assumptions!$B$36:$B$41,Assumptions!$B$36:$H$41))</f>
        <v>0</v>
      </c>
      <c r="TAO28">
        <f t="array" ref="TAO28">_xlfn.XLOOKUP(TAO$11,Assumptions!$B$35:$H$35,_xlfn.XLOOKUP($C28,Assumptions!$B$36:$B$41,Assumptions!$B$36:$H$41))</f>
        <v>0</v>
      </c>
      <c r="TAP28">
        <f t="array" ref="TAP28">_xlfn.XLOOKUP(TAP$11,Assumptions!$B$35:$H$35,_xlfn.XLOOKUP($C28,Assumptions!$B$36:$B$41,Assumptions!$B$36:$H$41))</f>
        <v>0</v>
      </c>
      <c r="TAQ28">
        <f t="array" ref="TAQ28">_xlfn.XLOOKUP(TAQ$11,Assumptions!$B$35:$H$35,_xlfn.XLOOKUP($C28,Assumptions!$B$36:$B$41,Assumptions!$B$36:$H$41))</f>
        <v>0</v>
      </c>
      <c r="TAR28">
        <f t="array" ref="TAR28">_xlfn.XLOOKUP(TAR$11,Assumptions!$B$35:$H$35,_xlfn.XLOOKUP($C28,Assumptions!$B$36:$B$41,Assumptions!$B$36:$H$41))</f>
        <v>0</v>
      </c>
      <c r="TAS28">
        <f t="array" ref="TAS28">_xlfn.XLOOKUP(TAS$11,Assumptions!$B$35:$H$35,_xlfn.XLOOKUP($C28,Assumptions!$B$36:$B$41,Assumptions!$B$36:$H$41))</f>
        <v>0</v>
      </c>
      <c r="TAT28">
        <f t="array" ref="TAT28">_xlfn.XLOOKUP(TAT$11,Assumptions!$B$35:$H$35,_xlfn.XLOOKUP($C28,Assumptions!$B$36:$B$41,Assumptions!$B$36:$H$41))</f>
        <v>0</v>
      </c>
      <c r="TAU28">
        <f t="array" ref="TAU28">_xlfn.XLOOKUP(TAU$11,Assumptions!$B$35:$H$35,_xlfn.XLOOKUP($C28,Assumptions!$B$36:$B$41,Assumptions!$B$36:$H$41))</f>
        <v>0</v>
      </c>
      <c r="TAV28">
        <f t="array" ref="TAV28">_xlfn.XLOOKUP(TAV$11,Assumptions!$B$35:$H$35,_xlfn.XLOOKUP($C28,Assumptions!$B$36:$B$41,Assumptions!$B$36:$H$41))</f>
        <v>0</v>
      </c>
      <c r="TAW28">
        <f t="array" ref="TAW28">_xlfn.XLOOKUP(TAW$11,Assumptions!$B$35:$H$35,_xlfn.XLOOKUP($C28,Assumptions!$B$36:$B$41,Assumptions!$B$36:$H$41))</f>
        <v>0</v>
      </c>
      <c r="TAX28">
        <f t="array" ref="TAX28">_xlfn.XLOOKUP(TAX$11,Assumptions!$B$35:$H$35,_xlfn.XLOOKUP($C28,Assumptions!$B$36:$B$41,Assumptions!$B$36:$H$41))</f>
        <v>0</v>
      </c>
      <c r="TAY28">
        <f t="array" ref="TAY28">_xlfn.XLOOKUP(TAY$11,Assumptions!$B$35:$H$35,_xlfn.XLOOKUP($C28,Assumptions!$B$36:$B$41,Assumptions!$B$36:$H$41))</f>
        <v>0</v>
      </c>
      <c r="TAZ28">
        <f t="array" ref="TAZ28">_xlfn.XLOOKUP(TAZ$11,Assumptions!$B$35:$H$35,_xlfn.XLOOKUP($C28,Assumptions!$B$36:$B$41,Assumptions!$B$36:$H$41))</f>
        <v>0</v>
      </c>
      <c r="TBA28">
        <f t="array" ref="TBA28">_xlfn.XLOOKUP(TBA$11,Assumptions!$B$35:$H$35,_xlfn.XLOOKUP($C28,Assumptions!$B$36:$B$41,Assumptions!$B$36:$H$41))</f>
        <v>0</v>
      </c>
      <c r="TBB28">
        <f t="array" ref="TBB28">_xlfn.XLOOKUP(TBB$11,Assumptions!$B$35:$H$35,_xlfn.XLOOKUP($C28,Assumptions!$B$36:$B$41,Assumptions!$B$36:$H$41))</f>
        <v>0</v>
      </c>
      <c r="TBC28">
        <f t="array" ref="TBC28">_xlfn.XLOOKUP(TBC$11,Assumptions!$B$35:$H$35,_xlfn.XLOOKUP($C28,Assumptions!$B$36:$B$41,Assumptions!$B$36:$H$41))</f>
        <v>0</v>
      </c>
      <c r="TBD28">
        <f t="array" ref="TBD28">_xlfn.XLOOKUP(TBD$11,Assumptions!$B$35:$H$35,_xlfn.XLOOKUP($C28,Assumptions!$B$36:$B$41,Assumptions!$B$36:$H$41))</f>
        <v>0</v>
      </c>
      <c r="TBE28">
        <f t="array" ref="TBE28">_xlfn.XLOOKUP(TBE$11,Assumptions!$B$35:$H$35,_xlfn.XLOOKUP($C28,Assumptions!$B$36:$B$41,Assumptions!$B$36:$H$41))</f>
        <v>0</v>
      </c>
      <c r="TBF28">
        <f t="array" ref="TBF28">_xlfn.XLOOKUP(TBF$11,Assumptions!$B$35:$H$35,_xlfn.XLOOKUP($C28,Assumptions!$B$36:$B$41,Assumptions!$B$36:$H$41))</f>
        <v>0</v>
      </c>
      <c r="TBG28">
        <f t="array" ref="TBG28">_xlfn.XLOOKUP(TBG$11,Assumptions!$B$35:$H$35,_xlfn.XLOOKUP($C28,Assumptions!$B$36:$B$41,Assumptions!$B$36:$H$41))</f>
        <v>0</v>
      </c>
      <c r="TBH28">
        <f t="array" ref="TBH28">_xlfn.XLOOKUP(TBH$11,Assumptions!$B$35:$H$35,_xlfn.XLOOKUP($C28,Assumptions!$B$36:$B$41,Assumptions!$B$36:$H$41))</f>
        <v>0</v>
      </c>
      <c r="TBI28">
        <f t="array" ref="TBI28">_xlfn.XLOOKUP(TBI$11,Assumptions!$B$35:$H$35,_xlfn.XLOOKUP($C28,Assumptions!$B$36:$B$41,Assumptions!$B$36:$H$41))</f>
        <v>0</v>
      </c>
      <c r="TBJ28">
        <f t="array" ref="TBJ28">_xlfn.XLOOKUP(TBJ$11,Assumptions!$B$35:$H$35,_xlfn.XLOOKUP($C28,Assumptions!$B$36:$B$41,Assumptions!$B$36:$H$41))</f>
        <v>0</v>
      </c>
      <c r="TBK28">
        <f t="array" ref="TBK28">_xlfn.XLOOKUP(TBK$11,Assumptions!$B$35:$H$35,_xlfn.XLOOKUP($C28,Assumptions!$B$36:$B$41,Assumptions!$B$36:$H$41))</f>
        <v>0</v>
      </c>
      <c r="TBL28">
        <f t="array" ref="TBL28">_xlfn.XLOOKUP(TBL$11,Assumptions!$B$35:$H$35,_xlfn.XLOOKUP($C28,Assumptions!$B$36:$B$41,Assumptions!$B$36:$H$41))</f>
        <v>0</v>
      </c>
      <c r="TBM28">
        <f t="array" ref="TBM28">_xlfn.XLOOKUP(TBM$11,Assumptions!$B$35:$H$35,_xlfn.XLOOKUP($C28,Assumptions!$B$36:$B$41,Assumptions!$B$36:$H$41))</f>
        <v>0</v>
      </c>
      <c r="TBN28">
        <f t="array" ref="TBN28">_xlfn.XLOOKUP(TBN$11,Assumptions!$B$35:$H$35,_xlfn.XLOOKUP($C28,Assumptions!$B$36:$B$41,Assumptions!$B$36:$H$41))</f>
        <v>0</v>
      </c>
      <c r="TBO28">
        <f t="array" ref="TBO28">_xlfn.XLOOKUP(TBO$11,Assumptions!$B$35:$H$35,_xlfn.XLOOKUP($C28,Assumptions!$B$36:$B$41,Assumptions!$B$36:$H$41))</f>
        <v>0</v>
      </c>
      <c r="TBP28">
        <f t="array" ref="TBP28">_xlfn.XLOOKUP(TBP$11,Assumptions!$B$35:$H$35,_xlfn.XLOOKUP($C28,Assumptions!$B$36:$B$41,Assumptions!$B$36:$H$41))</f>
        <v>0</v>
      </c>
      <c r="TBQ28">
        <f t="array" ref="TBQ28">_xlfn.XLOOKUP(TBQ$11,Assumptions!$B$35:$H$35,_xlfn.XLOOKUP($C28,Assumptions!$B$36:$B$41,Assumptions!$B$36:$H$41))</f>
        <v>0</v>
      </c>
      <c r="TBR28">
        <f t="array" ref="TBR28">_xlfn.XLOOKUP(TBR$11,Assumptions!$B$35:$H$35,_xlfn.XLOOKUP($C28,Assumptions!$B$36:$B$41,Assumptions!$B$36:$H$41))</f>
        <v>0</v>
      </c>
      <c r="TBS28">
        <f t="array" ref="TBS28">_xlfn.XLOOKUP(TBS$11,Assumptions!$B$35:$H$35,_xlfn.XLOOKUP($C28,Assumptions!$B$36:$B$41,Assumptions!$B$36:$H$41))</f>
        <v>0</v>
      </c>
      <c r="TBT28">
        <f t="array" ref="TBT28">_xlfn.XLOOKUP(TBT$11,Assumptions!$B$35:$H$35,_xlfn.XLOOKUP($C28,Assumptions!$B$36:$B$41,Assumptions!$B$36:$H$41))</f>
        <v>0</v>
      </c>
      <c r="TBU28">
        <f t="array" ref="TBU28">_xlfn.XLOOKUP(TBU$11,Assumptions!$B$35:$H$35,_xlfn.XLOOKUP($C28,Assumptions!$B$36:$B$41,Assumptions!$B$36:$H$41))</f>
        <v>0</v>
      </c>
      <c r="TBV28">
        <f t="array" ref="TBV28">_xlfn.XLOOKUP(TBV$11,Assumptions!$B$35:$H$35,_xlfn.XLOOKUP($C28,Assumptions!$B$36:$B$41,Assumptions!$B$36:$H$41))</f>
        <v>0</v>
      </c>
      <c r="TBW28">
        <f t="array" ref="TBW28">_xlfn.XLOOKUP(TBW$11,Assumptions!$B$35:$H$35,_xlfn.XLOOKUP($C28,Assumptions!$B$36:$B$41,Assumptions!$B$36:$H$41))</f>
        <v>0</v>
      </c>
      <c r="TBX28">
        <f t="array" ref="TBX28">_xlfn.XLOOKUP(TBX$11,Assumptions!$B$35:$H$35,_xlfn.XLOOKUP($C28,Assumptions!$B$36:$B$41,Assumptions!$B$36:$H$41))</f>
        <v>0</v>
      </c>
      <c r="TBY28">
        <f t="array" ref="TBY28">_xlfn.XLOOKUP(TBY$11,Assumptions!$B$35:$H$35,_xlfn.XLOOKUP($C28,Assumptions!$B$36:$B$41,Assumptions!$B$36:$H$41))</f>
        <v>0</v>
      </c>
      <c r="TBZ28">
        <f t="array" ref="TBZ28">_xlfn.XLOOKUP(TBZ$11,Assumptions!$B$35:$H$35,_xlfn.XLOOKUP($C28,Assumptions!$B$36:$B$41,Assumptions!$B$36:$H$41))</f>
        <v>0</v>
      </c>
      <c r="TCA28">
        <f t="array" ref="TCA28">_xlfn.XLOOKUP(TCA$11,Assumptions!$B$35:$H$35,_xlfn.XLOOKUP($C28,Assumptions!$B$36:$B$41,Assumptions!$B$36:$H$41))</f>
        <v>0</v>
      </c>
      <c r="TCB28">
        <f t="array" ref="TCB28">_xlfn.XLOOKUP(TCB$11,Assumptions!$B$35:$H$35,_xlfn.XLOOKUP($C28,Assumptions!$B$36:$B$41,Assumptions!$B$36:$H$41))</f>
        <v>0</v>
      </c>
      <c r="TCC28">
        <f t="array" ref="TCC28">_xlfn.XLOOKUP(TCC$11,Assumptions!$B$35:$H$35,_xlfn.XLOOKUP($C28,Assumptions!$B$36:$B$41,Assumptions!$B$36:$H$41))</f>
        <v>0</v>
      </c>
      <c r="TCD28">
        <f t="array" ref="TCD28">_xlfn.XLOOKUP(TCD$11,Assumptions!$B$35:$H$35,_xlfn.XLOOKUP($C28,Assumptions!$B$36:$B$41,Assumptions!$B$36:$H$41))</f>
        <v>0</v>
      </c>
      <c r="TCE28">
        <f t="array" ref="TCE28">_xlfn.XLOOKUP(TCE$11,Assumptions!$B$35:$H$35,_xlfn.XLOOKUP($C28,Assumptions!$B$36:$B$41,Assumptions!$B$36:$H$41))</f>
        <v>0</v>
      </c>
      <c r="TCF28">
        <f t="array" ref="TCF28">_xlfn.XLOOKUP(TCF$11,Assumptions!$B$35:$H$35,_xlfn.XLOOKUP($C28,Assumptions!$B$36:$B$41,Assumptions!$B$36:$H$41))</f>
        <v>0</v>
      </c>
      <c r="TCG28">
        <f t="array" ref="TCG28">_xlfn.XLOOKUP(TCG$11,Assumptions!$B$35:$H$35,_xlfn.XLOOKUP($C28,Assumptions!$B$36:$B$41,Assumptions!$B$36:$H$41))</f>
        <v>0</v>
      </c>
      <c r="TCH28">
        <f t="array" ref="TCH28">_xlfn.XLOOKUP(TCH$11,Assumptions!$B$35:$H$35,_xlfn.XLOOKUP($C28,Assumptions!$B$36:$B$41,Assumptions!$B$36:$H$41))</f>
        <v>0</v>
      </c>
      <c r="TCI28">
        <f t="array" ref="TCI28">_xlfn.XLOOKUP(TCI$11,Assumptions!$B$35:$H$35,_xlfn.XLOOKUP($C28,Assumptions!$B$36:$B$41,Assumptions!$B$36:$H$41))</f>
        <v>0</v>
      </c>
      <c r="TCJ28">
        <f t="array" ref="TCJ28">_xlfn.XLOOKUP(TCJ$11,Assumptions!$B$35:$H$35,_xlfn.XLOOKUP($C28,Assumptions!$B$36:$B$41,Assumptions!$B$36:$H$41))</f>
        <v>0</v>
      </c>
      <c r="TCK28">
        <f t="array" ref="TCK28">_xlfn.XLOOKUP(TCK$11,Assumptions!$B$35:$H$35,_xlfn.XLOOKUP($C28,Assumptions!$B$36:$B$41,Assumptions!$B$36:$H$41))</f>
        <v>0</v>
      </c>
      <c r="TCL28">
        <f t="array" ref="TCL28">_xlfn.XLOOKUP(TCL$11,Assumptions!$B$35:$H$35,_xlfn.XLOOKUP($C28,Assumptions!$B$36:$B$41,Assumptions!$B$36:$H$41))</f>
        <v>0</v>
      </c>
      <c r="TCM28">
        <f t="array" ref="TCM28">_xlfn.XLOOKUP(TCM$11,Assumptions!$B$35:$H$35,_xlfn.XLOOKUP($C28,Assumptions!$B$36:$B$41,Assumptions!$B$36:$H$41))</f>
        <v>0</v>
      </c>
      <c r="TCN28">
        <f t="array" ref="TCN28">_xlfn.XLOOKUP(TCN$11,Assumptions!$B$35:$H$35,_xlfn.XLOOKUP($C28,Assumptions!$B$36:$B$41,Assumptions!$B$36:$H$41))</f>
        <v>0</v>
      </c>
      <c r="TCO28">
        <f t="array" ref="TCO28">_xlfn.XLOOKUP(TCO$11,Assumptions!$B$35:$H$35,_xlfn.XLOOKUP($C28,Assumptions!$B$36:$B$41,Assumptions!$B$36:$H$41))</f>
        <v>0</v>
      </c>
      <c r="TCP28">
        <f t="array" ref="TCP28">_xlfn.XLOOKUP(TCP$11,Assumptions!$B$35:$H$35,_xlfn.XLOOKUP($C28,Assumptions!$B$36:$B$41,Assumptions!$B$36:$H$41))</f>
        <v>0</v>
      </c>
      <c r="TCQ28">
        <f t="array" ref="TCQ28">_xlfn.XLOOKUP(TCQ$11,Assumptions!$B$35:$H$35,_xlfn.XLOOKUP($C28,Assumptions!$B$36:$B$41,Assumptions!$B$36:$H$41))</f>
        <v>0</v>
      </c>
      <c r="TCR28">
        <f t="array" ref="TCR28">_xlfn.XLOOKUP(TCR$11,Assumptions!$B$35:$H$35,_xlfn.XLOOKUP($C28,Assumptions!$B$36:$B$41,Assumptions!$B$36:$H$41))</f>
        <v>0</v>
      </c>
      <c r="TCS28">
        <f t="array" ref="TCS28">_xlfn.XLOOKUP(TCS$11,Assumptions!$B$35:$H$35,_xlfn.XLOOKUP($C28,Assumptions!$B$36:$B$41,Assumptions!$B$36:$H$41))</f>
        <v>0</v>
      </c>
      <c r="TCT28">
        <f t="array" ref="TCT28">_xlfn.XLOOKUP(TCT$11,Assumptions!$B$35:$H$35,_xlfn.XLOOKUP($C28,Assumptions!$B$36:$B$41,Assumptions!$B$36:$H$41))</f>
        <v>0</v>
      </c>
      <c r="TCU28">
        <f t="array" ref="TCU28">_xlfn.XLOOKUP(TCU$11,Assumptions!$B$35:$H$35,_xlfn.XLOOKUP($C28,Assumptions!$B$36:$B$41,Assumptions!$B$36:$H$41))</f>
        <v>0</v>
      </c>
      <c r="TCV28">
        <f t="array" ref="TCV28">_xlfn.XLOOKUP(TCV$11,Assumptions!$B$35:$H$35,_xlfn.XLOOKUP($C28,Assumptions!$B$36:$B$41,Assumptions!$B$36:$H$41))</f>
        <v>0</v>
      </c>
      <c r="TCW28">
        <f t="array" ref="TCW28">_xlfn.XLOOKUP(TCW$11,Assumptions!$B$35:$H$35,_xlfn.XLOOKUP($C28,Assumptions!$B$36:$B$41,Assumptions!$B$36:$H$41))</f>
        <v>0</v>
      </c>
      <c r="TCX28">
        <f t="array" ref="TCX28">_xlfn.XLOOKUP(TCX$11,Assumptions!$B$35:$H$35,_xlfn.XLOOKUP($C28,Assumptions!$B$36:$B$41,Assumptions!$B$36:$H$41))</f>
        <v>0</v>
      </c>
      <c r="TCY28">
        <f t="array" ref="TCY28">_xlfn.XLOOKUP(TCY$11,Assumptions!$B$35:$H$35,_xlfn.XLOOKUP($C28,Assumptions!$B$36:$B$41,Assumptions!$B$36:$H$41))</f>
        <v>0</v>
      </c>
      <c r="TCZ28">
        <f t="array" ref="TCZ28">_xlfn.XLOOKUP(TCZ$11,Assumptions!$B$35:$H$35,_xlfn.XLOOKUP($C28,Assumptions!$B$36:$B$41,Assumptions!$B$36:$H$41))</f>
        <v>0</v>
      </c>
      <c r="TDA28">
        <f t="array" ref="TDA28">_xlfn.XLOOKUP(TDA$11,Assumptions!$B$35:$H$35,_xlfn.XLOOKUP($C28,Assumptions!$B$36:$B$41,Assumptions!$B$36:$H$41))</f>
        <v>0</v>
      </c>
      <c r="TDB28">
        <f t="array" ref="TDB28">_xlfn.XLOOKUP(TDB$11,Assumptions!$B$35:$H$35,_xlfn.XLOOKUP($C28,Assumptions!$B$36:$B$41,Assumptions!$B$36:$H$41))</f>
        <v>0</v>
      </c>
      <c r="TDC28">
        <f t="array" ref="TDC28">_xlfn.XLOOKUP(TDC$11,Assumptions!$B$35:$H$35,_xlfn.XLOOKUP($C28,Assumptions!$B$36:$B$41,Assumptions!$B$36:$H$41))</f>
        <v>0</v>
      </c>
      <c r="TDD28">
        <f t="array" ref="TDD28">_xlfn.XLOOKUP(TDD$11,Assumptions!$B$35:$H$35,_xlfn.XLOOKUP($C28,Assumptions!$B$36:$B$41,Assumptions!$B$36:$H$41))</f>
        <v>0</v>
      </c>
      <c r="TDE28">
        <f t="array" ref="TDE28">_xlfn.XLOOKUP(TDE$11,Assumptions!$B$35:$H$35,_xlfn.XLOOKUP($C28,Assumptions!$B$36:$B$41,Assumptions!$B$36:$H$41))</f>
        <v>0</v>
      </c>
      <c r="TDF28">
        <f t="array" ref="TDF28">_xlfn.XLOOKUP(TDF$11,Assumptions!$B$35:$H$35,_xlfn.XLOOKUP($C28,Assumptions!$B$36:$B$41,Assumptions!$B$36:$H$41))</f>
        <v>0</v>
      </c>
      <c r="TDG28">
        <f t="array" ref="TDG28">_xlfn.XLOOKUP(TDG$11,Assumptions!$B$35:$H$35,_xlfn.XLOOKUP($C28,Assumptions!$B$36:$B$41,Assumptions!$B$36:$H$41))</f>
        <v>0</v>
      </c>
      <c r="TDH28">
        <f t="array" ref="TDH28">_xlfn.XLOOKUP(TDH$11,Assumptions!$B$35:$H$35,_xlfn.XLOOKUP($C28,Assumptions!$B$36:$B$41,Assumptions!$B$36:$H$41))</f>
        <v>0</v>
      </c>
      <c r="TDI28">
        <f t="array" ref="TDI28">_xlfn.XLOOKUP(TDI$11,Assumptions!$B$35:$H$35,_xlfn.XLOOKUP($C28,Assumptions!$B$36:$B$41,Assumptions!$B$36:$H$41))</f>
        <v>0</v>
      </c>
      <c r="TDJ28">
        <f t="array" ref="TDJ28">_xlfn.XLOOKUP(TDJ$11,Assumptions!$B$35:$H$35,_xlfn.XLOOKUP($C28,Assumptions!$B$36:$B$41,Assumptions!$B$36:$H$41))</f>
        <v>0</v>
      </c>
      <c r="TDK28">
        <f t="array" ref="TDK28">_xlfn.XLOOKUP(TDK$11,Assumptions!$B$35:$H$35,_xlfn.XLOOKUP($C28,Assumptions!$B$36:$B$41,Assumptions!$B$36:$H$41))</f>
        <v>0</v>
      </c>
      <c r="TDL28">
        <f t="array" ref="TDL28">_xlfn.XLOOKUP(TDL$11,Assumptions!$B$35:$H$35,_xlfn.XLOOKUP($C28,Assumptions!$B$36:$B$41,Assumptions!$B$36:$H$41))</f>
        <v>0</v>
      </c>
      <c r="TDM28">
        <f t="array" ref="TDM28">_xlfn.XLOOKUP(TDM$11,Assumptions!$B$35:$H$35,_xlfn.XLOOKUP($C28,Assumptions!$B$36:$B$41,Assumptions!$B$36:$H$41))</f>
        <v>0</v>
      </c>
      <c r="TDN28">
        <f t="array" ref="TDN28">_xlfn.XLOOKUP(TDN$11,Assumptions!$B$35:$H$35,_xlfn.XLOOKUP($C28,Assumptions!$B$36:$B$41,Assumptions!$B$36:$H$41))</f>
        <v>0</v>
      </c>
      <c r="TDO28">
        <f t="array" ref="TDO28">_xlfn.XLOOKUP(TDO$11,Assumptions!$B$35:$H$35,_xlfn.XLOOKUP($C28,Assumptions!$B$36:$B$41,Assumptions!$B$36:$H$41))</f>
        <v>0</v>
      </c>
      <c r="TDP28">
        <f t="array" ref="TDP28">_xlfn.XLOOKUP(TDP$11,Assumptions!$B$35:$H$35,_xlfn.XLOOKUP($C28,Assumptions!$B$36:$B$41,Assumptions!$B$36:$H$41))</f>
        <v>0</v>
      </c>
      <c r="TDQ28">
        <f t="array" ref="TDQ28">_xlfn.XLOOKUP(TDQ$11,Assumptions!$B$35:$H$35,_xlfn.XLOOKUP($C28,Assumptions!$B$36:$B$41,Assumptions!$B$36:$H$41))</f>
        <v>0</v>
      </c>
      <c r="TDR28">
        <f t="array" ref="TDR28">_xlfn.XLOOKUP(TDR$11,Assumptions!$B$35:$H$35,_xlfn.XLOOKUP($C28,Assumptions!$B$36:$B$41,Assumptions!$B$36:$H$41))</f>
        <v>0</v>
      </c>
      <c r="TDS28">
        <f t="array" ref="TDS28">_xlfn.XLOOKUP(TDS$11,Assumptions!$B$35:$H$35,_xlfn.XLOOKUP($C28,Assumptions!$B$36:$B$41,Assumptions!$B$36:$H$41))</f>
        <v>0</v>
      </c>
      <c r="TDT28">
        <f t="array" ref="TDT28">_xlfn.XLOOKUP(TDT$11,Assumptions!$B$35:$H$35,_xlfn.XLOOKUP($C28,Assumptions!$B$36:$B$41,Assumptions!$B$36:$H$41))</f>
        <v>0</v>
      </c>
      <c r="TDU28">
        <f t="array" ref="TDU28">_xlfn.XLOOKUP(TDU$11,Assumptions!$B$35:$H$35,_xlfn.XLOOKUP($C28,Assumptions!$B$36:$B$41,Assumptions!$B$36:$H$41))</f>
        <v>0</v>
      </c>
      <c r="TDV28">
        <f t="array" ref="TDV28">_xlfn.XLOOKUP(TDV$11,Assumptions!$B$35:$H$35,_xlfn.XLOOKUP($C28,Assumptions!$B$36:$B$41,Assumptions!$B$36:$H$41))</f>
        <v>0</v>
      </c>
      <c r="TDW28">
        <f t="array" ref="TDW28">_xlfn.XLOOKUP(TDW$11,Assumptions!$B$35:$H$35,_xlfn.XLOOKUP($C28,Assumptions!$B$36:$B$41,Assumptions!$B$36:$H$41))</f>
        <v>0</v>
      </c>
      <c r="TDX28">
        <f t="array" ref="TDX28">_xlfn.XLOOKUP(TDX$11,Assumptions!$B$35:$H$35,_xlfn.XLOOKUP($C28,Assumptions!$B$36:$B$41,Assumptions!$B$36:$H$41))</f>
        <v>0</v>
      </c>
      <c r="TDY28">
        <f t="array" ref="TDY28">_xlfn.XLOOKUP(TDY$11,Assumptions!$B$35:$H$35,_xlfn.XLOOKUP($C28,Assumptions!$B$36:$B$41,Assumptions!$B$36:$H$41))</f>
        <v>0</v>
      </c>
      <c r="TDZ28">
        <f t="array" ref="TDZ28">_xlfn.XLOOKUP(TDZ$11,Assumptions!$B$35:$H$35,_xlfn.XLOOKUP($C28,Assumptions!$B$36:$B$41,Assumptions!$B$36:$H$41))</f>
        <v>0</v>
      </c>
      <c r="TEA28">
        <f t="array" ref="TEA28">_xlfn.XLOOKUP(TEA$11,Assumptions!$B$35:$H$35,_xlfn.XLOOKUP($C28,Assumptions!$B$36:$B$41,Assumptions!$B$36:$H$41))</f>
        <v>0</v>
      </c>
      <c r="TEB28">
        <f t="array" ref="TEB28">_xlfn.XLOOKUP(TEB$11,Assumptions!$B$35:$H$35,_xlfn.XLOOKUP($C28,Assumptions!$B$36:$B$41,Assumptions!$B$36:$H$41))</f>
        <v>0</v>
      </c>
      <c r="TEC28">
        <f t="array" ref="TEC28">_xlfn.XLOOKUP(TEC$11,Assumptions!$B$35:$H$35,_xlfn.XLOOKUP($C28,Assumptions!$B$36:$B$41,Assumptions!$B$36:$H$41))</f>
        <v>0</v>
      </c>
      <c r="TED28">
        <f t="array" ref="TED28">_xlfn.XLOOKUP(TED$11,Assumptions!$B$35:$H$35,_xlfn.XLOOKUP($C28,Assumptions!$B$36:$B$41,Assumptions!$B$36:$H$41))</f>
        <v>0</v>
      </c>
      <c r="TEE28">
        <f t="array" ref="TEE28">_xlfn.XLOOKUP(TEE$11,Assumptions!$B$35:$H$35,_xlfn.XLOOKUP($C28,Assumptions!$B$36:$B$41,Assumptions!$B$36:$H$41))</f>
        <v>0</v>
      </c>
      <c r="TEF28">
        <f t="array" ref="TEF28">_xlfn.XLOOKUP(TEF$11,Assumptions!$B$35:$H$35,_xlfn.XLOOKUP($C28,Assumptions!$B$36:$B$41,Assumptions!$B$36:$H$41))</f>
        <v>0</v>
      </c>
      <c r="TEG28">
        <f t="array" ref="TEG28">_xlfn.XLOOKUP(TEG$11,Assumptions!$B$35:$H$35,_xlfn.XLOOKUP($C28,Assumptions!$B$36:$B$41,Assumptions!$B$36:$H$41))</f>
        <v>0</v>
      </c>
      <c r="TEH28">
        <f t="array" ref="TEH28">_xlfn.XLOOKUP(TEH$11,Assumptions!$B$35:$H$35,_xlfn.XLOOKUP($C28,Assumptions!$B$36:$B$41,Assumptions!$B$36:$H$41))</f>
        <v>0</v>
      </c>
      <c r="TEI28">
        <f t="array" ref="TEI28">_xlfn.XLOOKUP(TEI$11,Assumptions!$B$35:$H$35,_xlfn.XLOOKUP($C28,Assumptions!$B$36:$B$41,Assumptions!$B$36:$H$41))</f>
        <v>0</v>
      </c>
      <c r="TEJ28">
        <f t="array" ref="TEJ28">_xlfn.XLOOKUP(TEJ$11,Assumptions!$B$35:$H$35,_xlfn.XLOOKUP($C28,Assumptions!$B$36:$B$41,Assumptions!$B$36:$H$41))</f>
        <v>0</v>
      </c>
      <c r="TEK28">
        <f t="array" ref="TEK28">_xlfn.XLOOKUP(TEK$11,Assumptions!$B$35:$H$35,_xlfn.XLOOKUP($C28,Assumptions!$B$36:$B$41,Assumptions!$B$36:$H$41))</f>
        <v>0</v>
      </c>
      <c r="TEL28">
        <f t="array" ref="TEL28">_xlfn.XLOOKUP(TEL$11,Assumptions!$B$35:$H$35,_xlfn.XLOOKUP($C28,Assumptions!$B$36:$B$41,Assumptions!$B$36:$H$41))</f>
        <v>0</v>
      </c>
      <c r="TEM28">
        <f t="array" ref="TEM28">_xlfn.XLOOKUP(TEM$11,Assumptions!$B$35:$H$35,_xlfn.XLOOKUP($C28,Assumptions!$B$36:$B$41,Assumptions!$B$36:$H$41))</f>
        <v>0</v>
      </c>
      <c r="TEN28">
        <f t="array" ref="TEN28">_xlfn.XLOOKUP(TEN$11,Assumptions!$B$35:$H$35,_xlfn.XLOOKUP($C28,Assumptions!$B$36:$B$41,Assumptions!$B$36:$H$41))</f>
        <v>0</v>
      </c>
      <c r="TEO28">
        <f t="array" ref="TEO28">_xlfn.XLOOKUP(TEO$11,Assumptions!$B$35:$H$35,_xlfn.XLOOKUP($C28,Assumptions!$B$36:$B$41,Assumptions!$B$36:$H$41))</f>
        <v>0</v>
      </c>
      <c r="TEP28">
        <f t="array" ref="TEP28">_xlfn.XLOOKUP(TEP$11,Assumptions!$B$35:$H$35,_xlfn.XLOOKUP($C28,Assumptions!$B$36:$B$41,Assumptions!$B$36:$H$41))</f>
        <v>0</v>
      </c>
      <c r="TEQ28">
        <f t="array" ref="TEQ28">_xlfn.XLOOKUP(TEQ$11,Assumptions!$B$35:$H$35,_xlfn.XLOOKUP($C28,Assumptions!$B$36:$B$41,Assumptions!$B$36:$H$41))</f>
        <v>0</v>
      </c>
      <c r="TER28">
        <f t="array" ref="TER28">_xlfn.XLOOKUP(TER$11,Assumptions!$B$35:$H$35,_xlfn.XLOOKUP($C28,Assumptions!$B$36:$B$41,Assumptions!$B$36:$H$41))</f>
        <v>0</v>
      </c>
      <c r="TES28">
        <f t="array" ref="TES28">_xlfn.XLOOKUP(TES$11,Assumptions!$B$35:$H$35,_xlfn.XLOOKUP($C28,Assumptions!$B$36:$B$41,Assumptions!$B$36:$H$41))</f>
        <v>0</v>
      </c>
      <c r="TET28">
        <f t="array" ref="TET28">_xlfn.XLOOKUP(TET$11,Assumptions!$B$35:$H$35,_xlfn.XLOOKUP($C28,Assumptions!$B$36:$B$41,Assumptions!$B$36:$H$41))</f>
        <v>0</v>
      </c>
      <c r="TEU28">
        <f t="array" ref="TEU28">_xlfn.XLOOKUP(TEU$11,Assumptions!$B$35:$H$35,_xlfn.XLOOKUP($C28,Assumptions!$B$36:$B$41,Assumptions!$B$36:$H$41))</f>
        <v>0</v>
      </c>
      <c r="TEV28">
        <f t="array" ref="TEV28">_xlfn.XLOOKUP(TEV$11,Assumptions!$B$35:$H$35,_xlfn.XLOOKUP($C28,Assumptions!$B$36:$B$41,Assumptions!$B$36:$H$41))</f>
        <v>0</v>
      </c>
      <c r="TEW28">
        <f t="array" ref="TEW28">_xlfn.XLOOKUP(TEW$11,Assumptions!$B$35:$H$35,_xlfn.XLOOKUP($C28,Assumptions!$B$36:$B$41,Assumptions!$B$36:$H$41))</f>
        <v>0</v>
      </c>
      <c r="TEX28">
        <f t="array" ref="TEX28">_xlfn.XLOOKUP(TEX$11,Assumptions!$B$35:$H$35,_xlfn.XLOOKUP($C28,Assumptions!$B$36:$B$41,Assumptions!$B$36:$H$41))</f>
        <v>0</v>
      </c>
      <c r="TEY28">
        <f t="array" ref="TEY28">_xlfn.XLOOKUP(TEY$11,Assumptions!$B$35:$H$35,_xlfn.XLOOKUP($C28,Assumptions!$B$36:$B$41,Assumptions!$B$36:$H$41))</f>
        <v>0</v>
      </c>
      <c r="TEZ28">
        <f t="array" ref="TEZ28">_xlfn.XLOOKUP(TEZ$11,Assumptions!$B$35:$H$35,_xlfn.XLOOKUP($C28,Assumptions!$B$36:$B$41,Assumptions!$B$36:$H$41))</f>
        <v>0</v>
      </c>
      <c r="TFA28">
        <f t="array" ref="TFA28">_xlfn.XLOOKUP(TFA$11,Assumptions!$B$35:$H$35,_xlfn.XLOOKUP($C28,Assumptions!$B$36:$B$41,Assumptions!$B$36:$H$41))</f>
        <v>0</v>
      </c>
      <c r="TFB28">
        <f t="array" ref="TFB28">_xlfn.XLOOKUP(TFB$11,Assumptions!$B$35:$H$35,_xlfn.XLOOKUP($C28,Assumptions!$B$36:$B$41,Assumptions!$B$36:$H$41))</f>
        <v>0</v>
      </c>
      <c r="TFC28">
        <f t="array" ref="TFC28">_xlfn.XLOOKUP(TFC$11,Assumptions!$B$35:$H$35,_xlfn.XLOOKUP($C28,Assumptions!$B$36:$B$41,Assumptions!$B$36:$H$41))</f>
        <v>0</v>
      </c>
      <c r="TFD28">
        <f t="array" ref="TFD28">_xlfn.XLOOKUP(TFD$11,Assumptions!$B$35:$H$35,_xlfn.XLOOKUP($C28,Assumptions!$B$36:$B$41,Assumptions!$B$36:$H$41))</f>
        <v>0</v>
      </c>
      <c r="TFE28">
        <f t="array" ref="TFE28">_xlfn.XLOOKUP(TFE$11,Assumptions!$B$35:$H$35,_xlfn.XLOOKUP($C28,Assumptions!$B$36:$B$41,Assumptions!$B$36:$H$41))</f>
        <v>0</v>
      </c>
      <c r="TFF28">
        <f t="array" ref="TFF28">_xlfn.XLOOKUP(TFF$11,Assumptions!$B$35:$H$35,_xlfn.XLOOKUP($C28,Assumptions!$B$36:$B$41,Assumptions!$B$36:$H$41))</f>
        <v>0</v>
      </c>
      <c r="TFG28">
        <f t="array" ref="TFG28">_xlfn.XLOOKUP(TFG$11,Assumptions!$B$35:$H$35,_xlfn.XLOOKUP($C28,Assumptions!$B$36:$B$41,Assumptions!$B$36:$H$41))</f>
        <v>0</v>
      </c>
      <c r="TFH28">
        <f t="array" ref="TFH28">_xlfn.XLOOKUP(TFH$11,Assumptions!$B$35:$H$35,_xlfn.XLOOKUP($C28,Assumptions!$B$36:$B$41,Assumptions!$B$36:$H$41))</f>
        <v>0</v>
      </c>
      <c r="TFI28">
        <f t="array" ref="TFI28">_xlfn.XLOOKUP(TFI$11,Assumptions!$B$35:$H$35,_xlfn.XLOOKUP($C28,Assumptions!$B$36:$B$41,Assumptions!$B$36:$H$41))</f>
        <v>0</v>
      </c>
      <c r="TFJ28">
        <f t="array" ref="TFJ28">_xlfn.XLOOKUP(TFJ$11,Assumptions!$B$35:$H$35,_xlfn.XLOOKUP($C28,Assumptions!$B$36:$B$41,Assumptions!$B$36:$H$41))</f>
        <v>0</v>
      </c>
      <c r="TFK28">
        <f t="array" ref="TFK28">_xlfn.XLOOKUP(TFK$11,Assumptions!$B$35:$H$35,_xlfn.XLOOKUP($C28,Assumptions!$B$36:$B$41,Assumptions!$B$36:$H$41))</f>
        <v>0</v>
      </c>
      <c r="TFL28">
        <f t="array" ref="TFL28">_xlfn.XLOOKUP(TFL$11,Assumptions!$B$35:$H$35,_xlfn.XLOOKUP($C28,Assumptions!$B$36:$B$41,Assumptions!$B$36:$H$41))</f>
        <v>0</v>
      </c>
      <c r="TFM28">
        <f t="array" ref="TFM28">_xlfn.XLOOKUP(TFM$11,Assumptions!$B$35:$H$35,_xlfn.XLOOKUP($C28,Assumptions!$B$36:$B$41,Assumptions!$B$36:$H$41))</f>
        <v>0</v>
      </c>
      <c r="TFN28">
        <f t="array" ref="TFN28">_xlfn.XLOOKUP(TFN$11,Assumptions!$B$35:$H$35,_xlfn.XLOOKUP($C28,Assumptions!$B$36:$B$41,Assumptions!$B$36:$H$41))</f>
        <v>0</v>
      </c>
      <c r="TFO28">
        <f t="array" ref="TFO28">_xlfn.XLOOKUP(TFO$11,Assumptions!$B$35:$H$35,_xlfn.XLOOKUP($C28,Assumptions!$B$36:$B$41,Assumptions!$B$36:$H$41))</f>
        <v>0</v>
      </c>
      <c r="TFP28">
        <f t="array" ref="TFP28">_xlfn.XLOOKUP(TFP$11,Assumptions!$B$35:$H$35,_xlfn.XLOOKUP($C28,Assumptions!$B$36:$B$41,Assumptions!$B$36:$H$41))</f>
        <v>0</v>
      </c>
      <c r="TFQ28">
        <f t="array" ref="TFQ28">_xlfn.XLOOKUP(TFQ$11,Assumptions!$B$35:$H$35,_xlfn.XLOOKUP($C28,Assumptions!$B$36:$B$41,Assumptions!$B$36:$H$41))</f>
        <v>0</v>
      </c>
      <c r="TFR28">
        <f t="array" ref="TFR28">_xlfn.XLOOKUP(TFR$11,Assumptions!$B$35:$H$35,_xlfn.XLOOKUP($C28,Assumptions!$B$36:$B$41,Assumptions!$B$36:$H$41))</f>
        <v>0</v>
      </c>
      <c r="TFS28">
        <f t="array" ref="TFS28">_xlfn.XLOOKUP(TFS$11,Assumptions!$B$35:$H$35,_xlfn.XLOOKUP($C28,Assumptions!$B$36:$B$41,Assumptions!$B$36:$H$41))</f>
        <v>0</v>
      </c>
      <c r="TFT28">
        <f t="array" ref="TFT28">_xlfn.XLOOKUP(TFT$11,Assumptions!$B$35:$H$35,_xlfn.XLOOKUP($C28,Assumptions!$B$36:$B$41,Assumptions!$B$36:$H$41))</f>
        <v>0</v>
      </c>
      <c r="TFU28">
        <f t="array" ref="TFU28">_xlfn.XLOOKUP(TFU$11,Assumptions!$B$35:$H$35,_xlfn.XLOOKUP($C28,Assumptions!$B$36:$B$41,Assumptions!$B$36:$H$41))</f>
        <v>0</v>
      </c>
      <c r="TFV28">
        <f t="array" ref="TFV28">_xlfn.XLOOKUP(TFV$11,Assumptions!$B$35:$H$35,_xlfn.XLOOKUP($C28,Assumptions!$B$36:$B$41,Assumptions!$B$36:$H$41))</f>
        <v>0</v>
      </c>
      <c r="TFW28">
        <f t="array" ref="TFW28">_xlfn.XLOOKUP(TFW$11,Assumptions!$B$35:$H$35,_xlfn.XLOOKUP($C28,Assumptions!$B$36:$B$41,Assumptions!$B$36:$H$41))</f>
        <v>0</v>
      </c>
      <c r="TFX28">
        <f t="array" ref="TFX28">_xlfn.XLOOKUP(TFX$11,Assumptions!$B$35:$H$35,_xlfn.XLOOKUP($C28,Assumptions!$B$36:$B$41,Assumptions!$B$36:$H$41))</f>
        <v>0</v>
      </c>
      <c r="TFY28">
        <f t="array" ref="TFY28">_xlfn.XLOOKUP(TFY$11,Assumptions!$B$35:$H$35,_xlfn.XLOOKUP($C28,Assumptions!$B$36:$B$41,Assumptions!$B$36:$H$41))</f>
        <v>0</v>
      </c>
      <c r="TFZ28">
        <f t="array" ref="TFZ28">_xlfn.XLOOKUP(TFZ$11,Assumptions!$B$35:$H$35,_xlfn.XLOOKUP($C28,Assumptions!$B$36:$B$41,Assumptions!$B$36:$H$41))</f>
        <v>0</v>
      </c>
      <c r="TGA28">
        <f t="array" ref="TGA28">_xlfn.XLOOKUP(TGA$11,Assumptions!$B$35:$H$35,_xlfn.XLOOKUP($C28,Assumptions!$B$36:$B$41,Assumptions!$B$36:$H$41))</f>
        <v>0</v>
      </c>
      <c r="TGB28">
        <f t="array" ref="TGB28">_xlfn.XLOOKUP(TGB$11,Assumptions!$B$35:$H$35,_xlfn.XLOOKUP($C28,Assumptions!$B$36:$B$41,Assumptions!$B$36:$H$41))</f>
        <v>0</v>
      </c>
      <c r="TGC28">
        <f t="array" ref="TGC28">_xlfn.XLOOKUP(TGC$11,Assumptions!$B$35:$H$35,_xlfn.XLOOKUP($C28,Assumptions!$B$36:$B$41,Assumptions!$B$36:$H$41))</f>
        <v>0</v>
      </c>
      <c r="TGD28">
        <f t="array" ref="TGD28">_xlfn.XLOOKUP(TGD$11,Assumptions!$B$35:$H$35,_xlfn.XLOOKUP($C28,Assumptions!$B$36:$B$41,Assumptions!$B$36:$H$41))</f>
        <v>0</v>
      </c>
      <c r="TGE28">
        <f t="array" ref="TGE28">_xlfn.XLOOKUP(TGE$11,Assumptions!$B$35:$H$35,_xlfn.XLOOKUP($C28,Assumptions!$B$36:$B$41,Assumptions!$B$36:$H$41))</f>
        <v>0</v>
      </c>
      <c r="TGF28">
        <f t="array" ref="TGF28">_xlfn.XLOOKUP(TGF$11,Assumptions!$B$35:$H$35,_xlfn.XLOOKUP($C28,Assumptions!$B$36:$B$41,Assumptions!$B$36:$H$41))</f>
        <v>0</v>
      </c>
      <c r="TGG28">
        <f t="array" ref="TGG28">_xlfn.XLOOKUP(TGG$11,Assumptions!$B$35:$H$35,_xlfn.XLOOKUP($C28,Assumptions!$B$36:$B$41,Assumptions!$B$36:$H$41))</f>
        <v>0</v>
      </c>
      <c r="TGH28">
        <f t="array" ref="TGH28">_xlfn.XLOOKUP(TGH$11,Assumptions!$B$35:$H$35,_xlfn.XLOOKUP($C28,Assumptions!$B$36:$B$41,Assumptions!$B$36:$H$41))</f>
        <v>0</v>
      </c>
      <c r="TGI28">
        <f t="array" ref="TGI28">_xlfn.XLOOKUP(TGI$11,Assumptions!$B$35:$H$35,_xlfn.XLOOKUP($C28,Assumptions!$B$36:$B$41,Assumptions!$B$36:$H$41))</f>
        <v>0</v>
      </c>
      <c r="TGJ28">
        <f t="array" ref="TGJ28">_xlfn.XLOOKUP(TGJ$11,Assumptions!$B$35:$H$35,_xlfn.XLOOKUP($C28,Assumptions!$B$36:$B$41,Assumptions!$B$36:$H$41))</f>
        <v>0</v>
      </c>
      <c r="TGK28">
        <f t="array" ref="TGK28">_xlfn.XLOOKUP(TGK$11,Assumptions!$B$35:$H$35,_xlfn.XLOOKUP($C28,Assumptions!$B$36:$B$41,Assumptions!$B$36:$H$41))</f>
        <v>0</v>
      </c>
      <c r="TGL28">
        <f t="array" ref="TGL28">_xlfn.XLOOKUP(TGL$11,Assumptions!$B$35:$H$35,_xlfn.XLOOKUP($C28,Assumptions!$B$36:$B$41,Assumptions!$B$36:$H$41))</f>
        <v>0</v>
      </c>
      <c r="TGM28">
        <f t="array" ref="TGM28">_xlfn.XLOOKUP(TGM$11,Assumptions!$B$35:$H$35,_xlfn.XLOOKUP($C28,Assumptions!$B$36:$B$41,Assumptions!$B$36:$H$41))</f>
        <v>0</v>
      </c>
      <c r="TGN28">
        <f t="array" ref="TGN28">_xlfn.XLOOKUP(TGN$11,Assumptions!$B$35:$H$35,_xlfn.XLOOKUP($C28,Assumptions!$B$36:$B$41,Assumptions!$B$36:$H$41))</f>
        <v>0</v>
      </c>
      <c r="TGO28">
        <f t="array" ref="TGO28">_xlfn.XLOOKUP(TGO$11,Assumptions!$B$35:$H$35,_xlfn.XLOOKUP($C28,Assumptions!$B$36:$B$41,Assumptions!$B$36:$H$41))</f>
        <v>0</v>
      </c>
      <c r="TGP28">
        <f t="array" ref="TGP28">_xlfn.XLOOKUP(TGP$11,Assumptions!$B$35:$H$35,_xlfn.XLOOKUP($C28,Assumptions!$B$36:$B$41,Assumptions!$B$36:$H$41))</f>
        <v>0</v>
      </c>
      <c r="TGQ28">
        <f t="array" ref="TGQ28">_xlfn.XLOOKUP(TGQ$11,Assumptions!$B$35:$H$35,_xlfn.XLOOKUP($C28,Assumptions!$B$36:$B$41,Assumptions!$B$36:$H$41))</f>
        <v>0</v>
      </c>
      <c r="TGR28">
        <f t="array" ref="TGR28">_xlfn.XLOOKUP(TGR$11,Assumptions!$B$35:$H$35,_xlfn.XLOOKUP($C28,Assumptions!$B$36:$B$41,Assumptions!$B$36:$H$41))</f>
        <v>0</v>
      </c>
      <c r="TGS28">
        <f t="array" ref="TGS28">_xlfn.XLOOKUP(TGS$11,Assumptions!$B$35:$H$35,_xlfn.XLOOKUP($C28,Assumptions!$B$36:$B$41,Assumptions!$B$36:$H$41))</f>
        <v>0</v>
      </c>
      <c r="TGT28">
        <f t="array" ref="TGT28">_xlfn.XLOOKUP(TGT$11,Assumptions!$B$35:$H$35,_xlfn.XLOOKUP($C28,Assumptions!$B$36:$B$41,Assumptions!$B$36:$H$41))</f>
        <v>0</v>
      </c>
      <c r="TGU28">
        <f t="array" ref="TGU28">_xlfn.XLOOKUP(TGU$11,Assumptions!$B$35:$H$35,_xlfn.XLOOKUP($C28,Assumptions!$B$36:$B$41,Assumptions!$B$36:$H$41))</f>
        <v>0</v>
      </c>
      <c r="TGV28">
        <f t="array" ref="TGV28">_xlfn.XLOOKUP(TGV$11,Assumptions!$B$35:$H$35,_xlfn.XLOOKUP($C28,Assumptions!$B$36:$B$41,Assumptions!$B$36:$H$41))</f>
        <v>0</v>
      </c>
      <c r="TGW28">
        <f t="array" ref="TGW28">_xlfn.XLOOKUP(TGW$11,Assumptions!$B$35:$H$35,_xlfn.XLOOKUP($C28,Assumptions!$B$36:$B$41,Assumptions!$B$36:$H$41))</f>
        <v>0</v>
      </c>
      <c r="TGX28">
        <f t="array" ref="TGX28">_xlfn.XLOOKUP(TGX$11,Assumptions!$B$35:$H$35,_xlfn.XLOOKUP($C28,Assumptions!$B$36:$B$41,Assumptions!$B$36:$H$41))</f>
        <v>0</v>
      </c>
      <c r="TGY28">
        <f t="array" ref="TGY28">_xlfn.XLOOKUP(TGY$11,Assumptions!$B$35:$H$35,_xlfn.XLOOKUP($C28,Assumptions!$B$36:$B$41,Assumptions!$B$36:$H$41))</f>
        <v>0</v>
      </c>
      <c r="TGZ28">
        <f t="array" ref="TGZ28">_xlfn.XLOOKUP(TGZ$11,Assumptions!$B$35:$H$35,_xlfn.XLOOKUP($C28,Assumptions!$B$36:$B$41,Assumptions!$B$36:$H$41))</f>
        <v>0</v>
      </c>
      <c r="THA28">
        <f t="array" ref="THA28">_xlfn.XLOOKUP(THA$11,Assumptions!$B$35:$H$35,_xlfn.XLOOKUP($C28,Assumptions!$B$36:$B$41,Assumptions!$B$36:$H$41))</f>
        <v>0</v>
      </c>
      <c r="THB28">
        <f t="array" ref="THB28">_xlfn.XLOOKUP(THB$11,Assumptions!$B$35:$H$35,_xlfn.XLOOKUP($C28,Assumptions!$B$36:$B$41,Assumptions!$B$36:$H$41))</f>
        <v>0</v>
      </c>
      <c r="THC28">
        <f t="array" ref="THC28">_xlfn.XLOOKUP(THC$11,Assumptions!$B$35:$H$35,_xlfn.XLOOKUP($C28,Assumptions!$B$36:$B$41,Assumptions!$B$36:$H$41))</f>
        <v>0</v>
      </c>
      <c r="THD28">
        <f t="array" ref="THD28">_xlfn.XLOOKUP(THD$11,Assumptions!$B$35:$H$35,_xlfn.XLOOKUP($C28,Assumptions!$B$36:$B$41,Assumptions!$B$36:$H$41))</f>
        <v>0</v>
      </c>
      <c r="THE28">
        <f t="array" ref="THE28">_xlfn.XLOOKUP(THE$11,Assumptions!$B$35:$H$35,_xlfn.XLOOKUP($C28,Assumptions!$B$36:$B$41,Assumptions!$B$36:$H$41))</f>
        <v>0</v>
      </c>
      <c r="THF28">
        <f t="array" ref="THF28">_xlfn.XLOOKUP(THF$11,Assumptions!$B$35:$H$35,_xlfn.XLOOKUP($C28,Assumptions!$B$36:$B$41,Assumptions!$B$36:$H$41))</f>
        <v>0</v>
      </c>
      <c r="THG28">
        <f t="array" ref="THG28">_xlfn.XLOOKUP(THG$11,Assumptions!$B$35:$H$35,_xlfn.XLOOKUP($C28,Assumptions!$B$36:$B$41,Assumptions!$B$36:$H$41))</f>
        <v>0</v>
      </c>
      <c r="THH28">
        <f t="array" ref="THH28">_xlfn.XLOOKUP(THH$11,Assumptions!$B$35:$H$35,_xlfn.XLOOKUP($C28,Assumptions!$B$36:$B$41,Assumptions!$B$36:$H$41))</f>
        <v>0</v>
      </c>
      <c r="THI28">
        <f t="array" ref="THI28">_xlfn.XLOOKUP(THI$11,Assumptions!$B$35:$H$35,_xlfn.XLOOKUP($C28,Assumptions!$B$36:$B$41,Assumptions!$B$36:$H$41))</f>
        <v>0</v>
      </c>
      <c r="THJ28">
        <f t="array" ref="THJ28">_xlfn.XLOOKUP(THJ$11,Assumptions!$B$35:$H$35,_xlfn.XLOOKUP($C28,Assumptions!$B$36:$B$41,Assumptions!$B$36:$H$41))</f>
        <v>0</v>
      </c>
      <c r="THK28">
        <f t="array" ref="THK28">_xlfn.XLOOKUP(THK$11,Assumptions!$B$35:$H$35,_xlfn.XLOOKUP($C28,Assumptions!$B$36:$B$41,Assumptions!$B$36:$H$41))</f>
        <v>0</v>
      </c>
      <c r="THL28">
        <f t="array" ref="THL28">_xlfn.XLOOKUP(THL$11,Assumptions!$B$35:$H$35,_xlfn.XLOOKUP($C28,Assumptions!$B$36:$B$41,Assumptions!$B$36:$H$41))</f>
        <v>0</v>
      </c>
      <c r="THM28">
        <f t="array" ref="THM28">_xlfn.XLOOKUP(THM$11,Assumptions!$B$35:$H$35,_xlfn.XLOOKUP($C28,Assumptions!$B$36:$B$41,Assumptions!$B$36:$H$41))</f>
        <v>0</v>
      </c>
      <c r="THN28">
        <f t="array" ref="THN28">_xlfn.XLOOKUP(THN$11,Assumptions!$B$35:$H$35,_xlfn.XLOOKUP($C28,Assumptions!$B$36:$B$41,Assumptions!$B$36:$H$41))</f>
        <v>0</v>
      </c>
      <c r="THO28">
        <f t="array" ref="THO28">_xlfn.XLOOKUP(THO$11,Assumptions!$B$35:$H$35,_xlfn.XLOOKUP($C28,Assumptions!$B$36:$B$41,Assumptions!$B$36:$H$41))</f>
        <v>0</v>
      </c>
      <c r="THP28">
        <f t="array" ref="THP28">_xlfn.XLOOKUP(THP$11,Assumptions!$B$35:$H$35,_xlfn.XLOOKUP($C28,Assumptions!$B$36:$B$41,Assumptions!$B$36:$H$41))</f>
        <v>0</v>
      </c>
      <c r="THQ28">
        <f t="array" ref="THQ28">_xlfn.XLOOKUP(THQ$11,Assumptions!$B$35:$H$35,_xlfn.XLOOKUP($C28,Assumptions!$B$36:$B$41,Assumptions!$B$36:$H$41))</f>
        <v>0</v>
      </c>
      <c r="THR28">
        <f t="array" ref="THR28">_xlfn.XLOOKUP(THR$11,Assumptions!$B$35:$H$35,_xlfn.XLOOKUP($C28,Assumptions!$B$36:$B$41,Assumptions!$B$36:$H$41))</f>
        <v>0</v>
      </c>
      <c r="THS28">
        <f t="array" ref="THS28">_xlfn.XLOOKUP(THS$11,Assumptions!$B$35:$H$35,_xlfn.XLOOKUP($C28,Assumptions!$B$36:$B$41,Assumptions!$B$36:$H$41))</f>
        <v>0</v>
      </c>
      <c r="THT28">
        <f t="array" ref="THT28">_xlfn.XLOOKUP(THT$11,Assumptions!$B$35:$H$35,_xlfn.XLOOKUP($C28,Assumptions!$B$36:$B$41,Assumptions!$B$36:$H$41))</f>
        <v>0</v>
      </c>
      <c r="THU28">
        <f t="array" ref="THU28">_xlfn.XLOOKUP(THU$11,Assumptions!$B$35:$H$35,_xlfn.XLOOKUP($C28,Assumptions!$B$36:$B$41,Assumptions!$B$36:$H$41))</f>
        <v>0</v>
      </c>
      <c r="THV28">
        <f t="array" ref="THV28">_xlfn.XLOOKUP(THV$11,Assumptions!$B$35:$H$35,_xlfn.XLOOKUP($C28,Assumptions!$B$36:$B$41,Assumptions!$B$36:$H$41))</f>
        <v>0</v>
      </c>
      <c r="THW28">
        <f t="array" ref="THW28">_xlfn.XLOOKUP(THW$11,Assumptions!$B$35:$H$35,_xlfn.XLOOKUP($C28,Assumptions!$B$36:$B$41,Assumptions!$B$36:$H$41))</f>
        <v>0</v>
      </c>
      <c r="THX28">
        <f t="array" ref="THX28">_xlfn.XLOOKUP(THX$11,Assumptions!$B$35:$H$35,_xlfn.XLOOKUP($C28,Assumptions!$B$36:$B$41,Assumptions!$B$36:$H$41))</f>
        <v>0</v>
      </c>
      <c r="THY28">
        <f t="array" ref="THY28">_xlfn.XLOOKUP(THY$11,Assumptions!$B$35:$H$35,_xlfn.XLOOKUP($C28,Assumptions!$B$36:$B$41,Assumptions!$B$36:$H$41))</f>
        <v>0</v>
      </c>
      <c r="THZ28">
        <f t="array" ref="THZ28">_xlfn.XLOOKUP(THZ$11,Assumptions!$B$35:$H$35,_xlfn.XLOOKUP($C28,Assumptions!$B$36:$B$41,Assumptions!$B$36:$H$41))</f>
        <v>0</v>
      </c>
      <c r="TIA28">
        <f t="array" ref="TIA28">_xlfn.XLOOKUP(TIA$11,Assumptions!$B$35:$H$35,_xlfn.XLOOKUP($C28,Assumptions!$B$36:$B$41,Assumptions!$B$36:$H$41))</f>
        <v>0</v>
      </c>
      <c r="TIB28">
        <f t="array" ref="TIB28">_xlfn.XLOOKUP(TIB$11,Assumptions!$B$35:$H$35,_xlfn.XLOOKUP($C28,Assumptions!$B$36:$B$41,Assumptions!$B$36:$H$41))</f>
        <v>0</v>
      </c>
      <c r="TIC28">
        <f t="array" ref="TIC28">_xlfn.XLOOKUP(TIC$11,Assumptions!$B$35:$H$35,_xlfn.XLOOKUP($C28,Assumptions!$B$36:$B$41,Assumptions!$B$36:$H$41))</f>
        <v>0</v>
      </c>
      <c r="TID28">
        <f t="array" ref="TID28">_xlfn.XLOOKUP(TID$11,Assumptions!$B$35:$H$35,_xlfn.XLOOKUP($C28,Assumptions!$B$36:$B$41,Assumptions!$B$36:$H$41))</f>
        <v>0</v>
      </c>
      <c r="TIE28">
        <f t="array" ref="TIE28">_xlfn.XLOOKUP(TIE$11,Assumptions!$B$35:$H$35,_xlfn.XLOOKUP($C28,Assumptions!$B$36:$B$41,Assumptions!$B$36:$H$41))</f>
        <v>0</v>
      </c>
      <c r="TIF28">
        <f t="array" ref="TIF28">_xlfn.XLOOKUP(TIF$11,Assumptions!$B$35:$H$35,_xlfn.XLOOKUP($C28,Assumptions!$B$36:$B$41,Assumptions!$B$36:$H$41))</f>
        <v>0</v>
      </c>
      <c r="TIG28">
        <f t="array" ref="TIG28">_xlfn.XLOOKUP(TIG$11,Assumptions!$B$35:$H$35,_xlfn.XLOOKUP($C28,Assumptions!$B$36:$B$41,Assumptions!$B$36:$H$41))</f>
        <v>0</v>
      </c>
      <c r="TIH28">
        <f t="array" ref="TIH28">_xlfn.XLOOKUP(TIH$11,Assumptions!$B$35:$H$35,_xlfn.XLOOKUP($C28,Assumptions!$B$36:$B$41,Assumptions!$B$36:$H$41))</f>
        <v>0</v>
      </c>
      <c r="TII28">
        <f t="array" ref="TII28">_xlfn.XLOOKUP(TII$11,Assumptions!$B$35:$H$35,_xlfn.XLOOKUP($C28,Assumptions!$B$36:$B$41,Assumptions!$B$36:$H$41))</f>
        <v>0</v>
      </c>
      <c r="TIJ28">
        <f t="array" ref="TIJ28">_xlfn.XLOOKUP(TIJ$11,Assumptions!$B$35:$H$35,_xlfn.XLOOKUP($C28,Assumptions!$B$36:$B$41,Assumptions!$B$36:$H$41))</f>
        <v>0</v>
      </c>
      <c r="TIK28">
        <f t="array" ref="TIK28">_xlfn.XLOOKUP(TIK$11,Assumptions!$B$35:$H$35,_xlfn.XLOOKUP($C28,Assumptions!$B$36:$B$41,Assumptions!$B$36:$H$41))</f>
        <v>0</v>
      </c>
      <c r="TIL28">
        <f t="array" ref="TIL28">_xlfn.XLOOKUP(TIL$11,Assumptions!$B$35:$H$35,_xlfn.XLOOKUP($C28,Assumptions!$B$36:$B$41,Assumptions!$B$36:$H$41))</f>
        <v>0</v>
      </c>
      <c r="TIM28">
        <f t="array" ref="TIM28">_xlfn.XLOOKUP(TIM$11,Assumptions!$B$35:$H$35,_xlfn.XLOOKUP($C28,Assumptions!$B$36:$B$41,Assumptions!$B$36:$H$41))</f>
        <v>0</v>
      </c>
      <c r="TIN28">
        <f t="array" ref="TIN28">_xlfn.XLOOKUP(TIN$11,Assumptions!$B$35:$H$35,_xlfn.XLOOKUP($C28,Assumptions!$B$36:$B$41,Assumptions!$B$36:$H$41))</f>
        <v>0</v>
      </c>
      <c r="TIO28">
        <f t="array" ref="TIO28">_xlfn.XLOOKUP(TIO$11,Assumptions!$B$35:$H$35,_xlfn.XLOOKUP($C28,Assumptions!$B$36:$B$41,Assumptions!$B$36:$H$41))</f>
        <v>0</v>
      </c>
      <c r="TIP28">
        <f t="array" ref="TIP28">_xlfn.XLOOKUP(TIP$11,Assumptions!$B$35:$H$35,_xlfn.XLOOKUP($C28,Assumptions!$B$36:$B$41,Assumptions!$B$36:$H$41))</f>
        <v>0</v>
      </c>
      <c r="TIQ28">
        <f t="array" ref="TIQ28">_xlfn.XLOOKUP(TIQ$11,Assumptions!$B$35:$H$35,_xlfn.XLOOKUP($C28,Assumptions!$B$36:$B$41,Assumptions!$B$36:$H$41))</f>
        <v>0</v>
      </c>
      <c r="TIR28">
        <f t="array" ref="TIR28">_xlfn.XLOOKUP(TIR$11,Assumptions!$B$35:$H$35,_xlfn.XLOOKUP($C28,Assumptions!$B$36:$B$41,Assumptions!$B$36:$H$41))</f>
        <v>0</v>
      </c>
      <c r="TIS28">
        <f t="array" ref="TIS28">_xlfn.XLOOKUP(TIS$11,Assumptions!$B$35:$H$35,_xlfn.XLOOKUP($C28,Assumptions!$B$36:$B$41,Assumptions!$B$36:$H$41))</f>
        <v>0</v>
      </c>
      <c r="TIT28">
        <f t="array" ref="TIT28">_xlfn.XLOOKUP(TIT$11,Assumptions!$B$35:$H$35,_xlfn.XLOOKUP($C28,Assumptions!$B$36:$B$41,Assumptions!$B$36:$H$41))</f>
        <v>0</v>
      </c>
      <c r="TIU28">
        <f t="array" ref="TIU28">_xlfn.XLOOKUP(TIU$11,Assumptions!$B$35:$H$35,_xlfn.XLOOKUP($C28,Assumptions!$B$36:$B$41,Assumptions!$B$36:$H$41))</f>
        <v>0</v>
      </c>
      <c r="TIV28">
        <f t="array" ref="TIV28">_xlfn.XLOOKUP(TIV$11,Assumptions!$B$35:$H$35,_xlfn.XLOOKUP($C28,Assumptions!$B$36:$B$41,Assumptions!$B$36:$H$41))</f>
        <v>0</v>
      </c>
      <c r="TIW28">
        <f t="array" ref="TIW28">_xlfn.XLOOKUP(TIW$11,Assumptions!$B$35:$H$35,_xlfn.XLOOKUP($C28,Assumptions!$B$36:$B$41,Assumptions!$B$36:$H$41))</f>
        <v>0</v>
      </c>
      <c r="TIX28">
        <f t="array" ref="TIX28">_xlfn.XLOOKUP(TIX$11,Assumptions!$B$35:$H$35,_xlfn.XLOOKUP($C28,Assumptions!$B$36:$B$41,Assumptions!$B$36:$H$41))</f>
        <v>0</v>
      </c>
      <c r="TIY28">
        <f t="array" ref="TIY28">_xlfn.XLOOKUP(TIY$11,Assumptions!$B$35:$H$35,_xlfn.XLOOKUP($C28,Assumptions!$B$36:$B$41,Assumptions!$B$36:$H$41))</f>
        <v>0</v>
      </c>
      <c r="TIZ28">
        <f t="array" ref="TIZ28">_xlfn.XLOOKUP(TIZ$11,Assumptions!$B$35:$H$35,_xlfn.XLOOKUP($C28,Assumptions!$B$36:$B$41,Assumptions!$B$36:$H$41))</f>
        <v>0</v>
      </c>
      <c r="TJA28">
        <f t="array" ref="TJA28">_xlfn.XLOOKUP(TJA$11,Assumptions!$B$35:$H$35,_xlfn.XLOOKUP($C28,Assumptions!$B$36:$B$41,Assumptions!$B$36:$H$41))</f>
        <v>0</v>
      </c>
      <c r="TJB28">
        <f t="array" ref="TJB28">_xlfn.XLOOKUP(TJB$11,Assumptions!$B$35:$H$35,_xlfn.XLOOKUP($C28,Assumptions!$B$36:$B$41,Assumptions!$B$36:$H$41))</f>
        <v>0</v>
      </c>
      <c r="TJC28">
        <f t="array" ref="TJC28">_xlfn.XLOOKUP(TJC$11,Assumptions!$B$35:$H$35,_xlfn.XLOOKUP($C28,Assumptions!$B$36:$B$41,Assumptions!$B$36:$H$41))</f>
        <v>0</v>
      </c>
      <c r="TJD28">
        <f t="array" ref="TJD28">_xlfn.XLOOKUP(TJD$11,Assumptions!$B$35:$H$35,_xlfn.XLOOKUP($C28,Assumptions!$B$36:$B$41,Assumptions!$B$36:$H$41))</f>
        <v>0</v>
      </c>
      <c r="TJE28">
        <f t="array" ref="TJE28">_xlfn.XLOOKUP(TJE$11,Assumptions!$B$35:$H$35,_xlfn.XLOOKUP($C28,Assumptions!$B$36:$B$41,Assumptions!$B$36:$H$41))</f>
        <v>0</v>
      </c>
      <c r="TJF28">
        <f t="array" ref="TJF28">_xlfn.XLOOKUP(TJF$11,Assumptions!$B$35:$H$35,_xlfn.XLOOKUP($C28,Assumptions!$B$36:$B$41,Assumptions!$B$36:$H$41))</f>
        <v>0</v>
      </c>
      <c r="TJG28">
        <f t="array" ref="TJG28">_xlfn.XLOOKUP(TJG$11,Assumptions!$B$35:$H$35,_xlfn.XLOOKUP($C28,Assumptions!$B$36:$B$41,Assumptions!$B$36:$H$41))</f>
        <v>0</v>
      </c>
      <c r="TJH28">
        <f t="array" ref="TJH28">_xlfn.XLOOKUP(TJH$11,Assumptions!$B$35:$H$35,_xlfn.XLOOKUP($C28,Assumptions!$B$36:$B$41,Assumptions!$B$36:$H$41))</f>
        <v>0</v>
      </c>
      <c r="TJI28">
        <f t="array" ref="TJI28">_xlfn.XLOOKUP(TJI$11,Assumptions!$B$35:$H$35,_xlfn.XLOOKUP($C28,Assumptions!$B$36:$B$41,Assumptions!$B$36:$H$41))</f>
        <v>0</v>
      </c>
      <c r="TJJ28">
        <f t="array" ref="TJJ28">_xlfn.XLOOKUP(TJJ$11,Assumptions!$B$35:$H$35,_xlfn.XLOOKUP($C28,Assumptions!$B$36:$B$41,Assumptions!$B$36:$H$41))</f>
        <v>0</v>
      </c>
      <c r="TJK28">
        <f t="array" ref="TJK28">_xlfn.XLOOKUP(TJK$11,Assumptions!$B$35:$H$35,_xlfn.XLOOKUP($C28,Assumptions!$B$36:$B$41,Assumptions!$B$36:$H$41))</f>
        <v>0</v>
      </c>
      <c r="TJL28">
        <f t="array" ref="TJL28">_xlfn.XLOOKUP(TJL$11,Assumptions!$B$35:$H$35,_xlfn.XLOOKUP($C28,Assumptions!$B$36:$B$41,Assumptions!$B$36:$H$41))</f>
        <v>0</v>
      </c>
      <c r="TJM28">
        <f t="array" ref="TJM28">_xlfn.XLOOKUP(TJM$11,Assumptions!$B$35:$H$35,_xlfn.XLOOKUP($C28,Assumptions!$B$36:$B$41,Assumptions!$B$36:$H$41))</f>
        <v>0</v>
      </c>
      <c r="TJN28">
        <f t="array" ref="TJN28">_xlfn.XLOOKUP(TJN$11,Assumptions!$B$35:$H$35,_xlfn.XLOOKUP($C28,Assumptions!$B$36:$B$41,Assumptions!$B$36:$H$41))</f>
        <v>0</v>
      </c>
      <c r="TJO28">
        <f t="array" ref="TJO28">_xlfn.XLOOKUP(TJO$11,Assumptions!$B$35:$H$35,_xlfn.XLOOKUP($C28,Assumptions!$B$36:$B$41,Assumptions!$B$36:$H$41))</f>
        <v>0</v>
      </c>
      <c r="TJP28">
        <f t="array" ref="TJP28">_xlfn.XLOOKUP(TJP$11,Assumptions!$B$35:$H$35,_xlfn.XLOOKUP($C28,Assumptions!$B$36:$B$41,Assumptions!$B$36:$H$41))</f>
        <v>0</v>
      </c>
      <c r="TJQ28">
        <f t="array" ref="TJQ28">_xlfn.XLOOKUP(TJQ$11,Assumptions!$B$35:$H$35,_xlfn.XLOOKUP($C28,Assumptions!$B$36:$B$41,Assumptions!$B$36:$H$41))</f>
        <v>0</v>
      </c>
      <c r="TJR28">
        <f t="array" ref="TJR28">_xlfn.XLOOKUP(TJR$11,Assumptions!$B$35:$H$35,_xlfn.XLOOKUP($C28,Assumptions!$B$36:$B$41,Assumptions!$B$36:$H$41))</f>
        <v>0</v>
      </c>
      <c r="TJS28">
        <f t="array" ref="TJS28">_xlfn.XLOOKUP(TJS$11,Assumptions!$B$35:$H$35,_xlfn.XLOOKUP($C28,Assumptions!$B$36:$B$41,Assumptions!$B$36:$H$41))</f>
        <v>0</v>
      </c>
      <c r="TJT28">
        <f t="array" ref="TJT28">_xlfn.XLOOKUP(TJT$11,Assumptions!$B$35:$H$35,_xlfn.XLOOKUP($C28,Assumptions!$B$36:$B$41,Assumptions!$B$36:$H$41))</f>
        <v>0</v>
      </c>
      <c r="TJU28">
        <f t="array" ref="TJU28">_xlfn.XLOOKUP(TJU$11,Assumptions!$B$35:$H$35,_xlfn.XLOOKUP($C28,Assumptions!$B$36:$B$41,Assumptions!$B$36:$H$41))</f>
        <v>0</v>
      </c>
      <c r="TJV28">
        <f t="array" ref="TJV28">_xlfn.XLOOKUP(TJV$11,Assumptions!$B$35:$H$35,_xlfn.XLOOKUP($C28,Assumptions!$B$36:$B$41,Assumptions!$B$36:$H$41))</f>
        <v>0</v>
      </c>
      <c r="TJW28">
        <f t="array" ref="TJW28">_xlfn.XLOOKUP(TJW$11,Assumptions!$B$35:$H$35,_xlfn.XLOOKUP($C28,Assumptions!$B$36:$B$41,Assumptions!$B$36:$H$41))</f>
        <v>0</v>
      </c>
      <c r="TJX28">
        <f t="array" ref="TJX28">_xlfn.XLOOKUP(TJX$11,Assumptions!$B$35:$H$35,_xlfn.XLOOKUP($C28,Assumptions!$B$36:$B$41,Assumptions!$B$36:$H$41))</f>
        <v>0</v>
      </c>
      <c r="TJY28">
        <f t="array" ref="TJY28">_xlfn.XLOOKUP(TJY$11,Assumptions!$B$35:$H$35,_xlfn.XLOOKUP($C28,Assumptions!$B$36:$B$41,Assumptions!$B$36:$H$41))</f>
        <v>0</v>
      </c>
      <c r="TJZ28">
        <f t="array" ref="TJZ28">_xlfn.XLOOKUP(TJZ$11,Assumptions!$B$35:$H$35,_xlfn.XLOOKUP($C28,Assumptions!$B$36:$B$41,Assumptions!$B$36:$H$41))</f>
        <v>0</v>
      </c>
      <c r="TKA28">
        <f t="array" ref="TKA28">_xlfn.XLOOKUP(TKA$11,Assumptions!$B$35:$H$35,_xlfn.XLOOKUP($C28,Assumptions!$B$36:$B$41,Assumptions!$B$36:$H$41))</f>
        <v>0</v>
      </c>
      <c r="TKB28">
        <f t="array" ref="TKB28">_xlfn.XLOOKUP(TKB$11,Assumptions!$B$35:$H$35,_xlfn.XLOOKUP($C28,Assumptions!$B$36:$B$41,Assumptions!$B$36:$H$41))</f>
        <v>0</v>
      </c>
      <c r="TKC28">
        <f t="array" ref="TKC28">_xlfn.XLOOKUP(TKC$11,Assumptions!$B$35:$H$35,_xlfn.XLOOKUP($C28,Assumptions!$B$36:$B$41,Assumptions!$B$36:$H$41))</f>
        <v>0</v>
      </c>
      <c r="TKD28">
        <f t="array" ref="TKD28">_xlfn.XLOOKUP(TKD$11,Assumptions!$B$35:$H$35,_xlfn.XLOOKUP($C28,Assumptions!$B$36:$B$41,Assumptions!$B$36:$H$41))</f>
        <v>0</v>
      </c>
      <c r="TKE28">
        <f t="array" ref="TKE28">_xlfn.XLOOKUP(TKE$11,Assumptions!$B$35:$H$35,_xlfn.XLOOKUP($C28,Assumptions!$B$36:$B$41,Assumptions!$B$36:$H$41))</f>
        <v>0</v>
      </c>
      <c r="TKF28">
        <f t="array" ref="TKF28">_xlfn.XLOOKUP(TKF$11,Assumptions!$B$35:$H$35,_xlfn.XLOOKUP($C28,Assumptions!$B$36:$B$41,Assumptions!$B$36:$H$41))</f>
        <v>0</v>
      </c>
      <c r="TKG28">
        <f t="array" ref="TKG28">_xlfn.XLOOKUP(TKG$11,Assumptions!$B$35:$H$35,_xlfn.XLOOKUP($C28,Assumptions!$B$36:$B$41,Assumptions!$B$36:$H$41))</f>
        <v>0</v>
      </c>
      <c r="TKH28">
        <f t="array" ref="TKH28">_xlfn.XLOOKUP(TKH$11,Assumptions!$B$35:$H$35,_xlfn.XLOOKUP($C28,Assumptions!$B$36:$B$41,Assumptions!$B$36:$H$41))</f>
        <v>0</v>
      </c>
      <c r="TKI28">
        <f t="array" ref="TKI28">_xlfn.XLOOKUP(TKI$11,Assumptions!$B$35:$H$35,_xlfn.XLOOKUP($C28,Assumptions!$B$36:$B$41,Assumptions!$B$36:$H$41))</f>
        <v>0</v>
      </c>
      <c r="TKJ28">
        <f t="array" ref="TKJ28">_xlfn.XLOOKUP(TKJ$11,Assumptions!$B$35:$H$35,_xlfn.XLOOKUP($C28,Assumptions!$B$36:$B$41,Assumptions!$B$36:$H$41))</f>
        <v>0</v>
      </c>
      <c r="TKK28">
        <f t="array" ref="TKK28">_xlfn.XLOOKUP(TKK$11,Assumptions!$B$35:$H$35,_xlfn.XLOOKUP($C28,Assumptions!$B$36:$B$41,Assumptions!$B$36:$H$41))</f>
        <v>0</v>
      </c>
      <c r="TKL28">
        <f t="array" ref="TKL28">_xlfn.XLOOKUP(TKL$11,Assumptions!$B$35:$H$35,_xlfn.XLOOKUP($C28,Assumptions!$B$36:$B$41,Assumptions!$B$36:$H$41))</f>
        <v>0</v>
      </c>
      <c r="TKM28">
        <f t="array" ref="TKM28">_xlfn.XLOOKUP(TKM$11,Assumptions!$B$35:$H$35,_xlfn.XLOOKUP($C28,Assumptions!$B$36:$B$41,Assumptions!$B$36:$H$41))</f>
        <v>0</v>
      </c>
      <c r="TKN28">
        <f t="array" ref="TKN28">_xlfn.XLOOKUP(TKN$11,Assumptions!$B$35:$H$35,_xlfn.XLOOKUP($C28,Assumptions!$B$36:$B$41,Assumptions!$B$36:$H$41))</f>
        <v>0</v>
      </c>
      <c r="TKO28">
        <f t="array" ref="TKO28">_xlfn.XLOOKUP(TKO$11,Assumptions!$B$35:$H$35,_xlfn.XLOOKUP($C28,Assumptions!$B$36:$B$41,Assumptions!$B$36:$H$41))</f>
        <v>0</v>
      </c>
      <c r="TKP28">
        <f t="array" ref="TKP28">_xlfn.XLOOKUP(TKP$11,Assumptions!$B$35:$H$35,_xlfn.XLOOKUP($C28,Assumptions!$B$36:$B$41,Assumptions!$B$36:$H$41))</f>
        <v>0</v>
      </c>
      <c r="TKQ28">
        <f t="array" ref="TKQ28">_xlfn.XLOOKUP(TKQ$11,Assumptions!$B$35:$H$35,_xlfn.XLOOKUP($C28,Assumptions!$B$36:$B$41,Assumptions!$B$36:$H$41))</f>
        <v>0</v>
      </c>
      <c r="TKR28">
        <f t="array" ref="TKR28">_xlfn.XLOOKUP(TKR$11,Assumptions!$B$35:$H$35,_xlfn.XLOOKUP($C28,Assumptions!$B$36:$B$41,Assumptions!$B$36:$H$41))</f>
        <v>0</v>
      </c>
      <c r="TKS28">
        <f t="array" ref="TKS28">_xlfn.XLOOKUP(TKS$11,Assumptions!$B$35:$H$35,_xlfn.XLOOKUP($C28,Assumptions!$B$36:$B$41,Assumptions!$B$36:$H$41))</f>
        <v>0</v>
      </c>
      <c r="TKT28">
        <f t="array" ref="TKT28">_xlfn.XLOOKUP(TKT$11,Assumptions!$B$35:$H$35,_xlfn.XLOOKUP($C28,Assumptions!$B$36:$B$41,Assumptions!$B$36:$H$41))</f>
        <v>0</v>
      </c>
      <c r="TKU28">
        <f t="array" ref="TKU28">_xlfn.XLOOKUP(TKU$11,Assumptions!$B$35:$H$35,_xlfn.XLOOKUP($C28,Assumptions!$B$36:$B$41,Assumptions!$B$36:$H$41))</f>
        <v>0</v>
      </c>
      <c r="TKV28">
        <f t="array" ref="TKV28">_xlfn.XLOOKUP(TKV$11,Assumptions!$B$35:$H$35,_xlfn.XLOOKUP($C28,Assumptions!$B$36:$B$41,Assumptions!$B$36:$H$41))</f>
        <v>0</v>
      </c>
      <c r="TKW28">
        <f t="array" ref="TKW28">_xlfn.XLOOKUP(TKW$11,Assumptions!$B$35:$H$35,_xlfn.XLOOKUP($C28,Assumptions!$B$36:$B$41,Assumptions!$B$36:$H$41))</f>
        <v>0</v>
      </c>
      <c r="TKX28">
        <f t="array" ref="TKX28">_xlfn.XLOOKUP(TKX$11,Assumptions!$B$35:$H$35,_xlfn.XLOOKUP($C28,Assumptions!$B$36:$B$41,Assumptions!$B$36:$H$41))</f>
        <v>0</v>
      </c>
      <c r="TKY28">
        <f t="array" ref="TKY28">_xlfn.XLOOKUP(TKY$11,Assumptions!$B$35:$H$35,_xlfn.XLOOKUP($C28,Assumptions!$B$36:$B$41,Assumptions!$B$36:$H$41))</f>
        <v>0</v>
      </c>
      <c r="TKZ28">
        <f t="array" ref="TKZ28">_xlfn.XLOOKUP(TKZ$11,Assumptions!$B$35:$H$35,_xlfn.XLOOKUP($C28,Assumptions!$B$36:$B$41,Assumptions!$B$36:$H$41))</f>
        <v>0</v>
      </c>
      <c r="TLA28">
        <f t="array" ref="TLA28">_xlfn.XLOOKUP(TLA$11,Assumptions!$B$35:$H$35,_xlfn.XLOOKUP($C28,Assumptions!$B$36:$B$41,Assumptions!$B$36:$H$41))</f>
        <v>0</v>
      </c>
      <c r="TLB28">
        <f t="array" ref="TLB28">_xlfn.XLOOKUP(TLB$11,Assumptions!$B$35:$H$35,_xlfn.XLOOKUP($C28,Assumptions!$B$36:$B$41,Assumptions!$B$36:$H$41))</f>
        <v>0</v>
      </c>
      <c r="TLC28">
        <f t="array" ref="TLC28">_xlfn.XLOOKUP(TLC$11,Assumptions!$B$35:$H$35,_xlfn.XLOOKUP($C28,Assumptions!$B$36:$B$41,Assumptions!$B$36:$H$41))</f>
        <v>0</v>
      </c>
      <c r="TLD28">
        <f t="array" ref="TLD28">_xlfn.XLOOKUP(TLD$11,Assumptions!$B$35:$H$35,_xlfn.XLOOKUP($C28,Assumptions!$B$36:$B$41,Assumptions!$B$36:$H$41))</f>
        <v>0</v>
      </c>
      <c r="TLE28">
        <f t="array" ref="TLE28">_xlfn.XLOOKUP(TLE$11,Assumptions!$B$35:$H$35,_xlfn.XLOOKUP($C28,Assumptions!$B$36:$B$41,Assumptions!$B$36:$H$41))</f>
        <v>0</v>
      </c>
      <c r="TLF28">
        <f t="array" ref="TLF28">_xlfn.XLOOKUP(TLF$11,Assumptions!$B$35:$H$35,_xlfn.XLOOKUP($C28,Assumptions!$B$36:$B$41,Assumptions!$B$36:$H$41))</f>
        <v>0</v>
      </c>
      <c r="TLG28">
        <f t="array" ref="TLG28">_xlfn.XLOOKUP(TLG$11,Assumptions!$B$35:$H$35,_xlfn.XLOOKUP($C28,Assumptions!$B$36:$B$41,Assumptions!$B$36:$H$41))</f>
        <v>0</v>
      </c>
      <c r="TLH28">
        <f t="array" ref="TLH28">_xlfn.XLOOKUP(TLH$11,Assumptions!$B$35:$H$35,_xlfn.XLOOKUP($C28,Assumptions!$B$36:$B$41,Assumptions!$B$36:$H$41))</f>
        <v>0</v>
      </c>
      <c r="TLI28">
        <f t="array" ref="TLI28">_xlfn.XLOOKUP(TLI$11,Assumptions!$B$35:$H$35,_xlfn.XLOOKUP($C28,Assumptions!$B$36:$B$41,Assumptions!$B$36:$H$41))</f>
        <v>0</v>
      </c>
      <c r="TLJ28">
        <f t="array" ref="TLJ28">_xlfn.XLOOKUP(TLJ$11,Assumptions!$B$35:$H$35,_xlfn.XLOOKUP($C28,Assumptions!$B$36:$B$41,Assumptions!$B$36:$H$41))</f>
        <v>0</v>
      </c>
      <c r="TLK28">
        <f t="array" ref="TLK28">_xlfn.XLOOKUP(TLK$11,Assumptions!$B$35:$H$35,_xlfn.XLOOKUP($C28,Assumptions!$B$36:$B$41,Assumptions!$B$36:$H$41))</f>
        <v>0</v>
      </c>
      <c r="TLL28">
        <f t="array" ref="TLL28">_xlfn.XLOOKUP(TLL$11,Assumptions!$B$35:$H$35,_xlfn.XLOOKUP($C28,Assumptions!$B$36:$B$41,Assumptions!$B$36:$H$41))</f>
        <v>0</v>
      </c>
      <c r="TLM28">
        <f t="array" ref="TLM28">_xlfn.XLOOKUP(TLM$11,Assumptions!$B$35:$H$35,_xlfn.XLOOKUP($C28,Assumptions!$B$36:$B$41,Assumptions!$B$36:$H$41))</f>
        <v>0</v>
      </c>
      <c r="TLN28">
        <f t="array" ref="TLN28">_xlfn.XLOOKUP(TLN$11,Assumptions!$B$35:$H$35,_xlfn.XLOOKUP($C28,Assumptions!$B$36:$B$41,Assumptions!$B$36:$H$41))</f>
        <v>0</v>
      </c>
      <c r="TLO28">
        <f t="array" ref="TLO28">_xlfn.XLOOKUP(TLO$11,Assumptions!$B$35:$H$35,_xlfn.XLOOKUP($C28,Assumptions!$B$36:$B$41,Assumptions!$B$36:$H$41))</f>
        <v>0</v>
      </c>
      <c r="TLP28">
        <f t="array" ref="TLP28">_xlfn.XLOOKUP(TLP$11,Assumptions!$B$35:$H$35,_xlfn.XLOOKUP($C28,Assumptions!$B$36:$B$41,Assumptions!$B$36:$H$41))</f>
        <v>0</v>
      </c>
      <c r="TLQ28">
        <f t="array" ref="TLQ28">_xlfn.XLOOKUP(TLQ$11,Assumptions!$B$35:$H$35,_xlfn.XLOOKUP($C28,Assumptions!$B$36:$B$41,Assumptions!$B$36:$H$41))</f>
        <v>0</v>
      </c>
      <c r="TLR28">
        <f t="array" ref="TLR28">_xlfn.XLOOKUP(TLR$11,Assumptions!$B$35:$H$35,_xlfn.XLOOKUP($C28,Assumptions!$B$36:$B$41,Assumptions!$B$36:$H$41))</f>
        <v>0</v>
      </c>
      <c r="TLS28">
        <f t="array" ref="TLS28">_xlfn.XLOOKUP(TLS$11,Assumptions!$B$35:$H$35,_xlfn.XLOOKUP($C28,Assumptions!$B$36:$B$41,Assumptions!$B$36:$H$41))</f>
        <v>0</v>
      </c>
      <c r="TLT28">
        <f t="array" ref="TLT28">_xlfn.XLOOKUP(TLT$11,Assumptions!$B$35:$H$35,_xlfn.XLOOKUP($C28,Assumptions!$B$36:$B$41,Assumptions!$B$36:$H$41))</f>
        <v>0</v>
      </c>
      <c r="TLU28">
        <f t="array" ref="TLU28">_xlfn.XLOOKUP(TLU$11,Assumptions!$B$35:$H$35,_xlfn.XLOOKUP($C28,Assumptions!$B$36:$B$41,Assumptions!$B$36:$H$41))</f>
        <v>0</v>
      </c>
      <c r="TLV28">
        <f t="array" ref="TLV28">_xlfn.XLOOKUP(TLV$11,Assumptions!$B$35:$H$35,_xlfn.XLOOKUP($C28,Assumptions!$B$36:$B$41,Assumptions!$B$36:$H$41))</f>
        <v>0</v>
      </c>
      <c r="TLW28">
        <f t="array" ref="TLW28">_xlfn.XLOOKUP(TLW$11,Assumptions!$B$35:$H$35,_xlfn.XLOOKUP($C28,Assumptions!$B$36:$B$41,Assumptions!$B$36:$H$41))</f>
        <v>0</v>
      </c>
      <c r="TLX28">
        <f t="array" ref="TLX28">_xlfn.XLOOKUP(TLX$11,Assumptions!$B$35:$H$35,_xlfn.XLOOKUP($C28,Assumptions!$B$36:$B$41,Assumptions!$B$36:$H$41))</f>
        <v>0</v>
      </c>
      <c r="TLY28">
        <f t="array" ref="TLY28">_xlfn.XLOOKUP(TLY$11,Assumptions!$B$35:$H$35,_xlfn.XLOOKUP($C28,Assumptions!$B$36:$B$41,Assumptions!$B$36:$H$41))</f>
        <v>0</v>
      </c>
      <c r="TLZ28">
        <f t="array" ref="TLZ28">_xlfn.XLOOKUP(TLZ$11,Assumptions!$B$35:$H$35,_xlfn.XLOOKUP($C28,Assumptions!$B$36:$B$41,Assumptions!$B$36:$H$41))</f>
        <v>0</v>
      </c>
      <c r="TMA28">
        <f t="array" ref="TMA28">_xlfn.XLOOKUP(TMA$11,Assumptions!$B$35:$H$35,_xlfn.XLOOKUP($C28,Assumptions!$B$36:$B$41,Assumptions!$B$36:$H$41))</f>
        <v>0</v>
      </c>
      <c r="TMB28">
        <f t="array" ref="TMB28">_xlfn.XLOOKUP(TMB$11,Assumptions!$B$35:$H$35,_xlfn.XLOOKUP($C28,Assumptions!$B$36:$B$41,Assumptions!$B$36:$H$41))</f>
        <v>0</v>
      </c>
      <c r="TMC28">
        <f t="array" ref="TMC28">_xlfn.XLOOKUP(TMC$11,Assumptions!$B$35:$H$35,_xlfn.XLOOKUP($C28,Assumptions!$B$36:$B$41,Assumptions!$B$36:$H$41))</f>
        <v>0</v>
      </c>
      <c r="TMD28">
        <f t="array" ref="TMD28">_xlfn.XLOOKUP(TMD$11,Assumptions!$B$35:$H$35,_xlfn.XLOOKUP($C28,Assumptions!$B$36:$B$41,Assumptions!$B$36:$H$41))</f>
        <v>0</v>
      </c>
      <c r="TME28">
        <f t="array" ref="TME28">_xlfn.XLOOKUP(TME$11,Assumptions!$B$35:$H$35,_xlfn.XLOOKUP($C28,Assumptions!$B$36:$B$41,Assumptions!$B$36:$H$41))</f>
        <v>0</v>
      </c>
      <c r="TMF28">
        <f t="array" ref="TMF28">_xlfn.XLOOKUP(TMF$11,Assumptions!$B$35:$H$35,_xlfn.XLOOKUP($C28,Assumptions!$B$36:$B$41,Assumptions!$B$36:$H$41))</f>
        <v>0</v>
      </c>
      <c r="TMG28">
        <f t="array" ref="TMG28">_xlfn.XLOOKUP(TMG$11,Assumptions!$B$35:$H$35,_xlfn.XLOOKUP($C28,Assumptions!$B$36:$B$41,Assumptions!$B$36:$H$41))</f>
        <v>0</v>
      </c>
      <c r="TMH28">
        <f t="array" ref="TMH28">_xlfn.XLOOKUP(TMH$11,Assumptions!$B$35:$H$35,_xlfn.XLOOKUP($C28,Assumptions!$B$36:$B$41,Assumptions!$B$36:$H$41))</f>
        <v>0</v>
      </c>
      <c r="TMI28">
        <f t="array" ref="TMI28">_xlfn.XLOOKUP(TMI$11,Assumptions!$B$35:$H$35,_xlfn.XLOOKUP($C28,Assumptions!$B$36:$B$41,Assumptions!$B$36:$H$41))</f>
        <v>0</v>
      </c>
      <c r="TMJ28">
        <f t="array" ref="TMJ28">_xlfn.XLOOKUP(TMJ$11,Assumptions!$B$35:$H$35,_xlfn.XLOOKUP($C28,Assumptions!$B$36:$B$41,Assumptions!$B$36:$H$41))</f>
        <v>0</v>
      </c>
      <c r="TMK28">
        <f t="array" ref="TMK28">_xlfn.XLOOKUP(TMK$11,Assumptions!$B$35:$H$35,_xlfn.XLOOKUP($C28,Assumptions!$B$36:$B$41,Assumptions!$B$36:$H$41))</f>
        <v>0</v>
      </c>
      <c r="TML28">
        <f t="array" ref="TML28">_xlfn.XLOOKUP(TML$11,Assumptions!$B$35:$H$35,_xlfn.XLOOKUP($C28,Assumptions!$B$36:$B$41,Assumptions!$B$36:$H$41))</f>
        <v>0</v>
      </c>
      <c r="TMM28">
        <f t="array" ref="TMM28">_xlfn.XLOOKUP(TMM$11,Assumptions!$B$35:$H$35,_xlfn.XLOOKUP($C28,Assumptions!$B$36:$B$41,Assumptions!$B$36:$H$41))</f>
        <v>0</v>
      </c>
      <c r="TMN28">
        <f t="array" ref="TMN28">_xlfn.XLOOKUP(TMN$11,Assumptions!$B$35:$H$35,_xlfn.XLOOKUP($C28,Assumptions!$B$36:$B$41,Assumptions!$B$36:$H$41))</f>
        <v>0</v>
      </c>
      <c r="TMO28">
        <f t="array" ref="TMO28">_xlfn.XLOOKUP(TMO$11,Assumptions!$B$35:$H$35,_xlfn.XLOOKUP($C28,Assumptions!$B$36:$B$41,Assumptions!$B$36:$H$41))</f>
        <v>0</v>
      </c>
      <c r="TMP28">
        <f t="array" ref="TMP28">_xlfn.XLOOKUP(TMP$11,Assumptions!$B$35:$H$35,_xlfn.XLOOKUP($C28,Assumptions!$B$36:$B$41,Assumptions!$B$36:$H$41))</f>
        <v>0</v>
      </c>
      <c r="TMQ28">
        <f t="array" ref="TMQ28">_xlfn.XLOOKUP(TMQ$11,Assumptions!$B$35:$H$35,_xlfn.XLOOKUP($C28,Assumptions!$B$36:$B$41,Assumptions!$B$36:$H$41))</f>
        <v>0</v>
      </c>
      <c r="TMR28">
        <f t="array" ref="TMR28">_xlfn.XLOOKUP(TMR$11,Assumptions!$B$35:$H$35,_xlfn.XLOOKUP($C28,Assumptions!$B$36:$B$41,Assumptions!$B$36:$H$41))</f>
        <v>0</v>
      </c>
      <c r="TMS28">
        <f t="array" ref="TMS28">_xlfn.XLOOKUP(TMS$11,Assumptions!$B$35:$H$35,_xlfn.XLOOKUP($C28,Assumptions!$B$36:$B$41,Assumptions!$B$36:$H$41))</f>
        <v>0</v>
      </c>
      <c r="TMT28">
        <f t="array" ref="TMT28">_xlfn.XLOOKUP(TMT$11,Assumptions!$B$35:$H$35,_xlfn.XLOOKUP($C28,Assumptions!$B$36:$B$41,Assumptions!$B$36:$H$41))</f>
        <v>0</v>
      </c>
      <c r="TMU28">
        <f t="array" ref="TMU28">_xlfn.XLOOKUP(TMU$11,Assumptions!$B$35:$H$35,_xlfn.XLOOKUP($C28,Assumptions!$B$36:$B$41,Assumptions!$B$36:$H$41))</f>
        <v>0</v>
      </c>
      <c r="TMV28">
        <f t="array" ref="TMV28">_xlfn.XLOOKUP(TMV$11,Assumptions!$B$35:$H$35,_xlfn.XLOOKUP($C28,Assumptions!$B$36:$B$41,Assumptions!$B$36:$H$41))</f>
        <v>0</v>
      </c>
      <c r="TMW28">
        <f t="array" ref="TMW28">_xlfn.XLOOKUP(TMW$11,Assumptions!$B$35:$H$35,_xlfn.XLOOKUP($C28,Assumptions!$B$36:$B$41,Assumptions!$B$36:$H$41))</f>
        <v>0</v>
      </c>
      <c r="TMX28">
        <f t="array" ref="TMX28">_xlfn.XLOOKUP(TMX$11,Assumptions!$B$35:$H$35,_xlfn.XLOOKUP($C28,Assumptions!$B$36:$B$41,Assumptions!$B$36:$H$41))</f>
        <v>0</v>
      </c>
      <c r="TMY28">
        <f t="array" ref="TMY28">_xlfn.XLOOKUP(TMY$11,Assumptions!$B$35:$H$35,_xlfn.XLOOKUP($C28,Assumptions!$B$36:$B$41,Assumptions!$B$36:$H$41))</f>
        <v>0</v>
      </c>
      <c r="TMZ28">
        <f t="array" ref="TMZ28">_xlfn.XLOOKUP(TMZ$11,Assumptions!$B$35:$H$35,_xlfn.XLOOKUP($C28,Assumptions!$B$36:$B$41,Assumptions!$B$36:$H$41))</f>
        <v>0</v>
      </c>
      <c r="TNA28">
        <f t="array" ref="TNA28">_xlfn.XLOOKUP(TNA$11,Assumptions!$B$35:$H$35,_xlfn.XLOOKUP($C28,Assumptions!$B$36:$B$41,Assumptions!$B$36:$H$41))</f>
        <v>0</v>
      </c>
      <c r="TNB28">
        <f t="array" ref="TNB28">_xlfn.XLOOKUP(TNB$11,Assumptions!$B$35:$H$35,_xlfn.XLOOKUP($C28,Assumptions!$B$36:$B$41,Assumptions!$B$36:$H$41))</f>
        <v>0</v>
      </c>
      <c r="TNC28">
        <f t="array" ref="TNC28">_xlfn.XLOOKUP(TNC$11,Assumptions!$B$35:$H$35,_xlfn.XLOOKUP($C28,Assumptions!$B$36:$B$41,Assumptions!$B$36:$H$41))</f>
        <v>0</v>
      </c>
      <c r="TND28">
        <f t="array" ref="TND28">_xlfn.XLOOKUP(TND$11,Assumptions!$B$35:$H$35,_xlfn.XLOOKUP($C28,Assumptions!$B$36:$B$41,Assumptions!$B$36:$H$41))</f>
        <v>0</v>
      </c>
      <c r="TNE28">
        <f t="array" ref="TNE28">_xlfn.XLOOKUP(TNE$11,Assumptions!$B$35:$H$35,_xlfn.XLOOKUP($C28,Assumptions!$B$36:$B$41,Assumptions!$B$36:$H$41))</f>
        <v>0</v>
      </c>
      <c r="TNF28">
        <f t="array" ref="TNF28">_xlfn.XLOOKUP(TNF$11,Assumptions!$B$35:$H$35,_xlfn.XLOOKUP($C28,Assumptions!$B$36:$B$41,Assumptions!$B$36:$H$41))</f>
        <v>0</v>
      </c>
      <c r="TNG28">
        <f t="array" ref="TNG28">_xlfn.XLOOKUP(TNG$11,Assumptions!$B$35:$H$35,_xlfn.XLOOKUP($C28,Assumptions!$B$36:$B$41,Assumptions!$B$36:$H$41))</f>
        <v>0</v>
      </c>
      <c r="TNH28">
        <f t="array" ref="TNH28">_xlfn.XLOOKUP(TNH$11,Assumptions!$B$35:$H$35,_xlfn.XLOOKUP($C28,Assumptions!$B$36:$B$41,Assumptions!$B$36:$H$41))</f>
        <v>0</v>
      </c>
      <c r="TNI28">
        <f t="array" ref="TNI28">_xlfn.XLOOKUP(TNI$11,Assumptions!$B$35:$H$35,_xlfn.XLOOKUP($C28,Assumptions!$B$36:$B$41,Assumptions!$B$36:$H$41))</f>
        <v>0</v>
      </c>
      <c r="TNJ28">
        <f t="array" ref="TNJ28">_xlfn.XLOOKUP(TNJ$11,Assumptions!$B$35:$H$35,_xlfn.XLOOKUP($C28,Assumptions!$B$36:$B$41,Assumptions!$B$36:$H$41))</f>
        <v>0</v>
      </c>
      <c r="TNK28">
        <f t="array" ref="TNK28">_xlfn.XLOOKUP(TNK$11,Assumptions!$B$35:$H$35,_xlfn.XLOOKUP($C28,Assumptions!$B$36:$B$41,Assumptions!$B$36:$H$41))</f>
        <v>0</v>
      </c>
      <c r="TNL28">
        <f t="array" ref="TNL28">_xlfn.XLOOKUP(TNL$11,Assumptions!$B$35:$H$35,_xlfn.XLOOKUP($C28,Assumptions!$B$36:$B$41,Assumptions!$B$36:$H$41))</f>
        <v>0</v>
      </c>
      <c r="TNM28">
        <f t="array" ref="TNM28">_xlfn.XLOOKUP(TNM$11,Assumptions!$B$35:$H$35,_xlfn.XLOOKUP($C28,Assumptions!$B$36:$B$41,Assumptions!$B$36:$H$41))</f>
        <v>0</v>
      </c>
      <c r="TNN28">
        <f t="array" ref="TNN28">_xlfn.XLOOKUP(TNN$11,Assumptions!$B$35:$H$35,_xlfn.XLOOKUP($C28,Assumptions!$B$36:$B$41,Assumptions!$B$36:$H$41))</f>
        <v>0</v>
      </c>
      <c r="TNO28">
        <f t="array" ref="TNO28">_xlfn.XLOOKUP(TNO$11,Assumptions!$B$35:$H$35,_xlfn.XLOOKUP($C28,Assumptions!$B$36:$B$41,Assumptions!$B$36:$H$41))</f>
        <v>0</v>
      </c>
      <c r="TNP28">
        <f t="array" ref="TNP28">_xlfn.XLOOKUP(TNP$11,Assumptions!$B$35:$H$35,_xlfn.XLOOKUP($C28,Assumptions!$B$36:$B$41,Assumptions!$B$36:$H$41))</f>
        <v>0</v>
      </c>
      <c r="TNQ28">
        <f t="array" ref="TNQ28">_xlfn.XLOOKUP(TNQ$11,Assumptions!$B$35:$H$35,_xlfn.XLOOKUP($C28,Assumptions!$B$36:$B$41,Assumptions!$B$36:$H$41))</f>
        <v>0</v>
      </c>
      <c r="TNR28">
        <f t="array" ref="TNR28">_xlfn.XLOOKUP(TNR$11,Assumptions!$B$35:$H$35,_xlfn.XLOOKUP($C28,Assumptions!$B$36:$B$41,Assumptions!$B$36:$H$41))</f>
        <v>0</v>
      </c>
      <c r="TNS28">
        <f t="array" ref="TNS28">_xlfn.XLOOKUP(TNS$11,Assumptions!$B$35:$H$35,_xlfn.XLOOKUP($C28,Assumptions!$B$36:$B$41,Assumptions!$B$36:$H$41))</f>
        <v>0</v>
      </c>
      <c r="TNT28">
        <f t="array" ref="TNT28">_xlfn.XLOOKUP(TNT$11,Assumptions!$B$35:$H$35,_xlfn.XLOOKUP($C28,Assumptions!$B$36:$B$41,Assumptions!$B$36:$H$41))</f>
        <v>0</v>
      </c>
      <c r="TNU28">
        <f t="array" ref="TNU28">_xlfn.XLOOKUP(TNU$11,Assumptions!$B$35:$H$35,_xlfn.XLOOKUP($C28,Assumptions!$B$36:$B$41,Assumptions!$B$36:$H$41))</f>
        <v>0</v>
      </c>
      <c r="TNV28">
        <f t="array" ref="TNV28">_xlfn.XLOOKUP(TNV$11,Assumptions!$B$35:$H$35,_xlfn.XLOOKUP($C28,Assumptions!$B$36:$B$41,Assumptions!$B$36:$H$41))</f>
        <v>0</v>
      </c>
      <c r="TNW28">
        <f t="array" ref="TNW28">_xlfn.XLOOKUP(TNW$11,Assumptions!$B$35:$H$35,_xlfn.XLOOKUP($C28,Assumptions!$B$36:$B$41,Assumptions!$B$36:$H$41))</f>
        <v>0</v>
      </c>
      <c r="TNX28">
        <f t="array" ref="TNX28">_xlfn.XLOOKUP(TNX$11,Assumptions!$B$35:$H$35,_xlfn.XLOOKUP($C28,Assumptions!$B$36:$B$41,Assumptions!$B$36:$H$41))</f>
        <v>0</v>
      </c>
      <c r="TNY28">
        <f t="array" ref="TNY28">_xlfn.XLOOKUP(TNY$11,Assumptions!$B$35:$H$35,_xlfn.XLOOKUP($C28,Assumptions!$B$36:$B$41,Assumptions!$B$36:$H$41))</f>
        <v>0</v>
      </c>
      <c r="TNZ28">
        <f t="array" ref="TNZ28">_xlfn.XLOOKUP(TNZ$11,Assumptions!$B$35:$H$35,_xlfn.XLOOKUP($C28,Assumptions!$B$36:$B$41,Assumptions!$B$36:$H$41))</f>
        <v>0</v>
      </c>
      <c r="TOA28">
        <f t="array" ref="TOA28">_xlfn.XLOOKUP(TOA$11,Assumptions!$B$35:$H$35,_xlfn.XLOOKUP($C28,Assumptions!$B$36:$B$41,Assumptions!$B$36:$H$41))</f>
        <v>0</v>
      </c>
      <c r="TOB28">
        <f t="array" ref="TOB28">_xlfn.XLOOKUP(TOB$11,Assumptions!$B$35:$H$35,_xlfn.XLOOKUP($C28,Assumptions!$B$36:$B$41,Assumptions!$B$36:$H$41))</f>
        <v>0</v>
      </c>
      <c r="TOC28">
        <f t="array" ref="TOC28">_xlfn.XLOOKUP(TOC$11,Assumptions!$B$35:$H$35,_xlfn.XLOOKUP($C28,Assumptions!$B$36:$B$41,Assumptions!$B$36:$H$41))</f>
        <v>0</v>
      </c>
      <c r="TOD28">
        <f t="array" ref="TOD28">_xlfn.XLOOKUP(TOD$11,Assumptions!$B$35:$H$35,_xlfn.XLOOKUP($C28,Assumptions!$B$36:$B$41,Assumptions!$B$36:$H$41))</f>
        <v>0</v>
      </c>
      <c r="TOE28">
        <f t="array" ref="TOE28">_xlfn.XLOOKUP(TOE$11,Assumptions!$B$35:$H$35,_xlfn.XLOOKUP($C28,Assumptions!$B$36:$B$41,Assumptions!$B$36:$H$41))</f>
        <v>0</v>
      </c>
      <c r="TOF28">
        <f t="array" ref="TOF28">_xlfn.XLOOKUP(TOF$11,Assumptions!$B$35:$H$35,_xlfn.XLOOKUP($C28,Assumptions!$B$36:$B$41,Assumptions!$B$36:$H$41))</f>
        <v>0</v>
      </c>
      <c r="TOG28">
        <f t="array" ref="TOG28">_xlfn.XLOOKUP(TOG$11,Assumptions!$B$35:$H$35,_xlfn.XLOOKUP($C28,Assumptions!$B$36:$B$41,Assumptions!$B$36:$H$41))</f>
        <v>0</v>
      </c>
      <c r="TOH28">
        <f t="array" ref="TOH28">_xlfn.XLOOKUP(TOH$11,Assumptions!$B$35:$H$35,_xlfn.XLOOKUP($C28,Assumptions!$B$36:$B$41,Assumptions!$B$36:$H$41))</f>
        <v>0</v>
      </c>
      <c r="TOI28">
        <f t="array" ref="TOI28">_xlfn.XLOOKUP(TOI$11,Assumptions!$B$35:$H$35,_xlfn.XLOOKUP($C28,Assumptions!$B$36:$B$41,Assumptions!$B$36:$H$41))</f>
        <v>0</v>
      </c>
      <c r="TOJ28">
        <f t="array" ref="TOJ28">_xlfn.XLOOKUP(TOJ$11,Assumptions!$B$35:$H$35,_xlfn.XLOOKUP($C28,Assumptions!$B$36:$B$41,Assumptions!$B$36:$H$41))</f>
        <v>0</v>
      </c>
      <c r="TOK28">
        <f t="array" ref="TOK28">_xlfn.XLOOKUP(TOK$11,Assumptions!$B$35:$H$35,_xlfn.XLOOKUP($C28,Assumptions!$B$36:$B$41,Assumptions!$B$36:$H$41))</f>
        <v>0</v>
      </c>
      <c r="TOL28">
        <f t="array" ref="TOL28">_xlfn.XLOOKUP(TOL$11,Assumptions!$B$35:$H$35,_xlfn.XLOOKUP($C28,Assumptions!$B$36:$B$41,Assumptions!$B$36:$H$41))</f>
        <v>0</v>
      </c>
      <c r="TOM28">
        <f t="array" ref="TOM28">_xlfn.XLOOKUP(TOM$11,Assumptions!$B$35:$H$35,_xlfn.XLOOKUP($C28,Assumptions!$B$36:$B$41,Assumptions!$B$36:$H$41))</f>
        <v>0</v>
      </c>
      <c r="TON28">
        <f t="array" ref="TON28">_xlfn.XLOOKUP(TON$11,Assumptions!$B$35:$H$35,_xlfn.XLOOKUP($C28,Assumptions!$B$36:$B$41,Assumptions!$B$36:$H$41))</f>
        <v>0</v>
      </c>
      <c r="TOO28">
        <f t="array" ref="TOO28">_xlfn.XLOOKUP(TOO$11,Assumptions!$B$35:$H$35,_xlfn.XLOOKUP($C28,Assumptions!$B$36:$B$41,Assumptions!$B$36:$H$41))</f>
        <v>0</v>
      </c>
      <c r="TOP28">
        <f t="array" ref="TOP28">_xlfn.XLOOKUP(TOP$11,Assumptions!$B$35:$H$35,_xlfn.XLOOKUP($C28,Assumptions!$B$36:$B$41,Assumptions!$B$36:$H$41))</f>
        <v>0</v>
      </c>
      <c r="TOQ28">
        <f t="array" ref="TOQ28">_xlfn.XLOOKUP(TOQ$11,Assumptions!$B$35:$H$35,_xlfn.XLOOKUP($C28,Assumptions!$B$36:$B$41,Assumptions!$B$36:$H$41))</f>
        <v>0</v>
      </c>
      <c r="TOR28">
        <f t="array" ref="TOR28">_xlfn.XLOOKUP(TOR$11,Assumptions!$B$35:$H$35,_xlfn.XLOOKUP($C28,Assumptions!$B$36:$B$41,Assumptions!$B$36:$H$41))</f>
        <v>0</v>
      </c>
      <c r="TOS28">
        <f t="array" ref="TOS28">_xlfn.XLOOKUP(TOS$11,Assumptions!$B$35:$H$35,_xlfn.XLOOKUP($C28,Assumptions!$B$36:$B$41,Assumptions!$B$36:$H$41))</f>
        <v>0</v>
      </c>
      <c r="TOT28">
        <f t="array" ref="TOT28">_xlfn.XLOOKUP(TOT$11,Assumptions!$B$35:$H$35,_xlfn.XLOOKUP($C28,Assumptions!$B$36:$B$41,Assumptions!$B$36:$H$41))</f>
        <v>0</v>
      </c>
      <c r="TOU28">
        <f t="array" ref="TOU28">_xlfn.XLOOKUP(TOU$11,Assumptions!$B$35:$H$35,_xlfn.XLOOKUP($C28,Assumptions!$B$36:$B$41,Assumptions!$B$36:$H$41))</f>
        <v>0</v>
      </c>
      <c r="TOV28">
        <f t="array" ref="TOV28">_xlfn.XLOOKUP(TOV$11,Assumptions!$B$35:$H$35,_xlfn.XLOOKUP($C28,Assumptions!$B$36:$B$41,Assumptions!$B$36:$H$41))</f>
        <v>0</v>
      </c>
      <c r="TOW28">
        <f t="array" ref="TOW28">_xlfn.XLOOKUP(TOW$11,Assumptions!$B$35:$H$35,_xlfn.XLOOKUP($C28,Assumptions!$B$36:$B$41,Assumptions!$B$36:$H$41))</f>
        <v>0</v>
      </c>
      <c r="TOX28">
        <f t="array" ref="TOX28">_xlfn.XLOOKUP(TOX$11,Assumptions!$B$35:$H$35,_xlfn.XLOOKUP($C28,Assumptions!$B$36:$B$41,Assumptions!$B$36:$H$41))</f>
        <v>0</v>
      </c>
      <c r="TOY28">
        <f t="array" ref="TOY28">_xlfn.XLOOKUP(TOY$11,Assumptions!$B$35:$H$35,_xlfn.XLOOKUP($C28,Assumptions!$B$36:$B$41,Assumptions!$B$36:$H$41))</f>
        <v>0</v>
      </c>
      <c r="TOZ28">
        <f t="array" ref="TOZ28">_xlfn.XLOOKUP(TOZ$11,Assumptions!$B$35:$H$35,_xlfn.XLOOKUP($C28,Assumptions!$B$36:$B$41,Assumptions!$B$36:$H$41))</f>
        <v>0</v>
      </c>
      <c r="TPA28">
        <f t="array" ref="TPA28">_xlfn.XLOOKUP(TPA$11,Assumptions!$B$35:$H$35,_xlfn.XLOOKUP($C28,Assumptions!$B$36:$B$41,Assumptions!$B$36:$H$41))</f>
        <v>0</v>
      </c>
      <c r="TPB28">
        <f t="array" ref="TPB28">_xlfn.XLOOKUP(TPB$11,Assumptions!$B$35:$H$35,_xlfn.XLOOKUP($C28,Assumptions!$B$36:$B$41,Assumptions!$B$36:$H$41))</f>
        <v>0</v>
      </c>
      <c r="TPC28">
        <f t="array" ref="TPC28">_xlfn.XLOOKUP(TPC$11,Assumptions!$B$35:$H$35,_xlfn.XLOOKUP($C28,Assumptions!$B$36:$B$41,Assumptions!$B$36:$H$41))</f>
        <v>0</v>
      </c>
      <c r="TPD28">
        <f t="array" ref="TPD28">_xlfn.XLOOKUP(TPD$11,Assumptions!$B$35:$H$35,_xlfn.XLOOKUP($C28,Assumptions!$B$36:$B$41,Assumptions!$B$36:$H$41))</f>
        <v>0</v>
      </c>
      <c r="TPE28">
        <f t="array" ref="TPE28">_xlfn.XLOOKUP(TPE$11,Assumptions!$B$35:$H$35,_xlfn.XLOOKUP($C28,Assumptions!$B$36:$B$41,Assumptions!$B$36:$H$41))</f>
        <v>0</v>
      </c>
      <c r="TPF28">
        <f t="array" ref="TPF28">_xlfn.XLOOKUP(TPF$11,Assumptions!$B$35:$H$35,_xlfn.XLOOKUP($C28,Assumptions!$B$36:$B$41,Assumptions!$B$36:$H$41))</f>
        <v>0</v>
      </c>
      <c r="TPG28">
        <f t="array" ref="TPG28">_xlfn.XLOOKUP(TPG$11,Assumptions!$B$35:$H$35,_xlfn.XLOOKUP($C28,Assumptions!$B$36:$B$41,Assumptions!$B$36:$H$41))</f>
        <v>0</v>
      </c>
      <c r="TPH28">
        <f t="array" ref="TPH28">_xlfn.XLOOKUP(TPH$11,Assumptions!$B$35:$H$35,_xlfn.XLOOKUP($C28,Assumptions!$B$36:$B$41,Assumptions!$B$36:$H$41))</f>
        <v>0</v>
      </c>
      <c r="TPI28">
        <f t="array" ref="TPI28">_xlfn.XLOOKUP(TPI$11,Assumptions!$B$35:$H$35,_xlfn.XLOOKUP($C28,Assumptions!$B$36:$B$41,Assumptions!$B$36:$H$41))</f>
        <v>0</v>
      </c>
      <c r="TPJ28">
        <f t="array" ref="TPJ28">_xlfn.XLOOKUP(TPJ$11,Assumptions!$B$35:$H$35,_xlfn.XLOOKUP($C28,Assumptions!$B$36:$B$41,Assumptions!$B$36:$H$41))</f>
        <v>0</v>
      </c>
      <c r="TPK28">
        <f t="array" ref="TPK28">_xlfn.XLOOKUP(TPK$11,Assumptions!$B$35:$H$35,_xlfn.XLOOKUP($C28,Assumptions!$B$36:$B$41,Assumptions!$B$36:$H$41))</f>
        <v>0</v>
      </c>
      <c r="TPL28">
        <f t="array" ref="TPL28">_xlfn.XLOOKUP(TPL$11,Assumptions!$B$35:$H$35,_xlfn.XLOOKUP($C28,Assumptions!$B$36:$B$41,Assumptions!$B$36:$H$41))</f>
        <v>0</v>
      </c>
      <c r="TPM28">
        <f t="array" ref="TPM28">_xlfn.XLOOKUP(TPM$11,Assumptions!$B$35:$H$35,_xlfn.XLOOKUP($C28,Assumptions!$B$36:$B$41,Assumptions!$B$36:$H$41))</f>
        <v>0</v>
      </c>
      <c r="TPN28">
        <f t="array" ref="TPN28">_xlfn.XLOOKUP(TPN$11,Assumptions!$B$35:$H$35,_xlfn.XLOOKUP($C28,Assumptions!$B$36:$B$41,Assumptions!$B$36:$H$41))</f>
        <v>0</v>
      </c>
      <c r="TPO28">
        <f t="array" ref="TPO28">_xlfn.XLOOKUP(TPO$11,Assumptions!$B$35:$H$35,_xlfn.XLOOKUP($C28,Assumptions!$B$36:$B$41,Assumptions!$B$36:$H$41))</f>
        <v>0</v>
      </c>
      <c r="TPP28">
        <f t="array" ref="TPP28">_xlfn.XLOOKUP(TPP$11,Assumptions!$B$35:$H$35,_xlfn.XLOOKUP($C28,Assumptions!$B$36:$B$41,Assumptions!$B$36:$H$41))</f>
        <v>0</v>
      </c>
      <c r="TPQ28">
        <f t="array" ref="TPQ28">_xlfn.XLOOKUP(TPQ$11,Assumptions!$B$35:$H$35,_xlfn.XLOOKUP($C28,Assumptions!$B$36:$B$41,Assumptions!$B$36:$H$41))</f>
        <v>0</v>
      </c>
      <c r="TPR28">
        <f t="array" ref="TPR28">_xlfn.XLOOKUP(TPR$11,Assumptions!$B$35:$H$35,_xlfn.XLOOKUP($C28,Assumptions!$B$36:$B$41,Assumptions!$B$36:$H$41))</f>
        <v>0</v>
      </c>
      <c r="TPS28">
        <f t="array" ref="TPS28">_xlfn.XLOOKUP(TPS$11,Assumptions!$B$35:$H$35,_xlfn.XLOOKUP($C28,Assumptions!$B$36:$B$41,Assumptions!$B$36:$H$41))</f>
        <v>0</v>
      </c>
      <c r="TPT28">
        <f t="array" ref="TPT28">_xlfn.XLOOKUP(TPT$11,Assumptions!$B$35:$H$35,_xlfn.XLOOKUP($C28,Assumptions!$B$36:$B$41,Assumptions!$B$36:$H$41))</f>
        <v>0</v>
      </c>
      <c r="TPU28">
        <f t="array" ref="TPU28">_xlfn.XLOOKUP(TPU$11,Assumptions!$B$35:$H$35,_xlfn.XLOOKUP($C28,Assumptions!$B$36:$B$41,Assumptions!$B$36:$H$41))</f>
        <v>0</v>
      </c>
      <c r="TPV28">
        <f t="array" ref="TPV28">_xlfn.XLOOKUP(TPV$11,Assumptions!$B$35:$H$35,_xlfn.XLOOKUP($C28,Assumptions!$B$36:$B$41,Assumptions!$B$36:$H$41))</f>
        <v>0</v>
      </c>
      <c r="TPW28">
        <f t="array" ref="TPW28">_xlfn.XLOOKUP(TPW$11,Assumptions!$B$35:$H$35,_xlfn.XLOOKUP($C28,Assumptions!$B$36:$B$41,Assumptions!$B$36:$H$41))</f>
        <v>0</v>
      </c>
      <c r="TPX28">
        <f t="array" ref="TPX28">_xlfn.XLOOKUP(TPX$11,Assumptions!$B$35:$H$35,_xlfn.XLOOKUP($C28,Assumptions!$B$36:$B$41,Assumptions!$B$36:$H$41))</f>
        <v>0</v>
      </c>
      <c r="TPY28">
        <f t="array" ref="TPY28">_xlfn.XLOOKUP(TPY$11,Assumptions!$B$35:$H$35,_xlfn.XLOOKUP($C28,Assumptions!$B$36:$B$41,Assumptions!$B$36:$H$41))</f>
        <v>0</v>
      </c>
      <c r="TPZ28">
        <f t="array" ref="TPZ28">_xlfn.XLOOKUP(TPZ$11,Assumptions!$B$35:$H$35,_xlfn.XLOOKUP($C28,Assumptions!$B$36:$B$41,Assumptions!$B$36:$H$41))</f>
        <v>0</v>
      </c>
      <c r="TQA28">
        <f t="array" ref="TQA28">_xlfn.XLOOKUP(TQA$11,Assumptions!$B$35:$H$35,_xlfn.XLOOKUP($C28,Assumptions!$B$36:$B$41,Assumptions!$B$36:$H$41))</f>
        <v>0</v>
      </c>
      <c r="TQB28">
        <f t="array" ref="TQB28">_xlfn.XLOOKUP(TQB$11,Assumptions!$B$35:$H$35,_xlfn.XLOOKUP($C28,Assumptions!$B$36:$B$41,Assumptions!$B$36:$H$41))</f>
        <v>0</v>
      </c>
      <c r="TQC28">
        <f t="array" ref="TQC28">_xlfn.XLOOKUP(TQC$11,Assumptions!$B$35:$H$35,_xlfn.XLOOKUP($C28,Assumptions!$B$36:$B$41,Assumptions!$B$36:$H$41))</f>
        <v>0</v>
      </c>
      <c r="TQD28">
        <f t="array" ref="TQD28">_xlfn.XLOOKUP(TQD$11,Assumptions!$B$35:$H$35,_xlfn.XLOOKUP($C28,Assumptions!$B$36:$B$41,Assumptions!$B$36:$H$41))</f>
        <v>0</v>
      </c>
      <c r="TQE28">
        <f t="array" ref="TQE28">_xlfn.XLOOKUP(TQE$11,Assumptions!$B$35:$H$35,_xlfn.XLOOKUP($C28,Assumptions!$B$36:$B$41,Assumptions!$B$36:$H$41))</f>
        <v>0</v>
      </c>
      <c r="TQF28">
        <f t="array" ref="TQF28">_xlfn.XLOOKUP(TQF$11,Assumptions!$B$35:$H$35,_xlfn.XLOOKUP($C28,Assumptions!$B$36:$B$41,Assumptions!$B$36:$H$41))</f>
        <v>0</v>
      </c>
      <c r="TQG28">
        <f t="array" ref="TQG28">_xlfn.XLOOKUP(TQG$11,Assumptions!$B$35:$H$35,_xlfn.XLOOKUP($C28,Assumptions!$B$36:$B$41,Assumptions!$B$36:$H$41))</f>
        <v>0</v>
      </c>
      <c r="TQH28">
        <f t="array" ref="TQH28">_xlfn.XLOOKUP(TQH$11,Assumptions!$B$35:$H$35,_xlfn.XLOOKUP($C28,Assumptions!$B$36:$B$41,Assumptions!$B$36:$H$41))</f>
        <v>0</v>
      </c>
      <c r="TQI28">
        <f t="array" ref="TQI28">_xlfn.XLOOKUP(TQI$11,Assumptions!$B$35:$H$35,_xlfn.XLOOKUP($C28,Assumptions!$B$36:$B$41,Assumptions!$B$36:$H$41))</f>
        <v>0</v>
      </c>
      <c r="TQJ28">
        <f t="array" ref="TQJ28">_xlfn.XLOOKUP(TQJ$11,Assumptions!$B$35:$H$35,_xlfn.XLOOKUP($C28,Assumptions!$B$36:$B$41,Assumptions!$B$36:$H$41))</f>
        <v>0</v>
      </c>
      <c r="TQK28">
        <f t="array" ref="TQK28">_xlfn.XLOOKUP(TQK$11,Assumptions!$B$35:$H$35,_xlfn.XLOOKUP($C28,Assumptions!$B$36:$B$41,Assumptions!$B$36:$H$41))</f>
        <v>0</v>
      </c>
      <c r="TQL28">
        <f t="array" ref="TQL28">_xlfn.XLOOKUP(TQL$11,Assumptions!$B$35:$H$35,_xlfn.XLOOKUP($C28,Assumptions!$B$36:$B$41,Assumptions!$B$36:$H$41))</f>
        <v>0</v>
      </c>
      <c r="TQM28">
        <f t="array" ref="TQM28">_xlfn.XLOOKUP(TQM$11,Assumptions!$B$35:$H$35,_xlfn.XLOOKUP($C28,Assumptions!$B$36:$B$41,Assumptions!$B$36:$H$41))</f>
        <v>0</v>
      </c>
      <c r="TQN28">
        <f t="array" ref="TQN28">_xlfn.XLOOKUP(TQN$11,Assumptions!$B$35:$H$35,_xlfn.XLOOKUP($C28,Assumptions!$B$36:$B$41,Assumptions!$B$36:$H$41))</f>
        <v>0</v>
      </c>
      <c r="TQO28">
        <f t="array" ref="TQO28">_xlfn.XLOOKUP(TQO$11,Assumptions!$B$35:$H$35,_xlfn.XLOOKUP($C28,Assumptions!$B$36:$B$41,Assumptions!$B$36:$H$41))</f>
        <v>0</v>
      </c>
      <c r="TQP28">
        <f t="array" ref="TQP28">_xlfn.XLOOKUP(TQP$11,Assumptions!$B$35:$H$35,_xlfn.XLOOKUP($C28,Assumptions!$B$36:$B$41,Assumptions!$B$36:$H$41))</f>
        <v>0</v>
      </c>
      <c r="TQQ28">
        <f t="array" ref="TQQ28">_xlfn.XLOOKUP(TQQ$11,Assumptions!$B$35:$H$35,_xlfn.XLOOKUP($C28,Assumptions!$B$36:$B$41,Assumptions!$B$36:$H$41))</f>
        <v>0</v>
      </c>
      <c r="TQR28">
        <f t="array" ref="TQR28">_xlfn.XLOOKUP(TQR$11,Assumptions!$B$35:$H$35,_xlfn.XLOOKUP($C28,Assumptions!$B$36:$B$41,Assumptions!$B$36:$H$41))</f>
        <v>0</v>
      </c>
      <c r="TQS28">
        <f t="array" ref="TQS28">_xlfn.XLOOKUP(TQS$11,Assumptions!$B$35:$H$35,_xlfn.XLOOKUP($C28,Assumptions!$B$36:$B$41,Assumptions!$B$36:$H$41))</f>
        <v>0</v>
      </c>
      <c r="TQT28">
        <f t="array" ref="TQT28">_xlfn.XLOOKUP(TQT$11,Assumptions!$B$35:$H$35,_xlfn.XLOOKUP($C28,Assumptions!$B$36:$B$41,Assumptions!$B$36:$H$41))</f>
        <v>0</v>
      </c>
      <c r="TQU28">
        <f t="array" ref="TQU28">_xlfn.XLOOKUP(TQU$11,Assumptions!$B$35:$H$35,_xlfn.XLOOKUP($C28,Assumptions!$B$36:$B$41,Assumptions!$B$36:$H$41))</f>
        <v>0</v>
      </c>
      <c r="TQV28">
        <f t="array" ref="TQV28">_xlfn.XLOOKUP(TQV$11,Assumptions!$B$35:$H$35,_xlfn.XLOOKUP($C28,Assumptions!$B$36:$B$41,Assumptions!$B$36:$H$41))</f>
        <v>0</v>
      </c>
      <c r="TQW28">
        <f t="array" ref="TQW28">_xlfn.XLOOKUP(TQW$11,Assumptions!$B$35:$H$35,_xlfn.XLOOKUP($C28,Assumptions!$B$36:$B$41,Assumptions!$B$36:$H$41))</f>
        <v>0</v>
      </c>
      <c r="TQX28">
        <f t="array" ref="TQX28">_xlfn.XLOOKUP(TQX$11,Assumptions!$B$35:$H$35,_xlfn.XLOOKUP($C28,Assumptions!$B$36:$B$41,Assumptions!$B$36:$H$41))</f>
        <v>0</v>
      </c>
      <c r="TQY28">
        <f t="array" ref="TQY28">_xlfn.XLOOKUP(TQY$11,Assumptions!$B$35:$H$35,_xlfn.XLOOKUP($C28,Assumptions!$B$36:$B$41,Assumptions!$B$36:$H$41))</f>
        <v>0</v>
      </c>
      <c r="TQZ28">
        <f t="array" ref="TQZ28">_xlfn.XLOOKUP(TQZ$11,Assumptions!$B$35:$H$35,_xlfn.XLOOKUP($C28,Assumptions!$B$36:$B$41,Assumptions!$B$36:$H$41))</f>
        <v>0</v>
      </c>
      <c r="TRA28">
        <f t="array" ref="TRA28">_xlfn.XLOOKUP(TRA$11,Assumptions!$B$35:$H$35,_xlfn.XLOOKUP($C28,Assumptions!$B$36:$B$41,Assumptions!$B$36:$H$41))</f>
        <v>0</v>
      </c>
      <c r="TRB28">
        <f t="array" ref="TRB28">_xlfn.XLOOKUP(TRB$11,Assumptions!$B$35:$H$35,_xlfn.XLOOKUP($C28,Assumptions!$B$36:$B$41,Assumptions!$B$36:$H$41))</f>
        <v>0</v>
      </c>
      <c r="TRC28">
        <f t="array" ref="TRC28">_xlfn.XLOOKUP(TRC$11,Assumptions!$B$35:$H$35,_xlfn.XLOOKUP($C28,Assumptions!$B$36:$B$41,Assumptions!$B$36:$H$41))</f>
        <v>0</v>
      </c>
      <c r="TRD28">
        <f t="array" ref="TRD28">_xlfn.XLOOKUP(TRD$11,Assumptions!$B$35:$H$35,_xlfn.XLOOKUP($C28,Assumptions!$B$36:$B$41,Assumptions!$B$36:$H$41))</f>
        <v>0</v>
      </c>
      <c r="TRE28">
        <f t="array" ref="TRE28">_xlfn.XLOOKUP(TRE$11,Assumptions!$B$35:$H$35,_xlfn.XLOOKUP($C28,Assumptions!$B$36:$B$41,Assumptions!$B$36:$H$41))</f>
        <v>0</v>
      </c>
      <c r="TRF28">
        <f t="array" ref="TRF28">_xlfn.XLOOKUP(TRF$11,Assumptions!$B$35:$H$35,_xlfn.XLOOKUP($C28,Assumptions!$B$36:$B$41,Assumptions!$B$36:$H$41))</f>
        <v>0</v>
      </c>
      <c r="TRG28">
        <f t="array" ref="TRG28">_xlfn.XLOOKUP(TRG$11,Assumptions!$B$35:$H$35,_xlfn.XLOOKUP($C28,Assumptions!$B$36:$B$41,Assumptions!$B$36:$H$41))</f>
        <v>0</v>
      </c>
      <c r="TRH28">
        <f t="array" ref="TRH28">_xlfn.XLOOKUP(TRH$11,Assumptions!$B$35:$H$35,_xlfn.XLOOKUP($C28,Assumptions!$B$36:$B$41,Assumptions!$B$36:$H$41))</f>
        <v>0</v>
      </c>
      <c r="TRI28">
        <f t="array" ref="TRI28">_xlfn.XLOOKUP(TRI$11,Assumptions!$B$35:$H$35,_xlfn.XLOOKUP($C28,Assumptions!$B$36:$B$41,Assumptions!$B$36:$H$41))</f>
        <v>0</v>
      </c>
      <c r="TRJ28">
        <f t="array" ref="TRJ28">_xlfn.XLOOKUP(TRJ$11,Assumptions!$B$35:$H$35,_xlfn.XLOOKUP($C28,Assumptions!$B$36:$B$41,Assumptions!$B$36:$H$41))</f>
        <v>0</v>
      </c>
      <c r="TRK28">
        <f t="array" ref="TRK28">_xlfn.XLOOKUP(TRK$11,Assumptions!$B$35:$H$35,_xlfn.XLOOKUP($C28,Assumptions!$B$36:$B$41,Assumptions!$B$36:$H$41))</f>
        <v>0</v>
      </c>
      <c r="TRL28">
        <f t="array" ref="TRL28">_xlfn.XLOOKUP(TRL$11,Assumptions!$B$35:$H$35,_xlfn.XLOOKUP($C28,Assumptions!$B$36:$B$41,Assumptions!$B$36:$H$41))</f>
        <v>0</v>
      </c>
      <c r="TRM28">
        <f t="array" ref="TRM28">_xlfn.XLOOKUP(TRM$11,Assumptions!$B$35:$H$35,_xlfn.XLOOKUP($C28,Assumptions!$B$36:$B$41,Assumptions!$B$36:$H$41))</f>
        <v>0</v>
      </c>
      <c r="TRN28">
        <f t="array" ref="TRN28">_xlfn.XLOOKUP(TRN$11,Assumptions!$B$35:$H$35,_xlfn.XLOOKUP($C28,Assumptions!$B$36:$B$41,Assumptions!$B$36:$H$41))</f>
        <v>0</v>
      </c>
      <c r="TRO28">
        <f t="array" ref="TRO28">_xlfn.XLOOKUP(TRO$11,Assumptions!$B$35:$H$35,_xlfn.XLOOKUP($C28,Assumptions!$B$36:$B$41,Assumptions!$B$36:$H$41))</f>
        <v>0</v>
      </c>
      <c r="TRP28">
        <f t="array" ref="TRP28">_xlfn.XLOOKUP(TRP$11,Assumptions!$B$35:$H$35,_xlfn.XLOOKUP($C28,Assumptions!$B$36:$B$41,Assumptions!$B$36:$H$41))</f>
        <v>0</v>
      </c>
      <c r="TRQ28">
        <f t="array" ref="TRQ28">_xlfn.XLOOKUP(TRQ$11,Assumptions!$B$35:$H$35,_xlfn.XLOOKUP($C28,Assumptions!$B$36:$B$41,Assumptions!$B$36:$H$41))</f>
        <v>0</v>
      </c>
      <c r="TRR28">
        <f t="array" ref="TRR28">_xlfn.XLOOKUP(TRR$11,Assumptions!$B$35:$H$35,_xlfn.XLOOKUP($C28,Assumptions!$B$36:$B$41,Assumptions!$B$36:$H$41))</f>
        <v>0</v>
      </c>
      <c r="TRS28">
        <f t="array" ref="TRS28">_xlfn.XLOOKUP(TRS$11,Assumptions!$B$35:$H$35,_xlfn.XLOOKUP($C28,Assumptions!$B$36:$B$41,Assumptions!$B$36:$H$41))</f>
        <v>0</v>
      </c>
      <c r="TRT28">
        <f t="array" ref="TRT28">_xlfn.XLOOKUP(TRT$11,Assumptions!$B$35:$H$35,_xlfn.XLOOKUP($C28,Assumptions!$B$36:$B$41,Assumptions!$B$36:$H$41))</f>
        <v>0</v>
      </c>
      <c r="TRU28">
        <f t="array" ref="TRU28">_xlfn.XLOOKUP(TRU$11,Assumptions!$B$35:$H$35,_xlfn.XLOOKUP($C28,Assumptions!$B$36:$B$41,Assumptions!$B$36:$H$41))</f>
        <v>0</v>
      </c>
      <c r="TRV28">
        <f t="array" ref="TRV28">_xlfn.XLOOKUP(TRV$11,Assumptions!$B$35:$H$35,_xlfn.XLOOKUP($C28,Assumptions!$B$36:$B$41,Assumptions!$B$36:$H$41))</f>
        <v>0</v>
      </c>
      <c r="TRW28">
        <f t="array" ref="TRW28">_xlfn.XLOOKUP(TRW$11,Assumptions!$B$35:$H$35,_xlfn.XLOOKUP($C28,Assumptions!$B$36:$B$41,Assumptions!$B$36:$H$41))</f>
        <v>0</v>
      </c>
      <c r="TRX28">
        <f t="array" ref="TRX28">_xlfn.XLOOKUP(TRX$11,Assumptions!$B$35:$H$35,_xlfn.XLOOKUP($C28,Assumptions!$B$36:$B$41,Assumptions!$B$36:$H$41))</f>
        <v>0</v>
      </c>
      <c r="TRY28">
        <f t="array" ref="TRY28">_xlfn.XLOOKUP(TRY$11,Assumptions!$B$35:$H$35,_xlfn.XLOOKUP($C28,Assumptions!$B$36:$B$41,Assumptions!$B$36:$H$41))</f>
        <v>0</v>
      </c>
      <c r="TRZ28">
        <f t="array" ref="TRZ28">_xlfn.XLOOKUP(TRZ$11,Assumptions!$B$35:$H$35,_xlfn.XLOOKUP($C28,Assumptions!$B$36:$B$41,Assumptions!$B$36:$H$41))</f>
        <v>0</v>
      </c>
      <c r="TSA28">
        <f t="array" ref="TSA28">_xlfn.XLOOKUP(TSA$11,Assumptions!$B$35:$H$35,_xlfn.XLOOKUP($C28,Assumptions!$B$36:$B$41,Assumptions!$B$36:$H$41))</f>
        <v>0</v>
      </c>
      <c r="TSB28">
        <f t="array" ref="TSB28">_xlfn.XLOOKUP(TSB$11,Assumptions!$B$35:$H$35,_xlfn.XLOOKUP($C28,Assumptions!$B$36:$B$41,Assumptions!$B$36:$H$41))</f>
        <v>0</v>
      </c>
      <c r="TSC28">
        <f t="array" ref="TSC28">_xlfn.XLOOKUP(TSC$11,Assumptions!$B$35:$H$35,_xlfn.XLOOKUP($C28,Assumptions!$B$36:$B$41,Assumptions!$B$36:$H$41))</f>
        <v>0</v>
      </c>
      <c r="TSD28">
        <f t="array" ref="TSD28">_xlfn.XLOOKUP(TSD$11,Assumptions!$B$35:$H$35,_xlfn.XLOOKUP($C28,Assumptions!$B$36:$B$41,Assumptions!$B$36:$H$41))</f>
        <v>0</v>
      </c>
      <c r="TSE28">
        <f t="array" ref="TSE28">_xlfn.XLOOKUP(TSE$11,Assumptions!$B$35:$H$35,_xlfn.XLOOKUP($C28,Assumptions!$B$36:$B$41,Assumptions!$B$36:$H$41))</f>
        <v>0</v>
      </c>
      <c r="TSF28">
        <f t="array" ref="TSF28">_xlfn.XLOOKUP(TSF$11,Assumptions!$B$35:$H$35,_xlfn.XLOOKUP($C28,Assumptions!$B$36:$B$41,Assumptions!$B$36:$H$41))</f>
        <v>0</v>
      </c>
      <c r="TSG28">
        <f t="array" ref="TSG28">_xlfn.XLOOKUP(TSG$11,Assumptions!$B$35:$H$35,_xlfn.XLOOKUP($C28,Assumptions!$B$36:$B$41,Assumptions!$B$36:$H$41))</f>
        <v>0</v>
      </c>
      <c r="TSH28">
        <f t="array" ref="TSH28">_xlfn.XLOOKUP(TSH$11,Assumptions!$B$35:$H$35,_xlfn.XLOOKUP($C28,Assumptions!$B$36:$B$41,Assumptions!$B$36:$H$41))</f>
        <v>0</v>
      </c>
      <c r="TSI28">
        <f t="array" ref="TSI28">_xlfn.XLOOKUP(TSI$11,Assumptions!$B$35:$H$35,_xlfn.XLOOKUP($C28,Assumptions!$B$36:$B$41,Assumptions!$B$36:$H$41))</f>
        <v>0</v>
      </c>
      <c r="TSJ28">
        <f t="array" ref="TSJ28">_xlfn.XLOOKUP(TSJ$11,Assumptions!$B$35:$H$35,_xlfn.XLOOKUP($C28,Assumptions!$B$36:$B$41,Assumptions!$B$36:$H$41))</f>
        <v>0</v>
      </c>
      <c r="TSK28">
        <f t="array" ref="TSK28">_xlfn.XLOOKUP(TSK$11,Assumptions!$B$35:$H$35,_xlfn.XLOOKUP($C28,Assumptions!$B$36:$B$41,Assumptions!$B$36:$H$41))</f>
        <v>0</v>
      </c>
      <c r="TSL28">
        <f t="array" ref="TSL28">_xlfn.XLOOKUP(TSL$11,Assumptions!$B$35:$H$35,_xlfn.XLOOKUP($C28,Assumptions!$B$36:$B$41,Assumptions!$B$36:$H$41))</f>
        <v>0</v>
      </c>
      <c r="TSM28">
        <f t="array" ref="TSM28">_xlfn.XLOOKUP(TSM$11,Assumptions!$B$35:$H$35,_xlfn.XLOOKUP($C28,Assumptions!$B$36:$B$41,Assumptions!$B$36:$H$41))</f>
        <v>0</v>
      </c>
      <c r="TSN28">
        <f t="array" ref="TSN28">_xlfn.XLOOKUP(TSN$11,Assumptions!$B$35:$H$35,_xlfn.XLOOKUP($C28,Assumptions!$B$36:$B$41,Assumptions!$B$36:$H$41))</f>
        <v>0</v>
      </c>
      <c r="TSO28">
        <f t="array" ref="TSO28">_xlfn.XLOOKUP(TSO$11,Assumptions!$B$35:$H$35,_xlfn.XLOOKUP($C28,Assumptions!$B$36:$B$41,Assumptions!$B$36:$H$41))</f>
        <v>0</v>
      </c>
      <c r="TSP28">
        <f t="array" ref="TSP28">_xlfn.XLOOKUP(TSP$11,Assumptions!$B$35:$H$35,_xlfn.XLOOKUP($C28,Assumptions!$B$36:$B$41,Assumptions!$B$36:$H$41))</f>
        <v>0</v>
      </c>
      <c r="TSQ28">
        <f t="array" ref="TSQ28">_xlfn.XLOOKUP(TSQ$11,Assumptions!$B$35:$H$35,_xlfn.XLOOKUP($C28,Assumptions!$B$36:$B$41,Assumptions!$B$36:$H$41))</f>
        <v>0</v>
      </c>
      <c r="TSR28">
        <f t="array" ref="TSR28">_xlfn.XLOOKUP(TSR$11,Assumptions!$B$35:$H$35,_xlfn.XLOOKUP($C28,Assumptions!$B$36:$B$41,Assumptions!$B$36:$H$41))</f>
        <v>0</v>
      </c>
      <c r="TSS28">
        <f t="array" ref="TSS28">_xlfn.XLOOKUP(TSS$11,Assumptions!$B$35:$H$35,_xlfn.XLOOKUP($C28,Assumptions!$B$36:$B$41,Assumptions!$B$36:$H$41))</f>
        <v>0</v>
      </c>
      <c r="TST28">
        <f t="array" ref="TST28">_xlfn.XLOOKUP(TST$11,Assumptions!$B$35:$H$35,_xlfn.XLOOKUP($C28,Assumptions!$B$36:$B$41,Assumptions!$B$36:$H$41))</f>
        <v>0</v>
      </c>
      <c r="TSU28">
        <f t="array" ref="TSU28">_xlfn.XLOOKUP(TSU$11,Assumptions!$B$35:$H$35,_xlfn.XLOOKUP($C28,Assumptions!$B$36:$B$41,Assumptions!$B$36:$H$41))</f>
        <v>0</v>
      </c>
      <c r="TSV28">
        <f t="array" ref="TSV28">_xlfn.XLOOKUP(TSV$11,Assumptions!$B$35:$H$35,_xlfn.XLOOKUP($C28,Assumptions!$B$36:$B$41,Assumptions!$B$36:$H$41))</f>
        <v>0</v>
      </c>
      <c r="TSW28">
        <f t="array" ref="TSW28">_xlfn.XLOOKUP(TSW$11,Assumptions!$B$35:$H$35,_xlfn.XLOOKUP($C28,Assumptions!$B$36:$B$41,Assumptions!$B$36:$H$41))</f>
        <v>0</v>
      </c>
      <c r="TSX28">
        <f t="array" ref="TSX28">_xlfn.XLOOKUP(TSX$11,Assumptions!$B$35:$H$35,_xlfn.XLOOKUP($C28,Assumptions!$B$36:$B$41,Assumptions!$B$36:$H$41))</f>
        <v>0</v>
      </c>
      <c r="TSY28">
        <f t="array" ref="TSY28">_xlfn.XLOOKUP(TSY$11,Assumptions!$B$35:$H$35,_xlfn.XLOOKUP($C28,Assumptions!$B$36:$B$41,Assumptions!$B$36:$H$41))</f>
        <v>0</v>
      </c>
      <c r="TSZ28">
        <f t="array" ref="TSZ28">_xlfn.XLOOKUP(TSZ$11,Assumptions!$B$35:$H$35,_xlfn.XLOOKUP($C28,Assumptions!$B$36:$B$41,Assumptions!$B$36:$H$41))</f>
        <v>0</v>
      </c>
      <c r="TTA28">
        <f t="array" ref="TTA28">_xlfn.XLOOKUP(TTA$11,Assumptions!$B$35:$H$35,_xlfn.XLOOKUP($C28,Assumptions!$B$36:$B$41,Assumptions!$B$36:$H$41))</f>
        <v>0</v>
      </c>
      <c r="TTB28">
        <f t="array" ref="TTB28">_xlfn.XLOOKUP(TTB$11,Assumptions!$B$35:$H$35,_xlfn.XLOOKUP($C28,Assumptions!$B$36:$B$41,Assumptions!$B$36:$H$41))</f>
        <v>0</v>
      </c>
      <c r="TTC28">
        <f t="array" ref="TTC28">_xlfn.XLOOKUP(TTC$11,Assumptions!$B$35:$H$35,_xlfn.XLOOKUP($C28,Assumptions!$B$36:$B$41,Assumptions!$B$36:$H$41))</f>
        <v>0</v>
      </c>
      <c r="TTD28">
        <f t="array" ref="TTD28">_xlfn.XLOOKUP(TTD$11,Assumptions!$B$35:$H$35,_xlfn.XLOOKUP($C28,Assumptions!$B$36:$B$41,Assumptions!$B$36:$H$41))</f>
        <v>0</v>
      </c>
      <c r="TTE28">
        <f t="array" ref="TTE28">_xlfn.XLOOKUP(TTE$11,Assumptions!$B$35:$H$35,_xlfn.XLOOKUP($C28,Assumptions!$B$36:$B$41,Assumptions!$B$36:$H$41))</f>
        <v>0</v>
      </c>
      <c r="TTF28">
        <f t="array" ref="TTF28">_xlfn.XLOOKUP(TTF$11,Assumptions!$B$35:$H$35,_xlfn.XLOOKUP($C28,Assumptions!$B$36:$B$41,Assumptions!$B$36:$H$41))</f>
        <v>0</v>
      </c>
      <c r="TTG28">
        <f t="array" ref="TTG28">_xlfn.XLOOKUP(TTG$11,Assumptions!$B$35:$H$35,_xlfn.XLOOKUP($C28,Assumptions!$B$36:$B$41,Assumptions!$B$36:$H$41))</f>
        <v>0</v>
      </c>
      <c r="TTH28">
        <f t="array" ref="TTH28">_xlfn.XLOOKUP(TTH$11,Assumptions!$B$35:$H$35,_xlfn.XLOOKUP($C28,Assumptions!$B$36:$B$41,Assumptions!$B$36:$H$41))</f>
        <v>0</v>
      </c>
      <c r="TTI28">
        <f t="array" ref="TTI28">_xlfn.XLOOKUP(TTI$11,Assumptions!$B$35:$H$35,_xlfn.XLOOKUP($C28,Assumptions!$B$36:$B$41,Assumptions!$B$36:$H$41))</f>
        <v>0</v>
      </c>
      <c r="TTJ28">
        <f t="array" ref="TTJ28">_xlfn.XLOOKUP(TTJ$11,Assumptions!$B$35:$H$35,_xlfn.XLOOKUP($C28,Assumptions!$B$36:$B$41,Assumptions!$B$36:$H$41))</f>
        <v>0</v>
      </c>
      <c r="TTK28">
        <f t="array" ref="TTK28">_xlfn.XLOOKUP(TTK$11,Assumptions!$B$35:$H$35,_xlfn.XLOOKUP($C28,Assumptions!$B$36:$B$41,Assumptions!$B$36:$H$41))</f>
        <v>0</v>
      </c>
      <c r="TTL28">
        <f t="array" ref="TTL28">_xlfn.XLOOKUP(TTL$11,Assumptions!$B$35:$H$35,_xlfn.XLOOKUP($C28,Assumptions!$B$36:$B$41,Assumptions!$B$36:$H$41))</f>
        <v>0</v>
      </c>
      <c r="TTM28">
        <f t="array" ref="TTM28">_xlfn.XLOOKUP(TTM$11,Assumptions!$B$35:$H$35,_xlfn.XLOOKUP($C28,Assumptions!$B$36:$B$41,Assumptions!$B$36:$H$41))</f>
        <v>0</v>
      </c>
      <c r="TTN28">
        <f t="array" ref="TTN28">_xlfn.XLOOKUP(TTN$11,Assumptions!$B$35:$H$35,_xlfn.XLOOKUP($C28,Assumptions!$B$36:$B$41,Assumptions!$B$36:$H$41))</f>
        <v>0</v>
      </c>
      <c r="TTO28">
        <f t="array" ref="TTO28">_xlfn.XLOOKUP(TTO$11,Assumptions!$B$35:$H$35,_xlfn.XLOOKUP($C28,Assumptions!$B$36:$B$41,Assumptions!$B$36:$H$41))</f>
        <v>0</v>
      </c>
      <c r="TTP28">
        <f t="array" ref="TTP28">_xlfn.XLOOKUP(TTP$11,Assumptions!$B$35:$H$35,_xlfn.XLOOKUP($C28,Assumptions!$B$36:$B$41,Assumptions!$B$36:$H$41))</f>
        <v>0</v>
      </c>
      <c r="TTQ28">
        <f t="array" ref="TTQ28">_xlfn.XLOOKUP(TTQ$11,Assumptions!$B$35:$H$35,_xlfn.XLOOKUP($C28,Assumptions!$B$36:$B$41,Assumptions!$B$36:$H$41))</f>
        <v>0</v>
      </c>
      <c r="TTR28">
        <f t="array" ref="TTR28">_xlfn.XLOOKUP(TTR$11,Assumptions!$B$35:$H$35,_xlfn.XLOOKUP($C28,Assumptions!$B$36:$B$41,Assumptions!$B$36:$H$41))</f>
        <v>0</v>
      </c>
      <c r="TTS28">
        <f t="array" ref="TTS28">_xlfn.XLOOKUP(TTS$11,Assumptions!$B$35:$H$35,_xlfn.XLOOKUP($C28,Assumptions!$B$36:$B$41,Assumptions!$B$36:$H$41))</f>
        <v>0</v>
      </c>
      <c r="TTT28">
        <f t="array" ref="TTT28">_xlfn.XLOOKUP(TTT$11,Assumptions!$B$35:$H$35,_xlfn.XLOOKUP($C28,Assumptions!$B$36:$B$41,Assumptions!$B$36:$H$41))</f>
        <v>0</v>
      </c>
      <c r="TTU28">
        <f t="array" ref="TTU28">_xlfn.XLOOKUP(TTU$11,Assumptions!$B$35:$H$35,_xlfn.XLOOKUP($C28,Assumptions!$B$36:$B$41,Assumptions!$B$36:$H$41))</f>
        <v>0</v>
      </c>
      <c r="TTV28">
        <f t="array" ref="TTV28">_xlfn.XLOOKUP(TTV$11,Assumptions!$B$35:$H$35,_xlfn.XLOOKUP($C28,Assumptions!$B$36:$B$41,Assumptions!$B$36:$H$41))</f>
        <v>0</v>
      </c>
      <c r="TTW28">
        <f t="array" ref="TTW28">_xlfn.XLOOKUP(TTW$11,Assumptions!$B$35:$H$35,_xlfn.XLOOKUP($C28,Assumptions!$B$36:$B$41,Assumptions!$B$36:$H$41))</f>
        <v>0</v>
      </c>
      <c r="TTX28">
        <f t="array" ref="TTX28">_xlfn.XLOOKUP(TTX$11,Assumptions!$B$35:$H$35,_xlfn.XLOOKUP($C28,Assumptions!$B$36:$B$41,Assumptions!$B$36:$H$41))</f>
        <v>0</v>
      </c>
      <c r="TTY28">
        <f t="array" ref="TTY28">_xlfn.XLOOKUP(TTY$11,Assumptions!$B$35:$H$35,_xlfn.XLOOKUP($C28,Assumptions!$B$36:$B$41,Assumptions!$B$36:$H$41))</f>
        <v>0</v>
      </c>
      <c r="TTZ28">
        <f t="array" ref="TTZ28">_xlfn.XLOOKUP(TTZ$11,Assumptions!$B$35:$H$35,_xlfn.XLOOKUP($C28,Assumptions!$B$36:$B$41,Assumptions!$B$36:$H$41))</f>
        <v>0</v>
      </c>
      <c r="TUA28">
        <f t="array" ref="TUA28">_xlfn.XLOOKUP(TUA$11,Assumptions!$B$35:$H$35,_xlfn.XLOOKUP($C28,Assumptions!$B$36:$B$41,Assumptions!$B$36:$H$41))</f>
        <v>0</v>
      </c>
      <c r="TUB28">
        <f t="array" ref="TUB28">_xlfn.XLOOKUP(TUB$11,Assumptions!$B$35:$H$35,_xlfn.XLOOKUP($C28,Assumptions!$B$36:$B$41,Assumptions!$B$36:$H$41))</f>
        <v>0</v>
      </c>
      <c r="TUC28">
        <f t="array" ref="TUC28">_xlfn.XLOOKUP(TUC$11,Assumptions!$B$35:$H$35,_xlfn.XLOOKUP($C28,Assumptions!$B$36:$B$41,Assumptions!$B$36:$H$41))</f>
        <v>0</v>
      </c>
      <c r="TUD28">
        <f t="array" ref="TUD28">_xlfn.XLOOKUP(TUD$11,Assumptions!$B$35:$H$35,_xlfn.XLOOKUP($C28,Assumptions!$B$36:$B$41,Assumptions!$B$36:$H$41))</f>
        <v>0</v>
      </c>
      <c r="TUE28">
        <f t="array" ref="TUE28">_xlfn.XLOOKUP(TUE$11,Assumptions!$B$35:$H$35,_xlfn.XLOOKUP($C28,Assumptions!$B$36:$B$41,Assumptions!$B$36:$H$41))</f>
        <v>0</v>
      </c>
      <c r="TUF28">
        <f t="array" ref="TUF28">_xlfn.XLOOKUP(TUF$11,Assumptions!$B$35:$H$35,_xlfn.XLOOKUP($C28,Assumptions!$B$36:$B$41,Assumptions!$B$36:$H$41))</f>
        <v>0</v>
      </c>
      <c r="TUG28">
        <f t="array" ref="TUG28">_xlfn.XLOOKUP(TUG$11,Assumptions!$B$35:$H$35,_xlfn.XLOOKUP($C28,Assumptions!$B$36:$B$41,Assumptions!$B$36:$H$41))</f>
        <v>0</v>
      </c>
      <c r="TUH28">
        <f t="array" ref="TUH28">_xlfn.XLOOKUP(TUH$11,Assumptions!$B$35:$H$35,_xlfn.XLOOKUP($C28,Assumptions!$B$36:$B$41,Assumptions!$B$36:$H$41))</f>
        <v>0</v>
      </c>
      <c r="TUI28">
        <f t="array" ref="TUI28">_xlfn.XLOOKUP(TUI$11,Assumptions!$B$35:$H$35,_xlfn.XLOOKUP($C28,Assumptions!$B$36:$B$41,Assumptions!$B$36:$H$41))</f>
        <v>0</v>
      </c>
      <c r="TUJ28">
        <f t="array" ref="TUJ28">_xlfn.XLOOKUP(TUJ$11,Assumptions!$B$35:$H$35,_xlfn.XLOOKUP($C28,Assumptions!$B$36:$B$41,Assumptions!$B$36:$H$41))</f>
        <v>0</v>
      </c>
      <c r="TUK28">
        <f t="array" ref="TUK28">_xlfn.XLOOKUP(TUK$11,Assumptions!$B$35:$H$35,_xlfn.XLOOKUP($C28,Assumptions!$B$36:$B$41,Assumptions!$B$36:$H$41))</f>
        <v>0</v>
      </c>
      <c r="TUL28">
        <f t="array" ref="TUL28">_xlfn.XLOOKUP(TUL$11,Assumptions!$B$35:$H$35,_xlfn.XLOOKUP($C28,Assumptions!$B$36:$B$41,Assumptions!$B$36:$H$41))</f>
        <v>0</v>
      </c>
      <c r="TUM28">
        <f t="array" ref="TUM28">_xlfn.XLOOKUP(TUM$11,Assumptions!$B$35:$H$35,_xlfn.XLOOKUP($C28,Assumptions!$B$36:$B$41,Assumptions!$B$36:$H$41))</f>
        <v>0</v>
      </c>
      <c r="TUN28">
        <f t="array" ref="TUN28">_xlfn.XLOOKUP(TUN$11,Assumptions!$B$35:$H$35,_xlfn.XLOOKUP($C28,Assumptions!$B$36:$B$41,Assumptions!$B$36:$H$41))</f>
        <v>0</v>
      </c>
      <c r="TUO28">
        <f t="array" ref="TUO28">_xlfn.XLOOKUP(TUO$11,Assumptions!$B$35:$H$35,_xlfn.XLOOKUP($C28,Assumptions!$B$36:$B$41,Assumptions!$B$36:$H$41))</f>
        <v>0</v>
      </c>
      <c r="TUP28">
        <f t="array" ref="TUP28">_xlfn.XLOOKUP(TUP$11,Assumptions!$B$35:$H$35,_xlfn.XLOOKUP($C28,Assumptions!$B$36:$B$41,Assumptions!$B$36:$H$41))</f>
        <v>0</v>
      </c>
      <c r="TUQ28">
        <f t="array" ref="TUQ28">_xlfn.XLOOKUP(TUQ$11,Assumptions!$B$35:$H$35,_xlfn.XLOOKUP($C28,Assumptions!$B$36:$B$41,Assumptions!$B$36:$H$41))</f>
        <v>0</v>
      </c>
      <c r="TUR28">
        <f t="array" ref="TUR28">_xlfn.XLOOKUP(TUR$11,Assumptions!$B$35:$H$35,_xlfn.XLOOKUP($C28,Assumptions!$B$36:$B$41,Assumptions!$B$36:$H$41))</f>
        <v>0</v>
      </c>
      <c r="TUS28">
        <f t="array" ref="TUS28">_xlfn.XLOOKUP(TUS$11,Assumptions!$B$35:$H$35,_xlfn.XLOOKUP($C28,Assumptions!$B$36:$B$41,Assumptions!$B$36:$H$41))</f>
        <v>0</v>
      </c>
      <c r="TUT28">
        <f t="array" ref="TUT28">_xlfn.XLOOKUP(TUT$11,Assumptions!$B$35:$H$35,_xlfn.XLOOKUP($C28,Assumptions!$B$36:$B$41,Assumptions!$B$36:$H$41))</f>
        <v>0</v>
      </c>
      <c r="TUU28">
        <f t="array" ref="TUU28">_xlfn.XLOOKUP(TUU$11,Assumptions!$B$35:$H$35,_xlfn.XLOOKUP($C28,Assumptions!$B$36:$B$41,Assumptions!$B$36:$H$41))</f>
        <v>0</v>
      </c>
      <c r="TUV28">
        <f t="array" ref="TUV28">_xlfn.XLOOKUP(TUV$11,Assumptions!$B$35:$H$35,_xlfn.XLOOKUP($C28,Assumptions!$B$36:$B$41,Assumptions!$B$36:$H$41))</f>
        <v>0</v>
      </c>
      <c r="TUW28">
        <f t="array" ref="TUW28">_xlfn.XLOOKUP(TUW$11,Assumptions!$B$35:$H$35,_xlfn.XLOOKUP($C28,Assumptions!$B$36:$B$41,Assumptions!$B$36:$H$41))</f>
        <v>0</v>
      </c>
      <c r="TUX28">
        <f t="array" ref="TUX28">_xlfn.XLOOKUP(TUX$11,Assumptions!$B$35:$H$35,_xlfn.XLOOKUP($C28,Assumptions!$B$36:$B$41,Assumptions!$B$36:$H$41))</f>
        <v>0</v>
      </c>
      <c r="TUY28">
        <f t="array" ref="TUY28">_xlfn.XLOOKUP(TUY$11,Assumptions!$B$35:$H$35,_xlfn.XLOOKUP($C28,Assumptions!$B$36:$B$41,Assumptions!$B$36:$H$41))</f>
        <v>0</v>
      </c>
      <c r="TUZ28">
        <f t="array" ref="TUZ28">_xlfn.XLOOKUP(TUZ$11,Assumptions!$B$35:$H$35,_xlfn.XLOOKUP($C28,Assumptions!$B$36:$B$41,Assumptions!$B$36:$H$41))</f>
        <v>0</v>
      </c>
      <c r="TVA28">
        <f t="array" ref="TVA28">_xlfn.XLOOKUP(TVA$11,Assumptions!$B$35:$H$35,_xlfn.XLOOKUP($C28,Assumptions!$B$36:$B$41,Assumptions!$B$36:$H$41))</f>
        <v>0</v>
      </c>
      <c r="TVB28">
        <f t="array" ref="TVB28">_xlfn.XLOOKUP(TVB$11,Assumptions!$B$35:$H$35,_xlfn.XLOOKUP($C28,Assumptions!$B$36:$B$41,Assumptions!$B$36:$H$41))</f>
        <v>0</v>
      </c>
      <c r="TVC28">
        <f t="array" ref="TVC28">_xlfn.XLOOKUP(TVC$11,Assumptions!$B$35:$H$35,_xlfn.XLOOKUP($C28,Assumptions!$B$36:$B$41,Assumptions!$B$36:$H$41))</f>
        <v>0</v>
      </c>
      <c r="TVD28">
        <f t="array" ref="TVD28">_xlfn.XLOOKUP(TVD$11,Assumptions!$B$35:$H$35,_xlfn.XLOOKUP($C28,Assumptions!$B$36:$B$41,Assumptions!$B$36:$H$41))</f>
        <v>0</v>
      </c>
      <c r="TVE28">
        <f t="array" ref="TVE28">_xlfn.XLOOKUP(TVE$11,Assumptions!$B$35:$H$35,_xlfn.XLOOKUP($C28,Assumptions!$B$36:$B$41,Assumptions!$B$36:$H$41))</f>
        <v>0</v>
      </c>
      <c r="TVF28">
        <f t="array" ref="TVF28">_xlfn.XLOOKUP(TVF$11,Assumptions!$B$35:$H$35,_xlfn.XLOOKUP($C28,Assumptions!$B$36:$B$41,Assumptions!$B$36:$H$41))</f>
        <v>0</v>
      </c>
      <c r="TVG28">
        <f t="array" ref="TVG28">_xlfn.XLOOKUP(TVG$11,Assumptions!$B$35:$H$35,_xlfn.XLOOKUP($C28,Assumptions!$B$36:$B$41,Assumptions!$B$36:$H$41))</f>
        <v>0</v>
      </c>
      <c r="TVH28">
        <f t="array" ref="TVH28">_xlfn.XLOOKUP(TVH$11,Assumptions!$B$35:$H$35,_xlfn.XLOOKUP($C28,Assumptions!$B$36:$B$41,Assumptions!$B$36:$H$41))</f>
        <v>0</v>
      </c>
      <c r="TVI28">
        <f t="array" ref="TVI28">_xlfn.XLOOKUP(TVI$11,Assumptions!$B$35:$H$35,_xlfn.XLOOKUP($C28,Assumptions!$B$36:$B$41,Assumptions!$B$36:$H$41))</f>
        <v>0</v>
      </c>
      <c r="TVJ28">
        <f t="array" ref="TVJ28">_xlfn.XLOOKUP(TVJ$11,Assumptions!$B$35:$H$35,_xlfn.XLOOKUP($C28,Assumptions!$B$36:$B$41,Assumptions!$B$36:$H$41))</f>
        <v>0</v>
      </c>
      <c r="TVK28">
        <f t="array" ref="TVK28">_xlfn.XLOOKUP(TVK$11,Assumptions!$B$35:$H$35,_xlfn.XLOOKUP($C28,Assumptions!$B$36:$B$41,Assumptions!$B$36:$H$41))</f>
        <v>0</v>
      </c>
      <c r="TVL28">
        <f t="array" ref="TVL28">_xlfn.XLOOKUP(TVL$11,Assumptions!$B$35:$H$35,_xlfn.XLOOKUP($C28,Assumptions!$B$36:$B$41,Assumptions!$B$36:$H$41))</f>
        <v>0</v>
      </c>
      <c r="TVM28">
        <f t="array" ref="TVM28">_xlfn.XLOOKUP(TVM$11,Assumptions!$B$35:$H$35,_xlfn.XLOOKUP($C28,Assumptions!$B$36:$B$41,Assumptions!$B$36:$H$41))</f>
        <v>0</v>
      </c>
      <c r="TVN28">
        <f t="array" ref="TVN28">_xlfn.XLOOKUP(TVN$11,Assumptions!$B$35:$H$35,_xlfn.XLOOKUP($C28,Assumptions!$B$36:$B$41,Assumptions!$B$36:$H$41))</f>
        <v>0</v>
      </c>
      <c r="TVO28">
        <f t="array" ref="TVO28">_xlfn.XLOOKUP(TVO$11,Assumptions!$B$35:$H$35,_xlfn.XLOOKUP($C28,Assumptions!$B$36:$B$41,Assumptions!$B$36:$H$41))</f>
        <v>0</v>
      </c>
      <c r="TVP28">
        <f t="array" ref="TVP28">_xlfn.XLOOKUP(TVP$11,Assumptions!$B$35:$H$35,_xlfn.XLOOKUP($C28,Assumptions!$B$36:$B$41,Assumptions!$B$36:$H$41))</f>
        <v>0</v>
      </c>
      <c r="TVQ28">
        <f t="array" ref="TVQ28">_xlfn.XLOOKUP(TVQ$11,Assumptions!$B$35:$H$35,_xlfn.XLOOKUP($C28,Assumptions!$B$36:$B$41,Assumptions!$B$36:$H$41))</f>
        <v>0</v>
      </c>
      <c r="TVR28">
        <f t="array" ref="TVR28">_xlfn.XLOOKUP(TVR$11,Assumptions!$B$35:$H$35,_xlfn.XLOOKUP($C28,Assumptions!$B$36:$B$41,Assumptions!$B$36:$H$41))</f>
        <v>0</v>
      </c>
      <c r="TVS28">
        <f t="array" ref="TVS28">_xlfn.XLOOKUP(TVS$11,Assumptions!$B$35:$H$35,_xlfn.XLOOKUP($C28,Assumptions!$B$36:$B$41,Assumptions!$B$36:$H$41))</f>
        <v>0</v>
      </c>
      <c r="TVT28">
        <f t="array" ref="TVT28">_xlfn.XLOOKUP(TVT$11,Assumptions!$B$35:$H$35,_xlfn.XLOOKUP($C28,Assumptions!$B$36:$B$41,Assumptions!$B$36:$H$41))</f>
        <v>0</v>
      </c>
      <c r="TVU28">
        <f t="array" ref="TVU28">_xlfn.XLOOKUP(TVU$11,Assumptions!$B$35:$H$35,_xlfn.XLOOKUP($C28,Assumptions!$B$36:$B$41,Assumptions!$B$36:$H$41))</f>
        <v>0</v>
      </c>
      <c r="TVV28">
        <f t="array" ref="TVV28">_xlfn.XLOOKUP(TVV$11,Assumptions!$B$35:$H$35,_xlfn.XLOOKUP($C28,Assumptions!$B$36:$B$41,Assumptions!$B$36:$H$41))</f>
        <v>0</v>
      </c>
      <c r="TVW28">
        <f t="array" ref="TVW28">_xlfn.XLOOKUP(TVW$11,Assumptions!$B$35:$H$35,_xlfn.XLOOKUP($C28,Assumptions!$B$36:$B$41,Assumptions!$B$36:$H$41))</f>
        <v>0</v>
      </c>
      <c r="TVX28">
        <f t="array" ref="TVX28">_xlfn.XLOOKUP(TVX$11,Assumptions!$B$35:$H$35,_xlfn.XLOOKUP($C28,Assumptions!$B$36:$B$41,Assumptions!$B$36:$H$41))</f>
        <v>0</v>
      </c>
      <c r="TVY28">
        <f t="array" ref="TVY28">_xlfn.XLOOKUP(TVY$11,Assumptions!$B$35:$H$35,_xlfn.XLOOKUP($C28,Assumptions!$B$36:$B$41,Assumptions!$B$36:$H$41))</f>
        <v>0</v>
      </c>
      <c r="TVZ28">
        <f t="array" ref="TVZ28">_xlfn.XLOOKUP(TVZ$11,Assumptions!$B$35:$H$35,_xlfn.XLOOKUP($C28,Assumptions!$B$36:$B$41,Assumptions!$B$36:$H$41))</f>
        <v>0</v>
      </c>
      <c r="TWA28">
        <f t="array" ref="TWA28">_xlfn.XLOOKUP(TWA$11,Assumptions!$B$35:$H$35,_xlfn.XLOOKUP($C28,Assumptions!$B$36:$B$41,Assumptions!$B$36:$H$41))</f>
        <v>0</v>
      </c>
      <c r="TWB28">
        <f t="array" ref="TWB28">_xlfn.XLOOKUP(TWB$11,Assumptions!$B$35:$H$35,_xlfn.XLOOKUP($C28,Assumptions!$B$36:$B$41,Assumptions!$B$36:$H$41))</f>
        <v>0</v>
      </c>
      <c r="TWC28">
        <f t="array" ref="TWC28">_xlfn.XLOOKUP(TWC$11,Assumptions!$B$35:$H$35,_xlfn.XLOOKUP($C28,Assumptions!$B$36:$B$41,Assumptions!$B$36:$H$41))</f>
        <v>0</v>
      </c>
      <c r="TWD28">
        <f t="array" ref="TWD28">_xlfn.XLOOKUP(TWD$11,Assumptions!$B$35:$H$35,_xlfn.XLOOKUP($C28,Assumptions!$B$36:$B$41,Assumptions!$B$36:$H$41))</f>
        <v>0</v>
      </c>
      <c r="TWE28">
        <f t="array" ref="TWE28">_xlfn.XLOOKUP(TWE$11,Assumptions!$B$35:$H$35,_xlfn.XLOOKUP($C28,Assumptions!$B$36:$B$41,Assumptions!$B$36:$H$41))</f>
        <v>0</v>
      </c>
      <c r="TWF28">
        <f t="array" ref="TWF28">_xlfn.XLOOKUP(TWF$11,Assumptions!$B$35:$H$35,_xlfn.XLOOKUP($C28,Assumptions!$B$36:$B$41,Assumptions!$B$36:$H$41))</f>
        <v>0</v>
      </c>
      <c r="TWG28">
        <f t="array" ref="TWG28">_xlfn.XLOOKUP(TWG$11,Assumptions!$B$35:$H$35,_xlfn.XLOOKUP($C28,Assumptions!$B$36:$B$41,Assumptions!$B$36:$H$41))</f>
        <v>0</v>
      </c>
      <c r="TWH28">
        <f t="array" ref="TWH28">_xlfn.XLOOKUP(TWH$11,Assumptions!$B$35:$H$35,_xlfn.XLOOKUP($C28,Assumptions!$B$36:$B$41,Assumptions!$B$36:$H$41))</f>
        <v>0</v>
      </c>
      <c r="TWI28">
        <f t="array" ref="TWI28">_xlfn.XLOOKUP(TWI$11,Assumptions!$B$35:$H$35,_xlfn.XLOOKUP($C28,Assumptions!$B$36:$B$41,Assumptions!$B$36:$H$41))</f>
        <v>0</v>
      </c>
      <c r="TWJ28">
        <f t="array" ref="TWJ28">_xlfn.XLOOKUP(TWJ$11,Assumptions!$B$35:$H$35,_xlfn.XLOOKUP($C28,Assumptions!$B$36:$B$41,Assumptions!$B$36:$H$41))</f>
        <v>0</v>
      </c>
      <c r="TWK28">
        <f t="array" ref="TWK28">_xlfn.XLOOKUP(TWK$11,Assumptions!$B$35:$H$35,_xlfn.XLOOKUP($C28,Assumptions!$B$36:$B$41,Assumptions!$B$36:$H$41))</f>
        <v>0</v>
      </c>
      <c r="TWL28">
        <f t="array" ref="TWL28">_xlfn.XLOOKUP(TWL$11,Assumptions!$B$35:$H$35,_xlfn.XLOOKUP($C28,Assumptions!$B$36:$B$41,Assumptions!$B$36:$H$41))</f>
        <v>0</v>
      </c>
      <c r="TWM28">
        <f t="array" ref="TWM28">_xlfn.XLOOKUP(TWM$11,Assumptions!$B$35:$H$35,_xlfn.XLOOKUP($C28,Assumptions!$B$36:$B$41,Assumptions!$B$36:$H$41))</f>
        <v>0</v>
      </c>
      <c r="TWN28">
        <f t="array" ref="TWN28">_xlfn.XLOOKUP(TWN$11,Assumptions!$B$35:$H$35,_xlfn.XLOOKUP($C28,Assumptions!$B$36:$B$41,Assumptions!$B$36:$H$41))</f>
        <v>0</v>
      </c>
      <c r="TWO28">
        <f t="array" ref="TWO28">_xlfn.XLOOKUP(TWO$11,Assumptions!$B$35:$H$35,_xlfn.XLOOKUP($C28,Assumptions!$B$36:$B$41,Assumptions!$B$36:$H$41))</f>
        <v>0</v>
      </c>
      <c r="TWP28">
        <f t="array" ref="TWP28">_xlfn.XLOOKUP(TWP$11,Assumptions!$B$35:$H$35,_xlfn.XLOOKUP($C28,Assumptions!$B$36:$B$41,Assumptions!$B$36:$H$41))</f>
        <v>0</v>
      </c>
      <c r="TWQ28">
        <f t="array" ref="TWQ28">_xlfn.XLOOKUP(TWQ$11,Assumptions!$B$35:$H$35,_xlfn.XLOOKUP($C28,Assumptions!$B$36:$B$41,Assumptions!$B$36:$H$41))</f>
        <v>0</v>
      </c>
      <c r="TWR28">
        <f t="array" ref="TWR28">_xlfn.XLOOKUP(TWR$11,Assumptions!$B$35:$H$35,_xlfn.XLOOKUP($C28,Assumptions!$B$36:$B$41,Assumptions!$B$36:$H$41))</f>
        <v>0</v>
      </c>
      <c r="TWS28">
        <f t="array" ref="TWS28">_xlfn.XLOOKUP(TWS$11,Assumptions!$B$35:$H$35,_xlfn.XLOOKUP($C28,Assumptions!$B$36:$B$41,Assumptions!$B$36:$H$41))</f>
        <v>0</v>
      </c>
      <c r="TWT28">
        <f t="array" ref="TWT28">_xlfn.XLOOKUP(TWT$11,Assumptions!$B$35:$H$35,_xlfn.XLOOKUP($C28,Assumptions!$B$36:$B$41,Assumptions!$B$36:$H$41))</f>
        <v>0</v>
      </c>
      <c r="TWU28">
        <f t="array" ref="TWU28">_xlfn.XLOOKUP(TWU$11,Assumptions!$B$35:$H$35,_xlfn.XLOOKUP($C28,Assumptions!$B$36:$B$41,Assumptions!$B$36:$H$41))</f>
        <v>0</v>
      </c>
      <c r="TWV28">
        <f t="array" ref="TWV28">_xlfn.XLOOKUP(TWV$11,Assumptions!$B$35:$H$35,_xlfn.XLOOKUP($C28,Assumptions!$B$36:$B$41,Assumptions!$B$36:$H$41))</f>
        <v>0</v>
      </c>
      <c r="TWW28">
        <f t="array" ref="TWW28">_xlfn.XLOOKUP(TWW$11,Assumptions!$B$35:$H$35,_xlfn.XLOOKUP($C28,Assumptions!$B$36:$B$41,Assumptions!$B$36:$H$41))</f>
        <v>0</v>
      </c>
      <c r="TWX28">
        <f t="array" ref="TWX28">_xlfn.XLOOKUP(TWX$11,Assumptions!$B$35:$H$35,_xlfn.XLOOKUP($C28,Assumptions!$B$36:$B$41,Assumptions!$B$36:$H$41))</f>
        <v>0</v>
      </c>
      <c r="TWY28">
        <f t="array" ref="TWY28">_xlfn.XLOOKUP(TWY$11,Assumptions!$B$35:$H$35,_xlfn.XLOOKUP($C28,Assumptions!$B$36:$B$41,Assumptions!$B$36:$H$41))</f>
        <v>0</v>
      </c>
      <c r="TWZ28">
        <f t="array" ref="TWZ28">_xlfn.XLOOKUP(TWZ$11,Assumptions!$B$35:$H$35,_xlfn.XLOOKUP($C28,Assumptions!$B$36:$B$41,Assumptions!$B$36:$H$41))</f>
        <v>0</v>
      </c>
      <c r="TXA28">
        <f t="array" ref="TXA28">_xlfn.XLOOKUP(TXA$11,Assumptions!$B$35:$H$35,_xlfn.XLOOKUP($C28,Assumptions!$B$36:$B$41,Assumptions!$B$36:$H$41))</f>
        <v>0</v>
      </c>
      <c r="TXB28">
        <f t="array" ref="TXB28">_xlfn.XLOOKUP(TXB$11,Assumptions!$B$35:$H$35,_xlfn.XLOOKUP($C28,Assumptions!$B$36:$B$41,Assumptions!$B$36:$H$41))</f>
        <v>0</v>
      </c>
      <c r="TXC28">
        <f t="array" ref="TXC28">_xlfn.XLOOKUP(TXC$11,Assumptions!$B$35:$H$35,_xlfn.XLOOKUP($C28,Assumptions!$B$36:$B$41,Assumptions!$B$36:$H$41))</f>
        <v>0</v>
      </c>
      <c r="TXD28">
        <f t="array" ref="TXD28">_xlfn.XLOOKUP(TXD$11,Assumptions!$B$35:$H$35,_xlfn.XLOOKUP($C28,Assumptions!$B$36:$B$41,Assumptions!$B$36:$H$41))</f>
        <v>0</v>
      </c>
      <c r="TXE28">
        <f t="array" ref="TXE28">_xlfn.XLOOKUP(TXE$11,Assumptions!$B$35:$H$35,_xlfn.XLOOKUP($C28,Assumptions!$B$36:$B$41,Assumptions!$B$36:$H$41))</f>
        <v>0</v>
      </c>
      <c r="TXF28">
        <f t="array" ref="TXF28">_xlfn.XLOOKUP(TXF$11,Assumptions!$B$35:$H$35,_xlfn.XLOOKUP($C28,Assumptions!$B$36:$B$41,Assumptions!$B$36:$H$41))</f>
        <v>0</v>
      </c>
      <c r="TXG28">
        <f t="array" ref="TXG28">_xlfn.XLOOKUP(TXG$11,Assumptions!$B$35:$H$35,_xlfn.XLOOKUP($C28,Assumptions!$B$36:$B$41,Assumptions!$B$36:$H$41))</f>
        <v>0</v>
      </c>
      <c r="TXH28">
        <f t="array" ref="TXH28">_xlfn.XLOOKUP(TXH$11,Assumptions!$B$35:$H$35,_xlfn.XLOOKUP($C28,Assumptions!$B$36:$B$41,Assumptions!$B$36:$H$41))</f>
        <v>0</v>
      </c>
      <c r="TXI28">
        <f t="array" ref="TXI28">_xlfn.XLOOKUP(TXI$11,Assumptions!$B$35:$H$35,_xlfn.XLOOKUP($C28,Assumptions!$B$36:$B$41,Assumptions!$B$36:$H$41))</f>
        <v>0</v>
      </c>
      <c r="TXJ28">
        <f t="array" ref="TXJ28">_xlfn.XLOOKUP(TXJ$11,Assumptions!$B$35:$H$35,_xlfn.XLOOKUP($C28,Assumptions!$B$36:$B$41,Assumptions!$B$36:$H$41))</f>
        <v>0</v>
      </c>
      <c r="TXK28">
        <f t="array" ref="TXK28">_xlfn.XLOOKUP(TXK$11,Assumptions!$B$35:$H$35,_xlfn.XLOOKUP($C28,Assumptions!$B$36:$B$41,Assumptions!$B$36:$H$41))</f>
        <v>0</v>
      </c>
      <c r="TXL28">
        <f t="array" ref="TXL28">_xlfn.XLOOKUP(TXL$11,Assumptions!$B$35:$H$35,_xlfn.XLOOKUP($C28,Assumptions!$B$36:$B$41,Assumptions!$B$36:$H$41))</f>
        <v>0</v>
      </c>
      <c r="TXM28">
        <f t="array" ref="TXM28">_xlfn.XLOOKUP(TXM$11,Assumptions!$B$35:$H$35,_xlfn.XLOOKUP($C28,Assumptions!$B$36:$B$41,Assumptions!$B$36:$H$41))</f>
        <v>0</v>
      </c>
      <c r="TXN28">
        <f t="array" ref="TXN28">_xlfn.XLOOKUP(TXN$11,Assumptions!$B$35:$H$35,_xlfn.XLOOKUP($C28,Assumptions!$B$36:$B$41,Assumptions!$B$36:$H$41))</f>
        <v>0</v>
      </c>
      <c r="TXO28">
        <f t="array" ref="TXO28">_xlfn.XLOOKUP(TXO$11,Assumptions!$B$35:$H$35,_xlfn.XLOOKUP($C28,Assumptions!$B$36:$B$41,Assumptions!$B$36:$H$41))</f>
        <v>0</v>
      </c>
      <c r="TXP28">
        <f t="array" ref="TXP28">_xlfn.XLOOKUP(TXP$11,Assumptions!$B$35:$H$35,_xlfn.XLOOKUP($C28,Assumptions!$B$36:$B$41,Assumptions!$B$36:$H$41))</f>
        <v>0</v>
      </c>
      <c r="TXQ28">
        <f t="array" ref="TXQ28">_xlfn.XLOOKUP(TXQ$11,Assumptions!$B$35:$H$35,_xlfn.XLOOKUP($C28,Assumptions!$B$36:$B$41,Assumptions!$B$36:$H$41))</f>
        <v>0</v>
      </c>
      <c r="TXR28">
        <f t="array" ref="TXR28">_xlfn.XLOOKUP(TXR$11,Assumptions!$B$35:$H$35,_xlfn.XLOOKUP($C28,Assumptions!$B$36:$B$41,Assumptions!$B$36:$H$41))</f>
        <v>0</v>
      </c>
      <c r="TXS28">
        <f t="array" ref="TXS28">_xlfn.XLOOKUP(TXS$11,Assumptions!$B$35:$H$35,_xlfn.XLOOKUP($C28,Assumptions!$B$36:$B$41,Assumptions!$B$36:$H$41))</f>
        <v>0</v>
      </c>
      <c r="TXT28">
        <f t="array" ref="TXT28">_xlfn.XLOOKUP(TXT$11,Assumptions!$B$35:$H$35,_xlfn.XLOOKUP($C28,Assumptions!$B$36:$B$41,Assumptions!$B$36:$H$41))</f>
        <v>0</v>
      </c>
      <c r="TXU28">
        <f t="array" ref="TXU28">_xlfn.XLOOKUP(TXU$11,Assumptions!$B$35:$H$35,_xlfn.XLOOKUP($C28,Assumptions!$B$36:$B$41,Assumptions!$B$36:$H$41))</f>
        <v>0</v>
      </c>
      <c r="TXV28">
        <f t="array" ref="TXV28">_xlfn.XLOOKUP(TXV$11,Assumptions!$B$35:$H$35,_xlfn.XLOOKUP($C28,Assumptions!$B$36:$B$41,Assumptions!$B$36:$H$41))</f>
        <v>0</v>
      </c>
      <c r="TXW28">
        <f t="array" ref="TXW28">_xlfn.XLOOKUP(TXW$11,Assumptions!$B$35:$H$35,_xlfn.XLOOKUP($C28,Assumptions!$B$36:$B$41,Assumptions!$B$36:$H$41))</f>
        <v>0</v>
      </c>
      <c r="TXX28">
        <f t="array" ref="TXX28">_xlfn.XLOOKUP(TXX$11,Assumptions!$B$35:$H$35,_xlfn.XLOOKUP($C28,Assumptions!$B$36:$B$41,Assumptions!$B$36:$H$41))</f>
        <v>0</v>
      </c>
      <c r="TXY28">
        <f t="array" ref="TXY28">_xlfn.XLOOKUP(TXY$11,Assumptions!$B$35:$H$35,_xlfn.XLOOKUP($C28,Assumptions!$B$36:$B$41,Assumptions!$B$36:$H$41))</f>
        <v>0</v>
      </c>
      <c r="TXZ28">
        <f t="array" ref="TXZ28">_xlfn.XLOOKUP(TXZ$11,Assumptions!$B$35:$H$35,_xlfn.XLOOKUP($C28,Assumptions!$B$36:$B$41,Assumptions!$B$36:$H$41))</f>
        <v>0</v>
      </c>
      <c r="TYA28">
        <f t="array" ref="TYA28">_xlfn.XLOOKUP(TYA$11,Assumptions!$B$35:$H$35,_xlfn.XLOOKUP($C28,Assumptions!$B$36:$B$41,Assumptions!$B$36:$H$41))</f>
        <v>0</v>
      </c>
      <c r="TYB28">
        <f t="array" ref="TYB28">_xlfn.XLOOKUP(TYB$11,Assumptions!$B$35:$H$35,_xlfn.XLOOKUP($C28,Assumptions!$B$36:$B$41,Assumptions!$B$36:$H$41))</f>
        <v>0</v>
      </c>
      <c r="TYC28">
        <f t="array" ref="TYC28">_xlfn.XLOOKUP(TYC$11,Assumptions!$B$35:$H$35,_xlfn.XLOOKUP($C28,Assumptions!$B$36:$B$41,Assumptions!$B$36:$H$41))</f>
        <v>0</v>
      </c>
      <c r="TYD28">
        <f t="array" ref="TYD28">_xlfn.XLOOKUP(TYD$11,Assumptions!$B$35:$H$35,_xlfn.XLOOKUP($C28,Assumptions!$B$36:$B$41,Assumptions!$B$36:$H$41))</f>
        <v>0</v>
      </c>
      <c r="TYE28">
        <f t="array" ref="TYE28">_xlfn.XLOOKUP(TYE$11,Assumptions!$B$35:$H$35,_xlfn.XLOOKUP($C28,Assumptions!$B$36:$B$41,Assumptions!$B$36:$H$41))</f>
        <v>0</v>
      </c>
      <c r="TYF28">
        <f t="array" ref="TYF28">_xlfn.XLOOKUP(TYF$11,Assumptions!$B$35:$H$35,_xlfn.XLOOKUP($C28,Assumptions!$B$36:$B$41,Assumptions!$B$36:$H$41))</f>
        <v>0</v>
      </c>
      <c r="TYG28">
        <f t="array" ref="TYG28">_xlfn.XLOOKUP(TYG$11,Assumptions!$B$35:$H$35,_xlfn.XLOOKUP($C28,Assumptions!$B$36:$B$41,Assumptions!$B$36:$H$41))</f>
        <v>0</v>
      </c>
      <c r="TYH28">
        <f t="array" ref="TYH28">_xlfn.XLOOKUP(TYH$11,Assumptions!$B$35:$H$35,_xlfn.XLOOKUP($C28,Assumptions!$B$36:$B$41,Assumptions!$B$36:$H$41))</f>
        <v>0</v>
      </c>
      <c r="TYI28">
        <f t="array" ref="TYI28">_xlfn.XLOOKUP(TYI$11,Assumptions!$B$35:$H$35,_xlfn.XLOOKUP($C28,Assumptions!$B$36:$B$41,Assumptions!$B$36:$H$41))</f>
        <v>0</v>
      </c>
      <c r="TYJ28">
        <f t="array" ref="TYJ28">_xlfn.XLOOKUP(TYJ$11,Assumptions!$B$35:$H$35,_xlfn.XLOOKUP($C28,Assumptions!$B$36:$B$41,Assumptions!$B$36:$H$41))</f>
        <v>0</v>
      </c>
      <c r="TYK28">
        <f t="array" ref="TYK28">_xlfn.XLOOKUP(TYK$11,Assumptions!$B$35:$H$35,_xlfn.XLOOKUP($C28,Assumptions!$B$36:$B$41,Assumptions!$B$36:$H$41))</f>
        <v>0</v>
      </c>
      <c r="TYL28">
        <f t="array" ref="TYL28">_xlfn.XLOOKUP(TYL$11,Assumptions!$B$35:$H$35,_xlfn.XLOOKUP($C28,Assumptions!$B$36:$B$41,Assumptions!$B$36:$H$41))</f>
        <v>0</v>
      </c>
      <c r="TYM28">
        <f t="array" ref="TYM28">_xlfn.XLOOKUP(TYM$11,Assumptions!$B$35:$H$35,_xlfn.XLOOKUP($C28,Assumptions!$B$36:$B$41,Assumptions!$B$36:$H$41))</f>
        <v>0</v>
      </c>
      <c r="TYN28">
        <f t="array" ref="TYN28">_xlfn.XLOOKUP(TYN$11,Assumptions!$B$35:$H$35,_xlfn.XLOOKUP($C28,Assumptions!$B$36:$B$41,Assumptions!$B$36:$H$41))</f>
        <v>0</v>
      </c>
      <c r="TYO28">
        <f t="array" ref="TYO28">_xlfn.XLOOKUP(TYO$11,Assumptions!$B$35:$H$35,_xlfn.XLOOKUP($C28,Assumptions!$B$36:$B$41,Assumptions!$B$36:$H$41))</f>
        <v>0</v>
      </c>
      <c r="TYP28">
        <f t="array" ref="TYP28">_xlfn.XLOOKUP(TYP$11,Assumptions!$B$35:$H$35,_xlfn.XLOOKUP($C28,Assumptions!$B$36:$B$41,Assumptions!$B$36:$H$41))</f>
        <v>0</v>
      </c>
      <c r="TYQ28">
        <f t="array" ref="TYQ28">_xlfn.XLOOKUP(TYQ$11,Assumptions!$B$35:$H$35,_xlfn.XLOOKUP($C28,Assumptions!$B$36:$B$41,Assumptions!$B$36:$H$41))</f>
        <v>0</v>
      </c>
      <c r="TYR28">
        <f t="array" ref="TYR28">_xlfn.XLOOKUP(TYR$11,Assumptions!$B$35:$H$35,_xlfn.XLOOKUP($C28,Assumptions!$B$36:$B$41,Assumptions!$B$36:$H$41))</f>
        <v>0</v>
      </c>
      <c r="TYS28">
        <f t="array" ref="TYS28">_xlfn.XLOOKUP(TYS$11,Assumptions!$B$35:$H$35,_xlfn.XLOOKUP($C28,Assumptions!$B$36:$B$41,Assumptions!$B$36:$H$41))</f>
        <v>0</v>
      </c>
      <c r="TYT28">
        <f t="array" ref="TYT28">_xlfn.XLOOKUP(TYT$11,Assumptions!$B$35:$H$35,_xlfn.XLOOKUP($C28,Assumptions!$B$36:$B$41,Assumptions!$B$36:$H$41))</f>
        <v>0</v>
      </c>
      <c r="TYU28">
        <f t="array" ref="TYU28">_xlfn.XLOOKUP(TYU$11,Assumptions!$B$35:$H$35,_xlfn.XLOOKUP($C28,Assumptions!$B$36:$B$41,Assumptions!$B$36:$H$41))</f>
        <v>0</v>
      </c>
      <c r="TYV28">
        <f t="array" ref="TYV28">_xlfn.XLOOKUP(TYV$11,Assumptions!$B$35:$H$35,_xlfn.XLOOKUP($C28,Assumptions!$B$36:$B$41,Assumptions!$B$36:$H$41))</f>
        <v>0</v>
      </c>
      <c r="TYW28">
        <f t="array" ref="TYW28">_xlfn.XLOOKUP(TYW$11,Assumptions!$B$35:$H$35,_xlfn.XLOOKUP($C28,Assumptions!$B$36:$B$41,Assumptions!$B$36:$H$41))</f>
        <v>0</v>
      </c>
      <c r="TYX28">
        <f t="array" ref="TYX28">_xlfn.XLOOKUP(TYX$11,Assumptions!$B$35:$H$35,_xlfn.XLOOKUP($C28,Assumptions!$B$36:$B$41,Assumptions!$B$36:$H$41))</f>
        <v>0</v>
      </c>
      <c r="TYY28">
        <f t="array" ref="TYY28">_xlfn.XLOOKUP(TYY$11,Assumptions!$B$35:$H$35,_xlfn.XLOOKUP($C28,Assumptions!$B$36:$B$41,Assumptions!$B$36:$H$41))</f>
        <v>0</v>
      </c>
      <c r="TYZ28">
        <f t="array" ref="TYZ28">_xlfn.XLOOKUP(TYZ$11,Assumptions!$B$35:$H$35,_xlfn.XLOOKUP($C28,Assumptions!$B$36:$B$41,Assumptions!$B$36:$H$41))</f>
        <v>0</v>
      </c>
      <c r="TZA28">
        <f t="array" ref="TZA28">_xlfn.XLOOKUP(TZA$11,Assumptions!$B$35:$H$35,_xlfn.XLOOKUP($C28,Assumptions!$B$36:$B$41,Assumptions!$B$36:$H$41))</f>
        <v>0</v>
      </c>
      <c r="TZB28">
        <f t="array" ref="TZB28">_xlfn.XLOOKUP(TZB$11,Assumptions!$B$35:$H$35,_xlfn.XLOOKUP($C28,Assumptions!$B$36:$B$41,Assumptions!$B$36:$H$41))</f>
        <v>0</v>
      </c>
      <c r="TZC28">
        <f t="array" ref="TZC28">_xlfn.XLOOKUP(TZC$11,Assumptions!$B$35:$H$35,_xlfn.XLOOKUP($C28,Assumptions!$B$36:$B$41,Assumptions!$B$36:$H$41))</f>
        <v>0</v>
      </c>
      <c r="TZD28">
        <f t="array" ref="TZD28">_xlfn.XLOOKUP(TZD$11,Assumptions!$B$35:$H$35,_xlfn.XLOOKUP($C28,Assumptions!$B$36:$B$41,Assumptions!$B$36:$H$41))</f>
        <v>0</v>
      </c>
      <c r="TZE28">
        <f t="array" ref="TZE28">_xlfn.XLOOKUP(TZE$11,Assumptions!$B$35:$H$35,_xlfn.XLOOKUP($C28,Assumptions!$B$36:$B$41,Assumptions!$B$36:$H$41))</f>
        <v>0</v>
      </c>
      <c r="TZF28">
        <f t="array" ref="TZF28">_xlfn.XLOOKUP(TZF$11,Assumptions!$B$35:$H$35,_xlfn.XLOOKUP($C28,Assumptions!$B$36:$B$41,Assumptions!$B$36:$H$41))</f>
        <v>0</v>
      </c>
      <c r="TZG28">
        <f t="array" ref="TZG28">_xlfn.XLOOKUP(TZG$11,Assumptions!$B$35:$H$35,_xlfn.XLOOKUP($C28,Assumptions!$B$36:$B$41,Assumptions!$B$36:$H$41))</f>
        <v>0</v>
      </c>
      <c r="TZH28">
        <f t="array" ref="TZH28">_xlfn.XLOOKUP(TZH$11,Assumptions!$B$35:$H$35,_xlfn.XLOOKUP($C28,Assumptions!$B$36:$B$41,Assumptions!$B$36:$H$41))</f>
        <v>0</v>
      </c>
      <c r="TZI28">
        <f t="array" ref="TZI28">_xlfn.XLOOKUP(TZI$11,Assumptions!$B$35:$H$35,_xlfn.XLOOKUP($C28,Assumptions!$B$36:$B$41,Assumptions!$B$36:$H$41))</f>
        <v>0</v>
      </c>
      <c r="TZJ28">
        <f t="array" ref="TZJ28">_xlfn.XLOOKUP(TZJ$11,Assumptions!$B$35:$H$35,_xlfn.XLOOKUP($C28,Assumptions!$B$36:$B$41,Assumptions!$B$36:$H$41))</f>
        <v>0</v>
      </c>
      <c r="TZK28">
        <f t="array" ref="TZK28">_xlfn.XLOOKUP(TZK$11,Assumptions!$B$35:$H$35,_xlfn.XLOOKUP($C28,Assumptions!$B$36:$B$41,Assumptions!$B$36:$H$41))</f>
        <v>0</v>
      </c>
      <c r="TZL28">
        <f t="array" ref="TZL28">_xlfn.XLOOKUP(TZL$11,Assumptions!$B$35:$H$35,_xlfn.XLOOKUP($C28,Assumptions!$B$36:$B$41,Assumptions!$B$36:$H$41))</f>
        <v>0</v>
      </c>
      <c r="TZM28">
        <f t="array" ref="TZM28">_xlfn.XLOOKUP(TZM$11,Assumptions!$B$35:$H$35,_xlfn.XLOOKUP($C28,Assumptions!$B$36:$B$41,Assumptions!$B$36:$H$41))</f>
        <v>0</v>
      </c>
      <c r="TZN28">
        <f t="array" ref="TZN28">_xlfn.XLOOKUP(TZN$11,Assumptions!$B$35:$H$35,_xlfn.XLOOKUP($C28,Assumptions!$B$36:$B$41,Assumptions!$B$36:$H$41))</f>
        <v>0</v>
      </c>
      <c r="TZO28">
        <f t="array" ref="TZO28">_xlfn.XLOOKUP(TZO$11,Assumptions!$B$35:$H$35,_xlfn.XLOOKUP($C28,Assumptions!$B$36:$B$41,Assumptions!$B$36:$H$41))</f>
        <v>0</v>
      </c>
      <c r="TZP28">
        <f t="array" ref="TZP28">_xlfn.XLOOKUP(TZP$11,Assumptions!$B$35:$H$35,_xlfn.XLOOKUP($C28,Assumptions!$B$36:$B$41,Assumptions!$B$36:$H$41))</f>
        <v>0</v>
      </c>
      <c r="TZQ28">
        <f t="array" ref="TZQ28">_xlfn.XLOOKUP(TZQ$11,Assumptions!$B$35:$H$35,_xlfn.XLOOKUP($C28,Assumptions!$B$36:$B$41,Assumptions!$B$36:$H$41))</f>
        <v>0</v>
      </c>
      <c r="TZR28">
        <f t="array" ref="TZR28">_xlfn.XLOOKUP(TZR$11,Assumptions!$B$35:$H$35,_xlfn.XLOOKUP($C28,Assumptions!$B$36:$B$41,Assumptions!$B$36:$H$41))</f>
        <v>0</v>
      </c>
      <c r="TZS28">
        <f t="array" ref="TZS28">_xlfn.XLOOKUP(TZS$11,Assumptions!$B$35:$H$35,_xlfn.XLOOKUP($C28,Assumptions!$B$36:$B$41,Assumptions!$B$36:$H$41))</f>
        <v>0</v>
      </c>
      <c r="TZT28">
        <f t="array" ref="TZT28">_xlfn.XLOOKUP(TZT$11,Assumptions!$B$35:$H$35,_xlfn.XLOOKUP($C28,Assumptions!$B$36:$B$41,Assumptions!$B$36:$H$41))</f>
        <v>0</v>
      </c>
      <c r="TZU28">
        <f t="array" ref="TZU28">_xlfn.XLOOKUP(TZU$11,Assumptions!$B$35:$H$35,_xlfn.XLOOKUP($C28,Assumptions!$B$36:$B$41,Assumptions!$B$36:$H$41))</f>
        <v>0</v>
      </c>
      <c r="TZV28">
        <f t="array" ref="TZV28">_xlfn.XLOOKUP(TZV$11,Assumptions!$B$35:$H$35,_xlfn.XLOOKUP($C28,Assumptions!$B$36:$B$41,Assumptions!$B$36:$H$41))</f>
        <v>0</v>
      </c>
      <c r="TZW28">
        <f t="array" ref="TZW28">_xlfn.XLOOKUP(TZW$11,Assumptions!$B$35:$H$35,_xlfn.XLOOKUP($C28,Assumptions!$B$36:$B$41,Assumptions!$B$36:$H$41))</f>
        <v>0</v>
      </c>
      <c r="TZX28">
        <f t="array" ref="TZX28">_xlfn.XLOOKUP(TZX$11,Assumptions!$B$35:$H$35,_xlfn.XLOOKUP($C28,Assumptions!$B$36:$B$41,Assumptions!$B$36:$H$41))</f>
        <v>0</v>
      </c>
      <c r="TZY28">
        <f t="array" ref="TZY28">_xlfn.XLOOKUP(TZY$11,Assumptions!$B$35:$H$35,_xlfn.XLOOKUP($C28,Assumptions!$B$36:$B$41,Assumptions!$B$36:$H$41))</f>
        <v>0</v>
      </c>
      <c r="TZZ28">
        <f t="array" ref="TZZ28">_xlfn.XLOOKUP(TZZ$11,Assumptions!$B$35:$H$35,_xlfn.XLOOKUP($C28,Assumptions!$B$36:$B$41,Assumptions!$B$36:$H$41))</f>
        <v>0</v>
      </c>
      <c r="UAA28">
        <f t="array" ref="UAA28">_xlfn.XLOOKUP(UAA$11,Assumptions!$B$35:$H$35,_xlfn.XLOOKUP($C28,Assumptions!$B$36:$B$41,Assumptions!$B$36:$H$41))</f>
        <v>0</v>
      </c>
      <c r="UAB28">
        <f t="array" ref="UAB28">_xlfn.XLOOKUP(UAB$11,Assumptions!$B$35:$H$35,_xlfn.XLOOKUP($C28,Assumptions!$B$36:$B$41,Assumptions!$B$36:$H$41))</f>
        <v>0</v>
      </c>
      <c r="UAC28">
        <f t="array" ref="UAC28">_xlfn.XLOOKUP(UAC$11,Assumptions!$B$35:$H$35,_xlfn.XLOOKUP($C28,Assumptions!$B$36:$B$41,Assumptions!$B$36:$H$41))</f>
        <v>0</v>
      </c>
      <c r="UAD28">
        <f t="array" ref="UAD28">_xlfn.XLOOKUP(UAD$11,Assumptions!$B$35:$H$35,_xlfn.XLOOKUP($C28,Assumptions!$B$36:$B$41,Assumptions!$B$36:$H$41))</f>
        <v>0</v>
      </c>
      <c r="UAE28">
        <f t="array" ref="UAE28">_xlfn.XLOOKUP(UAE$11,Assumptions!$B$35:$H$35,_xlfn.XLOOKUP($C28,Assumptions!$B$36:$B$41,Assumptions!$B$36:$H$41))</f>
        <v>0</v>
      </c>
      <c r="UAF28">
        <f t="array" ref="UAF28">_xlfn.XLOOKUP(UAF$11,Assumptions!$B$35:$H$35,_xlfn.XLOOKUP($C28,Assumptions!$B$36:$B$41,Assumptions!$B$36:$H$41))</f>
        <v>0</v>
      </c>
      <c r="UAG28">
        <f t="array" ref="UAG28">_xlfn.XLOOKUP(UAG$11,Assumptions!$B$35:$H$35,_xlfn.XLOOKUP($C28,Assumptions!$B$36:$B$41,Assumptions!$B$36:$H$41))</f>
        <v>0</v>
      </c>
      <c r="UAH28">
        <f t="array" ref="UAH28">_xlfn.XLOOKUP(UAH$11,Assumptions!$B$35:$H$35,_xlfn.XLOOKUP($C28,Assumptions!$B$36:$B$41,Assumptions!$B$36:$H$41))</f>
        <v>0</v>
      </c>
      <c r="UAI28">
        <f t="array" ref="UAI28">_xlfn.XLOOKUP(UAI$11,Assumptions!$B$35:$H$35,_xlfn.XLOOKUP($C28,Assumptions!$B$36:$B$41,Assumptions!$B$36:$H$41))</f>
        <v>0</v>
      </c>
      <c r="UAJ28">
        <f t="array" ref="UAJ28">_xlfn.XLOOKUP(UAJ$11,Assumptions!$B$35:$H$35,_xlfn.XLOOKUP($C28,Assumptions!$B$36:$B$41,Assumptions!$B$36:$H$41))</f>
        <v>0</v>
      </c>
      <c r="UAK28">
        <f t="array" ref="UAK28">_xlfn.XLOOKUP(UAK$11,Assumptions!$B$35:$H$35,_xlfn.XLOOKUP($C28,Assumptions!$B$36:$B$41,Assumptions!$B$36:$H$41))</f>
        <v>0</v>
      </c>
      <c r="UAL28">
        <f t="array" ref="UAL28">_xlfn.XLOOKUP(UAL$11,Assumptions!$B$35:$H$35,_xlfn.XLOOKUP($C28,Assumptions!$B$36:$B$41,Assumptions!$B$36:$H$41))</f>
        <v>0</v>
      </c>
      <c r="UAM28">
        <f t="array" ref="UAM28">_xlfn.XLOOKUP(UAM$11,Assumptions!$B$35:$H$35,_xlfn.XLOOKUP($C28,Assumptions!$B$36:$B$41,Assumptions!$B$36:$H$41))</f>
        <v>0</v>
      </c>
      <c r="UAN28">
        <f t="array" ref="UAN28">_xlfn.XLOOKUP(UAN$11,Assumptions!$B$35:$H$35,_xlfn.XLOOKUP($C28,Assumptions!$B$36:$B$41,Assumptions!$B$36:$H$41))</f>
        <v>0</v>
      </c>
      <c r="UAO28">
        <f t="array" ref="UAO28">_xlfn.XLOOKUP(UAO$11,Assumptions!$B$35:$H$35,_xlfn.XLOOKUP($C28,Assumptions!$B$36:$B$41,Assumptions!$B$36:$H$41))</f>
        <v>0</v>
      </c>
      <c r="UAP28">
        <f t="array" ref="UAP28">_xlfn.XLOOKUP(UAP$11,Assumptions!$B$35:$H$35,_xlfn.XLOOKUP($C28,Assumptions!$B$36:$B$41,Assumptions!$B$36:$H$41))</f>
        <v>0</v>
      </c>
      <c r="UAQ28">
        <f t="array" ref="UAQ28">_xlfn.XLOOKUP(UAQ$11,Assumptions!$B$35:$H$35,_xlfn.XLOOKUP($C28,Assumptions!$B$36:$B$41,Assumptions!$B$36:$H$41))</f>
        <v>0</v>
      </c>
      <c r="UAR28">
        <f t="array" ref="UAR28">_xlfn.XLOOKUP(UAR$11,Assumptions!$B$35:$H$35,_xlfn.XLOOKUP($C28,Assumptions!$B$36:$B$41,Assumptions!$B$36:$H$41))</f>
        <v>0</v>
      </c>
      <c r="UAS28">
        <f t="array" ref="UAS28">_xlfn.XLOOKUP(UAS$11,Assumptions!$B$35:$H$35,_xlfn.XLOOKUP($C28,Assumptions!$B$36:$B$41,Assumptions!$B$36:$H$41))</f>
        <v>0</v>
      </c>
      <c r="UAT28">
        <f t="array" ref="UAT28">_xlfn.XLOOKUP(UAT$11,Assumptions!$B$35:$H$35,_xlfn.XLOOKUP($C28,Assumptions!$B$36:$B$41,Assumptions!$B$36:$H$41))</f>
        <v>0</v>
      </c>
      <c r="UAU28">
        <f t="array" ref="UAU28">_xlfn.XLOOKUP(UAU$11,Assumptions!$B$35:$H$35,_xlfn.XLOOKUP($C28,Assumptions!$B$36:$B$41,Assumptions!$B$36:$H$41))</f>
        <v>0</v>
      </c>
      <c r="UAV28">
        <f t="array" ref="UAV28">_xlfn.XLOOKUP(UAV$11,Assumptions!$B$35:$H$35,_xlfn.XLOOKUP($C28,Assumptions!$B$36:$B$41,Assumptions!$B$36:$H$41))</f>
        <v>0</v>
      </c>
      <c r="UAW28">
        <f t="array" ref="UAW28">_xlfn.XLOOKUP(UAW$11,Assumptions!$B$35:$H$35,_xlfn.XLOOKUP($C28,Assumptions!$B$36:$B$41,Assumptions!$B$36:$H$41))</f>
        <v>0</v>
      </c>
      <c r="UAX28">
        <f t="array" ref="UAX28">_xlfn.XLOOKUP(UAX$11,Assumptions!$B$35:$H$35,_xlfn.XLOOKUP($C28,Assumptions!$B$36:$B$41,Assumptions!$B$36:$H$41))</f>
        <v>0</v>
      </c>
      <c r="UAY28">
        <f t="array" ref="UAY28">_xlfn.XLOOKUP(UAY$11,Assumptions!$B$35:$H$35,_xlfn.XLOOKUP($C28,Assumptions!$B$36:$B$41,Assumptions!$B$36:$H$41))</f>
        <v>0</v>
      </c>
      <c r="UAZ28">
        <f t="array" ref="UAZ28">_xlfn.XLOOKUP(UAZ$11,Assumptions!$B$35:$H$35,_xlfn.XLOOKUP($C28,Assumptions!$B$36:$B$41,Assumptions!$B$36:$H$41))</f>
        <v>0</v>
      </c>
      <c r="UBA28">
        <f t="array" ref="UBA28">_xlfn.XLOOKUP(UBA$11,Assumptions!$B$35:$H$35,_xlfn.XLOOKUP($C28,Assumptions!$B$36:$B$41,Assumptions!$B$36:$H$41))</f>
        <v>0</v>
      </c>
      <c r="UBB28">
        <f t="array" ref="UBB28">_xlfn.XLOOKUP(UBB$11,Assumptions!$B$35:$H$35,_xlfn.XLOOKUP($C28,Assumptions!$B$36:$B$41,Assumptions!$B$36:$H$41))</f>
        <v>0</v>
      </c>
      <c r="UBC28">
        <f t="array" ref="UBC28">_xlfn.XLOOKUP(UBC$11,Assumptions!$B$35:$H$35,_xlfn.XLOOKUP($C28,Assumptions!$B$36:$B$41,Assumptions!$B$36:$H$41))</f>
        <v>0</v>
      </c>
      <c r="UBD28">
        <f t="array" ref="UBD28">_xlfn.XLOOKUP(UBD$11,Assumptions!$B$35:$H$35,_xlfn.XLOOKUP($C28,Assumptions!$B$36:$B$41,Assumptions!$B$36:$H$41))</f>
        <v>0</v>
      </c>
      <c r="UBE28">
        <f t="array" ref="UBE28">_xlfn.XLOOKUP(UBE$11,Assumptions!$B$35:$H$35,_xlfn.XLOOKUP($C28,Assumptions!$B$36:$B$41,Assumptions!$B$36:$H$41))</f>
        <v>0</v>
      </c>
      <c r="UBF28">
        <f t="array" ref="UBF28">_xlfn.XLOOKUP(UBF$11,Assumptions!$B$35:$H$35,_xlfn.XLOOKUP($C28,Assumptions!$B$36:$B$41,Assumptions!$B$36:$H$41))</f>
        <v>0</v>
      </c>
      <c r="UBG28">
        <f t="array" ref="UBG28">_xlfn.XLOOKUP(UBG$11,Assumptions!$B$35:$H$35,_xlfn.XLOOKUP($C28,Assumptions!$B$36:$B$41,Assumptions!$B$36:$H$41))</f>
        <v>0</v>
      </c>
      <c r="UBH28">
        <f t="array" ref="UBH28">_xlfn.XLOOKUP(UBH$11,Assumptions!$B$35:$H$35,_xlfn.XLOOKUP($C28,Assumptions!$B$36:$B$41,Assumptions!$B$36:$H$41))</f>
        <v>0</v>
      </c>
      <c r="UBI28">
        <f t="array" ref="UBI28">_xlfn.XLOOKUP(UBI$11,Assumptions!$B$35:$H$35,_xlfn.XLOOKUP($C28,Assumptions!$B$36:$B$41,Assumptions!$B$36:$H$41))</f>
        <v>0</v>
      </c>
      <c r="UBJ28">
        <f t="array" ref="UBJ28">_xlfn.XLOOKUP(UBJ$11,Assumptions!$B$35:$H$35,_xlfn.XLOOKUP($C28,Assumptions!$B$36:$B$41,Assumptions!$B$36:$H$41))</f>
        <v>0</v>
      </c>
      <c r="UBK28">
        <f t="array" ref="UBK28">_xlfn.XLOOKUP(UBK$11,Assumptions!$B$35:$H$35,_xlfn.XLOOKUP($C28,Assumptions!$B$36:$B$41,Assumptions!$B$36:$H$41))</f>
        <v>0</v>
      </c>
      <c r="UBL28">
        <f t="array" ref="UBL28">_xlfn.XLOOKUP(UBL$11,Assumptions!$B$35:$H$35,_xlfn.XLOOKUP($C28,Assumptions!$B$36:$B$41,Assumptions!$B$36:$H$41))</f>
        <v>0</v>
      </c>
      <c r="UBM28">
        <f t="array" ref="UBM28">_xlfn.XLOOKUP(UBM$11,Assumptions!$B$35:$H$35,_xlfn.XLOOKUP($C28,Assumptions!$B$36:$B$41,Assumptions!$B$36:$H$41))</f>
        <v>0</v>
      </c>
      <c r="UBN28">
        <f t="array" ref="UBN28">_xlfn.XLOOKUP(UBN$11,Assumptions!$B$35:$H$35,_xlfn.XLOOKUP($C28,Assumptions!$B$36:$B$41,Assumptions!$B$36:$H$41))</f>
        <v>0</v>
      </c>
      <c r="UBO28">
        <f t="array" ref="UBO28">_xlfn.XLOOKUP(UBO$11,Assumptions!$B$35:$H$35,_xlfn.XLOOKUP($C28,Assumptions!$B$36:$B$41,Assumptions!$B$36:$H$41))</f>
        <v>0</v>
      </c>
      <c r="UBP28">
        <f t="array" ref="UBP28">_xlfn.XLOOKUP(UBP$11,Assumptions!$B$35:$H$35,_xlfn.XLOOKUP($C28,Assumptions!$B$36:$B$41,Assumptions!$B$36:$H$41))</f>
        <v>0</v>
      </c>
      <c r="UBQ28">
        <f t="array" ref="UBQ28">_xlfn.XLOOKUP(UBQ$11,Assumptions!$B$35:$H$35,_xlfn.XLOOKUP($C28,Assumptions!$B$36:$B$41,Assumptions!$B$36:$H$41))</f>
        <v>0</v>
      </c>
      <c r="UBR28">
        <f t="array" ref="UBR28">_xlfn.XLOOKUP(UBR$11,Assumptions!$B$35:$H$35,_xlfn.XLOOKUP($C28,Assumptions!$B$36:$B$41,Assumptions!$B$36:$H$41))</f>
        <v>0</v>
      </c>
      <c r="UBS28">
        <f t="array" ref="UBS28">_xlfn.XLOOKUP(UBS$11,Assumptions!$B$35:$H$35,_xlfn.XLOOKUP($C28,Assumptions!$B$36:$B$41,Assumptions!$B$36:$H$41))</f>
        <v>0</v>
      </c>
      <c r="UBT28">
        <f t="array" ref="UBT28">_xlfn.XLOOKUP(UBT$11,Assumptions!$B$35:$H$35,_xlfn.XLOOKUP($C28,Assumptions!$B$36:$B$41,Assumptions!$B$36:$H$41))</f>
        <v>0</v>
      </c>
      <c r="UBU28">
        <f t="array" ref="UBU28">_xlfn.XLOOKUP(UBU$11,Assumptions!$B$35:$H$35,_xlfn.XLOOKUP($C28,Assumptions!$B$36:$B$41,Assumptions!$B$36:$H$41))</f>
        <v>0</v>
      </c>
      <c r="UBV28">
        <f t="array" ref="UBV28">_xlfn.XLOOKUP(UBV$11,Assumptions!$B$35:$H$35,_xlfn.XLOOKUP($C28,Assumptions!$B$36:$B$41,Assumptions!$B$36:$H$41))</f>
        <v>0</v>
      </c>
      <c r="UBW28">
        <f t="array" ref="UBW28">_xlfn.XLOOKUP(UBW$11,Assumptions!$B$35:$H$35,_xlfn.XLOOKUP($C28,Assumptions!$B$36:$B$41,Assumptions!$B$36:$H$41))</f>
        <v>0</v>
      </c>
      <c r="UBX28">
        <f t="array" ref="UBX28">_xlfn.XLOOKUP(UBX$11,Assumptions!$B$35:$H$35,_xlfn.XLOOKUP($C28,Assumptions!$B$36:$B$41,Assumptions!$B$36:$H$41))</f>
        <v>0</v>
      </c>
      <c r="UBY28">
        <f t="array" ref="UBY28">_xlfn.XLOOKUP(UBY$11,Assumptions!$B$35:$H$35,_xlfn.XLOOKUP($C28,Assumptions!$B$36:$B$41,Assumptions!$B$36:$H$41))</f>
        <v>0</v>
      </c>
      <c r="UBZ28">
        <f t="array" ref="UBZ28">_xlfn.XLOOKUP(UBZ$11,Assumptions!$B$35:$H$35,_xlfn.XLOOKUP($C28,Assumptions!$B$36:$B$41,Assumptions!$B$36:$H$41))</f>
        <v>0</v>
      </c>
      <c r="UCA28">
        <f t="array" ref="UCA28">_xlfn.XLOOKUP(UCA$11,Assumptions!$B$35:$H$35,_xlfn.XLOOKUP($C28,Assumptions!$B$36:$B$41,Assumptions!$B$36:$H$41))</f>
        <v>0</v>
      </c>
      <c r="UCB28">
        <f t="array" ref="UCB28">_xlfn.XLOOKUP(UCB$11,Assumptions!$B$35:$H$35,_xlfn.XLOOKUP($C28,Assumptions!$B$36:$B$41,Assumptions!$B$36:$H$41))</f>
        <v>0</v>
      </c>
      <c r="UCC28">
        <f t="array" ref="UCC28">_xlfn.XLOOKUP(UCC$11,Assumptions!$B$35:$H$35,_xlfn.XLOOKUP($C28,Assumptions!$B$36:$B$41,Assumptions!$B$36:$H$41))</f>
        <v>0</v>
      </c>
      <c r="UCD28">
        <f t="array" ref="UCD28">_xlfn.XLOOKUP(UCD$11,Assumptions!$B$35:$H$35,_xlfn.XLOOKUP($C28,Assumptions!$B$36:$B$41,Assumptions!$B$36:$H$41))</f>
        <v>0</v>
      </c>
      <c r="UCE28">
        <f t="array" ref="UCE28">_xlfn.XLOOKUP(UCE$11,Assumptions!$B$35:$H$35,_xlfn.XLOOKUP($C28,Assumptions!$B$36:$B$41,Assumptions!$B$36:$H$41))</f>
        <v>0</v>
      </c>
      <c r="UCF28">
        <f t="array" ref="UCF28">_xlfn.XLOOKUP(UCF$11,Assumptions!$B$35:$H$35,_xlfn.XLOOKUP($C28,Assumptions!$B$36:$B$41,Assumptions!$B$36:$H$41))</f>
        <v>0</v>
      </c>
      <c r="UCG28">
        <f t="array" ref="UCG28">_xlfn.XLOOKUP(UCG$11,Assumptions!$B$35:$H$35,_xlfn.XLOOKUP($C28,Assumptions!$B$36:$B$41,Assumptions!$B$36:$H$41))</f>
        <v>0</v>
      </c>
      <c r="UCH28">
        <f t="array" ref="UCH28">_xlfn.XLOOKUP(UCH$11,Assumptions!$B$35:$H$35,_xlfn.XLOOKUP($C28,Assumptions!$B$36:$B$41,Assumptions!$B$36:$H$41))</f>
        <v>0</v>
      </c>
      <c r="UCI28">
        <f t="array" ref="UCI28">_xlfn.XLOOKUP(UCI$11,Assumptions!$B$35:$H$35,_xlfn.XLOOKUP($C28,Assumptions!$B$36:$B$41,Assumptions!$B$36:$H$41))</f>
        <v>0</v>
      </c>
      <c r="UCJ28">
        <f t="array" ref="UCJ28">_xlfn.XLOOKUP(UCJ$11,Assumptions!$B$35:$H$35,_xlfn.XLOOKUP($C28,Assumptions!$B$36:$B$41,Assumptions!$B$36:$H$41))</f>
        <v>0</v>
      </c>
      <c r="UCK28">
        <f t="array" ref="UCK28">_xlfn.XLOOKUP(UCK$11,Assumptions!$B$35:$H$35,_xlfn.XLOOKUP($C28,Assumptions!$B$36:$B$41,Assumptions!$B$36:$H$41))</f>
        <v>0</v>
      </c>
      <c r="UCL28">
        <f t="array" ref="UCL28">_xlfn.XLOOKUP(UCL$11,Assumptions!$B$35:$H$35,_xlfn.XLOOKUP($C28,Assumptions!$B$36:$B$41,Assumptions!$B$36:$H$41))</f>
        <v>0</v>
      </c>
      <c r="UCM28">
        <f t="array" ref="UCM28">_xlfn.XLOOKUP(UCM$11,Assumptions!$B$35:$H$35,_xlfn.XLOOKUP($C28,Assumptions!$B$36:$B$41,Assumptions!$B$36:$H$41))</f>
        <v>0</v>
      </c>
      <c r="UCN28">
        <f t="array" ref="UCN28">_xlfn.XLOOKUP(UCN$11,Assumptions!$B$35:$H$35,_xlfn.XLOOKUP($C28,Assumptions!$B$36:$B$41,Assumptions!$B$36:$H$41))</f>
        <v>0</v>
      </c>
      <c r="UCO28">
        <f t="array" ref="UCO28">_xlfn.XLOOKUP(UCO$11,Assumptions!$B$35:$H$35,_xlfn.XLOOKUP($C28,Assumptions!$B$36:$B$41,Assumptions!$B$36:$H$41))</f>
        <v>0</v>
      </c>
      <c r="UCP28">
        <f t="array" ref="UCP28">_xlfn.XLOOKUP(UCP$11,Assumptions!$B$35:$H$35,_xlfn.XLOOKUP($C28,Assumptions!$B$36:$B$41,Assumptions!$B$36:$H$41))</f>
        <v>0</v>
      </c>
      <c r="UCQ28">
        <f t="array" ref="UCQ28">_xlfn.XLOOKUP(UCQ$11,Assumptions!$B$35:$H$35,_xlfn.XLOOKUP($C28,Assumptions!$B$36:$B$41,Assumptions!$B$36:$H$41))</f>
        <v>0</v>
      </c>
      <c r="UCR28">
        <f t="array" ref="UCR28">_xlfn.XLOOKUP(UCR$11,Assumptions!$B$35:$H$35,_xlfn.XLOOKUP($C28,Assumptions!$B$36:$B$41,Assumptions!$B$36:$H$41))</f>
        <v>0</v>
      </c>
      <c r="UCS28">
        <f t="array" ref="UCS28">_xlfn.XLOOKUP(UCS$11,Assumptions!$B$35:$H$35,_xlfn.XLOOKUP($C28,Assumptions!$B$36:$B$41,Assumptions!$B$36:$H$41))</f>
        <v>0</v>
      </c>
      <c r="UCT28">
        <f t="array" ref="UCT28">_xlfn.XLOOKUP(UCT$11,Assumptions!$B$35:$H$35,_xlfn.XLOOKUP($C28,Assumptions!$B$36:$B$41,Assumptions!$B$36:$H$41))</f>
        <v>0</v>
      </c>
      <c r="UCU28">
        <f t="array" ref="UCU28">_xlfn.XLOOKUP(UCU$11,Assumptions!$B$35:$H$35,_xlfn.XLOOKUP($C28,Assumptions!$B$36:$B$41,Assumptions!$B$36:$H$41))</f>
        <v>0</v>
      </c>
      <c r="UCV28">
        <f t="array" ref="UCV28">_xlfn.XLOOKUP(UCV$11,Assumptions!$B$35:$H$35,_xlfn.XLOOKUP($C28,Assumptions!$B$36:$B$41,Assumptions!$B$36:$H$41))</f>
        <v>0</v>
      </c>
      <c r="UCW28">
        <f t="array" ref="UCW28">_xlfn.XLOOKUP(UCW$11,Assumptions!$B$35:$H$35,_xlfn.XLOOKUP($C28,Assumptions!$B$36:$B$41,Assumptions!$B$36:$H$41))</f>
        <v>0</v>
      </c>
      <c r="UCX28">
        <f t="array" ref="UCX28">_xlfn.XLOOKUP(UCX$11,Assumptions!$B$35:$H$35,_xlfn.XLOOKUP($C28,Assumptions!$B$36:$B$41,Assumptions!$B$36:$H$41))</f>
        <v>0</v>
      </c>
      <c r="UCY28">
        <f t="array" ref="UCY28">_xlfn.XLOOKUP(UCY$11,Assumptions!$B$35:$H$35,_xlfn.XLOOKUP($C28,Assumptions!$B$36:$B$41,Assumptions!$B$36:$H$41))</f>
        <v>0</v>
      </c>
      <c r="UCZ28">
        <f t="array" ref="UCZ28">_xlfn.XLOOKUP(UCZ$11,Assumptions!$B$35:$H$35,_xlfn.XLOOKUP($C28,Assumptions!$B$36:$B$41,Assumptions!$B$36:$H$41))</f>
        <v>0</v>
      </c>
      <c r="UDA28">
        <f t="array" ref="UDA28">_xlfn.XLOOKUP(UDA$11,Assumptions!$B$35:$H$35,_xlfn.XLOOKUP($C28,Assumptions!$B$36:$B$41,Assumptions!$B$36:$H$41))</f>
        <v>0</v>
      </c>
      <c r="UDB28">
        <f t="array" ref="UDB28">_xlfn.XLOOKUP(UDB$11,Assumptions!$B$35:$H$35,_xlfn.XLOOKUP($C28,Assumptions!$B$36:$B$41,Assumptions!$B$36:$H$41))</f>
        <v>0</v>
      </c>
      <c r="UDC28">
        <f t="array" ref="UDC28">_xlfn.XLOOKUP(UDC$11,Assumptions!$B$35:$H$35,_xlfn.XLOOKUP($C28,Assumptions!$B$36:$B$41,Assumptions!$B$36:$H$41))</f>
        <v>0</v>
      </c>
      <c r="UDD28">
        <f t="array" ref="UDD28">_xlfn.XLOOKUP(UDD$11,Assumptions!$B$35:$H$35,_xlfn.XLOOKUP($C28,Assumptions!$B$36:$B$41,Assumptions!$B$36:$H$41))</f>
        <v>0</v>
      </c>
      <c r="UDE28">
        <f t="array" ref="UDE28">_xlfn.XLOOKUP(UDE$11,Assumptions!$B$35:$H$35,_xlfn.XLOOKUP($C28,Assumptions!$B$36:$B$41,Assumptions!$B$36:$H$41))</f>
        <v>0</v>
      </c>
      <c r="UDF28">
        <f t="array" ref="UDF28">_xlfn.XLOOKUP(UDF$11,Assumptions!$B$35:$H$35,_xlfn.XLOOKUP($C28,Assumptions!$B$36:$B$41,Assumptions!$B$36:$H$41))</f>
        <v>0</v>
      </c>
      <c r="UDG28">
        <f t="array" ref="UDG28">_xlfn.XLOOKUP(UDG$11,Assumptions!$B$35:$H$35,_xlfn.XLOOKUP($C28,Assumptions!$B$36:$B$41,Assumptions!$B$36:$H$41))</f>
        <v>0</v>
      </c>
      <c r="UDH28">
        <f t="array" ref="UDH28">_xlfn.XLOOKUP(UDH$11,Assumptions!$B$35:$H$35,_xlfn.XLOOKUP($C28,Assumptions!$B$36:$B$41,Assumptions!$B$36:$H$41))</f>
        <v>0</v>
      </c>
      <c r="UDI28">
        <f t="array" ref="UDI28">_xlfn.XLOOKUP(UDI$11,Assumptions!$B$35:$H$35,_xlfn.XLOOKUP($C28,Assumptions!$B$36:$B$41,Assumptions!$B$36:$H$41))</f>
        <v>0</v>
      </c>
      <c r="UDJ28">
        <f t="array" ref="UDJ28">_xlfn.XLOOKUP(UDJ$11,Assumptions!$B$35:$H$35,_xlfn.XLOOKUP($C28,Assumptions!$B$36:$B$41,Assumptions!$B$36:$H$41))</f>
        <v>0</v>
      </c>
      <c r="UDK28">
        <f t="array" ref="UDK28">_xlfn.XLOOKUP(UDK$11,Assumptions!$B$35:$H$35,_xlfn.XLOOKUP($C28,Assumptions!$B$36:$B$41,Assumptions!$B$36:$H$41))</f>
        <v>0</v>
      </c>
      <c r="UDL28">
        <f t="array" ref="UDL28">_xlfn.XLOOKUP(UDL$11,Assumptions!$B$35:$H$35,_xlfn.XLOOKUP($C28,Assumptions!$B$36:$B$41,Assumptions!$B$36:$H$41))</f>
        <v>0</v>
      </c>
      <c r="UDM28">
        <f t="array" ref="UDM28">_xlfn.XLOOKUP(UDM$11,Assumptions!$B$35:$H$35,_xlfn.XLOOKUP($C28,Assumptions!$B$36:$B$41,Assumptions!$B$36:$H$41))</f>
        <v>0</v>
      </c>
      <c r="UDN28">
        <f t="array" ref="UDN28">_xlfn.XLOOKUP(UDN$11,Assumptions!$B$35:$H$35,_xlfn.XLOOKUP($C28,Assumptions!$B$36:$B$41,Assumptions!$B$36:$H$41))</f>
        <v>0</v>
      </c>
      <c r="UDO28">
        <f t="array" ref="UDO28">_xlfn.XLOOKUP(UDO$11,Assumptions!$B$35:$H$35,_xlfn.XLOOKUP($C28,Assumptions!$B$36:$B$41,Assumptions!$B$36:$H$41))</f>
        <v>0</v>
      </c>
      <c r="UDP28">
        <f t="array" ref="UDP28">_xlfn.XLOOKUP(UDP$11,Assumptions!$B$35:$H$35,_xlfn.XLOOKUP($C28,Assumptions!$B$36:$B$41,Assumptions!$B$36:$H$41))</f>
        <v>0</v>
      </c>
      <c r="UDQ28">
        <f t="array" ref="UDQ28">_xlfn.XLOOKUP(UDQ$11,Assumptions!$B$35:$H$35,_xlfn.XLOOKUP($C28,Assumptions!$B$36:$B$41,Assumptions!$B$36:$H$41))</f>
        <v>0</v>
      </c>
      <c r="UDR28">
        <f t="array" ref="UDR28">_xlfn.XLOOKUP(UDR$11,Assumptions!$B$35:$H$35,_xlfn.XLOOKUP($C28,Assumptions!$B$36:$B$41,Assumptions!$B$36:$H$41))</f>
        <v>0</v>
      </c>
      <c r="UDS28">
        <f t="array" ref="UDS28">_xlfn.XLOOKUP(UDS$11,Assumptions!$B$35:$H$35,_xlfn.XLOOKUP($C28,Assumptions!$B$36:$B$41,Assumptions!$B$36:$H$41))</f>
        <v>0</v>
      </c>
      <c r="UDT28">
        <f t="array" ref="UDT28">_xlfn.XLOOKUP(UDT$11,Assumptions!$B$35:$H$35,_xlfn.XLOOKUP($C28,Assumptions!$B$36:$B$41,Assumptions!$B$36:$H$41))</f>
        <v>0</v>
      </c>
      <c r="UDU28">
        <f t="array" ref="UDU28">_xlfn.XLOOKUP(UDU$11,Assumptions!$B$35:$H$35,_xlfn.XLOOKUP($C28,Assumptions!$B$36:$B$41,Assumptions!$B$36:$H$41))</f>
        <v>0</v>
      </c>
      <c r="UDV28">
        <f t="array" ref="UDV28">_xlfn.XLOOKUP(UDV$11,Assumptions!$B$35:$H$35,_xlfn.XLOOKUP($C28,Assumptions!$B$36:$B$41,Assumptions!$B$36:$H$41))</f>
        <v>0</v>
      </c>
      <c r="UDW28">
        <f t="array" ref="UDW28">_xlfn.XLOOKUP(UDW$11,Assumptions!$B$35:$H$35,_xlfn.XLOOKUP($C28,Assumptions!$B$36:$B$41,Assumptions!$B$36:$H$41))</f>
        <v>0</v>
      </c>
      <c r="UDX28">
        <f t="array" ref="UDX28">_xlfn.XLOOKUP(UDX$11,Assumptions!$B$35:$H$35,_xlfn.XLOOKUP($C28,Assumptions!$B$36:$B$41,Assumptions!$B$36:$H$41))</f>
        <v>0</v>
      </c>
      <c r="UDY28">
        <f t="array" ref="UDY28">_xlfn.XLOOKUP(UDY$11,Assumptions!$B$35:$H$35,_xlfn.XLOOKUP($C28,Assumptions!$B$36:$B$41,Assumptions!$B$36:$H$41))</f>
        <v>0</v>
      </c>
      <c r="UDZ28">
        <f t="array" ref="UDZ28">_xlfn.XLOOKUP(UDZ$11,Assumptions!$B$35:$H$35,_xlfn.XLOOKUP($C28,Assumptions!$B$36:$B$41,Assumptions!$B$36:$H$41))</f>
        <v>0</v>
      </c>
      <c r="UEA28">
        <f t="array" ref="UEA28">_xlfn.XLOOKUP(UEA$11,Assumptions!$B$35:$H$35,_xlfn.XLOOKUP($C28,Assumptions!$B$36:$B$41,Assumptions!$B$36:$H$41))</f>
        <v>0</v>
      </c>
      <c r="UEB28">
        <f t="array" ref="UEB28">_xlfn.XLOOKUP(UEB$11,Assumptions!$B$35:$H$35,_xlfn.XLOOKUP($C28,Assumptions!$B$36:$B$41,Assumptions!$B$36:$H$41))</f>
        <v>0</v>
      </c>
      <c r="UEC28">
        <f t="array" ref="UEC28">_xlfn.XLOOKUP(UEC$11,Assumptions!$B$35:$H$35,_xlfn.XLOOKUP($C28,Assumptions!$B$36:$B$41,Assumptions!$B$36:$H$41))</f>
        <v>0</v>
      </c>
      <c r="UED28">
        <f t="array" ref="UED28">_xlfn.XLOOKUP(UED$11,Assumptions!$B$35:$H$35,_xlfn.XLOOKUP($C28,Assumptions!$B$36:$B$41,Assumptions!$B$36:$H$41))</f>
        <v>0</v>
      </c>
      <c r="UEE28">
        <f t="array" ref="UEE28">_xlfn.XLOOKUP(UEE$11,Assumptions!$B$35:$H$35,_xlfn.XLOOKUP($C28,Assumptions!$B$36:$B$41,Assumptions!$B$36:$H$41))</f>
        <v>0</v>
      </c>
      <c r="UEF28">
        <f t="array" ref="UEF28">_xlfn.XLOOKUP(UEF$11,Assumptions!$B$35:$H$35,_xlfn.XLOOKUP($C28,Assumptions!$B$36:$B$41,Assumptions!$B$36:$H$41))</f>
        <v>0</v>
      </c>
      <c r="UEG28">
        <f t="array" ref="UEG28">_xlfn.XLOOKUP(UEG$11,Assumptions!$B$35:$H$35,_xlfn.XLOOKUP($C28,Assumptions!$B$36:$B$41,Assumptions!$B$36:$H$41))</f>
        <v>0</v>
      </c>
      <c r="UEH28">
        <f t="array" ref="UEH28">_xlfn.XLOOKUP(UEH$11,Assumptions!$B$35:$H$35,_xlfn.XLOOKUP($C28,Assumptions!$B$36:$B$41,Assumptions!$B$36:$H$41))</f>
        <v>0</v>
      </c>
      <c r="UEI28">
        <f t="array" ref="UEI28">_xlfn.XLOOKUP(UEI$11,Assumptions!$B$35:$H$35,_xlfn.XLOOKUP($C28,Assumptions!$B$36:$B$41,Assumptions!$B$36:$H$41))</f>
        <v>0</v>
      </c>
      <c r="UEJ28">
        <f t="array" ref="UEJ28">_xlfn.XLOOKUP(UEJ$11,Assumptions!$B$35:$H$35,_xlfn.XLOOKUP($C28,Assumptions!$B$36:$B$41,Assumptions!$B$36:$H$41))</f>
        <v>0</v>
      </c>
      <c r="UEK28">
        <f t="array" ref="UEK28">_xlfn.XLOOKUP(UEK$11,Assumptions!$B$35:$H$35,_xlfn.XLOOKUP($C28,Assumptions!$B$36:$B$41,Assumptions!$B$36:$H$41))</f>
        <v>0</v>
      </c>
      <c r="UEL28">
        <f t="array" ref="UEL28">_xlfn.XLOOKUP(UEL$11,Assumptions!$B$35:$H$35,_xlfn.XLOOKUP($C28,Assumptions!$B$36:$B$41,Assumptions!$B$36:$H$41))</f>
        <v>0</v>
      </c>
      <c r="UEM28">
        <f t="array" ref="UEM28">_xlfn.XLOOKUP(UEM$11,Assumptions!$B$35:$H$35,_xlfn.XLOOKUP($C28,Assumptions!$B$36:$B$41,Assumptions!$B$36:$H$41))</f>
        <v>0</v>
      </c>
      <c r="UEN28">
        <f t="array" ref="UEN28">_xlfn.XLOOKUP(UEN$11,Assumptions!$B$35:$H$35,_xlfn.XLOOKUP($C28,Assumptions!$B$36:$B$41,Assumptions!$B$36:$H$41))</f>
        <v>0</v>
      </c>
      <c r="UEO28">
        <f t="array" ref="UEO28">_xlfn.XLOOKUP(UEO$11,Assumptions!$B$35:$H$35,_xlfn.XLOOKUP($C28,Assumptions!$B$36:$B$41,Assumptions!$B$36:$H$41))</f>
        <v>0</v>
      </c>
      <c r="UEP28">
        <f t="array" ref="UEP28">_xlfn.XLOOKUP(UEP$11,Assumptions!$B$35:$H$35,_xlfn.XLOOKUP($C28,Assumptions!$B$36:$B$41,Assumptions!$B$36:$H$41))</f>
        <v>0</v>
      </c>
      <c r="UEQ28">
        <f t="array" ref="UEQ28">_xlfn.XLOOKUP(UEQ$11,Assumptions!$B$35:$H$35,_xlfn.XLOOKUP($C28,Assumptions!$B$36:$B$41,Assumptions!$B$36:$H$41))</f>
        <v>0</v>
      </c>
      <c r="UER28">
        <f t="array" ref="UER28">_xlfn.XLOOKUP(UER$11,Assumptions!$B$35:$H$35,_xlfn.XLOOKUP($C28,Assumptions!$B$36:$B$41,Assumptions!$B$36:$H$41))</f>
        <v>0</v>
      </c>
      <c r="UES28">
        <f t="array" ref="UES28">_xlfn.XLOOKUP(UES$11,Assumptions!$B$35:$H$35,_xlfn.XLOOKUP($C28,Assumptions!$B$36:$B$41,Assumptions!$B$36:$H$41))</f>
        <v>0</v>
      </c>
      <c r="UET28">
        <f t="array" ref="UET28">_xlfn.XLOOKUP(UET$11,Assumptions!$B$35:$H$35,_xlfn.XLOOKUP($C28,Assumptions!$B$36:$B$41,Assumptions!$B$36:$H$41))</f>
        <v>0</v>
      </c>
      <c r="UEU28">
        <f t="array" ref="UEU28">_xlfn.XLOOKUP(UEU$11,Assumptions!$B$35:$H$35,_xlfn.XLOOKUP($C28,Assumptions!$B$36:$B$41,Assumptions!$B$36:$H$41))</f>
        <v>0</v>
      </c>
      <c r="UEV28">
        <f t="array" ref="UEV28">_xlfn.XLOOKUP(UEV$11,Assumptions!$B$35:$H$35,_xlfn.XLOOKUP($C28,Assumptions!$B$36:$B$41,Assumptions!$B$36:$H$41))</f>
        <v>0</v>
      </c>
      <c r="UEW28">
        <f t="array" ref="UEW28">_xlfn.XLOOKUP(UEW$11,Assumptions!$B$35:$H$35,_xlfn.XLOOKUP($C28,Assumptions!$B$36:$B$41,Assumptions!$B$36:$H$41))</f>
        <v>0</v>
      </c>
      <c r="UEX28">
        <f t="array" ref="UEX28">_xlfn.XLOOKUP(UEX$11,Assumptions!$B$35:$H$35,_xlfn.XLOOKUP($C28,Assumptions!$B$36:$B$41,Assumptions!$B$36:$H$41))</f>
        <v>0</v>
      </c>
      <c r="UEY28">
        <f t="array" ref="UEY28">_xlfn.XLOOKUP(UEY$11,Assumptions!$B$35:$H$35,_xlfn.XLOOKUP($C28,Assumptions!$B$36:$B$41,Assumptions!$B$36:$H$41))</f>
        <v>0</v>
      </c>
      <c r="UEZ28">
        <f t="array" ref="UEZ28">_xlfn.XLOOKUP(UEZ$11,Assumptions!$B$35:$H$35,_xlfn.XLOOKUP($C28,Assumptions!$B$36:$B$41,Assumptions!$B$36:$H$41))</f>
        <v>0</v>
      </c>
      <c r="UFA28">
        <f t="array" ref="UFA28">_xlfn.XLOOKUP(UFA$11,Assumptions!$B$35:$H$35,_xlfn.XLOOKUP($C28,Assumptions!$B$36:$B$41,Assumptions!$B$36:$H$41))</f>
        <v>0</v>
      </c>
      <c r="UFB28">
        <f t="array" ref="UFB28">_xlfn.XLOOKUP(UFB$11,Assumptions!$B$35:$H$35,_xlfn.XLOOKUP($C28,Assumptions!$B$36:$B$41,Assumptions!$B$36:$H$41))</f>
        <v>0</v>
      </c>
      <c r="UFC28">
        <f t="array" ref="UFC28">_xlfn.XLOOKUP(UFC$11,Assumptions!$B$35:$H$35,_xlfn.XLOOKUP($C28,Assumptions!$B$36:$B$41,Assumptions!$B$36:$H$41))</f>
        <v>0</v>
      </c>
      <c r="UFD28">
        <f t="array" ref="UFD28">_xlfn.XLOOKUP(UFD$11,Assumptions!$B$35:$H$35,_xlfn.XLOOKUP($C28,Assumptions!$B$36:$B$41,Assumptions!$B$36:$H$41))</f>
        <v>0</v>
      </c>
      <c r="UFE28">
        <f t="array" ref="UFE28">_xlfn.XLOOKUP(UFE$11,Assumptions!$B$35:$H$35,_xlfn.XLOOKUP($C28,Assumptions!$B$36:$B$41,Assumptions!$B$36:$H$41))</f>
        <v>0</v>
      </c>
      <c r="UFF28">
        <f t="array" ref="UFF28">_xlfn.XLOOKUP(UFF$11,Assumptions!$B$35:$H$35,_xlfn.XLOOKUP($C28,Assumptions!$B$36:$B$41,Assumptions!$B$36:$H$41))</f>
        <v>0</v>
      </c>
      <c r="UFG28">
        <f t="array" ref="UFG28">_xlfn.XLOOKUP(UFG$11,Assumptions!$B$35:$H$35,_xlfn.XLOOKUP($C28,Assumptions!$B$36:$B$41,Assumptions!$B$36:$H$41))</f>
        <v>0</v>
      </c>
      <c r="UFH28">
        <f t="array" ref="UFH28">_xlfn.XLOOKUP(UFH$11,Assumptions!$B$35:$H$35,_xlfn.XLOOKUP($C28,Assumptions!$B$36:$B$41,Assumptions!$B$36:$H$41))</f>
        <v>0</v>
      </c>
      <c r="UFI28">
        <f t="array" ref="UFI28">_xlfn.XLOOKUP(UFI$11,Assumptions!$B$35:$H$35,_xlfn.XLOOKUP($C28,Assumptions!$B$36:$B$41,Assumptions!$B$36:$H$41))</f>
        <v>0</v>
      </c>
      <c r="UFJ28">
        <f t="array" ref="UFJ28">_xlfn.XLOOKUP(UFJ$11,Assumptions!$B$35:$H$35,_xlfn.XLOOKUP($C28,Assumptions!$B$36:$B$41,Assumptions!$B$36:$H$41))</f>
        <v>0</v>
      </c>
      <c r="UFK28">
        <f t="array" ref="UFK28">_xlfn.XLOOKUP(UFK$11,Assumptions!$B$35:$H$35,_xlfn.XLOOKUP($C28,Assumptions!$B$36:$B$41,Assumptions!$B$36:$H$41))</f>
        <v>0</v>
      </c>
      <c r="UFL28">
        <f t="array" ref="UFL28">_xlfn.XLOOKUP(UFL$11,Assumptions!$B$35:$H$35,_xlfn.XLOOKUP($C28,Assumptions!$B$36:$B$41,Assumptions!$B$36:$H$41))</f>
        <v>0</v>
      </c>
      <c r="UFM28">
        <f t="array" ref="UFM28">_xlfn.XLOOKUP(UFM$11,Assumptions!$B$35:$H$35,_xlfn.XLOOKUP($C28,Assumptions!$B$36:$B$41,Assumptions!$B$36:$H$41))</f>
        <v>0</v>
      </c>
      <c r="UFN28">
        <f t="array" ref="UFN28">_xlfn.XLOOKUP(UFN$11,Assumptions!$B$35:$H$35,_xlfn.XLOOKUP($C28,Assumptions!$B$36:$B$41,Assumptions!$B$36:$H$41))</f>
        <v>0</v>
      </c>
      <c r="UFO28">
        <f t="array" ref="UFO28">_xlfn.XLOOKUP(UFO$11,Assumptions!$B$35:$H$35,_xlfn.XLOOKUP($C28,Assumptions!$B$36:$B$41,Assumptions!$B$36:$H$41))</f>
        <v>0</v>
      </c>
      <c r="UFP28">
        <f t="array" ref="UFP28">_xlfn.XLOOKUP(UFP$11,Assumptions!$B$35:$H$35,_xlfn.XLOOKUP($C28,Assumptions!$B$36:$B$41,Assumptions!$B$36:$H$41))</f>
        <v>0</v>
      </c>
      <c r="UFQ28">
        <f t="array" ref="UFQ28">_xlfn.XLOOKUP(UFQ$11,Assumptions!$B$35:$H$35,_xlfn.XLOOKUP($C28,Assumptions!$B$36:$B$41,Assumptions!$B$36:$H$41))</f>
        <v>0</v>
      </c>
      <c r="UFR28">
        <f t="array" ref="UFR28">_xlfn.XLOOKUP(UFR$11,Assumptions!$B$35:$H$35,_xlfn.XLOOKUP($C28,Assumptions!$B$36:$B$41,Assumptions!$B$36:$H$41))</f>
        <v>0</v>
      </c>
      <c r="UFS28">
        <f t="array" ref="UFS28">_xlfn.XLOOKUP(UFS$11,Assumptions!$B$35:$H$35,_xlfn.XLOOKUP($C28,Assumptions!$B$36:$B$41,Assumptions!$B$36:$H$41))</f>
        <v>0</v>
      </c>
      <c r="UFT28">
        <f t="array" ref="UFT28">_xlfn.XLOOKUP(UFT$11,Assumptions!$B$35:$H$35,_xlfn.XLOOKUP($C28,Assumptions!$B$36:$B$41,Assumptions!$B$36:$H$41))</f>
        <v>0</v>
      </c>
      <c r="UFU28">
        <f t="array" ref="UFU28">_xlfn.XLOOKUP(UFU$11,Assumptions!$B$35:$H$35,_xlfn.XLOOKUP($C28,Assumptions!$B$36:$B$41,Assumptions!$B$36:$H$41))</f>
        <v>0</v>
      </c>
      <c r="UFV28">
        <f t="array" ref="UFV28">_xlfn.XLOOKUP(UFV$11,Assumptions!$B$35:$H$35,_xlfn.XLOOKUP($C28,Assumptions!$B$36:$B$41,Assumptions!$B$36:$H$41))</f>
        <v>0</v>
      </c>
      <c r="UFW28">
        <f t="array" ref="UFW28">_xlfn.XLOOKUP(UFW$11,Assumptions!$B$35:$H$35,_xlfn.XLOOKUP($C28,Assumptions!$B$36:$B$41,Assumptions!$B$36:$H$41))</f>
        <v>0</v>
      </c>
      <c r="UFX28">
        <f t="array" ref="UFX28">_xlfn.XLOOKUP(UFX$11,Assumptions!$B$35:$H$35,_xlfn.XLOOKUP($C28,Assumptions!$B$36:$B$41,Assumptions!$B$36:$H$41))</f>
        <v>0</v>
      </c>
      <c r="UFY28">
        <f t="array" ref="UFY28">_xlfn.XLOOKUP(UFY$11,Assumptions!$B$35:$H$35,_xlfn.XLOOKUP($C28,Assumptions!$B$36:$B$41,Assumptions!$B$36:$H$41))</f>
        <v>0</v>
      </c>
      <c r="UFZ28">
        <f t="array" ref="UFZ28">_xlfn.XLOOKUP(UFZ$11,Assumptions!$B$35:$H$35,_xlfn.XLOOKUP($C28,Assumptions!$B$36:$B$41,Assumptions!$B$36:$H$41))</f>
        <v>0</v>
      </c>
      <c r="UGA28">
        <f t="array" ref="UGA28">_xlfn.XLOOKUP(UGA$11,Assumptions!$B$35:$H$35,_xlfn.XLOOKUP($C28,Assumptions!$B$36:$B$41,Assumptions!$B$36:$H$41))</f>
        <v>0</v>
      </c>
      <c r="UGB28">
        <f t="array" ref="UGB28">_xlfn.XLOOKUP(UGB$11,Assumptions!$B$35:$H$35,_xlfn.XLOOKUP($C28,Assumptions!$B$36:$B$41,Assumptions!$B$36:$H$41))</f>
        <v>0</v>
      </c>
      <c r="UGC28">
        <f t="array" ref="UGC28">_xlfn.XLOOKUP(UGC$11,Assumptions!$B$35:$H$35,_xlfn.XLOOKUP($C28,Assumptions!$B$36:$B$41,Assumptions!$B$36:$H$41))</f>
        <v>0</v>
      </c>
      <c r="UGD28">
        <f t="array" ref="UGD28">_xlfn.XLOOKUP(UGD$11,Assumptions!$B$35:$H$35,_xlfn.XLOOKUP($C28,Assumptions!$B$36:$B$41,Assumptions!$B$36:$H$41))</f>
        <v>0</v>
      </c>
      <c r="UGE28">
        <f t="array" ref="UGE28">_xlfn.XLOOKUP(UGE$11,Assumptions!$B$35:$H$35,_xlfn.XLOOKUP($C28,Assumptions!$B$36:$B$41,Assumptions!$B$36:$H$41))</f>
        <v>0</v>
      </c>
      <c r="UGF28">
        <f t="array" ref="UGF28">_xlfn.XLOOKUP(UGF$11,Assumptions!$B$35:$H$35,_xlfn.XLOOKUP($C28,Assumptions!$B$36:$B$41,Assumptions!$B$36:$H$41))</f>
        <v>0</v>
      </c>
      <c r="UGG28">
        <f t="array" ref="UGG28">_xlfn.XLOOKUP(UGG$11,Assumptions!$B$35:$H$35,_xlfn.XLOOKUP($C28,Assumptions!$B$36:$B$41,Assumptions!$B$36:$H$41))</f>
        <v>0</v>
      </c>
      <c r="UGH28">
        <f t="array" ref="UGH28">_xlfn.XLOOKUP(UGH$11,Assumptions!$B$35:$H$35,_xlfn.XLOOKUP($C28,Assumptions!$B$36:$B$41,Assumptions!$B$36:$H$41))</f>
        <v>0</v>
      </c>
      <c r="UGI28">
        <f t="array" ref="UGI28">_xlfn.XLOOKUP(UGI$11,Assumptions!$B$35:$H$35,_xlfn.XLOOKUP($C28,Assumptions!$B$36:$B$41,Assumptions!$B$36:$H$41))</f>
        <v>0</v>
      </c>
      <c r="UGJ28">
        <f t="array" ref="UGJ28">_xlfn.XLOOKUP(UGJ$11,Assumptions!$B$35:$H$35,_xlfn.XLOOKUP($C28,Assumptions!$B$36:$B$41,Assumptions!$B$36:$H$41))</f>
        <v>0</v>
      </c>
      <c r="UGK28">
        <f t="array" ref="UGK28">_xlfn.XLOOKUP(UGK$11,Assumptions!$B$35:$H$35,_xlfn.XLOOKUP($C28,Assumptions!$B$36:$B$41,Assumptions!$B$36:$H$41))</f>
        <v>0</v>
      </c>
      <c r="UGL28">
        <f t="array" ref="UGL28">_xlfn.XLOOKUP(UGL$11,Assumptions!$B$35:$H$35,_xlfn.XLOOKUP($C28,Assumptions!$B$36:$B$41,Assumptions!$B$36:$H$41))</f>
        <v>0</v>
      </c>
      <c r="UGM28">
        <f t="array" ref="UGM28">_xlfn.XLOOKUP(UGM$11,Assumptions!$B$35:$H$35,_xlfn.XLOOKUP($C28,Assumptions!$B$36:$B$41,Assumptions!$B$36:$H$41))</f>
        <v>0</v>
      </c>
      <c r="UGN28">
        <f t="array" ref="UGN28">_xlfn.XLOOKUP(UGN$11,Assumptions!$B$35:$H$35,_xlfn.XLOOKUP($C28,Assumptions!$B$36:$B$41,Assumptions!$B$36:$H$41))</f>
        <v>0</v>
      </c>
      <c r="UGO28">
        <f t="array" ref="UGO28">_xlfn.XLOOKUP(UGO$11,Assumptions!$B$35:$H$35,_xlfn.XLOOKUP($C28,Assumptions!$B$36:$B$41,Assumptions!$B$36:$H$41))</f>
        <v>0</v>
      </c>
      <c r="UGP28">
        <f t="array" ref="UGP28">_xlfn.XLOOKUP(UGP$11,Assumptions!$B$35:$H$35,_xlfn.XLOOKUP($C28,Assumptions!$B$36:$B$41,Assumptions!$B$36:$H$41))</f>
        <v>0</v>
      </c>
      <c r="UGQ28">
        <f t="array" ref="UGQ28">_xlfn.XLOOKUP(UGQ$11,Assumptions!$B$35:$H$35,_xlfn.XLOOKUP($C28,Assumptions!$B$36:$B$41,Assumptions!$B$36:$H$41))</f>
        <v>0</v>
      </c>
      <c r="UGR28">
        <f t="array" ref="UGR28">_xlfn.XLOOKUP(UGR$11,Assumptions!$B$35:$H$35,_xlfn.XLOOKUP($C28,Assumptions!$B$36:$B$41,Assumptions!$B$36:$H$41))</f>
        <v>0</v>
      </c>
      <c r="UGS28">
        <f t="array" ref="UGS28">_xlfn.XLOOKUP(UGS$11,Assumptions!$B$35:$H$35,_xlfn.XLOOKUP($C28,Assumptions!$B$36:$B$41,Assumptions!$B$36:$H$41))</f>
        <v>0</v>
      </c>
      <c r="UGT28">
        <f t="array" ref="UGT28">_xlfn.XLOOKUP(UGT$11,Assumptions!$B$35:$H$35,_xlfn.XLOOKUP($C28,Assumptions!$B$36:$B$41,Assumptions!$B$36:$H$41))</f>
        <v>0</v>
      </c>
      <c r="UGU28">
        <f t="array" ref="UGU28">_xlfn.XLOOKUP(UGU$11,Assumptions!$B$35:$H$35,_xlfn.XLOOKUP($C28,Assumptions!$B$36:$B$41,Assumptions!$B$36:$H$41))</f>
        <v>0</v>
      </c>
      <c r="UGV28">
        <f t="array" ref="UGV28">_xlfn.XLOOKUP(UGV$11,Assumptions!$B$35:$H$35,_xlfn.XLOOKUP($C28,Assumptions!$B$36:$B$41,Assumptions!$B$36:$H$41))</f>
        <v>0</v>
      </c>
      <c r="UGW28">
        <f t="array" ref="UGW28">_xlfn.XLOOKUP(UGW$11,Assumptions!$B$35:$H$35,_xlfn.XLOOKUP($C28,Assumptions!$B$36:$B$41,Assumptions!$B$36:$H$41))</f>
        <v>0</v>
      </c>
      <c r="UGX28">
        <f t="array" ref="UGX28">_xlfn.XLOOKUP(UGX$11,Assumptions!$B$35:$H$35,_xlfn.XLOOKUP($C28,Assumptions!$B$36:$B$41,Assumptions!$B$36:$H$41))</f>
        <v>0</v>
      </c>
      <c r="UGY28">
        <f t="array" ref="UGY28">_xlfn.XLOOKUP(UGY$11,Assumptions!$B$35:$H$35,_xlfn.XLOOKUP($C28,Assumptions!$B$36:$B$41,Assumptions!$B$36:$H$41))</f>
        <v>0</v>
      </c>
      <c r="UGZ28">
        <f t="array" ref="UGZ28">_xlfn.XLOOKUP(UGZ$11,Assumptions!$B$35:$H$35,_xlfn.XLOOKUP($C28,Assumptions!$B$36:$B$41,Assumptions!$B$36:$H$41))</f>
        <v>0</v>
      </c>
      <c r="UHA28">
        <f t="array" ref="UHA28">_xlfn.XLOOKUP(UHA$11,Assumptions!$B$35:$H$35,_xlfn.XLOOKUP($C28,Assumptions!$B$36:$B$41,Assumptions!$B$36:$H$41))</f>
        <v>0</v>
      </c>
      <c r="UHB28">
        <f t="array" ref="UHB28">_xlfn.XLOOKUP(UHB$11,Assumptions!$B$35:$H$35,_xlfn.XLOOKUP($C28,Assumptions!$B$36:$B$41,Assumptions!$B$36:$H$41))</f>
        <v>0</v>
      </c>
      <c r="UHC28">
        <f t="array" ref="UHC28">_xlfn.XLOOKUP(UHC$11,Assumptions!$B$35:$H$35,_xlfn.XLOOKUP($C28,Assumptions!$B$36:$B$41,Assumptions!$B$36:$H$41))</f>
        <v>0</v>
      </c>
      <c r="UHD28">
        <f t="array" ref="UHD28">_xlfn.XLOOKUP(UHD$11,Assumptions!$B$35:$H$35,_xlfn.XLOOKUP($C28,Assumptions!$B$36:$B$41,Assumptions!$B$36:$H$41))</f>
        <v>0</v>
      </c>
      <c r="UHE28">
        <f t="array" ref="UHE28">_xlfn.XLOOKUP(UHE$11,Assumptions!$B$35:$H$35,_xlfn.XLOOKUP($C28,Assumptions!$B$36:$B$41,Assumptions!$B$36:$H$41))</f>
        <v>0</v>
      </c>
      <c r="UHF28">
        <f t="array" ref="UHF28">_xlfn.XLOOKUP(UHF$11,Assumptions!$B$35:$H$35,_xlfn.XLOOKUP($C28,Assumptions!$B$36:$B$41,Assumptions!$B$36:$H$41))</f>
        <v>0</v>
      </c>
      <c r="UHG28">
        <f t="array" ref="UHG28">_xlfn.XLOOKUP(UHG$11,Assumptions!$B$35:$H$35,_xlfn.XLOOKUP($C28,Assumptions!$B$36:$B$41,Assumptions!$B$36:$H$41))</f>
        <v>0</v>
      </c>
      <c r="UHH28">
        <f t="array" ref="UHH28">_xlfn.XLOOKUP(UHH$11,Assumptions!$B$35:$H$35,_xlfn.XLOOKUP($C28,Assumptions!$B$36:$B$41,Assumptions!$B$36:$H$41))</f>
        <v>0</v>
      </c>
      <c r="UHI28">
        <f t="array" ref="UHI28">_xlfn.XLOOKUP(UHI$11,Assumptions!$B$35:$H$35,_xlfn.XLOOKUP($C28,Assumptions!$B$36:$B$41,Assumptions!$B$36:$H$41))</f>
        <v>0</v>
      </c>
      <c r="UHJ28">
        <f t="array" ref="UHJ28">_xlfn.XLOOKUP(UHJ$11,Assumptions!$B$35:$H$35,_xlfn.XLOOKUP($C28,Assumptions!$B$36:$B$41,Assumptions!$B$36:$H$41))</f>
        <v>0</v>
      </c>
      <c r="UHK28">
        <f t="array" ref="UHK28">_xlfn.XLOOKUP(UHK$11,Assumptions!$B$35:$H$35,_xlfn.XLOOKUP($C28,Assumptions!$B$36:$B$41,Assumptions!$B$36:$H$41))</f>
        <v>0</v>
      </c>
      <c r="UHL28">
        <f t="array" ref="UHL28">_xlfn.XLOOKUP(UHL$11,Assumptions!$B$35:$H$35,_xlfn.XLOOKUP($C28,Assumptions!$B$36:$B$41,Assumptions!$B$36:$H$41))</f>
        <v>0</v>
      </c>
      <c r="UHM28">
        <f t="array" ref="UHM28">_xlfn.XLOOKUP(UHM$11,Assumptions!$B$35:$H$35,_xlfn.XLOOKUP($C28,Assumptions!$B$36:$B$41,Assumptions!$B$36:$H$41))</f>
        <v>0</v>
      </c>
      <c r="UHN28">
        <f t="array" ref="UHN28">_xlfn.XLOOKUP(UHN$11,Assumptions!$B$35:$H$35,_xlfn.XLOOKUP($C28,Assumptions!$B$36:$B$41,Assumptions!$B$36:$H$41))</f>
        <v>0</v>
      </c>
      <c r="UHO28">
        <f t="array" ref="UHO28">_xlfn.XLOOKUP(UHO$11,Assumptions!$B$35:$H$35,_xlfn.XLOOKUP($C28,Assumptions!$B$36:$B$41,Assumptions!$B$36:$H$41))</f>
        <v>0</v>
      </c>
      <c r="UHP28">
        <f t="array" ref="UHP28">_xlfn.XLOOKUP(UHP$11,Assumptions!$B$35:$H$35,_xlfn.XLOOKUP($C28,Assumptions!$B$36:$B$41,Assumptions!$B$36:$H$41))</f>
        <v>0</v>
      </c>
      <c r="UHQ28">
        <f t="array" ref="UHQ28">_xlfn.XLOOKUP(UHQ$11,Assumptions!$B$35:$H$35,_xlfn.XLOOKUP($C28,Assumptions!$B$36:$B$41,Assumptions!$B$36:$H$41))</f>
        <v>0</v>
      </c>
      <c r="UHR28">
        <f t="array" ref="UHR28">_xlfn.XLOOKUP(UHR$11,Assumptions!$B$35:$H$35,_xlfn.XLOOKUP($C28,Assumptions!$B$36:$B$41,Assumptions!$B$36:$H$41))</f>
        <v>0</v>
      </c>
      <c r="UHS28">
        <f t="array" ref="UHS28">_xlfn.XLOOKUP(UHS$11,Assumptions!$B$35:$H$35,_xlfn.XLOOKUP($C28,Assumptions!$B$36:$B$41,Assumptions!$B$36:$H$41))</f>
        <v>0</v>
      </c>
      <c r="UHT28">
        <f t="array" ref="UHT28">_xlfn.XLOOKUP(UHT$11,Assumptions!$B$35:$H$35,_xlfn.XLOOKUP($C28,Assumptions!$B$36:$B$41,Assumptions!$B$36:$H$41))</f>
        <v>0</v>
      </c>
      <c r="UHU28">
        <f t="array" ref="UHU28">_xlfn.XLOOKUP(UHU$11,Assumptions!$B$35:$H$35,_xlfn.XLOOKUP($C28,Assumptions!$B$36:$B$41,Assumptions!$B$36:$H$41))</f>
        <v>0</v>
      </c>
      <c r="UHV28">
        <f t="array" ref="UHV28">_xlfn.XLOOKUP(UHV$11,Assumptions!$B$35:$H$35,_xlfn.XLOOKUP($C28,Assumptions!$B$36:$B$41,Assumptions!$B$36:$H$41))</f>
        <v>0</v>
      </c>
      <c r="UHW28">
        <f t="array" ref="UHW28">_xlfn.XLOOKUP(UHW$11,Assumptions!$B$35:$H$35,_xlfn.XLOOKUP($C28,Assumptions!$B$36:$B$41,Assumptions!$B$36:$H$41))</f>
        <v>0</v>
      </c>
      <c r="UHX28">
        <f t="array" ref="UHX28">_xlfn.XLOOKUP(UHX$11,Assumptions!$B$35:$H$35,_xlfn.XLOOKUP($C28,Assumptions!$B$36:$B$41,Assumptions!$B$36:$H$41))</f>
        <v>0</v>
      </c>
      <c r="UHY28">
        <f t="array" ref="UHY28">_xlfn.XLOOKUP(UHY$11,Assumptions!$B$35:$H$35,_xlfn.XLOOKUP($C28,Assumptions!$B$36:$B$41,Assumptions!$B$36:$H$41))</f>
        <v>0</v>
      </c>
      <c r="UHZ28">
        <f t="array" ref="UHZ28">_xlfn.XLOOKUP(UHZ$11,Assumptions!$B$35:$H$35,_xlfn.XLOOKUP($C28,Assumptions!$B$36:$B$41,Assumptions!$B$36:$H$41))</f>
        <v>0</v>
      </c>
      <c r="UIA28">
        <f t="array" ref="UIA28">_xlfn.XLOOKUP(UIA$11,Assumptions!$B$35:$H$35,_xlfn.XLOOKUP($C28,Assumptions!$B$36:$B$41,Assumptions!$B$36:$H$41))</f>
        <v>0</v>
      </c>
      <c r="UIB28">
        <f t="array" ref="UIB28">_xlfn.XLOOKUP(UIB$11,Assumptions!$B$35:$H$35,_xlfn.XLOOKUP($C28,Assumptions!$B$36:$B$41,Assumptions!$B$36:$H$41))</f>
        <v>0</v>
      </c>
      <c r="UIC28">
        <f t="array" ref="UIC28">_xlfn.XLOOKUP(UIC$11,Assumptions!$B$35:$H$35,_xlfn.XLOOKUP($C28,Assumptions!$B$36:$B$41,Assumptions!$B$36:$H$41))</f>
        <v>0</v>
      </c>
      <c r="UID28">
        <f t="array" ref="UID28">_xlfn.XLOOKUP(UID$11,Assumptions!$B$35:$H$35,_xlfn.XLOOKUP($C28,Assumptions!$B$36:$B$41,Assumptions!$B$36:$H$41))</f>
        <v>0</v>
      </c>
      <c r="UIE28">
        <f t="array" ref="UIE28">_xlfn.XLOOKUP(UIE$11,Assumptions!$B$35:$H$35,_xlfn.XLOOKUP($C28,Assumptions!$B$36:$B$41,Assumptions!$B$36:$H$41))</f>
        <v>0</v>
      </c>
      <c r="UIF28">
        <f t="array" ref="UIF28">_xlfn.XLOOKUP(UIF$11,Assumptions!$B$35:$H$35,_xlfn.XLOOKUP($C28,Assumptions!$B$36:$B$41,Assumptions!$B$36:$H$41))</f>
        <v>0</v>
      </c>
      <c r="UIG28">
        <f t="array" ref="UIG28">_xlfn.XLOOKUP(UIG$11,Assumptions!$B$35:$H$35,_xlfn.XLOOKUP($C28,Assumptions!$B$36:$B$41,Assumptions!$B$36:$H$41))</f>
        <v>0</v>
      </c>
      <c r="UIH28">
        <f t="array" ref="UIH28">_xlfn.XLOOKUP(UIH$11,Assumptions!$B$35:$H$35,_xlfn.XLOOKUP($C28,Assumptions!$B$36:$B$41,Assumptions!$B$36:$H$41))</f>
        <v>0</v>
      </c>
      <c r="UII28">
        <f t="array" ref="UII28">_xlfn.XLOOKUP(UII$11,Assumptions!$B$35:$H$35,_xlfn.XLOOKUP($C28,Assumptions!$B$36:$B$41,Assumptions!$B$36:$H$41))</f>
        <v>0</v>
      </c>
      <c r="UIJ28">
        <f t="array" ref="UIJ28">_xlfn.XLOOKUP(UIJ$11,Assumptions!$B$35:$H$35,_xlfn.XLOOKUP($C28,Assumptions!$B$36:$B$41,Assumptions!$B$36:$H$41))</f>
        <v>0</v>
      </c>
      <c r="UIK28">
        <f t="array" ref="UIK28">_xlfn.XLOOKUP(UIK$11,Assumptions!$B$35:$H$35,_xlfn.XLOOKUP($C28,Assumptions!$B$36:$B$41,Assumptions!$B$36:$H$41))</f>
        <v>0</v>
      </c>
      <c r="UIL28">
        <f t="array" ref="UIL28">_xlfn.XLOOKUP(UIL$11,Assumptions!$B$35:$H$35,_xlfn.XLOOKUP($C28,Assumptions!$B$36:$B$41,Assumptions!$B$36:$H$41))</f>
        <v>0</v>
      </c>
      <c r="UIM28">
        <f t="array" ref="UIM28">_xlfn.XLOOKUP(UIM$11,Assumptions!$B$35:$H$35,_xlfn.XLOOKUP($C28,Assumptions!$B$36:$B$41,Assumptions!$B$36:$H$41))</f>
        <v>0</v>
      </c>
      <c r="UIN28">
        <f t="array" ref="UIN28">_xlfn.XLOOKUP(UIN$11,Assumptions!$B$35:$H$35,_xlfn.XLOOKUP($C28,Assumptions!$B$36:$B$41,Assumptions!$B$36:$H$41))</f>
        <v>0</v>
      </c>
      <c r="UIO28">
        <f t="array" ref="UIO28">_xlfn.XLOOKUP(UIO$11,Assumptions!$B$35:$H$35,_xlfn.XLOOKUP($C28,Assumptions!$B$36:$B$41,Assumptions!$B$36:$H$41))</f>
        <v>0</v>
      </c>
      <c r="UIP28">
        <f t="array" ref="UIP28">_xlfn.XLOOKUP(UIP$11,Assumptions!$B$35:$H$35,_xlfn.XLOOKUP($C28,Assumptions!$B$36:$B$41,Assumptions!$B$36:$H$41))</f>
        <v>0</v>
      </c>
      <c r="UIQ28">
        <f t="array" ref="UIQ28">_xlfn.XLOOKUP(UIQ$11,Assumptions!$B$35:$H$35,_xlfn.XLOOKUP($C28,Assumptions!$B$36:$B$41,Assumptions!$B$36:$H$41))</f>
        <v>0</v>
      </c>
      <c r="UIR28">
        <f t="array" ref="UIR28">_xlfn.XLOOKUP(UIR$11,Assumptions!$B$35:$H$35,_xlfn.XLOOKUP($C28,Assumptions!$B$36:$B$41,Assumptions!$B$36:$H$41))</f>
        <v>0</v>
      </c>
      <c r="UIS28">
        <f t="array" ref="UIS28">_xlfn.XLOOKUP(UIS$11,Assumptions!$B$35:$H$35,_xlfn.XLOOKUP($C28,Assumptions!$B$36:$B$41,Assumptions!$B$36:$H$41))</f>
        <v>0</v>
      </c>
      <c r="UIT28">
        <f t="array" ref="UIT28">_xlfn.XLOOKUP(UIT$11,Assumptions!$B$35:$H$35,_xlfn.XLOOKUP($C28,Assumptions!$B$36:$B$41,Assumptions!$B$36:$H$41))</f>
        <v>0</v>
      </c>
      <c r="UIU28">
        <f t="array" ref="UIU28">_xlfn.XLOOKUP(UIU$11,Assumptions!$B$35:$H$35,_xlfn.XLOOKUP($C28,Assumptions!$B$36:$B$41,Assumptions!$B$36:$H$41))</f>
        <v>0</v>
      </c>
      <c r="UIV28">
        <f t="array" ref="UIV28">_xlfn.XLOOKUP(UIV$11,Assumptions!$B$35:$H$35,_xlfn.XLOOKUP($C28,Assumptions!$B$36:$B$41,Assumptions!$B$36:$H$41))</f>
        <v>0</v>
      </c>
      <c r="UIW28">
        <f t="array" ref="UIW28">_xlfn.XLOOKUP(UIW$11,Assumptions!$B$35:$H$35,_xlfn.XLOOKUP($C28,Assumptions!$B$36:$B$41,Assumptions!$B$36:$H$41))</f>
        <v>0</v>
      </c>
      <c r="UIX28">
        <f t="array" ref="UIX28">_xlfn.XLOOKUP(UIX$11,Assumptions!$B$35:$H$35,_xlfn.XLOOKUP($C28,Assumptions!$B$36:$B$41,Assumptions!$B$36:$H$41))</f>
        <v>0</v>
      </c>
      <c r="UIY28">
        <f t="array" ref="UIY28">_xlfn.XLOOKUP(UIY$11,Assumptions!$B$35:$H$35,_xlfn.XLOOKUP($C28,Assumptions!$B$36:$B$41,Assumptions!$B$36:$H$41))</f>
        <v>0</v>
      </c>
      <c r="UIZ28">
        <f t="array" ref="UIZ28">_xlfn.XLOOKUP(UIZ$11,Assumptions!$B$35:$H$35,_xlfn.XLOOKUP($C28,Assumptions!$B$36:$B$41,Assumptions!$B$36:$H$41))</f>
        <v>0</v>
      </c>
      <c r="UJA28">
        <f t="array" ref="UJA28">_xlfn.XLOOKUP(UJA$11,Assumptions!$B$35:$H$35,_xlfn.XLOOKUP($C28,Assumptions!$B$36:$B$41,Assumptions!$B$36:$H$41))</f>
        <v>0</v>
      </c>
      <c r="UJB28">
        <f t="array" ref="UJB28">_xlfn.XLOOKUP(UJB$11,Assumptions!$B$35:$H$35,_xlfn.XLOOKUP($C28,Assumptions!$B$36:$B$41,Assumptions!$B$36:$H$41))</f>
        <v>0</v>
      </c>
      <c r="UJC28">
        <f t="array" ref="UJC28">_xlfn.XLOOKUP(UJC$11,Assumptions!$B$35:$H$35,_xlfn.XLOOKUP($C28,Assumptions!$B$36:$B$41,Assumptions!$B$36:$H$41))</f>
        <v>0</v>
      </c>
      <c r="UJD28">
        <f t="array" ref="UJD28">_xlfn.XLOOKUP(UJD$11,Assumptions!$B$35:$H$35,_xlfn.XLOOKUP($C28,Assumptions!$B$36:$B$41,Assumptions!$B$36:$H$41))</f>
        <v>0</v>
      </c>
      <c r="UJE28">
        <f t="array" ref="UJE28">_xlfn.XLOOKUP(UJE$11,Assumptions!$B$35:$H$35,_xlfn.XLOOKUP($C28,Assumptions!$B$36:$B$41,Assumptions!$B$36:$H$41))</f>
        <v>0</v>
      </c>
      <c r="UJF28">
        <f t="array" ref="UJF28">_xlfn.XLOOKUP(UJF$11,Assumptions!$B$35:$H$35,_xlfn.XLOOKUP($C28,Assumptions!$B$36:$B$41,Assumptions!$B$36:$H$41))</f>
        <v>0</v>
      </c>
      <c r="UJG28">
        <f t="array" ref="UJG28">_xlfn.XLOOKUP(UJG$11,Assumptions!$B$35:$H$35,_xlfn.XLOOKUP($C28,Assumptions!$B$36:$B$41,Assumptions!$B$36:$H$41))</f>
        <v>0</v>
      </c>
      <c r="UJH28">
        <f t="array" ref="UJH28">_xlfn.XLOOKUP(UJH$11,Assumptions!$B$35:$H$35,_xlfn.XLOOKUP($C28,Assumptions!$B$36:$B$41,Assumptions!$B$36:$H$41))</f>
        <v>0</v>
      </c>
      <c r="UJI28">
        <f t="array" ref="UJI28">_xlfn.XLOOKUP(UJI$11,Assumptions!$B$35:$H$35,_xlfn.XLOOKUP($C28,Assumptions!$B$36:$B$41,Assumptions!$B$36:$H$41))</f>
        <v>0</v>
      </c>
      <c r="UJJ28">
        <f t="array" ref="UJJ28">_xlfn.XLOOKUP(UJJ$11,Assumptions!$B$35:$H$35,_xlfn.XLOOKUP($C28,Assumptions!$B$36:$B$41,Assumptions!$B$36:$H$41))</f>
        <v>0</v>
      </c>
      <c r="UJK28">
        <f t="array" ref="UJK28">_xlfn.XLOOKUP(UJK$11,Assumptions!$B$35:$H$35,_xlfn.XLOOKUP($C28,Assumptions!$B$36:$B$41,Assumptions!$B$36:$H$41))</f>
        <v>0</v>
      </c>
      <c r="UJL28">
        <f t="array" ref="UJL28">_xlfn.XLOOKUP(UJL$11,Assumptions!$B$35:$H$35,_xlfn.XLOOKUP($C28,Assumptions!$B$36:$B$41,Assumptions!$B$36:$H$41))</f>
        <v>0</v>
      </c>
      <c r="UJM28">
        <f t="array" ref="UJM28">_xlfn.XLOOKUP(UJM$11,Assumptions!$B$35:$H$35,_xlfn.XLOOKUP($C28,Assumptions!$B$36:$B$41,Assumptions!$B$36:$H$41))</f>
        <v>0</v>
      </c>
      <c r="UJN28">
        <f t="array" ref="UJN28">_xlfn.XLOOKUP(UJN$11,Assumptions!$B$35:$H$35,_xlfn.XLOOKUP($C28,Assumptions!$B$36:$B$41,Assumptions!$B$36:$H$41))</f>
        <v>0</v>
      </c>
      <c r="UJO28">
        <f t="array" ref="UJO28">_xlfn.XLOOKUP(UJO$11,Assumptions!$B$35:$H$35,_xlfn.XLOOKUP($C28,Assumptions!$B$36:$B$41,Assumptions!$B$36:$H$41))</f>
        <v>0</v>
      </c>
      <c r="UJP28">
        <f t="array" ref="UJP28">_xlfn.XLOOKUP(UJP$11,Assumptions!$B$35:$H$35,_xlfn.XLOOKUP($C28,Assumptions!$B$36:$B$41,Assumptions!$B$36:$H$41))</f>
        <v>0</v>
      </c>
      <c r="UJQ28">
        <f t="array" ref="UJQ28">_xlfn.XLOOKUP(UJQ$11,Assumptions!$B$35:$H$35,_xlfn.XLOOKUP($C28,Assumptions!$B$36:$B$41,Assumptions!$B$36:$H$41))</f>
        <v>0</v>
      </c>
      <c r="UJR28">
        <f t="array" ref="UJR28">_xlfn.XLOOKUP(UJR$11,Assumptions!$B$35:$H$35,_xlfn.XLOOKUP($C28,Assumptions!$B$36:$B$41,Assumptions!$B$36:$H$41))</f>
        <v>0</v>
      </c>
      <c r="UJS28">
        <f t="array" ref="UJS28">_xlfn.XLOOKUP(UJS$11,Assumptions!$B$35:$H$35,_xlfn.XLOOKUP($C28,Assumptions!$B$36:$B$41,Assumptions!$B$36:$H$41))</f>
        <v>0</v>
      </c>
      <c r="UJT28">
        <f t="array" ref="UJT28">_xlfn.XLOOKUP(UJT$11,Assumptions!$B$35:$H$35,_xlfn.XLOOKUP($C28,Assumptions!$B$36:$B$41,Assumptions!$B$36:$H$41))</f>
        <v>0</v>
      </c>
      <c r="UJU28">
        <f t="array" ref="UJU28">_xlfn.XLOOKUP(UJU$11,Assumptions!$B$35:$H$35,_xlfn.XLOOKUP($C28,Assumptions!$B$36:$B$41,Assumptions!$B$36:$H$41))</f>
        <v>0</v>
      </c>
      <c r="UJV28">
        <f t="array" ref="UJV28">_xlfn.XLOOKUP(UJV$11,Assumptions!$B$35:$H$35,_xlfn.XLOOKUP($C28,Assumptions!$B$36:$B$41,Assumptions!$B$36:$H$41))</f>
        <v>0</v>
      </c>
      <c r="UJW28">
        <f t="array" ref="UJW28">_xlfn.XLOOKUP(UJW$11,Assumptions!$B$35:$H$35,_xlfn.XLOOKUP($C28,Assumptions!$B$36:$B$41,Assumptions!$B$36:$H$41))</f>
        <v>0</v>
      </c>
      <c r="UJX28">
        <f t="array" ref="UJX28">_xlfn.XLOOKUP(UJX$11,Assumptions!$B$35:$H$35,_xlfn.XLOOKUP($C28,Assumptions!$B$36:$B$41,Assumptions!$B$36:$H$41))</f>
        <v>0</v>
      </c>
      <c r="UJY28">
        <f t="array" ref="UJY28">_xlfn.XLOOKUP(UJY$11,Assumptions!$B$35:$H$35,_xlfn.XLOOKUP($C28,Assumptions!$B$36:$B$41,Assumptions!$B$36:$H$41))</f>
        <v>0</v>
      </c>
      <c r="UJZ28">
        <f t="array" ref="UJZ28">_xlfn.XLOOKUP(UJZ$11,Assumptions!$B$35:$H$35,_xlfn.XLOOKUP($C28,Assumptions!$B$36:$B$41,Assumptions!$B$36:$H$41))</f>
        <v>0</v>
      </c>
      <c r="UKA28">
        <f t="array" ref="UKA28">_xlfn.XLOOKUP(UKA$11,Assumptions!$B$35:$H$35,_xlfn.XLOOKUP($C28,Assumptions!$B$36:$B$41,Assumptions!$B$36:$H$41))</f>
        <v>0</v>
      </c>
      <c r="UKB28">
        <f t="array" ref="UKB28">_xlfn.XLOOKUP(UKB$11,Assumptions!$B$35:$H$35,_xlfn.XLOOKUP($C28,Assumptions!$B$36:$B$41,Assumptions!$B$36:$H$41))</f>
        <v>0</v>
      </c>
      <c r="UKC28">
        <f t="array" ref="UKC28">_xlfn.XLOOKUP(UKC$11,Assumptions!$B$35:$H$35,_xlfn.XLOOKUP($C28,Assumptions!$B$36:$B$41,Assumptions!$B$36:$H$41))</f>
        <v>0</v>
      </c>
      <c r="UKD28">
        <f t="array" ref="UKD28">_xlfn.XLOOKUP(UKD$11,Assumptions!$B$35:$H$35,_xlfn.XLOOKUP($C28,Assumptions!$B$36:$B$41,Assumptions!$B$36:$H$41))</f>
        <v>0</v>
      </c>
      <c r="UKE28">
        <f t="array" ref="UKE28">_xlfn.XLOOKUP(UKE$11,Assumptions!$B$35:$H$35,_xlfn.XLOOKUP($C28,Assumptions!$B$36:$B$41,Assumptions!$B$36:$H$41))</f>
        <v>0</v>
      </c>
      <c r="UKF28">
        <f t="array" ref="UKF28">_xlfn.XLOOKUP(UKF$11,Assumptions!$B$35:$H$35,_xlfn.XLOOKUP($C28,Assumptions!$B$36:$B$41,Assumptions!$B$36:$H$41))</f>
        <v>0</v>
      </c>
      <c r="UKG28">
        <f t="array" ref="UKG28">_xlfn.XLOOKUP(UKG$11,Assumptions!$B$35:$H$35,_xlfn.XLOOKUP($C28,Assumptions!$B$36:$B$41,Assumptions!$B$36:$H$41))</f>
        <v>0</v>
      </c>
      <c r="UKH28">
        <f t="array" ref="UKH28">_xlfn.XLOOKUP(UKH$11,Assumptions!$B$35:$H$35,_xlfn.XLOOKUP($C28,Assumptions!$B$36:$B$41,Assumptions!$B$36:$H$41))</f>
        <v>0</v>
      </c>
      <c r="UKI28">
        <f t="array" ref="UKI28">_xlfn.XLOOKUP(UKI$11,Assumptions!$B$35:$H$35,_xlfn.XLOOKUP($C28,Assumptions!$B$36:$B$41,Assumptions!$B$36:$H$41))</f>
        <v>0</v>
      </c>
      <c r="UKJ28">
        <f t="array" ref="UKJ28">_xlfn.XLOOKUP(UKJ$11,Assumptions!$B$35:$H$35,_xlfn.XLOOKUP($C28,Assumptions!$B$36:$B$41,Assumptions!$B$36:$H$41))</f>
        <v>0</v>
      </c>
      <c r="UKK28">
        <f t="array" ref="UKK28">_xlfn.XLOOKUP(UKK$11,Assumptions!$B$35:$H$35,_xlfn.XLOOKUP($C28,Assumptions!$B$36:$B$41,Assumptions!$B$36:$H$41))</f>
        <v>0</v>
      </c>
      <c r="UKL28">
        <f t="array" ref="UKL28">_xlfn.XLOOKUP(UKL$11,Assumptions!$B$35:$H$35,_xlfn.XLOOKUP($C28,Assumptions!$B$36:$B$41,Assumptions!$B$36:$H$41))</f>
        <v>0</v>
      </c>
      <c r="UKM28">
        <f t="array" ref="UKM28">_xlfn.XLOOKUP(UKM$11,Assumptions!$B$35:$H$35,_xlfn.XLOOKUP($C28,Assumptions!$B$36:$B$41,Assumptions!$B$36:$H$41))</f>
        <v>0</v>
      </c>
      <c r="UKN28">
        <f t="array" ref="UKN28">_xlfn.XLOOKUP(UKN$11,Assumptions!$B$35:$H$35,_xlfn.XLOOKUP($C28,Assumptions!$B$36:$B$41,Assumptions!$B$36:$H$41))</f>
        <v>0</v>
      </c>
      <c r="UKO28">
        <f t="array" ref="UKO28">_xlfn.XLOOKUP(UKO$11,Assumptions!$B$35:$H$35,_xlfn.XLOOKUP($C28,Assumptions!$B$36:$B$41,Assumptions!$B$36:$H$41))</f>
        <v>0</v>
      </c>
      <c r="UKP28">
        <f t="array" ref="UKP28">_xlfn.XLOOKUP(UKP$11,Assumptions!$B$35:$H$35,_xlfn.XLOOKUP($C28,Assumptions!$B$36:$B$41,Assumptions!$B$36:$H$41))</f>
        <v>0</v>
      </c>
      <c r="UKQ28">
        <f t="array" ref="UKQ28">_xlfn.XLOOKUP(UKQ$11,Assumptions!$B$35:$H$35,_xlfn.XLOOKUP($C28,Assumptions!$B$36:$B$41,Assumptions!$B$36:$H$41))</f>
        <v>0</v>
      </c>
      <c r="UKR28">
        <f t="array" ref="UKR28">_xlfn.XLOOKUP(UKR$11,Assumptions!$B$35:$H$35,_xlfn.XLOOKUP($C28,Assumptions!$B$36:$B$41,Assumptions!$B$36:$H$41))</f>
        <v>0</v>
      </c>
      <c r="UKS28">
        <f t="array" ref="UKS28">_xlfn.XLOOKUP(UKS$11,Assumptions!$B$35:$H$35,_xlfn.XLOOKUP($C28,Assumptions!$B$36:$B$41,Assumptions!$B$36:$H$41))</f>
        <v>0</v>
      </c>
      <c r="UKT28">
        <f t="array" ref="UKT28">_xlfn.XLOOKUP(UKT$11,Assumptions!$B$35:$H$35,_xlfn.XLOOKUP($C28,Assumptions!$B$36:$B$41,Assumptions!$B$36:$H$41))</f>
        <v>0</v>
      </c>
      <c r="UKU28">
        <f t="array" ref="UKU28">_xlfn.XLOOKUP(UKU$11,Assumptions!$B$35:$H$35,_xlfn.XLOOKUP($C28,Assumptions!$B$36:$B$41,Assumptions!$B$36:$H$41))</f>
        <v>0</v>
      </c>
      <c r="UKV28">
        <f t="array" ref="UKV28">_xlfn.XLOOKUP(UKV$11,Assumptions!$B$35:$H$35,_xlfn.XLOOKUP($C28,Assumptions!$B$36:$B$41,Assumptions!$B$36:$H$41))</f>
        <v>0</v>
      </c>
      <c r="UKW28">
        <f t="array" ref="UKW28">_xlfn.XLOOKUP(UKW$11,Assumptions!$B$35:$H$35,_xlfn.XLOOKUP($C28,Assumptions!$B$36:$B$41,Assumptions!$B$36:$H$41))</f>
        <v>0</v>
      </c>
      <c r="UKX28">
        <f t="array" ref="UKX28">_xlfn.XLOOKUP(UKX$11,Assumptions!$B$35:$H$35,_xlfn.XLOOKUP($C28,Assumptions!$B$36:$B$41,Assumptions!$B$36:$H$41))</f>
        <v>0</v>
      </c>
      <c r="UKY28">
        <f t="array" ref="UKY28">_xlfn.XLOOKUP(UKY$11,Assumptions!$B$35:$H$35,_xlfn.XLOOKUP($C28,Assumptions!$B$36:$B$41,Assumptions!$B$36:$H$41))</f>
        <v>0</v>
      </c>
      <c r="UKZ28">
        <f t="array" ref="UKZ28">_xlfn.XLOOKUP(UKZ$11,Assumptions!$B$35:$H$35,_xlfn.XLOOKUP($C28,Assumptions!$B$36:$B$41,Assumptions!$B$36:$H$41))</f>
        <v>0</v>
      </c>
      <c r="ULA28">
        <f t="array" ref="ULA28">_xlfn.XLOOKUP(ULA$11,Assumptions!$B$35:$H$35,_xlfn.XLOOKUP($C28,Assumptions!$B$36:$B$41,Assumptions!$B$36:$H$41))</f>
        <v>0</v>
      </c>
      <c r="ULB28">
        <f t="array" ref="ULB28">_xlfn.XLOOKUP(ULB$11,Assumptions!$B$35:$H$35,_xlfn.XLOOKUP($C28,Assumptions!$B$36:$B$41,Assumptions!$B$36:$H$41))</f>
        <v>0</v>
      </c>
      <c r="ULC28">
        <f t="array" ref="ULC28">_xlfn.XLOOKUP(ULC$11,Assumptions!$B$35:$H$35,_xlfn.XLOOKUP($C28,Assumptions!$B$36:$B$41,Assumptions!$B$36:$H$41))</f>
        <v>0</v>
      </c>
      <c r="ULD28">
        <f t="array" ref="ULD28">_xlfn.XLOOKUP(ULD$11,Assumptions!$B$35:$H$35,_xlfn.XLOOKUP($C28,Assumptions!$B$36:$B$41,Assumptions!$B$36:$H$41))</f>
        <v>0</v>
      </c>
      <c r="ULE28">
        <f t="array" ref="ULE28">_xlfn.XLOOKUP(ULE$11,Assumptions!$B$35:$H$35,_xlfn.XLOOKUP($C28,Assumptions!$B$36:$B$41,Assumptions!$B$36:$H$41))</f>
        <v>0</v>
      </c>
      <c r="ULF28">
        <f t="array" ref="ULF28">_xlfn.XLOOKUP(ULF$11,Assumptions!$B$35:$H$35,_xlfn.XLOOKUP($C28,Assumptions!$B$36:$B$41,Assumptions!$B$36:$H$41))</f>
        <v>0</v>
      </c>
      <c r="ULG28">
        <f t="array" ref="ULG28">_xlfn.XLOOKUP(ULG$11,Assumptions!$B$35:$H$35,_xlfn.XLOOKUP($C28,Assumptions!$B$36:$B$41,Assumptions!$B$36:$H$41))</f>
        <v>0</v>
      </c>
      <c r="ULH28">
        <f t="array" ref="ULH28">_xlfn.XLOOKUP(ULH$11,Assumptions!$B$35:$H$35,_xlfn.XLOOKUP($C28,Assumptions!$B$36:$B$41,Assumptions!$B$36:$H$41))</f>
        <v>0</v>
      </c>
      <c r="ULI28">
        <f t="array" ref="ULI28">_xlfn.XLOOKUP(ULI$11,Assumptions!$B$35:$H$35,_xlfn.XLOOKUP($C28,Assumptions!$B$36:$B$41,Assumptions!$B$36:$H$41))</f>
        <v>0</v>
      </c>
      <c r="ULJ28">
        <f t="array" ref="ULJ28">_xlfn.XLOOKUP(ULJ$11,Assumptions!$B$35:$H$35,_xlfn.XLOOKUP($C28,Assumptions!$B$36:$B$41,Assumptions!$B$36:$H$41))</f>
        <v>0</v>
      </c>
      <c r="ULK28">
        <f t="array" ref="ULK28">_xlfn.XLOOKUP(ULK$11,Assumptions!$B$35:$H$35,_xlfn.XLOOKUP($C28,Assumptions!$B$36:$B$41,Assumptions!$B$36:$H$41))</f>
        <v>0</v>
      </c>
      <c r="ULL28">
        <f t="array" ref="ULL28">_xlfn.XLOOKUP(ULL$11,Assumptions!$B$35:$H$35,_xlfn.XLOOKUP($C28,Assumptions!$B$36:$B$41,Assumptions!$B$36:$H$41))</f>
        <v>0</v>
      </c>
      <c r="ULM28">
        <f t="array" ref="ULM28">_xlfn.XLOOKUP(ULM$11,Assumptions!$B$35:$H$35,_xlfn.XLOOKUP($C28,Assumptions!$B$36:$B$41,Assumptions!$B$36:$H$41))</f>
        <v>0</v>
      </c>
      <c r="ULN28">
        <f t="array" ref="ULN28">_xlfn.XLOOKUP(ULN$11,Assumptions!$B$35:$H$35,_xlfn.XLOOKUP($C28,Assumptions!$B$36:$B$41,Assumptions!$B$36:$H$41))</f>
        <v>0</v>
      </c>
      <c r="ULO28">
        <f t="array" ref="ULO28">_xlfn.XLOOKUP(ULO$11,Assumptions!$B$35:$H$35,_xlfn.XLOOKUP($C28,Assumptions!$B$36:$B$41,Assumptions!$B$36:$H$41))</f>
        <v>0</v>
      </c>
      <c r="ULP28">
        <f t="array" ref="ULP28">_xlfn.XLOOKUP(ULP$11,Assumptions!$B$35:$H$35,_xlfn.XLOOKUP($C28,Assumptions!$B$36:$B$41,Assumptions!$B$36:$H$41))</f>
        <v>0</v>
      </c>
      <c r="ULQ28">
        <f t="array" ref="ULQ28">_xlfn.XLOOKUP(ULQ$11,Assumptions!$B$35:$H$35,_xlfn.XLOOKUP($C28,Assumptions!$B$36:$B$41,Assumptions!$B$36:$H$41))</f>
        <v>0</v>
      </c>
      <c r="ULR28">
        <f t="array" ref="ULR28">_xlfn.XLOOKUP(ULR$11,Assumptions!$B$35:$H$35,_xlfn.XLOOKUP($C28,Assumptions!$B$36:$B$41,Assumptions!$B$36:$H$41))</f>
        <v>0</v>
      </c>
      <c r="ULS28">
        <f t="array" ref="ULS28">_xlfn.XLOOKUP(ULS$11,Assumptions!$B$35:$H$35,_xlfn.XLOOKUP($C28,Assumptions!$B$36:$B$41,Assumptions!$B$36:$H$41))</f>
        <v>0</v>
      </c>
      <c r="ULT28">
        <f t="array" ref="ULT28">_xlfn.XLOOKUP(ULT$11,Assumptions!$B$35:$H$35,_xlfn.XLOOKUP($C28,Assumptions!$B$36:$B$41,Assumptions!$B$36:$H$41))</f>
        <v>0</v>
      </c>
      <c r="ULU28">
        <f t="array" ref="ULU28">_xlfn.XLOOKUP(ULU$11,Assumptions!$B$35:$H$35,_xlfn.XLOOKUP($C28,Assumptions!$B$36:$B$41,Assumptions!$B$36:$H$41))</f>
        <v>0</v>
      </c>
      <c r="ULV28">
        <f t="array" ref="ULV28">_xlfn.XLOOKUP(ULV$11,Assumptions!$B$35:$H$35,_xlfn.XLOOKUP($C28,Assumptions!$B$36:$B$41,Assumptions!$B$36:$H$41))</f>
        <v>0</v>
      </c>
      <c r="ULW28">
        <f t="array" ref="ULW28">_xlfn.XLOOKUP(ULW$11,Assumptions!$B$35:$H$35,_xlfn.XLOOKUP($C28,Assumptions!$B$36:$B$41,Assumptions!$B$36:$H$41))</f>
        <v>0</v>
      </c>
      <c r="ULX28">
        <f t="array" ref="ULX28">_xlfn.XLOOKUP(ULX$11,Assumptions!$B$35:$H$35,_xlfn.XLOOKUP($C28,Assumptions!$B$36:$B$41,Assumptions!$B$36:$H$41))</f>
        <v>0</v>
      </c>
      <c r="ULY28">
        <f t="array" ref="ULY28">_xlfn.XLOOKUP(ULY$11,Assumptions!$B$35:$H$35,_xlfn.XLOOKUP($C28,Assumptions!$B$36:$B$41,Assumptions!$B$36:$H$41))</f>
        <v>0</v>
      </c>
      <c r="ULZ28">
        <f t="array" ref="ULZ28">_xlfn.XLOOKUP(ULZ$11,Assumptions!$B$35:$H$35,_xlfn.XLOOKUP($C28,Assumptions!$B$36:$B$41,Assumptions!$B$36:$H$41))</f>
        <v>0</v>
      </c>
      <c r="UMA28">
        <f t="array" ref="UMA28">_xlfn.XLOOKUP(UMA$11,Assumptions!$B$35:$H$35,_xlfn.XLOOKUP($C28,Assumptions!$B$36:$B$41,Assumptions!$B$36:$H$41))</f>
        <v>0</v>
      </c>
      <c r="UMB28">
        <f t="array" ref="UMB28">_xlfn.XLOOKUP(UMB$11,Assumptions!$B$35:$H$35,_xlfn.XLOOKUP($C28,Assumptions!$B$36:$B$41,Assumptions!$B$36:$H$41))</f>
        <v>0</v>
      </c>
      <c r="UMC28">
        <f t="array" ref="UMC28">_xlfn.XLOOKUP(UMC$11,Assumptions!$B$35:$H$35,_xlfn.XLOOKUP($C28,Assumptions!$B$36:$B$41,Assumptions!$B$36:$H$41))</f>
        <v>0</v>
      </c>
      <c r="UMD28">
        <f t="array" ref="UMD28">_xlfn.XLOOKUP(UMD$11,Assumptions!$B$35:$H$35,_xlfn.XLOOKUP($C28,Assumptions!$B$36:$B$41,Assumptions!$B$36:$H$41))</f>
        <v>0</v>
      </c>
      <c r="UME28">
        <f t="array" ref="UME28">_xlfn.XLOOKUP(UME$11,Assumptions!$B$35:$H$35,_xlfn.XLOOKUP($C28,Assumptions!$B$36:$B$41,Assumptions!$B$36:$H$41))</f>
        <v>0</v>
      </c>
      <c r="UMF28">
        <f t="array" ref="UMF28">_xlfn.XLOOKUP(UMF$11,Assumptions!$B$35:$H$35,_xlfn.XLOOKUP($C28,Assumptions!$B$36:$B$41,Assumptions!$B$36:$H$41))</f>
        <v>0</v>
      </c>
      <c r="UMG28">
        <f t="array" ref="UMG28">_xlfn.XLOOKUP(UMG$11,Assumptions!$B$35:$H$35,_xlfn.XLOOKUP($C28,Assumptions!$B$36:$B$41,Assumptions!$B$36:$H$41))</f>
        <v>0</v>
      </c>
      <c r="UMH28">
        <f t="array" ref="UMH28">_xlfn.XLOOKUP(UMH$11,Assumptions!$B$35:$H$35,_xlfn.XLOOKUP($C28,Assumptions!$B$36:$B$41,Assumptions!$B$36:$H$41))</f>
        <v>0</v>
      </c>
      <c r="UMI28">
        <f t="array" ref="UMI28">_xlfn.XLOOKUP(UMI$11,Assumptions!$B$35:$H$35,_xlfn.XLOOKUP($C28,Assumptions!$B$36:$B$41,Assumptions!$B$36:$H$41))</f>
        <v>0</v>
      </c>
      <c r="UMJ28">
        <f t="array" ref="UMJ28">_xlfn.XLOOKUP(UMJ$11,Assumptions!$B$35:$H$35,_xlfn.XLOOKUP($C28,Assumptions!$B$36:$B$41,Assumptions!$B$36:$H$41))</f>
        <v>0</v>
      </c>
      <c r="UMK28">
        <f t="array" ref="UMK28">_xlfn.XLOOKUP(UMK$11,Assumptions!$B$35:$H$35,_xlfn.XLOOKUP($C28,Assumptions!$B$36:$B$41,Assumptions!$B$36:$H$41))</f>
        <v>0</v>
      </c>
      <c r="UML28">
        <f t="array" ref="UML28">_xlfn.XLOOKUP(UML$11,Assumptions!$B$35:$H$35,_xlfn.XLOOKUP($C28,Assumptions!$B$36:$B$41,Assumptions!$B$36:$H$41))</f>
        <v>0</v>
      </c>
      <c r="UMM28">
        <f t="array" ref="UMM28">_xlfn.XLOOKUP(UMM$11,Assumptions!$B$35:$H$35,_xlfn.XLOOKUP($C28,Assumptions!$B$36:$B$41,Assumptions!$B$36:$H$41))</f>
        <v>0</v>
      </c>
      <c r="UMN28">
        <f t="array" ref="UMN28">_xlfn.XLOOKUP(UMN$11,Assumptions!$B$35:$H$35,_xlfn.XLOOKUP($C28,Assumptions!$B$36:$B$41,Assumptions!$B$36:$H$41))</f>
        <v>0</v>
      </c>
      <c r="UMO28">
        <f t="array" ref="UMO28">_xlfn.XLOOKUP(UMO$11,Assumptions!$B$35:$H$35,_xlfn.XLOOKUP($C28,Assumptions!$B$36:$B$41,Assumptions!$B$36:$H$41))</f>
        <v>0</v>
      </c>
      <c r="UMP28">
        <f t="array" ref="UMP28">_xlfn.XLOOKUP(UMP$11,Assumptions!$B$35:$H$35,_xlfn.XLOOKUP($C28,Assumptions!$B$36:$B$41,Assumptions!$B$36:$H$41))</f>
        <v>0</v>
      </c>
      <c r="UMQ28">
        <f t="array" ref="UMQ28">_xlfn.XLOOKUP(UMQ$11,Assumptions!$B$35:$H$35,_xlfn.XLOOKUP($C28,Assumptions!$B$36:$B$41,Assumptions!$B$36:$H$41))</f>
        <v>0</v>
      </c>
      <c r="UMR28">
        <f t="array" ref="UMR28">_xlfn.XLOOKUP(UMR$11,Assumptions!$B$35:$H$35,_xlfn.XLOOKUP($C28,Assumptions!$B$36:$B$41,Assumptions!$B$36:$H$41))</f>
        <v>0</v>
      </c>
      <c r="UMS28">
        <f t="array" ref="UMS28">_xlfn.XLOOKUP(UMS$11,Assumptions!$B$35:$H$35,_xlfn.XLOOKUP($C28,Assumptions!$B$36:$B$41,Assumptions!$B$36:$H$41))</f>
        <v>0</v>
      </c>
      <c r="UMT28">
        <f t="array" ref="UMT28">_xlfn.XLOOKUP(UMT$11,Assumptions!$B$35:$H$35,_xlfn.XLOOKUP($C28,Assumptions!$B$36:$B$41,Assumptions!$B$36:$H$41))</f>
        <v>0</v>
      </c>
      <c r="UMU28">
        <f t="array" ref="UMU28">_xlfn.XLOOKUP(UMU$11,Assumptions!$B$35:$H$35,_xlfn.XLOOKUP($C28,Assumptions!$B$36:$B$41,Assumptions!$B$36:$H$41))</f>
        <v>0</v>
      </c>
      <c r="UMV28">
        <f t="array" ref="UMV28">_xlfn.XLOOKUP(UMV$11,Assumptions!$B$35:$H$35,_xlfn.XLOOKUP($C28,Assumptions!$B$36:$B$41,Assumptions!$B$36:$H$41))</f>
        <v>0</v>
      </c>
      <c r="UMW28">
        <f t="array" ref="UMW28">_xlfn.XLOOKUP(UMW$11,Assumptions!$B$35:$H$35,_xlfn.XLOOKUP($C28,Assumptions!$B$36:$B$41,Assumptions!$B$36:$H$41))</f>
        <v>0</v>
      </c>
      <c r="UMX28">
        <f t="array" ref="UMX28">_xlfn.XLOOKUP(UMX$11,Assumptions!$B$35:$H$35,_xlfn.XLOOKUP($C28,Assumptions!$B$36:$B$41,Assumptions!$B$36:$H$41))</f>
        <v>0</v>
      </c>
      <c r="UMY28">
        <f t="array" ref="UMY28">_xlfn.XLOOKUP(UMY$11,Assumptions!$B$35:$H$35,_xlfn.XLOOKUP($C28,Assumptions!$B$36:$B$41,Assumptions!$B$36:$H$41))</f>
        <v>0</v>
      </c>
      <c r="UMZ28">
        <f t="array" ref="UMZ28">_xlfn.XLOOKUP(UMZ$11,Assumptions!$B$35:$H$35,_xlfn.XLOOKUP($C28,Assumptions!$B$36:$B$41,Assumptions!$B$36:$H$41))</f>
        <v>0</v>
      </c>
      <c r="UNA28">
        <f t="array" ref="UNA28">_xlfn.XLOOKUP(UNA$11,Assumptions!$B$35:$H$35,_xlfn.XLOOKUP($C28,Assumptions!$B$36:$B$41,Assumptions!$B$36:$H$41))</f>
        <v>0</v>
      </c>
      <c r="UNB28">
        <f t="array" ref="UNB28">_xlfn.XLOOKUP(UNB$11,Assumptions!$B$35:$H$35,_xlfn.XLOOKUP($C28,Assumptions!$B$36:$B$41,Assumptions!$B$36:$H$41))</f>
        <v>0</v>
      </c>
      <c r="UNC28">
        <f t="array" ref="UNC28">_xlfn.XLOOKUP(UNC$11,Assumptions!$B$35:$H$35,_xlfn.XLOOKUP($C28,Assumptions!$B$36:$B$41,Assumptions!$B$36:$H$41))</f>
        <v>0</v>
      </c>
      <c r="UND28">
        <f t="array" ref="UND28">_xlfn.XLOOKUP(UND$11,Assumptions!$B$35:$H$35,_xlfn.XLOOKUP($C28,Assumptions!$B$36:$B$41,Assumptions!$B$36:$H$41))</f>
        <v>0</v>
      </c>
      <c r="UNE28">
        <f t="array" ref="UNE28">_xlfn.XLOOKUP(UNE$11,Assumptions!$B$35:$H$35,_xlfn.XLOOKUP($C28,Assumptions!$B$36:$B$41,Assumptions!$B$36:$H$41))</f>
        <v>0</v>
      </c>
      <c r="UNF28">
        <f t="array" ref="UNF28">_xlfn.XLOOKUP(UNF$11,Assumptions!$B$35:$H$35,_xlfn.XLOOKUP($C28,Assumptions!$B$36:$B$41,Assumptions!$B$36:$H$41))</f>
        <v>0</v>
      </c>
      <c r="UNG28">
        <f t="array" ref="UNG28">_xlfn.XLOOKUP(UNG$11,Assumptions!$B$35:$H$35,_xlfn.XLOOKUP($C28,Assumptions!$B$36:$B$41,Assumptions!$B$36:$H$41))</f>
        <v>0</v>
      </c>
      <c r="UNH28">
        <f t="array" ref="UNH28">_xlfn.XLOOKUP(UNH$11,Assumptions!$B$35:$H$35,_xlfn.XLOOKUP($C28,Assumptions!$B$36:$B$41,Assumptions!$B$36:$H$41))</f>
        <v>0</v>
      </c>
      <c r="UNI28">
        <f t="array" ref="UNI28">_xlfn.XLOOKUP(UNI$11,Assumptions!$B$35:$H$35,_xlfn.XLOOKUP($C28,Assumptions!$B$36:$B$41,Assumptions!$B$36:$H$41))</f>
        <v>0</v>
      </c>
      <c r="UNJ28">
        <f t="array" ref="UNJ28">_xlfn.XLOOKUP(UNJ$11,Assumptions!$B$35:$H$35,_xlfn.XLOOKUP($C28,Assumptions!$B$36:$B$41,Assumptions!$B$36:$H$41))</f>
        <v>0</v>
      </c>
      <c r="UNK28">
        <f t="array" ref="UNK28">_xlfn.XLOOKUP(UNK$11,Assumptions!$B$35:$H$35,_xlfn.XLOOKUP($C28,Assumptions!$B$36:$B$41,Assumptions!$B$36:$H$41))</f>
        <v>0</v>
      </c>
      <c r="UNL28">
        <f t="array" ref="UNL28">_xlfn.XLOOKUP(UNL$11,Assumptions!$B$35:$H$35,_xlfn.XLOOKUP($C28,Assumptions!$B$36:$B$41,Assumptions!$B$36:$H$41))</f>
        <v>0</v>
      </c>
      <c r="UNM28">
        <f t="array" ref="UNM28">_xlfn.XLOOKUP(UNM$11,Assumptions!$B$35:$H$35,_xlfn.XLOOKUP($C28,Assumptions!$B$36:$B$41,Assumptions!$B$36:$H$41))</f>
        <v>0</v>
      </c>
      <c r="UNN28">
        <f t="array" ref="UNN28">_xlfn.XLOOKUP(UNN$11,Assumptions!$B$35:$H$35,_xlfn.XLOOKUP($C28,Assumptions!$B$36:$B$41,Assumptions!$B$36:$H$41))</f>
        <v>0</v>
      </c>
      <c r="UNO28">
        <f t="array" ref="UNO28">_xlfn.XLOOKUP(UNO$11,Assumptions!$B$35:$H$35,_xlfn.XLOOKUP($C28,Assumptions!$B$36:$B$41,Assumptions!$B$36:$H$41))</f>
        <v>0</v>
      </c>
      <c r="UNP28">
        <f t="array" ref="UNP28">_xlfn.XLOOKUP(UNP$11,Assumptions!$B$35:$H$35,_xlfn.XLOOKUP($C28,Assumptions!$B$36:$B$41,Assumptions!$B$36:$H$41))</f>
        <v>0</v>
      </c>
      <c r="UNQ28">
        <f t="array" ref="UNQ28">_xlfn.XLOOKUP(UNQ$11,Assumptions!$B$35:$H$35,_xlfn.XLOOKUP($C28,Assumptions!$B$36:$B$41,Assumptions!$B$36:$H$41))</f>
        <v>0</v>
      </c>
      <c r="UNR28">
        <f t="array" ref="UNR28">_xlfn.XLOOKUP(UNR$11,Assumptions!$B$35:$H$35,_xlfn.XLOOKUP($C28,Assumptions!$B$36:$B$41,Assumptions!$B$36:$H$41))</f>
        <v>0</v>
      </c>
      <c r="UNS28">
        <f t="array" ref="UNS28">_xlfn.XLOOKUP(UNS$11,Assumptions!$B$35:$H$35,_xlfn.XLOOKUP($C28,Assumptions!$B$36:$B$41,Assumptions!$B$36:$H$41))</f>
        <v>0</v>
      </c>
      <c r="UNT28">
        <f t="array" ref="UNT28">_xlfn.XLOOKUP(UNT$11,Assumptions!$B$35:$H$35,_xlfn.XLOOKUP($C28,Assumptions!$B$36:$B$41,Assumptions!$B$36:$H$41))</f>
        <v>0</v>
      </c>
      <c r="UNU28">
        <f t="array" ref="UNU28">_xlfn.XLOOKUP(UNU$11,Assumptions!$B$35:$H$35,_xlfn.XLOOKUP($C28,Assumptions!$B$36:$B$41,Assumptions!$B$36:$H$41))</f>
        <v>0</v>
      </c>
      <c r="UNV28">
        <f t="array" ref="UNV28">_xlfn.XLOOKUP(UNV$11,Assumptions!$B$35:$H$35,_xlfn.XLOOKUP($C28,Assumptions!$B$36:$B$41,Assumptions!$B$36:$H$41))</f>
        <v>0</v>
      </c>
      <c r="UNW28">
        <f t="array" ref="UNW28">_xlfn.XLOOKUP(UNW$11,Assumptions!$B$35:$H$35,_xlfn.XLOOKUP($C28,Assumptions!$B$36:$B$41,Assumptions!$B$36:$H$41))</f>
        <v>0</v>
      </c>
      <c r="UNX28">
        <f t="array" ref="UNX28">_xlfn.XLOOKUP(UNX$11,Assumptions!$B$35:$H$35,_xlfn.XLOOKUP($C28,Assumptions!$B$36:$B$41,Assumptions!$B$36:$H$41))</f>
        <v>0</v>
      </c>
      <c r="UNY28">
        <f t="array" ref="UNY28">_xlfn.XLOOKUP(UNY$11,Assumptions!$B$35:$H$35,_xlfn.XLOOKUP($C28,Assumptions!$B$36:$B$41,Assumptions!$B$36:$H$41))</f>
        <v>0</v>
      </c>
      <c r="UNZ28">
        <f t="array" ref="UNZ28">_xlfn.XLOOKUP(UNZ$11,Assumptions!$B$35:$H$35,_xlfn.XLOOKUP($C28,Assumptions!$B$36:$B$41,Assumptions!$B$36:$H$41))</f>
        <v>0</v>
      </c>
      <c r="UOA28">
        <f t="array" ref="UOA28">_xlfn.XLOOKUP(UOA$11,Assumptions!$B$35:$H$35,_xlfn.XLOOKUP($C28,Assumptions!$B$36:$B$41,Assumptions!$B$36:$H$41))</f>
        <v>0</v>
      </c>
      <c r="UOB28">
        <f t="array" ref="UOB28">_xlfn.XLOOKUP(UOB$11,Assumptions!$B$35:$H$35,_xlfn.XLOOKUP($C28,Assumptions!$B$36:$B$41,Assumptions!$B$36:$H$41))</f>
        <v>0</v>
      </c>
      <c r="UOC28">
        <f t="array" ref="UOC28">_xlfn.XLOOKUP(UOC$11,Assumptions!$B$35:$H$35,_xlfn.XLOOKUP($C28,Assumptions!$B$36:$B$41,Assumptions!$B$36:$H$41))</f>
        <v>0</v>
      </c>
      <c r="UOD28">
        <f t="array" ref="UOD28">_xlfn.XLOOKUP(UOD$11,Assumptions!$B$35:$H$35,_xlfn.XLOOKUP($C28,Assumptions!$B$36:$B$41,Assumptions!$B$36:$H$41))</f>
        <v>0</v>
      </c>
      <c r="UOE28">
        <f t="array" ref="UOE28">_xlfn.XLOOKUP(UOE$11,Assumptions!$B$35:$H$35,_xlfn.XLOOKUP($C28,Assumptions!$B$36:$B$41,Assumptions!$B$36:$H$41))</f>
        <v>0</v>
      </c>
      <c r="UOF28">
        <f t="array" ref="UOF28">_xlfn.XLOOKUP(UOF$11,Assumptions!$B$35:$H$35,_xlfn.XLOOKUP($C28,Assumptions!$B$36:$B$41,Assumptions!$B$36:$H$41))</f>
        <v>0</v>
      </c>
      <c r="UOG28">
        <f t="array" ref="UOG28">_xlfn.XLOOKUP(UOG$11,Assumptions!$B$35:$H$35,_xlfn.XLOOKUP($C28,Assumptions!$B$36:$B$41,Assumptions!$B$36:$H$41))</f>
        <v>0</v>
      </c>
      <c r="UOH28">
        <f t="array" ref="UOH28">_xlfn.XLOOKUP(UOH$11,Assumptions!$B$35:$H$35,_xlfn.XLOOKUP($C28,Assumptions!$B$36:$B$41,Assumptions!$B$36:$H$41))</f>
        <v>0</v>
      </c>
      <c r="UOI28">
        <f t="array" ref="UOI28">_xlfn.XLOOKUP(UOI$11,Assumptions!$B$35:$H$35,_xlfn.XLOOKUP($C28,Assumptions!$B$36:$B$41,Assumptions!$B$36:$H$41))</f>
        <v>0</v>
      </c>
      <c r="UOJ28">
        <f t="array" ref="UOJ28">_xlfn.XLOOKUP(UOJ$11,Assumptions!$B$35:$H$35,_xlfn.XLOOKUP($C28,Assumptions!$B$36:$B$41,Assumptions!$B$36:$H$41))</f>
        <v>0</v>
      </c>
      <c r="UOK28">
        <f t="array" ref="UOK28">_xlfn.XLOOKUP(UOK$11,Assumptions!$B$35:$H$35,_xlfn.XLOOKUP($C28,Assumptions!$B$36:$B$41,Assumptions!$B$36:$H$41))</f>
        <v>0</v>
      </c>
      <c r="UOL28">
        <f t="array" ref="UOL28">_xlfn.XLOOKUP(UOL$11,Assumptions!$B$35:$H$35,_xlfn.XLOOKUP($C28,Assumptions!$B$36:$B$41,Assumptions!$B$36:$H$41))</f>
        <v>0</v>
      </c>
      <c r="UOM28">
        <f t="array" ref="UOM28">_xlfn.XLOOKUP(UOM$11,Assumptions!$B$35:$H$35,_xlfn.XLOOKUP($C28,Assumptions!$B$36:$B$41,Assumptions!$B$36:$H$41))</f>
        <v>0</v>
      </c>
      <c r="UON28">
        <f t="array" ref="UON28">_xlfn.XLOOKUP(UON$11,Assumptions!$B$35:$H$35,_xlfn.XLOOKUP($C28,Assumptions!$B$36:$B$41,Assumptions!$B$36:$H$41))</f>
        <v>0</v>
      </c>
      <c r="UOO28">
        <f t="array" ref="UOO28">_xlfn.XLOOKUP(UOO$11,Assumptions!$B$35:$H$35,_xlfn.XLOOKUP($C28,Assumptions!$B$36:$B$41,Assumptions!$B$36:$H$41))</f>
        <v>0</v>
      </c>
      <c r="UOP28">
        <f t="array" ref="UOP28">_xlfn.XLOOKUP(UOP$11,Assumptions!$B$35:$H$35,_xlfn.XLOOKUP($C28,Assumptions!$B$36:$B$41,Assumptions!$B$36:$H$41))</f>
        <v>0</v>
      </c>
      <c r="UOQ28">
        <f t="array" ref="UOQ28">_xlfn.XLOOKUP(UOQ$11,Assumptions!$B$35:$H$35,_xlfn.XLOOKUP($C28,Assumptions!$B$36:$B$41,Assumptions!$B$36:$H$41))</f>
        <v>0</v>
      </c>
      <c r="UOR28">
        <f t="array" ref="UOR28">_xlfn.XLOOKUP(UOR$11,Assumptions!$B$35:$H$35,_xlfn.XLOOKUP($C28,Assumptions!$B$36:$B$41,Assumptions!$B$36:$H$41))</f>
        <v>0</v>
      </c>
      <c r="UOS28">
        <f t="array" ref="UOS28">_xlfn.XLOOKUP(UOS$11,Assumptions!$B$35:$H$35,_xlfn.XLOOKUP($C28,Assumptions!$B$36:$B$41,Assumptions!$B$36:$H$41))</f>
        <v>0</v>
      </c>
      <c r="UOT28">
        <f t="array" ref="UOT28">_xlfn.XLOOKUP(UOT$11,Assumptions!$B$35:$H$35,_xlfn.XLOOKUP($C28,Assumptions!$B$36:$B$41,Assumptions!$B$36:$H$41))</f>
        <v>0</v>
      </c>
      <c r="UOU28">
        <f t="array" ref="UOU28">_xlfn.XLOOKUP(UOU$11,Assumptions!$B$35:$H$35,_xlfn.XLOOKUP($C28,Assumptions!$B$36:$B$41,Assumptions!$B$36:$H$41))</f>
        <v>0</v>
      </c>
      <c r="UOV28">
        <f t="array" ref="UOV28">_xlfn.XLOOKUP(UOV$11,Assumptions!$B$35:$H$35,_xlfn.XLOOKUP($C28,Assumptions!$B$36:$B$41,Assumptions!$B$36:$H$41))</f>
        <v>0</v>
      </c>
      <c r="UOW28">
        <f t="array" ref="UOW28">_xlfn.XLOOKUP(UOW$11,Assumptions!$B$35:$H$35,_xlfn.XLOOKUP($C28,Assumptions!$B$36:$B$41,Assumptions!$B$36:$H$41))</f>
        <v>0</v>
      </c>
      <c r="UOX28">
        <f t="array" ref="UOX28">_xlfn.XLOOKUP(UOX$11,Assumptions!$B$35:$H$35,_xlfn.XLOOKUP($C28,Assumptions!$B$36:$B$41,Assumptions!$B$36:$H$41))</f>
        <v>0</v>
      </c>
      <c r="UOY28">
        <f t="array" ref="UOY28">_xlfn.XLOOKUP(UOY$11,Assumptions!$B$35:$H$35,_xlfn.XLOOKUP($C28,Assumptions!$B$36:$B$41,Assumptions!$B$36:$H$41))</f>
        <v>0</v>
      </c>
      <c r="UOZ28">
        <f t="array" ref="UOZ28">_xlfn.XLOOKUP(UOZ$11,Assumptions!$B$35:$H$35,_xlfn.XLOOKUP($C28,Assumptions!$B$36:$B$41,Assumptions!$B$36:$H$41))</f>
        <v>0</v>
      </c>
      <c r="UPA28">
        <f t="array" ref="UPA28">_xlfn.XLOOKUP(UPA$11,Assumptions!$B$35:$H$35,_xlfn.XLOOKUP($C28,Assumptions!$B$36:$B$41,Assumptions!$B$36:$H$41))</f>
        <v>0</v>
      </c>
      <c r="UPB28">
        <f t="array" ref="UPB28">_xlfn.XLOOKUP(UPB$11,Assumptions!$B$35:$H$35,_xlfn.XLOOKUP($C28,Assumptions!$B$36:$B$41,Assumptions!$B$36:$H$41))</f>
        <v>0</v>
      </c>
      <c r="UPC28">
        <f t="array" ref="UPC28">_xlfn.XLOOKUP(UPC$11,Assumptions!$B$35:$H$35,_xlfn.XLOOKUP($C28,Assumptions!$B$36:$B$41,Assumptions!$B$36:$H$41))</f>
        <v>0</v>
      </c>
      <c r="UPD28">
        <f t="array" ref="UPD28">_xlfn.XLOOKUP(UPD$11,Assumptions!$B$35:$H$35,_xlfn.XLOOKUP($C28,Assumptions!$B$36:$B$41,Assumptions!$B$36:$H$41))</f>
        <v>0</v>
      </c>
      <c r="UPE28">
        <f t="array" ref="UPE28">_xlfn.XLOOKUP(UPE$11,Assumptions!$B$35:$H$35,_xlfn.XLOOKUP($C28,Assumptions!$B$36:$B$41,Assumptions!$B$36:$H$41))</f>
        <v>0</v>
      </c>
      <c r="UPF28">
        <f t="array" ref="UPF28">_xlfn.XLOOKUP(UPF$11,Assumptions!$B$35:$H$35,_xlfn.XLOOKUP($C28,Assumptions!$B$36:$B$41,Assumptions!$B$36:$H$41))</f>
        <v>0</v>
      </c>
      <c r="UPG28">
        <f t="array" ref="UPG28">_xlfn.XLOOKUP(UPG$11,Assumptions!$B$35:$H$35,_xlfn.XLOOKUP($C28,Assumptions!$B$36:$B$41,Assumptions!$B$36:$H$41))</f>
        <v>0</v>
      </c>
      <c r="UPH28">
        <f t="array" ref="UPH28">_xlfn.XLOOKUP(UPH$11,Assumptions!$B$35:$H$35,_xlfn.XLOOKUP($C28,Assumptions!$B$36:$B$41,Assumptions!$B$36:$H$41))</f>
        <v>0</v>
      </c>
      <c r="UPI28">
        <f t="array" ref="UPI28">_xlfn.XLOOKUP(UPI$11,Assumptions!$B$35:$H$35,_xlfn.XLOOKUP($C28,Assumptions!$B$36:$B$41,Assumptions!$B$36:$H$41))</f>
        <v>0</v>
      </c>
      <c r="UPJ28">
        <f t="array" ref="UPJ28">_xlfn.XLOOKUP(UPJ$11,Assumptions!$B$35:$H$35,_xlfn.XLOOKUP($C28,Assumptions!$B$36:$B$41,Assumptions!$B$36:$H$41))</f>
        <v>0</v>
      </c>
      <c r="UPK28">
        <f t="array" ref="UPK28">_xlfn.XLOOKUP(UPK$11,Assumptions!$B$35:$H$35,_xlfn.XLOOKUP($C28,Assumptions!$B$36:$B$41,Assumptions!$B$36:$H$41))</f>
        <v>0</v>
      </c>
      <c r="UPL28">
        <f t="array" ref="UPL28">_xlfn.XLOOKUP(UPL$11,Assumptions!$B$35:$H$35,_xlfn.XLOOKUP($C28,Assumptions!$B$36:$B$41,Assumptions!$B$36:$H$41))</f>
        <v>0</v>
      </c>
      <c r="UPM28">
        <f t="array" ref="UPM28">_xlfn.XLOOKUP(UPM$11,Assumptions!$B$35:$H$35,_xlfn.XLOOKUP($C28,Assumptions!$B$36:$B$41,Assumptions!$B$36:$H$41))</f>
        <v>0</v>
      </c>
      <c r="UPN28">
        <f t="array" ref="UPN28">_xlfn.XLOOKUP(UPN$11,Assumptions!$B$35:$H$35,_xlfn.XLOOKUP($C28,Assumptions!$B$36:$B$41,Assumptions!$B$36:$H$41))</f>
        <v>0</v>
      </c>
      <c r="UPO28">
        <f t="array" ref="UPO28">_xlfn.XLOOKUP(UPO$11,Assumptions!$B$35:$H$35,_xlfn.XLOOKUP($C28,Assumptions!$B$36:$B$41,Assumptions!$B$36:$H$41))</f>
        <v>0</v>
      </c>
      <c r="UPP28">
        <f t="array" ref="UPP28">_xlfn.XLOOKUP(UPP$11,Assumptions!$B$35:$H$35,_xlfn.XLOOKUP($C28,Assumptions!$B$36:$B$41,Assumptions!$B$36:$H$41))</f>
        <v>0</v>
      </c>
      <c r="UPQ28">
        <f t="array" ref="UPQ28">_xlfn.XLOOKUP(UPQ$11,Assumptions!$B$35:$H$35,_xlfn.XLOOKUP($C28,Assumptions!$B$36:$B$41,Assumptions!$B$36:$H$41))</f>
        <v>0</v>
      </c>
      <c r="UPR28">
        <f t="array" ref="UPR28">_xlfn.XLOOKUP(UPR$11,Assumptions!$B$35:$H$35,_xlfn.XLOOKUP($C28,Assumptions!$B$36:$B$41,Assumptions!$B$36:$H$41))</f>
        <v>0</v>
      </c>
      <c r="UPS28">
        <f t="array" ref="UPS28">_xlfn.XLOOKUP(UPS$11,Assumptions!$B$35:$H$35,_xlfn.XLOOKUP($C28,Assumptions!$B$36:$B$41,Assumptions!$B$36:$H$41))</f>
        <v>0</v>
      </c>
      <c r="UPT28">
        <f t="array" ref="UPT28">_xlfn.XLOOKUP(UPT$11,Assumptions!$B$35:$H$35,_xlfn.XLOOKUP($C28,Assumptions!$B$36:$B$41,Assumptions!$B$36:$H$41))</f>
        <v>0</v>
      </c>
      <c r="UPU28">
        <f t="array" ref="UPU28">_xlfn.XLOOKUP(UPU$11,Assumptions!$B$35:$H$35,_xlfn.XLOOKUP($C28,Assumptions!$B$36:$B$41,Assumptions!$B$36:$H$41))</f>
        <v>0</v>
      </c>
      <c r="UPV28">
        <f t="array" ref="UPV28">_xlfn.XLOOKUP(UPV$11,Assumptions!$B$35:$H$35,_xlfn.XLOOKUP($C28,Assumptions!$B$36:$B$41,Assumptions!$B$36:$H$41))</f>
        <v>0</v>
      </c>
      <c r="UPW28">
        <f t="array" ref="UPW28">_xlfn.XLOOKUP(UPW$11,Assumptions!$B$35:$H$35,_xlfn.XLOOKUP($C28,Assumptions!$B$36:$B$41,Assumptions!$B$36:$H$41))</f>
        <v>0</v>
      </c>
      <c r="UPX28">
        <f t="array" ref="UPX28">_xlfn.XLOOKUP(UPX$11,Assumptions!$B$35:$H$35,_xlfn.XLOOKUP($C28,Assumptions!$B$36:$B$41,Assumptions!$B$36:$H$41))</f>
        <v>0</v>
      </c>
      <c r="UPY28">
        <f t="array" ref="UPY28">_xlfn.XLOOKUP(UPY$11,Assumptions!$B$35:$H$35,_xlfn.XLOOKUP($C28,Assumptions!$B$36:$B$41,Assumptions!$B$36:$H$41))</f>
        <v>0</v>
      </c>
      <c r="UPZ28">
        <f t="array" ref="UPZ28">_xlfn.XLOOKUP(UPZ$11,Assumptions!$B$35:$H$35,_xlfn.XLOOKUP($C28,Assumptions!$B$36:$B$41,Assumptions!$B$36:$H$41))</f>
        <v>0</v>
      </c>
      <c r="UQA28">
        <f t="array" ref="UQA28">_xlfn.XLOOKUP(UQA$11,Assumptions!$B$35:$H$35,_xlfn.XLOOKUP($C28,Assumptions!$B$36:$B$41,Assumptions!$B$36:$H$41))</f>
        <v>0</v>
      </c>
      <c r="UQB28">
        <f t="array" ref="UQB28">_xlfn.XLOOKUP(UQB$11,Assumptions!$B$35:$H$35,_xlfn.XLOOKUP($C28,Assumptions!$B$36:$B$41,Assumptions!$B$36:$H$41))</f>
        <v>0</v>
      </c>
      <c r="UQC28">
        <f t="array" ref="UQC28">_xlfn.XLOOKUP(UQC$11,Assumptions!$B$35:$H$35,_xlfn.XLOOKUP($C28,Assumptions!$B$36:$B$41,Assumptions!$B$36:$H$41))</f>
        <v>0</v>
      </c>
      <c r="UQD28">
        <f t="array" ref="UQD28">_xlfn.XLOOKUP(UQD$11,Assumptions!$B$35:$H$35,_xlfn.XLOOKUP($C28,Assumptions!$B$36:$B$41,Assumptions!$B$36:$H$41))</f>
        <v>0</v>
      </c>
      <c r="UQE28">
        <f t="array" ref="UQE28">_xlfn.XLOOKUP(UQE$11,Assumptions!$B$35:$H$35,_xlfn.XLOOKUP($C28,Assumptions!$B$36:$B$41,Assumptions!$B$36:$H$41))</f>
        <v>0</v>
      </c>
      <c r="UQF28">
        <f t="array" ref="UQF28">_xlfn.XLOOKUP(UQF$11,Assumptions!$B$35:$H$35,_xlfn.XLOOKUP($C28,Assumptions!$B$36:$B$41,Assumptions!$B$36:$H$41))</f>
        <v>0</v>
      </c>
      <c r="UQG28">
        <f t="array" ref="UQG28">_xlfn.XLOOKUP(UQG$11,Assumptions!$B$35:$H$35,_xlfn.XLOOKUP($C28,Assumptions!$B$36:$B$41,Assumptions!$B$36:$H$41))</f>
        <v>0</v>
      </c>
      <c r="UQH28">
        <f t="array" ref="UQH28">_xlfn.XLOOKUP(UQH$11,Assumptions!$B$35:$H$35,_xlfn.XLOOKUP($C28,Assumptions!$B$36:$B$41,Assumptions!$B$36:$H$41))</f>
        <v>0</v>
      </c>
      <c r="UQI28">
        <f t="array" ref="UQI28">_xlfn.XLOOKUP(UQI$11,Assumptions!$B$35:$H$35,_xlfn.XLOOKUP($C28,Assumptions!$B$36:$B$41,Assumptions!$B$36:$H$41))</f>
        <v>0</v>
      </c>
      <c r="UQJ28">
        <f t="array" ref="UQJ28">_xlfn.XLOOKUP(UQJ$11,Assumptions!$B$35:$H$35,_xlfn.XLOOKUP($C28,Assumptions!$B$36:$B$41,Assumptions!$B$36:$H$41))</f>
        <v>0</v>
      </c>
      <c r="UQK28">
        <f t="array" ref="UQK28">_xlfn.XLOOKUP(UQK$11,Assumptions!$B$35:$H$35,_xlfn.XLOOKUP($C28,Assumptions!$B$36:$B$41,Assumptions!$B$36:$H$41))</f>
        <v>0</v>
      </c>
      <c r="UQL28">
        <f t="array" ref="UQL28">_xlfn.XLOOKUP(UQL$11,Assumptions!$B$35:$H$35,_xlfn.XLOOKUP($C28,Assumptions!$B$36:$B$41,Assumptions!$B$36:$H$41))</f>
        <v>0</v>
      </c>
      <c r="UQM28">
        <f t="array" ref="UQM28">_xlfn.XLOOKUP(UQM$11,Assumptions!$B$35:$H$35,_xlfn.XLOOKUP($C28,Assumptions!$B$36:$B$41,Assumptions!$B$36:$H$41))</f>
        <v>0</v>
      </c>
      <c r="UQN28">
        <f t="array" ref="UQN28">_xlfn.XLOOKUP(UQN$11,Assumptions!$B$35:$H$35,_xlfn.XLOOKUP($C28,Assumptions!$B$36:$B$41,Assumptions!$B$36:$H$41))</f>
        <v>0</v>
      </c>
      <c r="UQO28">
        <f t="array" ref="UQO28">_xlfn.XLOOKUP(UQO$11,Assumptions!$B$35:$H$35,_xlfn.XLOOKUP($C28,Assumptions!$B$36:$B$41,Assumptions!$B$36:$H$41))</f>
        <v>0</v>
      </c>
      <c r="UQP28">
        <f t="array" ref="UQP28">_xlfn.XLOOKUP(UQP$11,Assumptions!$B$35:$H$35,_xlfn.XLOOKUP($C28,Assumptions!$B$36:$B$41,Assumptions!$B$36:$H$41))</f>
        <v>0</v>
      </c>
      <c r="UQQ28">
        <f t="array" ref="UQQ28">_xlfn.XLOOKUP(UQQ$11,Assumptions!$B$35:$H$35,_xlfn.XLOOKUP($C28,Assumptions!$B$36:$B$41,Assumptions!$B$36:$H$41))</f>
        <v>0</v>
      </c>
      <c r="UQR28">
        <f t="array" ref="UQR28">_xlfn.XLOOKUP(UQR$11,Assumptions!$B$35:$H$35,_xlfn.XLOOKUP($C28,Assumptions!$B$36:$B$41,Assumptions!$B$36:$H$41))</f>
        <v>0</v>
      </c>
      <c r="UQS28">
        <f t="array" ref="UQS28">_xlfn.XLOOKUP(UQS$11,Assumptions!$B$35:$H$35,_xlfn.XLOOKUP($C28,Assumptions!$B$36:$B$41,Assumptions!$B$36:$H$41))</f>
        <v>0</v>
      </c>
      <c r="UQT28">
        <f t="array" ref="UQT28">_xlfn.XLOOKUP(UQT$11,Assumptions!$B$35:$H$35,_xlfn.XLOOKUP($C28,Assumptions!$B$36:$B$41,Assumptions!$B$36:$H$41))</f>
        <v>0</v>
      </c>
      <c r="UQU28">
        <f t="array" ref="UQU28">_xlfn.XLOOKUP(UQU$11,Assumptions!$B$35:$H$35,_xlfn.XLOOKUP($C28,Assumptions!$B$36:$B$41,Assumptions!$B$36:$H$41))</f>
        <v>0</v>
      </c>
      <c r="UQV28">
        <f t="array" ref="UQV28">_xlfn.XLOOKUP(UQV$11,Assumptions!$B$35:$H$35,_xlfn.XLOOKUP($C28,Assumptions!$B$36:$B$41,Assumptions!$B$36:$H$41))</f>
        <v>0</v>
      </c>
      <c r="UQW28">
        <f t="array" ref="UQW28">_xlfn.XLOOKUP(UQW$11,Assumptions!$B$35:$H$35,_xlfn.XLOOKUP($C28,Assumptions!$B$36:$B$41,Assumptions!$B$36:$H$41))</f>
        <v>0</v>
      </c>
      <c r="UQX28">
        <f t="array" ref="UQX28">_xlfn.XLOOKUP(UQX$11,Assumptions!$B$35:$H$35,_xlfn.XLOOKUP($C28,Assumptions!$B$36:$B$41,Assumptions!$B$36:$H$41))</f>
        <v>0</v>
      </c>
      <c r="UQY28">
        <f t="array" ref="UQY28">_xlfn.XLOOKUP(UQY$11,Assumptions!$B$35:$H$35,_xlfn.XLOOKUP($C28,Assumptions!$B$36:$B$41,Assumptions!$B$36:$H$41))</f>
        <v>0</v>
      </c>
      <c r="UQZ28">
        <f t="array" ref="UQZ28">_xlfn.XLOOKUP(UQZ$11,Assumptions!$B$35:$H$35,_xlfn.XLOOKUP($C28,Assumptions!$B$36:$B$41,Assumptions!$B$36:$H$41))</f>
        <v>0</v>
      </c>
      <c r="URA28">
        <f t="array" ref="URA28">_xlfn.XLOOKUP(URA$11,Assumptions!$B$35:$H$35,_xlfn.XLOOKUP($C28,Assumptions!$B$36:$B$41,Assumptions!$B$36:$H$41))</f>
        <v>0</v>
      </c>
      <c r="URB28">
        <f t="array" ref="URB28">_xlfn.XLOOKUP(URB$11,Assumptions!$B$35:$H$35,_xlfn.XLOOKUP($C28,Assumptions!$B$36:$B$41,Assumptions!$B$36:$H$41))</f>
        <v>0</v>
      </c>
      <c r="URC28">
        <f t="array" ref="URC28">_xlfn.XLOOKUP(URC$11,Assumptions!$B$35:$H$35,_xlfn.XLOOKUP($C28,Assumptions!$B$36:$B$41,Assumptions!$B$36:$H$41))</f>
        <v>0</v>
      </c>
      <c r="URD28">
        <f t="array" ref="URD28">_xlfn.XLOOKUP(URD$11,Assumptions!$B$35:$H$35,_xlfn.XLOOKUP($C28,Assumptions!$B$36:$B$41,Assumptions!$B$36:$H$41))</f>
        <v>0</v>
      </c>
      <c r="URE28">
        <f t="array" ref="URE28">_xlfn.XLOOKUP(URE$11,Assumptions!$B$35:$H$35,_xlfn.XLOOKUP($C28,Assumptions!$B$36:$B$41,Assumptions!$B$36:$H$41))</f>
        <v>0</v>
      </c>
      <c r="URF28">
        <f t="array" ref="URF28">_xlfn.XLOOKUP(URF$11,Assumptions!$B$35:$H$35,_xlfn.XLOOKUP($C28,Assumptions!$B$36:$B$41,Assumptions!$B$36:$H$41))</f>
        <v>0</v>
      </c>
      <c r="URG28">
        <f t="array" ref="URG28">_xlfn.XLOOKUP(URG$11,Assumptions!$B$35:$H$35,_xlfn.XLOOKUP($C28,Assumptions!$B$36:$B$41,Assumptions!$B$36:$H$41))</f>
        <v>0</v>
      </c>
      <c r="URH28">
        <f t="array" ref="URH28">_xlfn.XLOOKUP(URH$11,Assumptions!$B$35:$H$35,_xlfn.XLOOKUP($C28,Assumptions!$B$36:$B$41,Assumptions!$B$36:$H$41))</f>
        <v>0</v>
      </c>
      <c r="URI28">
        <f t="array" ref="URI28">_xlfn.XLOOKUP(URI$11,Assumptions!$B$35:$H$35,_xlfn.XLOOKUP($C28,Assumptions!$B$36:$B$41,Assumptions!$B$36:$H$41))</f>
        <v>0</v>
      </c>
      <c r="URJ28">
        <f t="array" ref="URJ28">_xlfn.XLOOKUP(URJ$11,Assumptions!$B$35:$H$35,_xlfn.XLOOKUP($C28,Assumptions!$B$36:$B$41,Assumptions!$B$36:$H$41))</f>
        <v>0</v>
      </c>
      <c r="URK28">
        <f t="array" ref="URK28">_xlfn.XLOOKUP(URK$11,Assumptions!$B$35:$H$35,_xlfn.XLOOKUP($C28,Assumptions!$B$36:$B$41,Assumptions!$B$36:$H$41))</f>
        <v>0</v>
      </c>
      <c r="URL28">
        <f t="array" ref="URL28">_xlfn.XLOOKUP(URL$11,Assumptions!$B$35:$H$35,_xlfn.XLOOKUP($C28,Assumptions!$B$36:$B$41,Assumptions!$B$36:$H$41))</f>
        <v>0</v>
      </c>
      <c r="URM28">
        <f t="array" ref="URM28">_xlfn.XLOOKUP(URM$11,Assumptions!$B$35:$H$35,_xlfn.XLOOKUP($C28,Assumptions!$B$36:$B$41,Assumptions!$B$36:$H$41))</f>
        <v>0</v>
      </c>
      <c r="URN28">
        <f t="array" ref="URN28">_xlfn.XLOOKUP(URN$11,Assumptions!$B$35:$H$35,_xlfn.XLOOKUP($C28,Assumptions!$B$36:$B$41,Assumptions!$B$36:$H$41))</f>
        <v>0</v>
      </c>
      <c r="URO28">
        <f t="array" ref="URO28">_xlfn.XLOOKUP(URO$11,Assumptions!$B$35:$H$35,_xlfn.XLOOKUP($C28,Assumptions!$B$36:$B$41,Assumptions!$B$36:$H$41))</f>
        <v>0</v>
      </c>
      <c r="URP28">
        <f t="array" ref="URP28">_xlfn.XLOOKUP(URP$11,Assumptions!$B$35:$H$35,_xlfn.XLOOKUP($C28,Assumptions!$B$36:$B$41,Assumptions!$B$36:$H$41))</f>
        <v>0</v>
      </c>
      <c r="URQ28">
        <f t="array" ref="URQ28">_xlfn.XLOOKUP(URQ$11,Assumptions!$B$35:$H$35,_xlfn.XLOOKUP($C28,Assumptions!$B$36:$B$41,Assumptions!$B$36:$H$41))</f>
        <v>0</v>
      </c>
      <c r="URR28">
        <f t="array" ref="URR28">_xlfn.XLOOKUP(URR$11,Assumptions!$B$35:$H$35,_xlfn.XLOOKUP($C28,Assumptions!$B$36:$B$41,Assumptions!$B$36:$H$41))</f>
        <v>0</v>
      </c>
      <c r="URS28">
        <f t="array" ref="URS28">_xlfn.XLOOKUP(URS$11,Assumptions!$B$35:$H$35,_xlfn.XLOOKUP($C28,Assumptions!$B$36:$B$41,Assumptions!$B$36:$H$41))</f>
        <v>0</v>
      </c>
      <c r="URT28">
        <f t="array" ref="URT28">_xlfn.XLOOKUP(URT$11,Assumptions!$B$35:$H$35,_xlfn.XLOOKUP($C28,Assumptions!$B$36:$B$41,Assumptions!$B$36:$H$41))</f>
        <v>0</v>
      </c>
      <c r="URU28">
        <f t="array" ref="URU28">_xlfn.XLOOKUP(URU$11,Assumptions!$B$35:$H$35,_xlfn.XLOOKUP($C28,Assumptions!$B$36:$B$41,Assumptions!$B$36:$H$41))</f>
        <v>0</v>
      </c>
      <c r="URV28">
        <f t="array" ref="URV28">_xlfn.XLOOKUP(URV$11,Assumptions!$B$35:$H$35,_xlfn.XLOOKUP($C28,Assumptions!$B$36:$B$41,Assumptions!$B$36:$H$41))</f>
        <v>0</v>
      </c>
      <c r="URW28">
        <f t="array" ref="URW28">_xlfn.XLOOKUP(URW$11,Assumptions!$B$35:$H$35,_xlfn.XLOOKUP($C28,Assumptions!$B$36:$B$41,Assumptions!$B$36:$H$41))</f>
        <v>0</v>
      </c>
      <c r="URX28">
        <f t="array" ref="URX28">_xlfn.XLOOKUP(URX$11,Assumptions!$B$35:$H$35,_xlfn.XLOOKUP($C28,Assumptions!$B$36:$B$41,Assumptions!$B$36:$H$41))</f>
        <v>0</v>
      </c>
      <c r="URY28">
        <f t="array" ref="URY28">_xlfn.XLOOKUP(URY$11,Assumptions!$B$35:$H$35,_xlfn.XLOOKUP($C28,Assumptions!$B$36:$B$41,Assumptions!$B$36:$H$41))</f>
        <v>0</v>
      </c>
      <c r="URZ28">
        <f t="array" ref="URZ28">_xlfn.XLOOKUP(URZ$11,Assumptions!$B$35:$H$35,_xlfn.XLOOKUP($C28,Assumptions!$B$36:$B$41,Assumptions!$B$36:$H$41))</f>
        <v>0</v>
      </c>
      <c r="USA28">
        <f t="array" ref="USA28">_xlfn.XLOOKUP(USA$11,Assumptions!$B$35:$H$35,_xlfn.XLOOKUP($C28,Assumptions!$B$36:$B$41,Assumptions!$B$36:$H$41))</f>
        <v>0</v>
      </c>
      <c r="USB28">
        <f t="array" ref="USB28">_xlfn.XLOOKUP(USB$11,Assumptions!$B$35:$H$35,_xlfn.XLOOKUP($C28,Assumptions!$B$36:$B$41,Assumptions!$B$36:$H$41))</f>
        <v>0</v>
      </c>
      <c r="USC28">
        <f t="array" ref="USC28">_xlfn.XLOOKUP(USC$11,Assumptions!$B$35:$H$35,_xlfn.XLOOKUP($C28,Assumptions!$B$36:$B$41,Assumptions!$B$36:$H$41))</f>
        <v>0</v>
      </c>
      <c r="USD28">
        <f t="array" ref="USD28">_xlfn.XLOOKUP(USD$11,Assumptions!$B$35:$H$35,_xlfn.XLOOKUP($C28,Assumptions!$B$36:$B$41,Assumptions!$B$36:$H$41))</f>
        <v>0</v>
      </c>
      <c r="USE28">
        <f t="array" ref="USE28">_xlfn.XLOOKUP(USE$11,Assumptions!$B$35:$H$35,_xlfn.XLOOKUP($C28,Assumptions!$B$36:$B$41,Assumptions!$B$36:$H$41))</f>
        <v>0</v>
      </c>
      <c r="USF28">
        <f t="array" ref="USF28">_xlfn.XLOOKUP(USF$11,Assumptions!$B$35:$H$35,_xlfn.XLOOKUP($C28,Assumptions!$B$36:$B$41,Assumptions!$B$36:$H$41))</f>
        <v>0</v>
      </c>
      <c r="USG28">
        <f t="array" ref="USG28">_xlfn.XLOOKUP(USG$11,Assumptions!$B$35:$H$35,_xlfn.XLOOKUP($C28,Assumptions!$B$36:$B$41,Assumptions!$B$36:$H$41))</f>
        <v>0</v>
      </c>
      <c r="USH28">
        <f t="array" ref="USH28">_xlfn.XLOOKUP(USH$11,Assumptions!$B$35:$H$35,_xlfn.XLOOKUP($C28,Assumptions!$B$36:$B$41,Assumptions!$B$36:$H$41))</f>
        <v>0</v>
      </c>
      <c r="USI28">
        <f t="array" ref="USI28">_xlfn.XLOOKUP(USI$11,Assumptions!$B$35:$H$35,_xlfn.XLOOKUP($C28,Assumptions!$B$36:$B$41,Assumptions!$B$36:$H$41))</f>
        <v>0</v>
      </c>
      <c r="USJ28">
        <f t="array" ref="USJ28">_xlfn.XLOOKUP(USJ$11,Assumptions!$B$35:$H$35,_xlfn.XLOOKUP($C28,Assumptions!$B$36:$B$41,Assumptions!$B$36:$H$41))</f>
        <v>0</v>
      </c>
      <c r="USK28">
        <f t="array" ref="USK28">_xlfn.XLOOKUP(USK$11,Assumptions!$B$35:$H$35,_xlfn.XLOOKUP($C28,Assumptions!$B$36:$B$41,Assumptions!$B$36:$H$41))</f>
        <v>0</v>
      </c>
      <c r="USL28">
        <f t="array" ref="USL28">_xlfn.XLOOKUP(USL$11,Assumptions!$B$35:$H$35,_xlfn.XLOOKUP($C28,Assumptions!$B$36:$B$41,Assumptions!$B$36:$H$41))</f>
        <v>0</v>
      </c>
      <c r="USM28">
        <f t="array" ref="USM28">_xlfn.XLOOKUP(USM$11,Assumptions!$B$35:$H$35,_xlfn.XLOOKUP($C28,Assumptions!$B$36:$B$41,Assumptions!$B$36:$H$41))</f>
        <v>0</v>
      </c>
      <c r="USN28">
        <f t="array" ref="USN28">_xlfn.XLOOKUP(USN$11,Assumptions!$B$35:$H$35,_xlfn.XLOOKUP($C28,Assumptions!$B$36:$B$41,Assumptions!$B$36:$H$41))</f>
        <v>0</v>
      </c>
      <c r="USO28">
        <f t="array" ref="USO28">_xlfn.XLOOKUP(USO$11,Assumptions!$B$35:$H$35,_xlfn.XLOOKUP($C28,Assumptions!$B$36:$B$41,Assumptions!$B$36:$H$41))</f>
        <v>0</v>
      </c>
      <c r="USP28">
        <f t="array" ref="USP28">_xlfn.XLOOKUP(USP$11,Assumptions!$B$35:$H$35,_xlfn.XLOOKUP($C28,Assumptions!$B$36:$B$41,Assumptions!$B$36:$H$41))</f>
        <v>0</v>
      </c>
      <c r="USQ28">
        <f t="array" ref="USQ28">_xlfn.XLOOKUP(USQ$11,Assumptions!$B$35:$H$35,_xlfn.XLOOKUP($C28,Assumptions!$B$36:$B$41,Assumptions!$B$36:$H$41))</f>
        <v>0</v>
      </c>
      <c r="USR28">
        <f t="array" ref="USR28">_xlfn.XLOOKUP(USR$11,Assumptions!$B$35:$H$35,_xlfn.XLOOKUP($C28,Assumptions!$B$36:$B$41,Assumptions!$B$36:$H$41))</f>
        <v>0</v>
      </c>
      <c r="USS28">
        <f t="array" ref="USS28">_xlfn.XLOOKUP(USS$11,Assumptions!$B$35:$H$35,_xlfn.XLOOKUP($C28,Assumptions!$B$36:$B$41,Assumptions!$B$36:$H$41))</f>
        <v>0</v>
      </c>
      <c r="UST28">
        <f t="array" ref="UST28">_xlfn.XLOOKUP(UST$11,Assumptions!$B$35:$H$35,_xlfn.XLOOKUP($C28,Assumptions!$B$36:$B$41,Assumptions!$B$36:$H$41))</f>
        <v>0</v>
      </c>
      <c r="USU28">
        <f t="array" ref="USU28">_xlfn.XLOOKUP(USU$11,Assumptions!$B$35:$H$35,_xlfn.XLOOKUP($C28,Assumptions!$B$36:$B$41,Assumptions!$B$36:$H$41))</f>
        <v>0</v>
      </c>
      <c r="USV28">
        <f t="array" ref="USV28">_xlfn.XLOOKUP(USV$11,Assumptions!$B$35:$H$35,_xlfn.XLOOKUP($C28,Assumptions!$B$36:$B$41,Assumptions!$B$36:$H$41))</f>
        <v>0</v>
      </c>
      <c r="USW28">
        <f t="array" ref="USW28">_xlfn.XLOOKUP(USW$11,Assumptions!$B$35:$H$35,_xlfn.XLOOKUP($C28,Assumptions!$B$36:$B$41,Assumptions!$B$36:$H$41))</f>
        <v>0</v>
      </c>
      <c r="USX28">
        <f t="array" ref="USX28">_xlfn.XLOOKUP(USX$11,Assumptions!$B$35:$H$35,_xlfn.XLOOKUP($C28,Assumptions!$B$36:$B$41,Assumptions!$B$36:$H$41))</f>
        <v>0</v>
      </c>
      <c r="USY28">
        <f t="array" ref="USY28">_xlfn.XLOOKUP(USY$11,Assumptions!$B$35:$H$35,_xlfn.XLOOKUP($C28,Assumptions!$B$36:$B$41,Assumptions!$B$36:$H$41))</f>
        <v>0</v>
      </c>
      <c r="USZ28">
        <f t="array" ref="USZ28">_xlfn.XLOOKUP(USZ$11,Assumptions!$B$35:$H$35,_xlfn.XLOOKUP($C28,Assumptions!$B$36:$B$41,Assumptions!$B$36:$H$41))</f>
        <v>0</v>
      </c>
      <c r="UTA28">
        <f t="array" ref="UTA28">_xlfn.XLOOKUP(UTA$11,Assumptions!$B$35:$H$35,_xlfn.XLOOKUP($C28,Assumptions!$B$36:$B$41,Assumptions!$B$36:$H$41))</f>
        <v>0</v>
      </c>
      <c r="UTB28">
        <f t="array" ref="UTB28">_xlfn.XLOOKUP(UTB$11,Assumptions!$B$35:$H$35,_xlfn.XLOOKUP($C28,Assumptions!$B$36:$B$41,Assumptions!$B$36:$H$41))</f>
        <v>0</v>
      </c>
      <c r="UTC28">
        <f t="array" ref="UTC28">_xlfn.XLOOKUP(UTC$11,Assumptions!$B$35:$H$35,_xlfn.XLOOKUP($C28,Assumptions!$B$36:$B$41,Assumptions!$B$36:$H$41))</f>
        <v>0</v>
      </c>
      <c r="UTD28">
        <f t="array" ref="UTD28">_xlfn.XLOOKUP(UTD$11,Assumptions!$B$35:$H$35,_xlfn.XLOOKUP($C28,Assumptions!$B$36:$B$41,Assumptions!$B$36:$H$41))</f>
        <v>0</v>
      </c>
      <c r="UTE28">
        <f t="array" ref="UTE28">_xlfn.XLOOKUP(UTE$11,Assumptions!$B$35:$H$35,_xlfn.XLOOKUP($C28,Assumptions!$B$36:$B$41,Assumptions!$B$36:$H$41))</f>
        <v>0</v>
      </c>
      <c r="UTF28">
        <f t="array" ref="UTF28">_xlfn.XLOOKUP(UTF$11,Assumptions!$B$35:$H$35,_xlfn.XLOOKUP($C28,Assumptions!$B$36:$B$41,Assumptions!$B$36:$H$41))</f>
        <v>0</v>
      </c>
      <c r="UTG28">
        <f t="array" ref="UTG28">_xlfn.XLOOKUP(UTG$11,Assumptions!$B$35:$H$35,_xlfn.XLOOKUP($C28,Assumptions!$B$36:$B$41,Assumptions!$B$36:$H$41))</f>
        <v>0</v>
      </c>
      <c r="UTH28">
        <f t="array" ref="UTH28">_xlfn.XLOOKUP(UTH$11,Assumptions!$B$35:$H$35,_xlfn.XLOOKUP($C28,Assumptions!$B$36:$B$41,Assumptions!$B$36:$H$41))</f>
        <v>0</v>
      </c>
      <c r="UTI28">
        <f t="array" ref="UTI28">_xlfn.XLOOKUP(UTI$11,Assumptions!$B$35:$H$35,_xlfn.XLOOKUP($C28,Assumptions!$B$36:$B$41,Assumptions!$B$36:$H$41))</f>
        <v>0</v>
      </c>
      <c r="UTJ28">
        <f t="array" ref="UTJ28">_xlfn.XLOOKUP(UTJ$11,Assumptions!$B$35:$H$35,_xlfn.XLOOKUP($C28,Assumptions!$B$36:$B$41,Assumptions!$B$36:$H$41))</f>
        <v>0</v>
      </c>
      <c r="UTK28">
        <f t="array" ref="UTK28">_xlfn.XLOOKUP(UTK$11,Assumptions!$B$35:$H$35,_xlfn.XLOOKUP($C28,Assumptions!$B$36:$B$41,Assumptions!$B$36:$H$41))</f>
        <v>0</v>
      </c>
      <c r="UTL28">
        <f t="array" ref="UTL28">_xlfn.XLOOKUP(UTL$11,Assumptions!$B$35:$H$35,_xlfn.XLOOKUP($C28,Assumptions!$B$36:$B$41,Assumptions!$B$36:$H$41))</f>
        <v>0</v>
      </c>
      <c r="UTM28">
        <f t="array" ref="UTM28">_xlfn.XLOOKUP(UTM$11,Assumptions!$B$35:$H$35,_xlfn.XLOOKUP($C28,Assumptions!$B$36:$B$41,Assumptions!$B$36:$H$41))</f>
        <v>0</v>
      </c>
      <c r="UTN28">
        <f t="array" ref="UTN28">_xlfn.XLOOKUP(UTN$11,Assumptions!$B$35:$H$35,_xlfn.XLOOKUP($C28,Assumptions!$B$36:$B$41,Assumptions!$B$36:$H$41))</f>
        <v>0</v>
      </c>
      <c r="UTO28">
        <f t="array" ref="UTO28">_xlfn.XLOOKUP(UTO$11,Assumptions!$B$35:$H$35,_xlfn.XLOOKUP($C28,Assumptions!$B$36:$B$41,Assumptions!$B$36:$H$41))</f>
        <v>0</v>
      </c>
      <c r="UTP28">
        <f t="array" ref="UTP28">_xlfn.XLOOKUP(UTP$11,Assumptions!$B$35:$H$35,_xlfn.XLOOKUP($C28,Assumptions!$B$36:$B$41,Assumptions!$B$36:$H$41))</f>
        <v>0</v>
      </c>
      <c r="UTQ28">
        <f t="array" ref="UTQ28">_xlfn.XLOOKUP(UTQ$11,Assumptions!$B$35:$H$35,_xlfn.XLOOKUP($C28,Assumptions!$B$36:$B$41,Assumptions!$B$36:$H$41))</f>
        <v>0</v>
      </c>
      <c r="UTR28">
        <f t="array" ref="UTR28">_xlfn.XLOOKUP(UTR$11,Assumptions!$B$35:$H$35,_xlfn.XLOOKUP($C28,Assumptions!$B$36:$B$41,Assumptions!$B$36:$H$41))</f>
        <v>0</v>
      </c>
      <c r="UTS28">
        <f t="array" ref="UTS28">_xlfn.XLOOKUP(UTS$11,Assumptions!$B$35:$H$35,_xlfn.XLOOKUP($C28,Assumptions!$B$36:$B$41,Assumptions!$B$36:$H$41))</f>
        <v>0</v>
      </c>
      <c r="UTT28">
        <f t="array" ref="UTT28">_xlfn.XLOOKUP(UTT$11,Assumptions!$B$35:$H$35,_xlfn.XLOOKUP($C28,Assumptions!$B$36:$B$41,Assumptions!$B$36:$H$41))</f>
        <v>0</v>
      </c>
      <c r="UTU28">
        <f t="array" ref="UTU28">_xlfn.XLOOKUP(UTU$11,Assumptions!$B$35:$H$35,_xlfn.XLOOKUP($C28,Assumptions!$B$36:$B$41,Assumptions!$B$36:$H$41))</f>
        <v>0</v>
      </c>
      <c r="UTV28">
        <f t="array" ref="UTV28">_xlfn.XLOOKUP(UTV$11,Assumptions!$B$35:$H$35,_xlfn.XLOOKUP($C28,Assumptions!$B$36:$B$41,Assumptions!$B$36:$H$41))</f>
        <v>0</v>
      </c>
      <c r="UTW28">
        <f t="array" ref="UTW28">_xlfn.XLOOKUP(UTW$11,Assumptions!$B$35:$H$35,_xlfn.XLOOKUP($C28,Assumptions!$B$36:$B$41,Assumptions!$B$36:$H$41))</f>
        <v>0</v>
      </c>
      <c r="UTX28">
        <f t="array" ref="UTX28">_xlfn.XLOOKUP(UTX$11,Assumptions!$B$35:$H$35,_xlfn.XLOOKUP($C28,Assumptions!$B$36:$B$41,Assumptions!$B$36:$H$41))</f>
        <v>0</v>
      </c>
      <c r="UTY28">
        <f t="array" ref="UTY28">_xlfn.XLOOKUP(UTY$11,Assumptions!$B$35:$H$35,_xlfn.XLOOKUP($C28,Assumptions!$B$36:$B$41,Assumptions!$B$36:$H$41))</f>
        <v>0</v>
      </c>
      <c r="UTZ28">
        <f t="array" ref="UTZ28">_xlfn.XLOOKUP(UTZ$11,Assumptions!$B$35:$H$35,_xlfn.XLOOKUP($C28,Assumptions!$B$36:$B$41,Assumptions!$B$36:$H$41))</f>
        <v>0</v>
      </c>
      <c r="UUA28">
        <f t="array" ref="UUA28">_xlfn.XLOOKUP(UUA$11,Assumptions!$B$35:$H$35,_xlfn.XLOOKUP($C28,Assumptions!$B$36:$B$41,Assumptions!$B$36:$H$41))</f>
        <v>0</v>
      </c>
      <c r="UUB28">
        <f t="array" ref="UUB28">_xlfn.XLOOKUP(UUB$11,Assumptions!$B$35:$H$35,_xlfn.XLOOKUP($C28,Assumptions!$B$36:$B$41,Assumptions!$B$36:$H$41))</f>
        <v>0</v>
      </c>
      <c r="UUC28">
        <f t="array" ref="UUC28">_xlfn.XLOOKUP(UUC$11,Assumptions!$B$35:$H$35,_xlfn.XLOOKUP($C28,Assumptions!$B$36:$B$41,Assumptions!$B$36:$H$41))</f>
        <v>0</v>
      </c>
      <c r="UUD28">
        <f t="array" ref="UUD28">_xlfn.XLOOKUP(UUD$11,Assumptions!$B$35:$H$35,_xlfn.XLOOKUP($C28,Assumptions!$B$36:$B$41,Assumptions!$B$36:$H$41))</f>
        <v>0</v>
      </c>
      <c r="UUE28">
        <f t="array" ref="UUE28">_xlfn.XLOOKUP(UUE$11,Assumptions!$B$35:$H$35,_xlfn.XLOOKUP($C28,Assumptions!$B$36:$B$41,Assumptions!$B$36:$H$41))</f>
        <v>0</v>
      </c>
      <c r="UUF28">
        <f t="array" ref="UUF28">_xlfn.XLOOKUP(UUF$11,Assumptions!$B$35:$H$35,_xlfn.XLOOKUP($C28,Assumptions!$B$36:$B$41,Assumptions!$B$36:$H$41))</f>
        <v>0</v>
      </c>
      <c r="UUG28">
        <f t="array" ref="UUG28">_xlfn.XLOOKUP(UUG$11,Assumptions!$B$35:$H$35,_xlfn.XLOOKUP($C28,Assumptions!$B$36:$B$41,Assumptions!$B$36:$H$41))</f>
        <v>0</v>
      </c>
      <c r="UUH28">
        <f t="array" ref="UUH28">_xlfn.XLOOKUP(UUH$11,Assumptions!$B$35:$H$35,_xlfn.XLOOKUP($C28,Assumptions!$B$36:$B$41,Assumptions!$B$36:$H$41))</f>
        <v>0</v>
      </c>
      <c r="UUI28">
        <f t="array" ref="UUI28">_xlfn.XLOOKUP(UUI$11,Assumptions!$B$35:$H$35,_xlfn.XLOOKUP($C28,Assumptions!$B$36:$B$41,Assumptions!$B$36:$H$41))</f>
        <v>0</v>
      </c>
      <c r="UUJ28">
        <f t="array" ref="UUJ28">_xlfn.XLOOKUP(UUJ$11,Assumptions!$B$35:$H$35,_xlfn.XLOOKUP($C28,Assumptions!$B$36:$B$41,Assumptions!$B$36:$H$41))</f>
        <v>0</v>
      </c>
      <c r="UUK28">
        <f t="array" ref="UUK28">_xlfn.XLOOKUP(UUK$11,Assumptions!$B$35:$H$35,_xlfn.XLOOKUP($C28,Assumptions!$B$36:$B$41,Assumptions!$B$36:$H$41))</f>
        <v>0</v>
      </c>
      <c r="UUL28">
        <f t="array" ref="UUL28">_xlfn.XLOOKUP(UUL$11,Assumptions!$B$35:$H$35,_xlfn.XLOOKUP($C28,Assumptions!$B$36:$B$41,Assumptions!$B$36:$H$41))</f>
        <v>0</v>
      </c>
      <c r="UUM28">
        <f t="array" ref="UUM28">_xlfn.XLOOKUP(UUM$11,Assumptions!$B$35:$H$35,_xlfn.XLOOKUP($C28,Assumptions!$B$36:$B$41,Assumptions!$B$36:$H$41))</f>
        <v>0</v>
      </c>
      <c r="UUN28">
        <f t="array" ref="UUN28">_xlfn.XLOOKUP(UUN$11,Assumptions!$B$35:$H$35,_xlfn.XLOOKUP($C28,Assumptions!$B$36:$B$41,Assumptions!$B$36:$H$41))</f>
        <v>0</v>
      </c>
      <c r="UUO28">
        <f t="array" ref="UUO28">_xlfn.XLOOKUP(UUO$11,Assumptions!$B$35:$H$35,_xlfn.XLOOKUP($C28,Assumptions!$B$36:$B$41,Assumptions!$B$36:$H$41))</f>
        <v>0</v>
      </c>
      <c r="UUP28">
        <f t="array" ref="UUP28">_xlfn.XLOOKUP(UUP$11,Assumptions!$B$35:$H$35,_xlfn.XLOOKUP($C28,Assumptions!$B$36:$B$41,Assumptions!$B$36:$H$41))</f>
        <v>0</v>
      </c>
      <c r="UUQ28">
        <f t="array" ref="UUQ28">_xlfn.XLOOKUP(UUQ$11,Assumptions!$B$35:$H$35,_xlfn.XLOOKUP($C28,Assumptions!$B$36:$B$41,Assumptions!$B$36:$H$41))</f>
        <v>0</v>
      </c>
      <c r="UUR28">
        <f t="array" ref="UUR28">_xlfn.XLOOKUP(UUR$11,Assumptions!$B$35:$H$35,_xlfn.XLOOKUP($C28,Assumptions!$B$36:$B$41,Assumptions!$B$36:$H$41))</f>
        <v>0</v>
      </c>
      <c r="UUS28">
        <f t="array" ref="UUS28">_xlfn.XLOOKUP(UUS$11,Assumptions!$B$35:$H$35,_xlfn.XLOOKUP($C28,Assumptions!$B$36:$B$41,Assumptions!$B$36:$H$41))</f>
        <v>0</v>
      </c>
      <c r="UUT28">
        <f t="array" ref="UUT28">_xlfn.XLOOKUP(UUT$11,Assumptions!$B$35:$H$35,_xlfn.XLOOKUP($C28,Assumptions!$B$36:$B$41,Assumptions!$B$36:$H$41))</f>
        <v>0</v>
      </c>
      <c r="UUU28">
        <f t="array" ref="UUU28">_xlfn.XLOOKUP(UUU$11,Assumptions!$B$35:$H$35,_xlfn.XLOOKUP($C28,Assumptions!$B$36:$B$41,Assumptions!$B$36:$H$41))</f>
        <v>0</v>
      </c>
      <c r="UUV28">
        <f t="array" ref="UUV28">_xlfn.XLOOKUP(UUV$11,Assumptions!$B$35:$H$35,_xlfn.XLOOKUP($C28,Assumptions!$B$36:$B$41,Assumptions!$B$36:$H$41))</f>
        <v>0</v>
      </c>
      <c r="UUW28">
        <f t="array" ref="UUW28">_xlfn.XLOOKUP(UUW$11,Assumptions!$B$35:$H$35,_xlfn.XLOOKUP($C28,Assumptions!$B$36:$B$41,Assumptions!$B$36:$H$41))</f>
        <v>0</v>
      </c>
      <c r="UUX28">
        <f t="array" ref="UUX28">_xlfn.XLOOKUP(UUX$11,Assumptions!$B$35:$H$35,_xlfn.XLOOKUP($C28,Assumptions!$B$36:$B$41,Assumptions!$B$36:$H$41))</f>
        <v>0</v>
      </c>
      <c r="UUY28">
        <f t="array" ref="UUY28">_xlfn.XLOOKUP(UUY$11,Assumptions!$B$35:$H$35,_xlfn.XLOOKUP($C28,Assumptions!$B$36:$B$41,Assumptions!$B$36:$H$41))</f>
        <v>0</v>
      </c>
      <c r="UUZ28">
        <f t="array" ref="UUZ28">_xlfn.XLOOKUP(UUZ$11,Assumptions!$B$35:$H$35,_xlfn.XLOOKUP($C28,Assumptions!$B$36:$B$41,Assumptions!$B$36:$H$41))</f>
        <v>0</v>
      </c>
      <c r="UVA28">
        <f t="array" ref="UVA28">_xlfn.XLOOKUP(UVA$11,Assumptions!$B$35:$H$35,_xlfn.XLOOKUP($C28,Assumptions!$B$36:$B$41,Assumptions!$B$36:$H$41))</f>
        <v>0</v>
      </c>
      <c r="UVB28">
        <f t="array" ref="UVB28">_xlfn.XLOOKUP(UVB$11,Assumptions!$B$35:$H$35,_xlfn.XLOOKUP($C28,Assumptions!$B$36:$B$41,Assumptions!$B$36:$H$41))</f>
        <v>0</v>
      </c>
      <c r="UVC28">
        <f t="array" ref="UVC28">_xlfn.XLOOKUP(UVC$11,Assumptions!$B$35:$H$35,_xlfn.XLOOKUP($C28,Assumptions!$B$36:$B$41,Assumptions!$B$36:$H$41))</f>
        <v>0</v>
      </c>
      <c r="UVD28">
        <f t="array" ref="UVD28">_xlfn.XLOOKUP(UVD$11,Assumptions!$B$35:$H$35,_xlfn.XLOOKUP($C28,Assumptions!$B$36:$B$41,Assumptions!$B$36:$H$41))</f>
        <v>0</v>
      </c>
      <c r="UVE28">
        <f t="array" ref="UVE28">_xlfn.XLOOKUP(UVE$11,Assumptions!$B$35:$H$35,_xlfn.XLOOKUP($C28,Assumptions!$B$36:$B$41,Assumptions!$B$36:$H$41))</f>
        <v>0</v>
      </c>
      <c r="UVF28">
        <f t="array" ref="UVF28">_xlfn.XLOOKUP(UVF$11,Assumptions!$B$35:$H$35,_xlfn.XLOOKUP($C28,Assumptions!$B$36:$B$41,Assumptions!$B$36:$H$41))</f>
        <v>0</v>
      </c>
      <c r="UVG28">
        <f t="array" ref="UVG28">_xlfn.XLOOKUP(UVG$11,Assumptions!$B$35:$H$35,_xlfn.XLOOKUP($C28,Assumptions!$B$36:$B$41,Assumptions!$B$36:$H$41))</f>
        <v>0</v>
      </c>
      <c r="UVH28">
        <f t="array" ref="UVH28">_xlfn.XLOOKUP(UVH$11,Assumptions!$B$35:$H$35,_xlfn.XLOOKUP($C28,Assumptions!$B$36:$B$41,Assumptions!$B$36:$H$41))</f>
        <v>0</v>
      </c>
      <c r="UVI28">
        <f t="array" ref="UVI28">_xlfn.XLOOKUP(UVI$11,Assumptions!$B$35:$H$35,_xlfn.XLOOKUP($C28,Assumptions!$B$36:$B$41,Assumptions!$B$36:$H$41))</f>
        <v>0</v>
      </c>
      <c r="UVJ28">
        <f t="array" ref="UVJ28">_xlfn.XLOOKUP(UVJ$11,Assumptions!$B$35:$H$35,_xlfn.XLOOKUP($C28,Assumptions!$B$36:$B$41,Assumptions!$B$36:$H$41))</f>
        <v>0</v>
      </c>
      <c r="UVK28">
        <f t="array" ref="UVK28">_xlfn.XLOOKUP(UVK$11,Assumptions!$B$35:$H$35,_xlfn.XLOOKUP($C28,Assumptions!$B$36:$B$41,Assumptions!$B$36:$H$41))</f>
        <v>0</v>
      </c>
      <c r="UVL28">
        <f t="array" ref="UVL28">_xlfn.XLOOKUP(UVL$11,Assumptions!$B$35:$H$35,_xlfn.XLOOKUP($C28,Assumptions!$B$36:$B$41,Assumptions!$B$36:$H$41))</f>
        <v>0</v>
      </c>
      <c r="UVM28">
        <f t="array" ref="UVM28">_xlfn.XLOOKUP(UVM$11,Assumptions!$B$35:$H$35,_xlfn.XLOOKUP($C28,Assumptions!$B$36:$B$41,Assumptions!$B$36:$H$41))</f>
        <v>0</v>
      </c>
      <c r="UVN28">
        <f t="array" ref="UVN28">_xlfn.XLOOKUP(UVN$11,Assumptions!$B$35:$H$35,_xlfn.XLOOKUP($C28,Assumptions!$B$36:$B$41,Assumptions!$B$36:$H$41))</f>
        <v>0</v>
      </c>
      <c r="UVO28">
        <f t="array" ref="UVO28">_xlfn.XLOOKUP(UVO$11,Assumptions!$B$35:$H$35,_xlfn.XLOOKUP($C28,Assumptions!$B$36:$B$41,Assumptions!$B$36:$H$41))</f>
        <v>0</v>
      </c>
      <c r="UVP28">
        <f t="array" ref="UVP28">_xlfn.XLOOKUP(UVP$11,Assumptions!$B$35:$H$35,_xlfn.XLOOKUP($C28,Assumptions!$B$36:$B$41,Assumptions!$B$36:$H$41))</f>
        <v>0</v>
      </c>
      <c r="UVQ28">
        <f t="array" ref="UVQ28">_xlfn.XLOOKUP(UVQ$11,Assumptions!$B$35:$H$35,_xlfn.XLOOKUP($C28,Assumptions!$B$36:$B$41,Assumptions!$B$36:$H$41))</f>
        <v>0</v>
      </c>
      <c r="UVR28">
        <f t="array" ref="UVR28">_xlfn.XLOOKUP(UVR$11,Assumptions!$B$35:$H$35,_xlfn.XLOOKUP($C28,Assumptions!$B$36:$B$41,Assumptions!$B$36:$H$41))</f>
        <v>0</v>
      </c>
      <c r="UVS28">
        <f t="array" ref="UVS28">_xlfn.XLOOKUP(UVS$11,Assumptions!$B$35:$H$35,_xlfn.XLOOKUP($C28,Assumptions!$B$36:$B$41,Assumptions!$B$36:$H$41))</f>
        <v>0</v>
      </c>
      <c r="UVT28">
        <f t="array" ref="UVT28">_xlfn.XLOOKUP(UVT$11,Assumptions!$B$35:$H$35,_xlfn.XLOOKUP($C28,Assumptions!$B$36:$B$41,Assumptions!$B$36:$H$41))</f>
        <v>0</v>
      </c>
      <c r="UVU28">
        <f t="array" ref="UVU28">_xlfn.XLOOKUP(UVU$11,Assumptions!$B$35:$H$35,_xlfn.XLOOKUP($C28,Assumptions!$B$36:$B$41,Assumptions!$B$36:$H$41))</f>
        <v>0</v>
      </c>
      <c r="UVV28">
        <f t="array" ref="UVV28">_xlfn.XLOOKUP(UVV$11,Assumptions!$B$35:$H$35,_xlfn.XLOOKUP($C28,Assumptions!$B$36:$B$41,Assumptions!$B$36:$H$41))</f>
        <v>0</v>
      </c>
      <c r="UVW28">
        <f t="array" ref="UVW28">_xlfn.XLOOKUP(UVW$11,Assumptions!$B$35:$H$35,_xlfn.XLOOKUP($C28,Assumptions!$B$36:$B$41,Assumptions!$B$36:$H$41))</f>
        <v>0</v>
      </c>
      <c r="UVX28">
        <f t="array" ref="UVX28">_xlfn.XLOOKUP(UVX$11,Assumptions!$B$35:$H$35,_xlfn.XLOOKUP($C28,Assumptions!$B$36:$B$41,Assumptions!$B$36:$H$41))</f>
        <v>0</v>
      </c>
      <c r="UVY28">
        <f t="array" ref="UVY28">_xlfn.XLOOKUP(UVY$11,Assumptions!$B$35:$H$35,_xlfn.XLOOKUP($C28,Assumptions!$B$36:$B$41,Assumptions!$B$36:$H$41))</f>
        <v>0</v>
      </c>
      <c r="UVZ28">
        <f t="array" ref="UVZ28">_xlfn.XLOOKUP(UVZ$11,Assumptions!$B$35:$H$35,_xlfn.XLOOKUP($C28,Assumptions!$B$36:$B$41,Assumptions!$B$36:$H$41))</f>
        <v>0</v>
      </c>
      <c r="UWA28">
        <f t="array" ref="UWA28">_xlfn.XLOOKUP(UWA$11,Assumptions!$B$35:$H$35,_xlfn.XLOOKUP($C28,Assumptions!$B$36:$B$41,Assumptions!$B$36:$H$41))</f>
        <v>0</v>
      </c>
      <c r="UWB28">
        <f t="array" ref="UWB28">_xlfn.XLOOKUP(UWB$11,Assumptions!$B$35:$H$35,_xlfn.XLOOKUP($C28,Assumptions!$B$36:$B$41,Assumptions!$B$36:$H$41))</f>
        <v>0</v>
      </c>
      <c r="UWC28">
        <f t="array" ref="UWC28">_xlfn.XLOOKUP(UWC$11,Assumptions!$B$35:$H$35,_xlfn.XLOOKUP($C28,Assumptions!$B$36:$B$41,Assumptions!$B$36:$H$41))</f>
        <v>0</v>
      </c>
      <c r="UWD28">
        <f t="array" ref="UWD28">_xlfn.XLOOKUP(UWD$11,Assumptions!$B$35:$H$35,_xlfn.XLOOKUP($C28,Assumptions!$B$36:$B$41,Assumptions!$B$36:$H$41))</f>
        <v>0</v>
      </c>
      <c r="UWE28">
        <f t="array" ref="UWE28">_xlfn.XLOOKUP(UWE$11,Assumptions!$B$35:$H$35,_xlfn.XLOOKUP($C28,Assumptions!$B$36:$B$41,Assumptions!$B$36:$H$41))</f>
        <v>0</v>
      </c>
      <c r="UWF28">
        <f t="array" ref="UWF28">_xlfn.XLOOKUP(UWF$11,Assumptions!$B$35:$H$35,_xlfn.XLOOKUP($C28,Assumptions!$B$36:$B$41,Assumptions!$B$36:$H$41))</f>
        <v>0</v>
      </c>
      <c r="UWG28">
        <f t="array" ref="UWG28">_xlfn.XLOOKUP(UWG$11,Assumptions!$B$35:$H$35,_xlfn.XLOOKUP($C28,Assumptions!$B$36:$B$41,Assumptions!$B$36:$H$41))</f>
        <v>0</v>
      </c>
      <c r="UWH28">
        <f t="array" ref="UWH28">_xlfn.XLOOKUP(UWH$11,Assumptions!$B$35:$H$35,_xlfn.XLOOKUP($C28,Assumptions!$B$36:$B$41,Assumptions!$B$36:$H$41))</f>
        <v>0</v>
      </c>
      <c r="UWI28">
        <f t="array" ref="UWI28">_xlfn.XLOOKUP(UWI$11,Assumptions!$B$35:$H$35,_xlfn.XLOOKUP($C28,Assumptions!$B$36:$B$41,Assumptions!$B$36:$H$41))</f>
        <v>0</v>
      </c>
      <c r="UWJ28">
        <f t="array" ref="UWJ28">_xlfn.XLOOKUP(UWJ$11,Assumptions!$B$35:$H$35,_xlfn.XLOOKUP($C28,Assumptions!$B$36:$B$41,Assumptions!$B$36:$H$41))</f>
        <v>0</v>
      </c>
      <c r="UWK28">
        <f t="array" ref="UWK28">_xlfn.XLOOKUP(UWK$11,Assumptions!$B$35:$H$35,_xlfn.XLOOKUP($C28,Assumptions!$B$36:$B$41,Assumptions!$B$36:$H$41))</f>
        <v>0</v>
      </c>
      <c r="UWL28">
        <f t="array" ref="UWL28">_xlfn.XLOOKUP(UWL$11,Assumptions!$B$35:$H$35,_xlfn.XLOOKUP($C28,Assumptions!$B$36:$B$41,Assumptions!$B$36:$H$41))</f>
        <v>0</v>
      </c>
      <c r="UWM28">
        <f t="array" ref="UWM28">_xlfn.XLOOKUP(UWM$11,Assumptions!$B$35:$H$35,_xlfn.XLOOKUP($C28,Assumptions!$B$36:$B$41,Assumptions!$B$36:$H$41))</f>
        <v>0</v>
      </c>
      <c r="UWN28">
        <f t="array" ref="UWN28">_xlfn.XLOOKUP(UWN$11,Assumptions!$B$35:$H$35,_xlfn.XLOOKUP($C28,Assumptions!$B$36:$B$41,Assumptions!$B$36:$H$41))</f>
        <v>0</v>
      </c>
      <c r="UWO28">
        <f t="array" ref="UWO28">_xlfn.XLOOKUP(UWO$11,Assumptions!$B$35:$H$35,_xlfn.XLOOKUP($C28,Assumptions!$B$36:$B$41,Assumptions!$B$36:$H$41))</f>
        <v>0</v>
      </c>
      <c r="UWP28">
        <f t="array" ref="UWP28">_xlfn.XLOOKUP(UWP$11,Assumptions!$B$35:$H$35,_xlfn.XLOOKUP($C28,Assumptions!$B$36:$B$41,Assumptions!$B$36:$H$41))</f>
        <v>0</v>
      </c>
      <c r="UWQ28">
        <f t="array" ref="UWQ28">_xlfn.XLOOKUP(UWQ$11,Assumptions!$B$35:$H$35,_xlfn.XLOOKUP($C28,Assumptions!$B$36:$B$41,Assumptions!$B$36:$H$41))</f>
        <v>0</v>
      </c>
      <c r="UWR28">
        <f t="array" ref="UWR28">_xlfn.XLOOKUP(UWR$11,Assumptions!$B$35:$H$35,_xlfn.XLOOKUP($C28,Assumptions!$B$36:$B$41,Assumptions!$B$36:$H$41))</f>
        <v>0</v>
      </c>
      <c r="UWS28">
        <f t="array" ref="UWS28">_xlfn.XLOOKUP(UWS$11,Assumptions!$B$35:$H$35,_xlfn.XLOOKUP($C28,Assumptions!$B$36:$B$41,Assumptions!$B$36:$H$41))</f>
        <v>0</v>
      </c>
      <c r="UWT28">
        <f t="array" ref="UWT28">_xlfn.XLOOKUP(UWT$11,Assumptions!$B$35:$H$35,_xlfn.XLOOKUP($C28,Assumptions!$B$36:$B$41,Assumptions!$B$36:$H$41))</f>
        <v>0</v>
      </c>
      <c r="UWU28">
        <f t="array" ref="UWU28">_xlfn.XLOOKUP(UWU$11,Assumptions!$B$35:$H$35,_xlfn.XLOOKUP($C28,Assumptions!$B$36:$B$41,Assumptions!$B$36:$H$41))</f>
        <v>0</v>
      </c>
      <c r="UWV28">
        <f t="array" ref="UWV28">_xlfn.XLOOKUP(UWV$11,Assumptions!$B$35:$H$35,_xlfn.XLOOKUP($C28,Assumptions!$B$36:$B$41,Assumptions!$B$36:$H$41))</f>
        <v>0</v>
      </c>
      <c r="UWW28">
        <f t="array" ref="UWW28">_xlfn.XLOOKUP(UWW$11,Assumptions!$B$35:$H$35,_xlfn.XLOOKUP($C28,Assumptions!$B$36:$B$41,Assumptions!$B$36:$H$41))</f>
        <v>0</v>
      </c>
      <c r="UWX28">
        <f t="array" ref="UWX28">_xlfn.XLOOKUP(UWX$11,Assumptions!$B$35:$H$35,_xlfn.XLOOKUP($C28,Assumptions!$B$36:$B$41,Assumptions!$B$36:$H$41))</f>
        <v>0</v>
      </c>
      <c r="UWY28">
        <f t="array" ref="UWY28">_xlfn.XLOOKUP(UWY$11,Assumptions!$B$35:$H$35,_xlfn.XLOOKUP($C28,Assumptions!$B$36:$B$41,Assumptions!$B$36:$H$41))</f>
        <v>0</v>
      </c>
      <c r="UWZ28">
        <f t="array" ref="UWZ28">_xlfn.XLOOKUP(UWZ$11,Assumptions!$B$35:$H$35,_xlfn.XLOOKUP($C28,Assumptions!$B$36:$B$41,Assumptions!$B$36:$H$41))</f>
        <v>0</v>
      </c>
      <c r="UXA28">
        <f t="array" ref="UXA28">_xlfn.XLOOKUP(UXA$11,Assumptions!$B$35:$H$35,_xlfn.XLOOKUP($C28,Assumptions!$B$36:$B$41,Assumptions!$B$36:$H$41))</f>
        <v>0</v>
      </c>
      <c r="UXB28">
        <f t="array" ref="UXB28">_xlfn.XLOOKUP(UXB$11,Assumptions!$B$35:$H$35,_xlfn.XLOOKUP($C28,Assumptions!$B$36:$B$41,Assumptions!$B$36:$H$41))</f>
        <v>0</v>
      </c>
      <c r="UXC28">
        <f t="array" ref="UXC28">_xlfn.XLOOKUP(UXC$11,Assumptions!$B$35:$H$35,_xlfn.XLOOKUP($C28,Assumptions!$B$36:$B$41,Assumptions!$B$36:$H$41))</f>
        <v>0</v>
      </c>
      <c r="UXD28">
        <f t="array" ref="UXD28">_xlfn.XLOOKUP(UXD$11,Assumptions!$B$35:$H$35,_xlfn.XLOOKUP($C28,Assumptions!$B$36:$B$41,Assumptions!$B$36:$H$41))</f>
        <v>0</v>
      </c>
      <c r="UXE28">
        <f t="array" ref="UXE28">_xlfn.XLOOKUP(UXE$11,Assumptions!$B$35:$H$35,_xlfn.XLOOKUP($C28,Assumptions!$B$36:$B$41,Assumptions!$B$36:$H$41))</f>
        <v>0</v>
      </c>
      <c r="UXF28">
        <f t="array" ref="UXF28">_xlfn.XLOOKUP(UXF$11,Assumptions!$B$35:$H$35,_xlfn.XLOOKUP($C28,Assumptions!$B$36:$B$41,Assumptions!$B$36:$H$41))</f>
        <v>0</v>
      </c>
      <c r="UXG28">
        <f t="array" ref="UXG28">_xlfn.XLOOKUP(UXG$11,Assumptions!$B$35:$H$35,_xlfn.XLOOKUP($C28,Assumptions!$B$36:$B$41,Assumptions!$B$36:$H$41))</f>
        <v>0</v>
      </c>
      <c r="UXH28">
        <f t="array" ref="UXH28">_xlfn.XLOOKUP(UXH$11,Assumptions!$B$35:$H$35,_xlfn.XLOOKUP($C28,Assumptions!$B$36:$B$41,Assumptions!$B$36:$H$41))</f>
        <v>0</v>
      </c>
      <c r="UXI28">
        <f t="array" ref="UXI28">_xlfn.XLOOKUP(UXI$11,Assumptions!$B$35:$H$35,_xlfn.XLOOKUP($C28,Assumptions!$B$36:$B$41,Assumptions!$B$36:$H$41))</f>
        <v>0</v>
      </c>
      <c r="UXJ28">
        <f t="array" ref="UXJ28">_xlfn.XLOOKUP(UXJ$11,Assumptions!$B$35:$H$35,_xlfn.XLOOKUP($C28,Assumptions!$B$36:$B$41,Assumptions!$B$36:$H$41))</f>
        <v>0</v>
      </c>
      <c r="UXK28">
        <f t="array" ref="UXK28">_xlfn.XLOOKUP(UXK$11,Assumptions!$B$35:$H$35,_xlfn.XLOOKUP($C28,Assumptions!$B$36:$B$41,Assumptions!$B$36:$H$41))</f>
        <v>0</v>
      </c>
      <c r="UXL28">
        <f t="array" ref="UXL28">_xlfn.XLOOKUP(UXL$11,Assumptions!$B$35:$H$35,_xlfn.XLOOKUP($C28,Assumptions!$B$36:$B$41,Assumptions!$B$36:$H$41))</f>
        <v>0</v>
      </c>
      <c r="UXM28">
        <f t="array" ref="UXM28">_xlfn.XLOOKUP(UXM$11,Assumptions!$B$35:$H$35,_xlfn.XLOOKUP($C28,Assumptions!$B$36:$B$41,Assumptions!$B$36:$H$41))</f>
        <v>0</v>
      </c>
      <c r="UXN28">
        <f t="array" ref="UXN28">_xlfn.XLOOKUP(UXN$11,Assumptions!$B$35:$H$35,_xlfn.XLOOKUP($C28,Assumptions!$B$36:$B$41,Assumptions!$B$36:$H$41))</f>
        <v>0</v>
      </c>
      <c r="UXO28">
        <f t="array" ref="UXO28">_xlfn.XLOOKUP(UXO$11,Assumptions!$B$35:$H$35,_xlfn.XLOOKUP($C28,Assumptions!$B$36:$B$41,Assumptions!$B$36:$H$41))</f>
        <v>0</v>
      </c>
      <c r="UXP28">
        <f t="array" ref="UXP28">_xlfn.XLOOKUP(UXP$11,Assumptions!$B$35:$H$35,_xlfn.XLOOKUP($C28,Assumptions!$B$36:$B$41,Assumptions!$B$36:$H$41))</f>
        <v>0</v>
      </c>
      <c r="UXQ28">
        <f t="array" ref="UXQ28">_xlfn.XLOOKUP(UXQ$11,Assumptions!$B$35:$H$35,_xlfn.XLOOKUP($C28,Assumptions!$B$36:$B$41,Assumptions!$B$36:$H$41))</f>
        <v>0</v>
      </c>
      <c r="UXR28">
        <f t="array" ref="UXR28">_xlfn.XLOOKUP(UXR$11,Assumptions!$B$35:$H$35,_xlfn.XLOOKUP($C28,Assumptions!$B$36:$B$41,Assumptions!$B$36:$H$41))</f>
        <v>0</v>
      </c>
      <c r="UXS28">
        <f t="array" ref="UXS28">_xlfn.XLOOKUP(UXS$11,Assumptions!$B$35:$H$35,_xlfn.XLOOKUP($C28,Assumptions!$B$36:$B$41,Assumptions!$B$36:$H$41))</f>
        <v>0</v>
      </c>
      <c r="UXT28">
        <f t="array" ref="UXT28">_xlfn.XLOOKUP(UXT$11,Assumptions!$B$35:$H$35,_xlfn.XLOOKUP($C28,Assumptions!$B$36:$B$41,Assumptions!$B$36:$H$41))</f>
        <v>0</v>
      </c>
      <c r="UXU28">
        <f t="array" ref="UXU28">_xlfn.XLOOKUP(UXU$11,Assumptions!$B$35:$H$35,_xlfn.XLOOKUP($C28,Assumptions!$B$36:$B$41,Assumptions!$B$36:$H$41))</f>
        <v>0</v>
      </c>
      <c r="UXV28">
        <f t="array" ref="UXV28">_xlfn.XLOOKUP(UXV$11,Assumptions!$B$35:$H$35,_xlfn.XLOOKUP($C28,Assumptions!$B$36:$B$41,Assumptions!$B$36:$H$41))</f>
        <v>0</v>
      </c>
      <c r="UXW28">
        <f t="array" ref="UXW28">_xlfn.XLOOKUP(UXW$11,Assumptions!$B$35:$H$35,_xlfn.XLOOKUP($C28,Assumptions!$B$36:$B$41,Assumptions!$B$36:$H$41))</f>
        <v>0</v>
      </c>
      <c r="UXX28">
        <f t="array" ref="UXX28">_xlfn.XLOOKUP(UXX$11,Assumptions!$B$35:$H$35,_xlfn.XLOOKUP($C28,Assumptions!$B$36:$B$41,Assumptions!$B$36:$H$41))</f>
        <v>0</v>
      </c>
      <c r="UXY28">
        <f t="array" ref="UXY28">_xlfn.XLOOKUP(UXY$11,Assumptions!$B$35:$H$35,_xlfn.XLOOKUP($C28,Assumptions!$B$36:$B$41,Assumptions!$B$36:$H$41))</f>
        <v>0</v>
      </c>
      <c r="UXZ28">
        <f t="array" ref="UXZ28">_xlfn.XLOOKUP(UXZ$11,Assumptions!$B$35:$H$35,_xlfn.XLOOKUP($C28,Assumptions!$B$36:$B$41,Assumptions!$B$36:$H$41))</f>
        <v>0</v>
      </c>
      <c r="UYA28">
        <f t="array" ref="UYA28">_xlfn.XLOOKUP(UYA$11,Assumptions!$B$35:$H$35,_xlfn.XLOOKUP($C28,Assumptions!$B$36:$B$41,Assumptions!$B$36:$H$41))</f>
        <v>0</v>
      </c>
      <c r="UYB28">
        <f t="array" ref="UYB28">_xlfn.XLOOKUP(UYB$11,Assumptions!$B$35:$H$35,_xlfn.XLOOKUP($C28,Assumptions!$B$36:$B$41,Assumptions!$B$36:$H$41))</f>
        <v>0</v>
      </c>
      <c r="UYC28">
        <f t="array" ref="UYC28">_xlfn.XLOOKUP(UYC$11,Assumptions!$B$35:$H$35,_xlfn.XLOOKUP($C28,Assumptions!$B$36:$B$41,Assumptions!$B$36:$H$41))</f>
        <v>0</v>
      </c>
      <c r="UYD28">
        <f t="array" ref="UYD28">_xlfn.XLOOKUP(UYD$11,Assumptions!$B$35:$H$35,_xlfn.XLOOKUP($C28,Assumptions!$B$36:$B$41,Assumptions!$B$36:$H$41))</f>
        <v>0</v>
      </c>
      <c r="UYE28">
        <f t="array" ref="UYE28">_xlfn.XLOOKUP(UYE$11,Assumptions!$B$35:$H$35,_xlfn.XLOOKUP($C28,Assumptions!$B$36:$B$41,Assumptions!$B$36:$H$41))</f>
        <v>0</v>
      </c>
      <c r="UYF28">
        <f t="array" ref="UYF28">_xlfn.XLOOKUP(UYF$11,Assumptions!$B$35:$H$35,_xlfn.XLOOKUP($C28,Assumptions!$B$36:$B$41,Assumptions!$B$36:$H$41))</f>
        <v>0</v>
      </c>
      <c r="UYG28">
        <f t="array" ref="UYG28">_xlfn.XLOOKUP(UYG$11,Assumptions!$B$35:$H$35,_xlfn.XLOOKUP($C28,Assumptions!$B$36:$B$41,Assumptions!$B$36:$H$41))</f>
        <v>0</v>
      </c>
      <c r="UYH28">
        <f t="array" ref="UYH28">_xlfn.XLOOKUP(UYH$11,Assumptions!$B$35:$H$35,_xlfn.XLOOKUP($C28,Assumptions!$B$36:$B$41,Assumptions!$B$36:$H$41))</f>
        <v>0</v>
      </c>
      <c r="UYI28">
        <f t="array" ref="UYI28">_xlfn.XLOOKUP(UYI$11,Assumptions!$B$35:$H$35,_xlfn.XLOOKUP($C28,Assumptions!$B$36:$B$41,Assumptions!$B$36:$H$41))</f>
        <v>0</v>
      </c>
      <c r="UYJ28">
        <f t="array" ref="UYJ28">_xlfn.XLOOKUP(UYJ$11,Assumptions!$B$35:$H$35,_xlfn.XLOOKUP($C28,Assumptions!$B$36:$B$41,Assumptions!$B$36:$H$41))</f>
        <v>0</v>
      </c>
      <c r="UYK28">
        <f t="array" ref="UYK28">_xlfn.XLOOKUP(UYK$11,Assumptions!$B$35:$H$35,_xlfn.XLOOKUP($C28,Assumptions!$B$36:$B$41,Assumptions!$B$36:$H$41))</f>
        <v>0</v>
      </c>
      <c r="UYL28">
        <f t="array" ref="UYL28">_xlfn.XLOOKUP(UYL$11,Assumptions!$B$35:$H$35,_xlfn.XLOOKUP($C28,Assumptions!$B$36:$B$41,Assumptions!$B$36:$H$41))</f>
        <v>0</v>
      </c>
      <c r="UYM28">
        <f t="array" ref="UYM28">_xlfn.XLOOKUP(UYM$11,Assumptions!$B$35:$H$35,_xlfn.XLOOKUP($C28,Assumptions!$B$36:$B$41,Assumptions!$B$36:$H$41))</f>
        <v>0</v>
      </c>
      <c r="UYN28">
        <f t="array" ref="UYN28">_xlfn.XLOOKUP(UYN$11,Assumptions!$B$35:$H$35,_xlfn.XLOOKUP($C28,Assumptions!$B$36:$B$41,Assumptions!$B$36:$H$41))</f>
        <v>0</v>
      </c>
      <c r="UYO28">
        <f t="array" ref="UYO28">_xlfn.XLOOKUP(UYO$11,Assumptions!$B$35:$H$35,_xlfn.XLOOKUP($C28,Assumptions!$B$36:$B$41,Assumptions!$B$36:$H$41))</f>
        <v>0</v>
      </c>
      <c r="UYP28">
        <f t="array" ref="UYP28">_xlfn.XLOOKUP(UYP$11,Assumptions!$B$35:$H$35,_xlfn.XLOOKUP($C28,Assumptions!$B$36:$B$41,Assumptions!$B$36:$H$41))</f>
        <v>0</v>
      </c>
      <c r="UYQ28">
        <f t="array" ref="UYQ28">_xlfn.XLOOKUP(UYQ$11,Assumptions!$B$35:$H$35,_xlfn.XLOOKUP($C28,Assumptions!$B$36:$B$41,Assumptions!$B$36:$H$41))</f>
        <v>0</v>
      </c>
      <c r="UYR28">
        <f t="array" ref="UYR28">_xlfn.XLOOKUP(UYR$11,Assumptions!$B$35:$H$35,_xlfn.XLOOKUP($C28,Assumptions!$B$36:$B$41,Assumptions!$B$36:$H$41))</f>
        <v>0</v>
      </c>
      <c r="UYS28">
        <f t="array" ref="UYS28">_xlfn.XLOOKUP(UYS$11,Assumptions!$B$35:$H$35,_xlfn.XLOOKUP($C28,Assumptions!$B$36:$B$41,Assumptions!$B$36:$H$41))</f>
        <v>0</v>
      </c>
      <c r="UYT28">
        <f t="array" ref="UYT28">_xlfn.XLOOKUP(UYT$11,Assumptions!$B$35:$H$35,_xlfn.XLOOKUP($C28,Assumptions!$B$36:$B$41,Assumptions!$B$36:$H$41))</f>
        <v>0</v>
      </c>
      <c r="UYU28">
        <f t="array" ref="UYU28">_xlfn.XLOOKUP(UYU$11,Assumptions!$B$35:$H$35,_xlfn.XLOOKUP($C28,Assumptions!$B$36:$B$41,Assumptions!$B$36:$H$41))</f>
        <v>0</v>
      </c>
      <c r="UYV28">
        <f t="array" ref="UYV28">_xlfn.XLOOKUP(UYV$11,Assumptions!$B$35:$H$35,_xlfn.XLOOKUP($C28,Assumptions!$B$36:$B$41,Assumptions!$B$36:$H$41))</f>
        <v>0</v>
      </c>
      <c r="UYW28">
        <f t="array" ref="UYW28">_xlfn.XLOOKUP(UYW$11,Assumptions!$B$35:$H$35,_xlfn.XLOOKUP($C28,Assumptions!$B$36:$B$41,Assumptions!$B$36:$H$41))</f>
        <v>0</v>
      </c>
      <c r="UYX28">
        <f t="array" ref="UYX28">_xlfn.XLOOKUP(UYX$11,Assumptions!$B$35:$H$35,_xlfn.XLOOKUP($C28,Assumptions!$B$36:$B$41,Assumptions!$B$36:$H$41))</f>
        <v>0</v>
      </c>
      <c r="UYY28">
        <f t="array" ref="UYY28">_xlfn.XLOOKUP(UYY$11,Assumptions!$B$35:$H$35,_xlfn.XLOOKUP($C28,Assumptions!$B$36:$B$41,Assumptions!$B$36:$H$41))</f>
        <v>0</v>
      </c>
      <c r="UYZ28">
        <f t="array" ref="UYZ28">_xlfn.XLOOKUP(UYZ$11,Assumptions!$B$35:$H$35,_xlfn.XLOOKUP($C28,Assumptions!$B$36:$B$41,Assumptions!$B$36:$H$41))</f>
        <v>0</v>
      </c>
      <c r="UZA28">
        <f t="array" ref="UZA28">_xlfn.XLOOKUP(UZA$11,Assumptions!$B$35:$H$35,_xlfn.XLOOKUP($C28,Assumptions!$B$36:$B$41,Assumptions!$B$36:$H$41))</f>
        <v>0</v>
      </c>
      <c r="UZB28">
        <f t="array" ref="UZB28">_xlfn.XLOOKUP(UZB$11,Assumptions!$B$35:$H$35,_xlfn.XLOOKUP($C28,Assumptions!$B$36:$B$41,Assumptions!$B$36:$H$41))</f>
        <v>0</v>
      </c>
      <c r="UZC28">
        <f t="array" ref="UZC28">_xlfn.XLOOKUP(UZC$11,Assumptions!$B$35:$H$35,_xlfn.XLOOKUP($C28,Assumptions!$B$36:$B$41,Assumptions!$B$36:$H$41))</f>
        <v>0</v>
      </c>
      <c r="UZD28">
        <f t="array" ref="UZD28">_xlfn.XLOOKUP(UZD$11,Assumptions!$B$35:$H$35,_xlfn.XLOOKUP($C28,Assumptions!$B$36:$B$41,Assumptions!$B$36:$H$41))</f>
        <v>0</v>
      </c>
      <c r="UZE28">
        <f t="array" ref="UZE28">_xlfn.XLOOKUP(UZE$11,Assumptions!$B$35:$H$35,_xlfn.XLOOKUP($C28,Assumptions!$B$36:$B$41,Assumptions!$B$36:$H$41))</f>
        <v>0</v>
      </c>
      <c r="UZF28">
        <f t="array" ref="UZF28">_xlfn.XLOOKUP(UZF$11,Assumptions!$B$35:$H$35,_xlfn.XLOOKUP($C28,Assumptions!$B$36:$B$41,Assumptions!$B$36:$H$41))</f>
        <v>0</v>
      </c>
      <c r="UZG28">
        <f t="array" ref="UZG28">_xlfn.XLOOKUP(UZG$11,Assumptions!$B$35:$H$35,_xlfn.XLOOKUP($C28,Assumptions!$B$36:$B$41,Assumptions!$B$36:$H$41))</f>
        <v>0</v>
      </c>
      <c r="UZH28">
        <f t="array" ref="UZH28">_xlfn.XLOOKUP(UZH$11,Assumptions!$B$35:$H$35,_xlfn.XLOOKUP($C28,Assumptions!$B$36:$B$41,Assumptions!$B$36:$H$41))</f>
        <v>0</v>
      </c>
      <c r="UZI28">
        <f t="array" ref="UZI28">_xlfn.XLOOKUP(UZI$11,Assumptions!$B$35:$H$35,_xlfn.XLOOKUP($C28,Assumptions!$B$36:$B$41,Assumptions!$B$36:$H$41))</f>
        <v>0</v>
      </c>
      <c r="UZJ28">
        <f t="array" ref="UZJ28">_xlfn.XLOOKUP(UZJ$11,Assumptions!$B$35:$H$35,_xlfn.XLOOKUP($C28,Assumptions!$B$36:$B$41,Assumptions!$B$36:$H$41))</f>
        <v>0</v>
      </c>
      <c r="UZK28">
        <f t="array" ref="UZK28">_xlfn.XLOOKUP(UZK$11,Assumptions!$B$35:$H$35,_xlfn.XLOOKUP($C28,Assumptions!$B$36:$B$41,Assumptions!$B$36:$H$41))</f>
        <v>0</v>
      </c>
      <c r="UZL28">
        <f t="array" ref="UZL28">_xlfn.XLOOKUP(UZL$11,Assumptions!$B$35:$H$35,_xlfn.XLOOKUP($C28,Assumptions!$B$36:$B$41,Assumptions!$B$36:$H$41))</f>
        <v>0</v>
      </c>
      <c r="UZM28">
        <f t="array" ref="UZM28">_xlfn.XLOOKUP(UZM$11,Assumptions!$B$35:$H$35,_xlfn.XLOOKUP($C28,Assumptions!$B$36:$B$41,Assumptions!$B$36:$H$41))</f>
        <v>0</v>
      </c>
      <c r="UZN28">
        <f t="array" ref="UZN28">_xlfn.XLOOKUP(UZN$11,Assumptions!$B$35:$H$35,_xlfn.XLOOKUP($C28,Assumptions!$B$36:$B$41,Assumptions!$B$36:$H$41))</f>
        <v>0</v>
      </c>
      <c r="UZO28">
        <f t="array" ref="UZO28">_xlfn.XLOOKUP(UZO$11,Assumptions!$B$35:$H$35,_xlfn.XLOOKUP($C28,Assumptions!$B$36:$B$41,Assumptions!$B$36:$H$41))</f>
        <v>0</v>
      </c>
      <c r="UZP28">
        <f t="array" ref="UZP28">_xlfn.XLOOKUP(UZP$11,Assumptions!$B$35:$H$35,_xlfn.XLOOKUP($C28,Assumptions!$B$36:$B$41,Assumptions!$B$36:$H$41))</f>
        <v>0</v>
      </c>
      <c r="UZQ28">
        <f t="array" ref="UZQ28">_xlfn.XLOOKUP(UZQ$11,Assumptions!$B$35:$H$35,_xlfn.XLOOKUP($C28,Assumptions!$B$36:$B$41,Assumptions!$B$36:$H$41))</f>
        <v>0</v>
      </c>
      <c r="UZR28">
        <f t="array" ref="UZR28">_xlfn.XLOOKUP(UZR$11,Assumptions!$B$35:$H$35,_xlfn.XLOOKUP($C28,Assumptions!$B$36:$B$41,Assumptions!$B$36:$H$41))</f>
        <v>0</v>
      </c>
      <c r="UZS28">
        <f t="array" ref="UZS28">_xlfn.XLOOKUP(UZS$11,Assumptions!$B$35:$H$35,_xlfn.XLOOKUP($C28,Assumptions!$B$36:$B$41,Assumptions!$B$36:$H$41))</f>
        <v>0</v>
      </c>
      <c r="UZT28">
        <f t="array" ref="UZT28">_xlfn.XLOOKUP(UZT$11,Assumptions!$B$35:$H$35,_xlfn.XLOOKUP($C28,Assumptions!$B$36:$B$41,Assumptions!$B$36:$H$41))</f>
        <v>0</v>
      </c>
      <c r="UZU28">
        <f t="array" ref="UZU28">_xlfn.XLOOKUP(UZU$11,Assumptions!$B$35:$H$35,_xlfn.XLOOKUP($C28,Assumptions!$B$36:$B$41,Assumptions!$B$36:$H$41))</f>
        <v>0</v>
      </c>
      <c r="UZV28">
        <f t="array" ref="UZV28">_xlfn.XLOOKUP(UZV$11,Assumptions!$B$35:$H$35,_xlfn.XLOOKUP($C28,Assumptions!$B$36:$B$41,Assumptions!$B$36:$H$41))</f>
        <v>0</v>
      </c>
      <c r="UZW28">
        <f t="array" ref="UZW28">_xlfn.XLOOKUP(UZW$11,Assumptions!$B$35:$H$35,_xlfn.XLOOKUP($C28,Assumptions!$B$36:$B$41,Assumptions!$B$36:$H$41))</f>
        <v>0</v>
      </c>
      <c r="UZX28">
        <f t="array" ref="UZX28">_xlfn.XLOOKUP(UZX$11,Assumptions!$B$35:$H$35,_xlfn.XLOOKUP($C28,Assumptions!$B$36:$B$41,Assumptions!$B$36:$H$41))</f>
        <v>0</v>
      </c>
      <c r="UZY28">
        <f t="array" ref="UZY28">_xlfn.XLOOKUP(UZY$11,Assumptions!$B$35:$H$35,_xlfn.XLOOKUP($C28,Assumptions!$B$36:$B$41,Assumptions!$B$36:$H$41))</f>
        <v>0</v>
      </c>
      <c r="UZZ28">
        <f t="array" ref="UZZ28">_xlfn.XLOOKUP(UZZ$11,Assumptions!$B$35:$H$35,_xlfn.XLOOKUP($C28,Assumptions!$B$36:$B$41,Assumptions!$B$36:$H$41))</f>
        <v>0</v>
      </c>
      <c r="VAA28">
        <f t="array" ref="VAA28">_xlfn.XLOOKUP(VAA$11,Assumptions!$B$35:$H$35,_xlfn.XLOOKUP($C28,Assumptions!$B$36:$B$41,Assumptions!$B$36:$H$41))</f>
        <v>0</v>
      </c>
      <c r="VAB28">
        <f t="array" ref="VAB28">_xlfn.XLOOKUP(VAB$11,Assumptions!$B$35:$H$35,_xlfn.XLOOKUP($C28,Assumptions!$B$36:$B$41,Assumptions!$B$36:$H$41))</f>
        <v>0</v>
      </c>
      <c r="VAC28">
        <f t="array" ref="VAC28">_xlfn.XLOOKUP(VAC$11,Assumptions!$B$35:$H$35,_xlfn.XLOOKUP($C28,Assumptions!$B$36:$B$41,Assumptions!$B$36:$H$41))</f>
        <v>0</v>
      </c>
      <c r="VAD28">
        <f t="array" ref="VAD28">_xlfn.XLOOKUP(VAD$11,Assumptions!$B$35:$H$35,_xlfn.XLOOKUP($C28,Assumptions!$B$36:$B$41,Assumptions!$B$36:$H$41))</f>
        <v>0</v>
      </c>
      <c r="VAE28">
        <f t="array" ref="VAE28">_xlfn.XLOOKUP(VAE$11,Assumptions!$B$35:$H$35,_xlfn.XLOOKUP($C28,Assumptions!$B$36:$B$41,Assumptions!$B$36:$H$41))</f>
        <v>0</v>
      </c>
      <c r="VAF28">
        <f t="array" ref="VAF28">_xlfn.XLOOKUP(VAF$11,Assumptions!$B$35:$H$35,_xlfn.XLOOKUP($C28,Assumptions!$B$36:$B$41,Assumptions!$B$36:$H$41))</f>
        <v>0</v>
      </c>
      <c r="VAG28">
        <f t="array" ref="VAG28">_xlfn.XLOOKUP(VAG$11,Assumptions!$B$35:$H$35,_xlfn.XLOOKUP($C28,Assumptions!$B$36:$B$41,Assumptions!$B$36:$H$41))</f>
        <v>0</v>
      </c>
      <c r="VAH28">
        <f t="array" ref="VAH28">_xlfn.XLOOKUP(VAH$11,Assumptions!$B$35:$H$35,_xlfn.XLOOKUP($C28,Assumptions!$B$36:$B$41,Assumptions!$B$36:$H$41))</f>
        <v>0</v>
      </c>
      <c r="VAI28">
        <f t="array" ref="VAI28">_xlfn.XLOOKUP(VAI$11,Assumptions!$B$35:$H$35,_xlfn.XLOOKUP($C28,Assumptions!$B$36:$B$41,Assumptions!$B$36:$H$41))</f>
        <v>0</v>
      </c>
      <c r="VAJ28">
        <f t="array" ref="VAJ28">_xlfn.XLOOKUP(VAJ$11,Assumptions!$B$35:$H$35,_xlfn.XLOOKUP($C28,Assumptions!$B$36:$B$41,Assumptions!$B$36:$H$41))</f>
        <v>0</v>
      </c>
      <c r="VAK28">
        <f t="array" ref="VAK28">_xlfn.XLOOKUP(VAK$11,Assumptions!$B$35:$H$35,_xlfn.XLOOKUP($C28,Assumptions!$B$36:$B$41,Assumptions!$B$36:$H$41))</f>
        <v>0</v>
      </c>
      <c r="VAL28">
        <f t="array" ref="VAL28">_xlfn.XLOOKUP(VAL$11,Assumptions!$B$35:$H$35,_xlfn.XLOOKUP($C28,Assumptions!$B$36:$B$41,Assumptions!$B$36:$H$41))</f>
        <v>0</v>
      </c>
      <c r="VAM28">
        <f t="array" ref="VAM28">_xlfn.XLOOKUP(VAM$11,Assumptions!$B$35:$H$35,_xlfn.XLOOKUP($C28,Assumptions!$B$36:$B$41,Assumptions!$B$36:$H$41))</f>
        <v>0</v>
      </c>
      <c r="VAN28">
        <f t="array" ref="VAN28">_xlfn.XLOOKUP(VAN$11,Assumptions!$B$35:$H$35,_xlfn.XLOOKUP($C28,Assumptions!$B$36:$B$41,Assumptions!$B$36:$H$41))</f>
        <v>0</v>
      </c>
      <c r="VAO28">
        <f t="array" ref="VAO28">_xlfn.XLOOKUP(VAO$11,Assumptions!$B$35:$H$35,_xlfn.XLOOKUP($C28,Assumptions!$B$36:$B$41,Assumptions!$B$36:$H$41))</f>
        <v>0</v>
      </c>
      <c r="VAP28">
        <f t="array" ref="VAP28">_xlfn.XLOOKUP(VAP$11,Assumptions!$B$35:$H$35,_xlfn.XLOOKUP($C28,Assumptions!$B$36:$B$41,Assumptions!$B$36:$H$41))</f>
        <v>0</v>
      </c>
      <c r="VAQ28">
        <f t="array" ref="VAQ28">_xlfn.XLOOKUP(VAQ$11,Assumptions!$B$35:$H$35,_xlfn.XLOOKUP($C28,Assumptions!$B$36:$B$41,Assumptions!$B$36:$H$41))</f>
        <v>0</v>
      </c>
      <c r="VAR28">
        <f t="array" ref="VAR28">_xlfn.XLOOKUP(VAR$11,Assumptions!$B$35:$H$35,_xlfn.XLOOKUP($C28,Assumptions!$B$36:$B$41,Assumptions!$B$36:$H$41))</f>
        <v>0</v>
      </c>
      <c r="VAS28">
        <f t="array" ref="VAS28">_xlfn.XLOOKUP(VAS$11,Assumptions!$B$35:$H$35,_xlfn.XLOOKUP($C28,Assumptions!$B$36:$B$41,Assumptions!$B$36:$H$41))</f>
        <v>0</v>
      </c>
      <c r="VAT28">
        <f t="array" ref="VAT28">_xlfn.XLOOKUP(VAT$11,Assumptions!$B$35:$H$35,_xlfn.XLOOKUP($C28,Assumptions!$B$36:$B$41,Assumptions!$B$36:$H$41))</f>
        <v>0</v>
      </c>
      <c r="VAU28">
        <f t="array" ref="VAU28">_xlfn.XLOOKUP(VAU$11,Assumptions!$B$35:$H$35,_xlfn.XLOOKUP($C28,Assumptions!$B$36:$B$41,Assumptions!$B$36:$H$41))</f>
        <v>0</v>
      </c>
      <c r="VAV28">
        <f t="array" ref="VAV28">_xlfn.XLOOKUP(VAV$11,Assumptions!$B$35:$H$35,_xlfn.XLOOKUP($C28,Assumptions!$B$36:$B$41,Assumptions!$B$36:$H$41))</f>
        <v>0</v>
      </c>
      <c r="VAW28">
        <f t="array" ref="VAW28">_xlfn.XLOOKUP(VAW$11,Assumptions!$B$35:$H$35,_xlfn.XLOOKUP($C28,Assumptions!$B$36:$B$41,Assumptions!$B$36:$H$41))</f>
        <v>0</v>
      </c>
      <c r="VAX28">
        <f t="array" ref="VAX28">_xlfn.XLOOKUP(VAX$11,Assumptions!$B$35:$H$35,_xlfn.XLOOKUP($C28,Assumptions!$B$36:$B$41,Assumptions!$B$36:$H$41))</f>
        <v>0</v>
      </c>
      <c r="VAY28">
        <f t="array" ref="VAY28">_xlfn.XLOOKUP(VAY$11,Assumptions!$B$35:$H$35,_xlfn.XLOOKUP($C28,Assumptions!$B$36:$B$41,Assumptions!$B$36:$H$41))</f>
        <v>0</v>
      </c>
      <c r="VAZ28">
        <f t="array" ref="VAZ28">_xlfn.XLOOKUP(VAZ$11,Assumptions!$B$35:$H$35,_xlfn.XLOOKUP($C28,Assumptions!$B$36:$B$41,Assumptions!$B$36:$H$41))</f>
        <v>0</v>
      </c>
      <c r="VBA28">
        <f t="array" ref="VBA28">_xlfn.XLOOKUP(VBA$11,Assumptions!$B$35:$H$35,_xlfn.XLOOKUP($C28,Assumptions!$B$36:$B$41,Assumptions!$B$36:$H$41))</f>
        <v>0</v>
      </c>
      <c r="VBB28">
        <f t="array" ref="VBB28">_xlfn.XLOOKUP(VBB$11,Assumptions!$B$35:$H$35,_xlfn.XLOOKUP($C28,Assumptions!$B$36:$B$41,Assumptions!$B$36:$H$41))</f>
        <v>0</v>
      </c>
      <c r="VBC28">
        <f t="array" ref="VBC28">_xlfn.XLOOKUP(VBC$11,Assumptions!$B$35:$H$35,_xlfn.XLOOKUP($C28,Assumptions!$B$36:$B$41,Assumptions!$B$36:$H$41))</f>
        <v>0</v>
      </c>
      <c r="VBD28">
        <f t="array" ref="VBD28">_xlfn.XLOOKUP(VBD$11,Assumptions!$B$35:$H$35,_xlfn.XLOOKUP($C28,Assumptions!$B$36:$B$41,Assumptions!$B$36:$H$41))</f>
        <v>0</v>
      </c>
      <c r="VBE28">
        <f t="array" ref="VBE28">_xlfn.XLOOKUP(VBE$11,Assumptions!$B$35:$H$35,_xlfn.XLOOKUP($C28,Assumptions!$B$36:$B$41,Assumptions!$B$36:$H$41))</f>
        <v>0</v>
      </c>
      <c r="VBF28">
        <f t="array" ref="VBF28">_xlfn.XLOOKUP(VBF$11,Assumptions!$B$35:$H$35,_xlfn.XLOOKUP($C28,Assumptions!$B$36:$B$41,Assumptions!$B$36:$H$41))</f>
        <v>0</v>
      </c>
      <c r="VBG28">
        <f t="array" ref="VBG28">_xlfn.XLOOKUP(VBG$11,Assumptions!$B$35:$H$35,_xlfn.XLOOKUP($C28,Assumptions!$B$36:$B$41,Assumptions!$B$36:$H$41))</f>
        <v>0</v>
      </c>
      <c r="VBH28">
        <f t="array" ref="VBH28">_xlfn.XLOOKUP(VBH$11,Assumptions!$B$35:$H$35,_xlfn.XLOOKUP($C28,Assumptions!$B$36:$B$41,Assumptions!$B$36:$H$41))</f>
        <v>0</v>
      </c>
      <c r="VBI28">
        <f t="array" ref="VBI28">_xlfn.XLOOKUP(VBI$11,Assumptions!$B$35:$H$35,_xlfn.XLOOKUP($C28,Assumptions!$B$36:$B$41,Assumptions!$B$36:$H$41))</f>
        <v>0</v>
      </c>
      <c r="VBJ28">
        <f t="array" ref="VBJ28">_xlfn.XLOOKUP(VBJ$11,Assumptions!$B$35:$H$35,_xlfn.XLOOKUP($C28,Assumptions!$B$36:$B$41,Assumptions!$B$36:$H$41))</f>
        <v>0</v>
      </c>
      <c r="VBK28">
        <f t="array" ref="VBK28">_xlfn.XLOOKUP(VBK$11,Assumptions!$B$35:$H$35,_xlfn.XLOOKUP($C28,Assumptions!$B$36:$B$41,Assumptions!$B$36:$H$41))</f>
        <v>0</v>
      </c>
      <c r="VBL28">
        <f t="array" ref="VBL28">_xlfn.XLOOKUP(VBL$11,Assumptions!$B$35:$H$35,_xlfn.XLOOKUP($C28,Assumptions!$B$36:$B$41,Assumptions!$B$36:$H$41))</f>
        <v>0</v>
      </c>
      <c r="VBM28">
        <f t="array" ref="VBM28">_xlfn.XLOOKUP(VBM$11,Assumptions!$B$35:$H$35,_xlfn.XLOOKUP($C28,Assumptions!$B$36:$B$41,Assumptions!$B$36:$H$41))</f>
        <v>0</v>
      </c>
      <c r="VBN28">
        <f t="array" ref="VBN28">_xlfn.XLOOKUP(VBN$11,Assumptions!$B$35:$H$35,_xlfn.XLOOKUP($C28,Assumptions!$B$36:$B$41,Assumptions!$B$36:$H$41))</f>
        <v>0</v>
      </c>
      <c r="VBO28">
        <f t="array" ref="VBO28">_xlfn.XLOOKUP(VBO$11,Assumptions!$B$35:$H$35,_xlfn.XLOOKUP($C28,Assumptions!$B$36:$B$41,Assumptions!$B$36:$H$41))</f>
        <v>0</v>
      </c>
      <c r="VBP28">
        <f t="array" ref="VBP28">_xlfn.XLOOKUP(VBP$11,Assumptions!$B$35:$H$35,_xlfn.XLOOKUP($C28,Assumptions!$B$36:$B$41,Assumptions!$B$36:$H$41))</f>
        <v>0</v>
      </c>
      <c r="VBQ28">
        <f t="array" ref="VBQ28">_xlfn.XLOOKUP(VBQ$11,Assumptions!$B$35:$H$35,_xlfn.XLOOKUP($C28,Assumptions!$B$36:$B$41,Assumptions!$B$36:$H$41))</f>
        <v>0</v>
      </c>
      <c r="VBR28">
        <f t="array" ref="VBR28">_xlfn.XLOOKUP(VBR$11,Assumptions!$B$35:$H$35,_xlfn.XLOOKUP($C28,Assumptions!$B$36:$B$41,Assumptions!$B$36:$H$41))</f>
        <v>0</v>
      </c>
      <c r="VBS28">
        <f t="array" ref="VBS28">_xlfn.XLOOKUP(VBS$11,Assumptions!$B$35:$H$35,_xlfn.XLOOKUP($C28,Assumptions!$B$36:$B$41,Assumptions!$B$36:$H$41))</f>
        <v>0</v>
      </c>
      <c r="VBT28">
        <f t="array" ref="VBT28">_xlfn.XLOOKUP(VBT$11,Assumptions!$B$35:$H$35,_xlfn.XLOOKUP($C28,Assumptions!$B$36:$B$41,Assumptions!$B$36:$H$41))</f>
        <v>0</v>
      </c>
      <c r="VBU28">
        <f t="array" ref="VBU28">_xlfn.XLOOKUP(VBU$11,Assumptions!$B$35:$H$35,_xlfn.XLOOKUP($C28,Assumptions!$B$36:$B$41,Assumptions!$B$36:$H$41))</f>
        <v>0</v>
      </c>
      <c r="VBV28">
        <f t="array" ref="VBV28">_xlfn.XLOOKUP(VBV$11,Assumptions!$B$35:$H$35,_xlfn.XLOOKUP($C28,Assumptions!$B$36:$B$41,Assumptions!$B$36:$H$41))</f>
        <v>0</v>
      </c>
      <c r="VBW28">
        <f t="array" ref="VBW28">_xlfn.XLOOKUP(VBW$11,Assumptions!$B$35:$H$35,_xlfn.XLOOKUP($C28,Assumptions!$B$36:$B$41,Assumptions!$B$36:$H$41))</f>
        <v>0</v>
      </c>
      <c r="VBX28">
        <f t="array" ref="VBX28">_xlfn.XLOOKUP(VBX$11,Assumptions!$B$35:$H$35,_xlfn.XLOOKUP($C28,Assumptions!$B$36:$B$41,Assumptions!$B$36:$H$41))</f>
        <v>0</v>
      </c>
      <c r="VBY28">
        <f t="array" ref="VBY28">_xlfn.XLOOKUP(VBY$11,Assumptions!$B$35:$H$35,_xlfn.XLOOKUP($C28,Assumptions!$B$36:$B$41,Assumptions!$B$36:$H$41))</f>
        <v>0</v>
      </c>
      <c r="VBZ28">
        <f t="array" ref="VBZ28">_xlfn.XLOOKUP(VBZ$11,Assumptions!$B$35:$H$35,_xlfn.XLOOKUP($C28,Assumptions!$B$36:$B$41,Assumptions!$B$36:$H$41))</f>
        <v>0</v>
      </c>
      <c r="VCA28">
        <f t="array" ref="VCA28">_xlfn.XLOOKUP(VCA$11,Assumptions!$B$35:$H$35,_xlfn.XLOOKUP($C28,Assumptions!$B$36:$B$41,Assumptions!$B$36:$H$41))</f>
        <v>0</v>
      </c>
      <c r="VCB28">
        <f t="array" ref="VCB28">_xlfn.XLOOKUP(VCB$11,Assumptions!$B$35:$H$35,_xlfn.XLOOKUP($C28,Assumptions!$B$36:$B$41,Assumptions!$B$36:$H$41))</f>
        <v>0</v>
      </c>
      <c r="VCC28">
        <f t="array" ref="VCC28">_xlfn.XLOOKUP(VCC$11,Assumptions!$B$35:$H$35,_xlfn.XLOOKUP($C28,Assumptions!$B$36:$B$41,Assumptions!$B$36:$H$41))</f>
        <v>0</v>
      </c>
      <c r="VCD28">
        <f t="array" ref="VCD28">_xlfn.XLOOKUP(VCD$11,Assumptions!$B$35:$H$35,_xlfn.XLOOKUP($C28,Assumptions!$B$36:$B$41,Assumptions!$B$36:$H$41))</f>
        <v>0</v>
      </c>
      <c r="VCE28">
        <f t="array" ref="VCE28">_xlfn.XLOOKUP(VCE$11,Assumptions!$B$35:$H$35,_xlfn.XLOOKUP($C28,Assumptions!$B$36:$B$41,Assumptions!$B$36:$H$41))</f>
        <v>0</v>
      </c>
      <c r="VCF28">
        <f t="array" ref="VCF28">_xlfn.XLOOKUP(VCF$11,Assumptions!$B$35:$H$35,_xlfn.XLOOKUP($C28,Assumptions!$B$36:$B$41,Assumptions!$B$36:$H$41))</f>
        <v>0</v>
      </c>
      <c r="VCG28">
        <f t="array" ref="VCG28">_xlfn.XLOOKUP(VCG$11,Assumptions!$B$35:$H$35,_xlfn.XLOOKUP($C28,Assumptions!$B$36:$B$41,Assumptions!$B$36:$H$41))</f>
        <v>0</v>
      </c>
      <c r="VCH28">
        <f t="array" ref="VCH28">_xlfn.XLOOKUP(VCH$11,Assumptions!$B$35:$H$35,_xlfn.XLOOKUP($C28,Assumptions!$B$36:$B$41,Assumptions!$B$36:$H$41))</f>
        <v>0</v>
      </c>
      <c r="VCI28">
        <f t="array" ref="VCI28">_xlfn.XLOOKUP(VCI$11,Assumptions!$B$35:$H$35,_xlfn.XLOOKUP($C28,Assumptions!$B$36:$B$41,Assumptions!$B$36:$H$41))</f>
        <v>0</v>
      </c>
      <c r="VCJ28">
        <f t="array" ref="VCJ28">_xlfn.XLOOKUP(VCJ$11,Assumptions!$B$35:$H$35,_xlfn.XLOOKUP($C28,Assumptions!$B$36:$B$41,Assumptions!$B$36:$H$41))</f>
        <v>0</v>
      </c>
      <c r="VCK28">
        <f t="array" ref="VCK28">_xlfn.XLOOKUP(VCK$11,Assumptions!$B$35:$H$35,_xlfn.XLOOKUP($C28,Assumptions!$B$36:$B$41,Assumptions!$B$36:$H$41))</f>
        <v>0</v>
      </c>
      <c r="VCL28">
        <f t="array" ref="VCL28">_xlfn.XLOOKUP(VCL$11,Assumptions!$B$35:$H$35,_xlfn.XLOOKUP($C28,Assumptions!$B$36:$B$41,Assumptions!$B$36:$H$41))</f>
        <v>0</v>
      </c>
      <c r="VCM28">
        <f t="array" ref="VCM28">_xlfn.XLOOKUP(VCM$11,Assumptions!$B$35:$H$35,_xlfn.XLOOKUP($C28,Assumptions!$B$36:$B$41,Assumptions!$B$36:$H$41))</f>
        <v>0</v>
      </c>
      <c r="VCN28">
        <f t="array" ref="VCN28">_xlfn.XLOOKUP(VCN$11,Assumptions!$B$35:$H$35,_xlfn.XLOOKUP($C28,Assumptions!$B$36:$B$41,Assumptions!$B$36:$H$41))</f>
        <v>0</v>
      </c>
      <c r="VCO28">
        <f t="array" ref="VCO28">_xlfn.XLOOKUP(VCO$11,Assumptions!$B$35:$H$35,_xlfn.XLOOKUP($C28,Assumptions!$B$36:$B$41,Assumptions!$B$36:$H$41))</f>
        <v>0</v>
      </c>
      <c r="VCP28">
        <f t="array" ref="VCP28">_xlfn.XLOOKUP(VCP$11,Assumptions!$B$35:$H$35,_xlfn.XLOOKUP($C28,Assumptions!$B$36:$B$41,Assumptions!$B$36:$H$41))</f>
        <v>0</v>
      </c>
      <c r="VCQ28">
        <f t="array" ref="VCQ28">_xlfn.XLOOKUP(VCQ$11,Assumptions!$B$35:$H$35,_xlfn.XLOOKUP($C28,Assumptions!$B$36:$B$41,Assumptions!$B$36:$H$41))</f>
        <v>0</v>
      </c>
      <c r="VCR28">
        <f t="array" ref="VCR28">_xlfn.XLOOKUP(VCR$11,Assumptions!$B$35:$H$35,_xlfn.XLOOKUP($C28,Assumptions!$B$36:$B$41,Assumptions!$B$36:$H$41))</f>
        <v>0</v>
      </c>
      <c r="VCS28">
        <f t="array" ref="VCS28">_xlfn.XLOOKUP(VCS$11,Assumptions!$B$35:$H$35,_xlfn.XLOOKUP($C28,Assumptions!$B$36:$B$41,Assumptions!$B$36:$H$41))</f>
        <v>0</v>
      </c>
      <c r="VCT28">
        <f t="array" ref="VCT28">_xlfn.XLOOKUP(VCT$11,Assumptions!$B$35:$H$35,_xlfn.XLOOKUP($C28,Assumptions!$B$36:$B$41,Assumptions!$B$36:$H$41))</f>
        <v>0</v>
      </c>
      <c r="VCU28">
        <f t="array" ref="VCU28">_xlfn.XLOOKUP(VCU$11,Assumptions!$B$35:$H$35,_xlfn.XLOOKUP($C28,Assumptions!$B$36:$B$41,Assumptions!$B$36:$H$41))</f>
        <v>0</v>
      </c>
      <c r="VCV28">
        <f t="array" ref="VCV28">_xlfn.XLOOKUP(VCV$11,Assumptions!$B$35:$H$35,_xlfn.XLOOKUP($C28,Assumptions!$B$36:$B$41,Assumptions!$B$36:$H$41))</f>
        <v>0</v>
      </c>
      <c r="VCW28">
        <f t="array" ref="VCW28">_xlfn.XLOOKUP(VCW$11,Assumptions!$B$35:$H$35,_xlfn.XLOOKUP($C28,Assumptions!$B$36:$B$41,Assumptions!$B$36:$H$41))</f>
        <v>0</v>
      </c>
      <c r="VCX28">
        <f t="array" ref="VCX28">_xlfn.XLOOKUP(VCX$11,Assumptions!$B$35:$H$35,_xlfn.XLOOKUP($C28,Assumptions!$B$36:$B$41,Assumptions!$B$36:$H$41))</f>
        <v>0</v>
      </c>
      <c r="VCY28">
        <f t="array" ref="VCY28">_xlfn.XLOOKUP(VCY$11,Assumptions!$B$35:$H$35,_xlfn.XLOOKUP($C28,Assumptions!$B$36:$B$41,Assumptions!$B$36:$H$41))</f>
        <v>0</v>
      </c>
      <c r="VCZ28">
        <f t="array" ref="VCZ28">_xlfn.XLOOKUP(VCZ$11,Assumptions!$B$35:$H$35,_xlfn.XLOOKUP($C28,Assumptions!$B$36:$B$41,Assumptions!$B$36:$H$41))</f>
        <v>0</v>
      </c>
      <c r="VDA28">
        <f t="array" ref="VDA28">_xlfn.XLOOKUP(VDA$11,Assumptions!$B$35:$H$35,_xlfn.XLOOKUP($C28,Assumptions!$B$36:$B$41,Assumptions!$B$36:$H$41))</f>
        <v>0</v>
      </c>
      <c r="VDB28">
        <f t="array" ref="VDB28">_xlfn.XLOOKUP(VDB$11,Assumptions!$B$35:$H$35,_xlfn.XLOOKUP($C28,Assumptions!$B$36:$B$41,Assumptions!$B$36:$H$41))</f>
        <v>0</v>
      </c>
      <c r="VDC28">
        <f t="array" ref="VDC28">_xlfn.XLOOKUP(VDC$11,Assumptions!$B$35:$H$35,_xlfn.XLOOKUP($C28,Assumptions!$B$36:$B$41,Assumptions!$B$36:$H$41))</f>
        <v>0</v>
      </c>
      <c r="VDD28">
        <f t="array" ref="VDD28">_xlfn.XLOOKUP(VDD$11,Assumptions!$B$35:$H$35,_xlfn.XLOOKUP($C28,Assumptions!$B$36:$B$41,Assumptions!$B$36:$H$41))</f>
        <v>0</v>
      </c>
      <c r="VDE28">
        <f t="array" ref="VDE28">_xlfn.XLOOKUP(VDE$11,Assumptions!$B$35:$H$35,_xlfn.XLOOKUP($C28,Assumptions!$B$36:$B$41,Assumptions!$B$36:$H$41))</f>
        <v>0</v>
      </c>
      <c r="VDF28">
        <f t="array" ref="VDF28">_xlfn.XLOOKUP(VDF$11,Assumptions!$B$35:$H$35,_xlfn.XLOOKUP($C28,Assumptions!$B$36:$B$41,Assumptions!$B$36:$H$41))</f>
        <v>0</v>
      </c>
      <c r="VDG28">
        <f t="array" ref="VDG28">_xlfn.XLOOKUP(VDG$11,Assumptions!$B$35:$H$35,_xlfn.XLOOKUP($C28,Assumptions!$B$36:$B$41,Assumptions!$B$36:$H$41))</f>
        <v>0</v>
      </c>
      <c r="VDH28">
        <f t="array" ref="VDH28">_xlfn.XLOOKUP(VDH$11,Assumptions!$B$35:$H$35,_xlfn.XLOOKUP($C28,Assumptions!$B$36:$B$41,Assumptions!$B$36:$H$41))</f>
        <v>0</v>
      </c>
      <c r="VDI28">
        <f t="array" ref="VDI28">_xlfn.XLOOKUP(VDI$11,Assumptions!$B$35:$H$35,_xlfn.XLOOKUP($C28,Assumptions!$B$36:$B$41,Assumptions!$B$36:$H$41))</f>
        <v>0</v>
      </c>
      <c r="VDJ28">
        <f t="array" ref="VDJ28">_xlfn.XLOOKUP(VDJ$11,Assumptions!$B$35:$H$35,_xlfn.XLOOKUP($C28,Assumptions!$B$36:$B$41,Assumptions!$B$36:$H$41))</f>
        <v>0</v>
      </c>
      <c r="VDK28">
        <f t="array" ref="VDK28">_xlfn.XLOOKUP(VDK$11,Assumptions!$B$35:$H$35,_xlfn.XLOOKUP($C28,Assumptions!$B$36:$B$41,Assumptions!$B$36:$H$41))</f>
        <v>0</v>
      </c>
      <c r="VDL28">
        <f t="array" ref="VDL28">_xlfn.XLOOKUP(VDL$11,Assumptions!$B$35:$H$35,_xlfn.XLOOKUP($C28,Assumptions!$B$36:$B$41,Assumptions!$B$36:$H$41))</f>
        <v>0</v>
      </c>
      <c r="VDM28">
        <f t="array" ref="VDM28">_xlfn.XLOOKUP(VDM$11,Assumptions!$B$35:$H$35,_xlfn.XLOOKUP($C28,Assumptions!$B$36:$B$41,Assumptions!$B$36:$H$41))</f>
        <v>0</v>
      </c>
      <c r="VDN28">
        <f t="array" ref="VDN28">_xlfn.XLOOKUP(VDN$11,Assumptions!$B$35:$H$35,_xlfn.XLOOKUP($C28,Assumptions!$B$36:$B$41,Assumptions!$B$36:$H$41))</f>
        <v>0</v>
      </c>
      <c r="VDO28">
        <f t="array" ref="VDO28">_xlfn.XLOOKUP(VDO$11,Assumptions!$B$35:$H$35,_xlfn.XLOOKUP($C28,Assumptions!$B$36:$B$41,Assumptions!$B$36:$H$41))</f>
        <v>0</v>
      </c>
      <c r="VDP28">
        <f t="array" ref="VDP28">_xlfn.XLOOKUP(VDP$11,Assumptions!$B$35:$H$35,_xlfn.XLOOKUP($C28,Assumptions!$B$36:$B$41,Assumptions!$B$36:$H$41))</f>
        <v>0</v>
      </c>
      <c r="VDQ28">
        <f t="array" ref="VDQ28">_xlfn.XLOOKUP(VDQ$11,Assumptions!$B$35:$H$35,_xlfn.XLOOKUP($C28,Assumptions!$B$36:$B$41,Assumptions!$B$36:$H$41))</f>
        <v>0</v>
      </c>
      <c r="VDR28">
        <f t="array" ref="VDR28">_xlfn.XLOOKUP(VDR$11,Assumptions!$B$35:$H$35,_xlfn.XLOOKUP($C28,Assumptions!$B$36:$B$41,Assumptions!$B$36:$H$41))</f>
        <v>0</v>
      </c>
      <c r="VDS28">
        <f t="array" ref="VDS28">_xlfn.XLOOKUP(VDS$11,Assumptions!$B$35:$H$35,_xlfn.XLOOKUP($C28,Assumptions!$B$36:$B$41,Assumptions!$B$36:$H$41))</f>
        <v>0</v>
      </c>
      <c r="VDT28">
        <f t="array" ref="VDT28">_xlfn.XLOOKUP(VDT$11,Assumptions!$B$35:$H$35,_xlfn.XLOOKUP($C28,Assumptions!$B$36:$B$41,Assumptions!$B$36:$H$41))</f>
        <v>0</v>
      </c>
      <c r="VDU28">
        <f t="array" ref="VDU28">_xlfn.XLOOKUP(VDU$11,Assumptions!$B$35:$H$35,_xlfn.XLOOKUP($C28,Assumptions!$B$36:$B$41,Assumptions!$B$36:$H$41))</f>
        <v>0</v>
      </c>
      <c r="VDV28">
        <f t="array" ref="VDV28">_xlfn.XLOOKUP(VDV$11,Assumptions!$B$35:$H$35,_xlfn.XLOOKUP($C28,Assumptions!$B$36:$B$41,Assumptions!$B$36:$H$41))</f>
        <v>0</v>
      </c>
      <c r="VDW28">
        <f t="array" ref="VDW28">_xlfn.XLOOKUP(VDW$11,Assumptions!$B$35:$H$35,_xlfn.XLOOKUP($C28,Assumptions!$B$36:$B$41,Assumptions!$B$36:$H$41))</f>
        <v>0</v>
      </c>
      <c r="VDX28">
        <f t="array" ref="VDX28">_xlfn.XLOOKUP(VDX$11,Assumptions!$B$35:$H$35,_xlfn.XLOOKUP($C28,Assumptions!$B$36:$B$41,Assumptions!$B$36:$H$41))</f>
        <v>0</v>
      </c>
      <c r="VDY28">
        <f t="array" ref="VDY28">_xlfn.XLOOKUP(VDY$11,Assumptions!$B$35:$H$35,_xlfn.XLOOKUP($C28,Assumptions!$B$36:$B$41,Assumptions!$B$36:$H$41))</f>
        <v>0</v>
      </c>
      <c r="VDZ28">
        <f t="array" ref="VDZ28">_xlfn.XLOOKUP(VDZ$11,Assumptions!$B$35:$H$35,_xlfn.XLOOKUP($C28,Assumptions!$B$36:$B$41,Assumptions!$B$36:$H$41))</f>
        <v>0</v>
      </c>
      <c r="VEA28">
        <f t="array" ref="VEA28">_xlfn.XLOOKUP(VEA$11,Assumptions!$B$35:$H$35,_xlfn.XLOOKUP($C28,Assumptions!$B$36:$B$41,Assumptions!$B$36:$H$41))</f>
        <v>0</v>
      </c>
      <c r="VEB28">
        <f t="array" ref="VEB28">_xlfn.XLOOKUP(VEB$11,Assumptions!$B$35:$H$35,_xlfn.XLOOKUP($C28,Assumptions!$B$36:$B$41,Assumptions!$B$36:$H$41))</f>
        <v>0</v>
      </c>
      <c r="VEC28">
        <f t="array" ref="VEC28">_xlfn.XLOOKUP(VEC$11,Assumptions!$B$35:$H$35,_xlfn.XLOOKUP($C28,Assumptions!$B$36:$B$41,Assumptions!$B$36:$H$41))</f>
        <v>0</v>
      </c>
      <c r="VED28">
        <f t="array" ref="VED28">_xlfn.XLOOKUP(VED$11,Assumptions!$B$35:$H$35,_xlfn.XLOOKUP($C28,Assumptions!$B$36:$B$41,Assumptions!$B$36:$H$41))</f>
        <v>0</v>
      </c>
      <c r="VEE28">
        <f t="array" ref="VEE28">_xlfn.XLOOKUP(VEE$11,Assumptions!$B$35:$H$35,_xlfn.XLOOKUP($C28,Assumptions!$B$36:$B$41,Assumptions!$B$36:$H$41))</f>
        <v>0</v>
      </c>
      <c r="VEF28">
        <f t="array" ref="VEF28">_xlfn.XLOOKUP(VEF$11,Assumptions!$B$35:$H$35,_xlfn.XLOOKUP($C28,Assumptions!$B$36:$B$41,Assumptions!$B$36:$H$41))</f>
        <v>0</v>
      </c>
      <c r="VEG28">
        <f t="array" ref="VEG28">_xlfn.XLOOKUP(VEG$11,Assumptions!$B$35:$H$35,_xlfn.XLOOKUP($C28,Assumptions!$B$36:$B$41,Assumptions!$B$36:$H$41))</f>
        <v>0</v>
      </c>
      <c r="VEH28">
        <f t="array" ref="VEH28">_xlfn.XLOOKUP(VEH$11,Assumptions!$B$35:$H$35,_xlfn.XLOOKUP($C28,Assumptions!$B$36:$B$41,Assumptions!$B$36:$H$41))</f>
        <v>0</v>
      </c>
      <c r="VEI28">
        <f t="array" ref="VEI28">_xlfn.XLOOKUP(VEI$11,Assumptions!$B$35:$H$35,_xlfn.XLOOKUP($C28,Assumptions!$B$36:$B$41,Assumptions!$B$36:$H$41))</f>
        <v>0</v>
      </c>
      <c r="VEJ28">
        <f t="array" ref="VEJ28">_xlfn.XLOOKUP(VEJ$11,Assumptions!$B$35:$H$35,_xlfn.XLOOKUP($C28,Assumptions!$B$36:$B$41,Assumptions!$B$36:$H$41))</f>
        <v>0</v>
      </c>
      <c r="VEK28">
        <f t="array" ref="VEK28">_xlfn.XLOOKUP(VEK$11,Assumptions!$B$35:$H$35,_xlfn.XLOOKUP($C28,Assumptions!$B$36:$B$41,Assumptions!$B$36:$H$41))</f>
        <v>0</v>
      </c>
      <c r="VEL28">
        <f t="array" ref="VEL28">_xlfn.XLOOKUP(VEL$11,Assumptions!$B$35:$H$35,_xlfn.XLOOKUP($C28,Assumptions!$B$36:$B$41,Assumptions!$B$36:$H$41))</f>
        <v>0</v>
      </c>
      <c r="VEM28">
        <f t="array" ref="VEM28">_xlfn.XLOOKUP(VEM$11,Assumptions!$B$35:$H$35,_xlfn.XLOOKUP($C28,Assumptions!$B$36:$B$41,Assumptions!$B$36:$H$41))</f>
        <v>0</v>
      </c>
      <c r="VEN28">
        <f t="array" ref="VEN28">_xlfn.XLOOKUP(VEN$11,Assumptions!$B$35:$H$35,_xlfn.XLOOKUP($C28,Assumptions!$B$36:$B$41,Assumptions!$B$36:$H$41))</f>
        <v>0</v>
      </c>
      <c r="VEO28">
        <f t="array" ref="VEO28">_xlfn.XLOOKUP(VEO$11,Assumptions!$B$35:$H$35,_xlfn.XLOOKUP($C28,Assumptions!$B$36:$B$41,Assumptions!$B$36:$H$41))</f>
        <v>0</v>
      </c>
      <c r="VEP28">
        <f t="array" ref="VEP28">_xlfn.XLOOKUP(VEP$11,Assumptions!$B$35:$H$35,_xlfn.XLOOKUP($C28,Assumptions!$B$36:$B$41,Assumptions!$B$36:$H$41))</f>
        <v>0</v>
      </c>
      <c r="VEQ28">
        <f t="array" ref="VEQ28">_xlfn.XLOOKUP(VEQ$11,Assumptions!$B$35:$H$35,_xlfn.XLOOKUP($C28,Assumptions!$B$36:$B$41,Assumptions!$B$36:$H$41))</f>
        <v>0</v>
      </c>
      <c r="VER28">
        <f t="array" ref="VER28">_xlfn.XLOOKUP(VER$11,Assumptions!$B$35:$H$35,_xlfn.XLOOKUP($C28,Assumptions!$B$36:$B$41,Assumptions!$B$36:$H$41))</f>
        <v>0</v>
      </c>
      <c r="VES28">
        <f t="array" ref="VES28">_xlfn.XLOOKUP(VES$11,Assumptions!$B$35:$H$35,_xlfn.XLOOKUP($C28,Assumptions!$B$36:$B$41,Assumptions!$B$36:$H$41))</f>
        <v>0</v>
      </c>
      <c r="VET28">
        <f t="array" ref="VET28">_xlfn.XLOOKUP(VET$11,Assumptions!$B$35:$H$35,_xlfn.XLOOKUP($C28,Assumptions!$B$36:$B$41,Assumptions!$B$36:$H$41))</f>
        <v>0</v>
      </c>
      <c r="VEU28">
        <f t="array" ref="VEU28">_xlfn.XLOOKUP(VEU$11,Assumptions!$B$35:$H$35,_xlfn.XLOOKUP($C28,Assumptions!$B$36:$B$41,Assumptions!$B$36:$H$41))</f>
        <v>0</v>
      </c>
      <c r="VEV28">
        <f t="array" ref="VEV28">_xlfn.XLOOKUP(VEV$11,Assumptions!$B$35:$H$35,_xlfn.XLOOKUP($C28,Assumptions!$B$36:$B$41,Assumptions!$B$36:$H$41))</f>
        <v>0</v>
      </c>
      <c r="VEW28">
        <f t="array" ref="VEW28">_xlfn.XLOOKUP(VEW$11,Assumptions!$B$35:$H$35,_xlfn.XLOOKUP($C28,Assumptions!$B$36:$B$41,Assumptions!$B$36:$H$41))</f>
        <v>0</v>
      </c>
      <c r="VEX28">
        <f t="array" ref="VEX28">_xlfn.XLOOKUP(VEX$11,Assumptions!$B$35:$H$35,_xlfn.XLOOKUP($C28,Assumptions!$B$36:$B$41,Assumptions!$B$36:$H$41))</f>
        <v>0</v>
      </c>
      <c r="VEY28">
        <f t="array" ref="VEY28">_xlfn.XLOOKUP(VEY$11,Assumptions!$B$35:$H$35,_xlfn.XLOOKUP($C28,Assumptions!$B$36:$B$41,Assumptions!$B$36:$H$41))</f>
        <v>0</v>
      </c>
      <c r="VEZ28">
        <f t="array" ref="VEZ28">_xlfn.XLOOKUP(VEZ$11,Assumptions!$B$35:$H$35,_xlfn.XLOOKUP($C28,Assumptions!$B$36:$B$41,Assumptions!$B$36:$H$41))</f>
        <v>0</v>
      </c>
      <c r="VFA28">
        <f t="array" ref="VFA28">_xlfn.XLOOKUP(VFA$11,Assumptions!$B$35:$H$35,_xlfn.XLOOKUP($C28,Assumptions!$B$36:$B$41,Assumptions!$B$36:$H$41))</f>
        <v>0</v>
      </c>
      <c r="VFB28">
        <f t="array" ref="VFB28">_xlfn.XLOOKUP(VFB$11,Assumptions!$B$35:$H$35,_xlfn.XLOOKUP($C28,Assumptions!$B$36:$B$41,Assumptions!$B$36:$H$41))</f>
        <v>0</v>
      </c>
      <c r="VFC28">
        <f t="array" ref="VFC28">_xlfn.XLOOKUP(VFC$11,Assumptions!$B$35:$H$35,_xlfn.XLOOKUP($C28,Assumptions!$B$36:$B$41,Assumptions!$B$36:$H$41))</f>
        <v>0</v>
      </c>
      <c r="VFD28">
        <f t="array" ref="VFD28">_xlfn.XLOOKUP(VFD$11,Assumptions!$B$35:$H$35,_xlfn.XLOOKUP($C28,Assumptions!$B$36:$B$41,Assumptions!$B$36:$H$41))</f>
        <v>0</v>
      </c>
      <c r="VFE28">
        <f t="array" ref="VFE28">_xlfn.XLOOKUP(VFE$11,Assumptions!$B$35:$H$35,_xlfn.XLOOKUP($C28,Assumptions!$B$36:$B$41,Assumptions!$B$36:$H$41))</f>
        <v>0</v>
      </c>
      <c r="VFF28">
        <f t="array" ref="VFF28">_xlfn.XLOOKUP(VFF$11,Assumptions!$B$35:$H$35,_xlfn.XLOOKUP($C28,Assumptions!$B$36:$B$41,Assumptions!$B$36:$H$41))</f>
        <v>0</v>
      </c>
      <c r="VFG28">
        <f t="array" ref="VFG28">_xlfn.XLOOKUP(VFG$11,Assumptions!$B$35:$H$35,_xlfn.XLOOKUP($C28,Assumptions!$B$36:$B$41,Assumptions!$B$36:$H$41))</f>
        <v>0</v>
      </c>
      <c r="VFH28">
        <f t="array" ref="VFH28">_xlfn.XLOOKUP(VFH$11,Assumptions!$B$35:$H$35,_xlfn.XLOOKUP($C28,Assumptions!$B$36:$B$41,Assumptions!$B$36:$H$41))</f>
        <v>0</v>
      </c>
      <c r="VFI28">
        <f t="array" ref="VFI28">_xlfn.XLOOKUP(VFI$11,Assumptions!$B$35:$H$35,_xlfn.XLOOKUP($C28,Assumptions!$B$36:$B$41,Assumptions!$B$36:$H$41))</f>
        <v>0</v>
      </c>
      <c r="VFJ28">
        <f t="array" ref="VFJ28">_xlfn.XLOOKUP(VFJ$11,Assumptions!$B$35:$H$35,_xlfn.XLOOKUP($C28,Assumptions!$B$36:$B$41,Assumptions!$B$36:$H$41))</f>
        <v>0</v>
      </c>
      <c r="VFK28">
        <f t="array" ref="VFK28">_xlfn.XLOOKUP(VFK$11,Assumptions!$B$35:$H$35,_xlfn.XLOOKUP($C28,Assumptions!$B$36:$B$41,Assumptions!$B$36:$H$41))</f>
        <v>0</v>
      </c>
      <c r="VFL28">
        <f t="array" ref="VFL28">_xlfn.XLOOKUP(VFL$11,Assumptions!$B$35:$H$35,_xlfn.XLOOKUP($C28,Assumptions!$B$36:$B$41,Assumptions!$B$36:$H$41))</f>
        <v>0</v>
      </c>
      <c r="VFM28">
        <f t="array" ref="VFM28">_xlfn.XLOOKUP(VFM$11,Assumptions!$B$35:$H$35,_xlfn.XLOOKUP($C28,Assumptions!$B$36:$B$41,Assumptions!$B$36:$H$41))</f>
        <v>0</v>
      </c>
      <c r="VFN28">
        <f t="array" ref="VFN28">_xlfn.XLOOKUP(VFN$11,Assumptions!$B$35:$H$35,_xlfn.XLOOKUP($C28,Assumptions!$B$36:$B$41,Assumptions!$B$36:$H$41))</f>
        <v>0</v>
      </c>
      <c r="VFO28">
        <f t="array" ref="VFO28">_xlfn.XLOOKUP(VFO$11,Assumptions!$B$35:$H$35,_xlfn.XLOOKUP($C28,Assumptions!$B$36:$B$41,Assumptions!$B$36:$H$41))</f>
        <v>0</v>
      </c>
      <c r="VFP28">
        <f t="array" ref="VFP28">_xlfn.XLOOKUP(VFP$11,Assumptions!$B$35:$H$35,_xlfn.XLOOKUP($C28,Assumptions!$B$36:$B$41,Assumptions!$B$36:$H$41))</f>
        <v>0</v>
      </c>
      <c r="VFQ28">
        <f t="array" ref="VFQ28">_xlfn.XLOOKUP(VFQ$11,Assumptions!$B$35:$H$35,_xlfn.XLOOKUP($C28,Assumptions!$B$36:$B$41,Assumptions!$B$36:$H$41))</f>
        <v>0</v>
      </c>
      <c r="VFR28">
        <f t="array" ref="VFR28">_xlfn.XLOOKUP(VFR$11,Assumptions!$B$35:$H$35,_xlfn.XLOOKUP($C28,Assumptions!$B$36:$B$41,Assumptions!$B$36:$H$41))</f>
        <v>0</v>
      </c>
      <c r="VFS28">
        <f t="array" ref="VFS28">_xlfn.XLOOKUP(VFS$11,Assumptions!$B$35:$H$35,_xlfn.XLOOKUP($C28,Assumptions!$B$36:$B$41,Assumptions!$B$36:$H$41))</f>
        <v>0</v>
      </c>
      <c r="VFT28">
        <f t="array" ref="VFT28">_xlfn.XLOOKUP(VFT$11,Assumptions!$B$35:$H$35,_xlfn.XLOOKUP($C28,Assumptions!$B$36:$B$41,Assumptions!$B$36:$H$41))</f>
        <v>0</v>
      </c>
      <c r="VFU28">
        <f t="array" ref="VFU28">_xlfn.XLOOKUP(VFU$11,Assumptions!$B$35:$H$35,_xlfn.XLOOKUP($C28,Assumptions!$B$36:$B$41,Assumptions!$B$36:$H$41))</f>
        <v>0</v>
      </c>
      <c r="VFV28">
        <f t="array" ref="VFV28">_xlfn.XLOOKUP(VFV$11,Assumptions!$B$35:$H$35,_xlfn.XLOOKUP($C28,Assumptions!$B$36:$B$41,Assumptions!$B$36:$H$41))</f>
        <v>0</v>
      </c>
      <c r="VFW28">
        <f t="array" ref="VFW28">_xlfn.XLOOKUP(VFW$11,Assumptions!$B$35:$H$35,_xlfn.XLOOKUP($C28,Assumptions!$B$36:$B$41,Assumptions!$B$36:$H$41))</f>
        <v>0</v>
      </c>
      <c r="VFX28">
        <f t="array" ref="VFX28">_xlfn.XLOOKUP(VFX$11,Assumptions!$B$35:$H$35,_xlfn.XLOOKUP($C28,Assumptions!$B$36:$B$41,Assumptions!$B$36:$H$41))</f>
        <v>0</v>
      </c>
      <c r="VFY28">
        <f t="array" ref="VFY28">_xlfn.XLOOKUP(VFY$11,Assumptions!$B$35:$H$35,_xlfn.XLOOKUP($C28,Assumptions!$B$36:$B$41,Assumptions!$B$36:$H$41))</f>
        <v>0</v>
      </c>
      <c r="VFZ28">
        <f t="array" ref="VFZ28">_xlfn.XLOOKUP(VFZ$11,Assumptions!$B$35:$H$35,_xlfn.XLOOKUP($C28,Assumptions!$B$36:$B$41,Assumptions!$B$36:$H$41))</f>
        <v>0</v>
      </c>
      <c r="VGA28">
        <f t="array" ref="VGA28">_xlfn.XLOOKUP(VGA$11,Assumptions!$B$35:$H$35,_xlfn.XLOOKUP($C28,Assumptions!$B$36:$B$41,Assumptions!$B$36:$H$41))</f>
        <v>0</v>
      </c>
      <c r="VGB28">
        <f t="array" ref="VGB28">_xlfn.XLOOKUP(VGB$11,Assumptions!$B$35:$H$35,_xlfn.XLOOKUP($C28,Assumptions!$B$36:$B$41,Assumptions!$B$36:$H$41))</f>
        <v>0</v>
      </c>
      <c r="VGC28">
        <f t="array" ref="VGC28">_xlfn.XLOOKUP(VGC$11,Assumptions!$B$35:$H$35,_xlfn.XLOOKUP($C28,Assumptions!$B$36:$B$41,Assumptions!$B$36:$H$41))</f>
        <v>0</v>
      </c>
      <c r="VGD28">
        <f t="array" ref="VGD28">_xlfn.XLOOKUP(VGD$11,Assumptions!$B$35:$H$35,_xlfn.XLOOKUP($C28,Assumptions!$B$36:$B$41,Assumptions!$B$36:$H$41))</f>
        <v>0</v>
      </c>
      <c r="VGE28">
        <f t="array" ref="VGE28">_xlfn.XLOOKUP(VGE$11,Assumptions!$B$35:$H$35,_xlfn.XLOOKUP($C28,Assumptions!$B$36:$B$41,Assumptions!$B$36:$H$41))</f>
        <v>0</v>
      </c>
      <c r="VGF28">
        <f t="array" ref="VGF28">_xlfn.XLOOKUP(VGF$11,Assumptions!$B$35:$H$35,_xlfn.XLOOKUP($C28,Assumptions!$B$36:$B$41,Assumptions!$B$36:$H$41))</f>
        <v>0</v>
      </c>
      <c r="VGG28">
        <f t="array" ref="VGG28">_xlfn.XLOOKUP(VGG$11,Assumptions!$B$35:$H$35,_xlfn.XLOOKUP($C28,Assumptions!$B$36:$B$41,Assumptions!$B$36:$H$41))</f>
        <v>0</v>
      </c>
      <c r="VGH28">
        <f t="array" ref="VGH28">_xlfn.XLOOKUP(VGH$11,Assumptions!$B$35:$H$35,_xlfn.XLOOKUP($C28,Assumptions!$B$36:$B$41,Assumptions!$B$36:$H$41))</f>
        <v>0</v>
      </c>
      <c r="VGI28">
        <f t="array" ref="VGI28">_xlfn.XLOOKUP(VGI$11,Assumptions!$B$35:$H$35,_xlfn.XLOOKUP($C28,Assumptions!$B$36:$B$41,Assumptions!$B$36:$H$41))</f>
        <v>0</v>
      </c>
      <c r="VGJ28">
        <f t="array" ref="VGJ28">_xlfn.XLOOKUP(VGJ$11,Assumptions!$B$35:$H$35,_xlfn.XLOOKUP($C28,Assumptions!$B$36:$B$41,Assumptions!$B$36:$H$41))</f>
        <v>0</v>
      </c>
      <c r="VGK28">
        <f t="array" ref="VGK28">_xlfn.XLOOKUP(VGK$11,Assumptions!$B$35:$H$35,_xlfn.XLOOKUP($C28,Assumptions!$B$36:$B$41,Assumptions!$B$36:$H$41))</f>
        <v>0</v>
      </c>
      <c r="VGL28">
        <f t="array" ref="VGL28">_xlfn.XLOOKUP(VGL$11,Assumptions!$B$35:$H$35,_xlfn.XLOOKUP($C28,Assumptions!$B$36:$B$41,Assumptions!$B$36:$H$41))</f>
        <v>0</v>
      </c>
      <c r="VGM28">
        <f t="array" ref="VGM28">_xlfn.XLOOKUP(VGM$11,Assumptions!$B$35:$H$35,_xlfn.XLOOKUP($C28,Assumptions!$B$36:$B$41,Assumptions!$B$36:$H$41))</f>
        <v>0</v>
      </c>
      <c r="VGN28">
        <f t="array" ref="VGN28">_xlfn.XLOOKUP(VGN$11,Assumptions!$B$35:$H$35,_xlfn.XLOOKUP($C28,Assumptions!$B$36:$B$41,Assumptions!$B$36:$H$41))</f>
        <v>0</v>
      </c>
      <c r="VGO28">
        <f t="array" ref="VGO28">_xlfn.XLOOKUP(VGO$11,Assumptions!$B$35:$H$35,_xlfn.XLOOKUP($C28,Assumptions!$B$36:$B$41,Assumptions!$B$36:$H$41))</f>
        <v>0</v>
      </c>
      <c r="VGP28">
        <f t="array" ref="VGP28">_xlfn.XLOOKUP(VGP$11,Assumptions!$B$35:$H$35,_xlfn.XLOOKUP($C28,Assumptions!$B$36:$B$41,Assumptions!$B$36:$H$41))</f>
        <v>0</v>
      </c>
      <c r="VGQ28">
        <f t="array" ref="VGQ28">_xlfn.XLOOKUP(VGQ$11,Assumptions!$B$35:$H$35,_xlfn.XLOOKUP($C28,Assumptions!$B$36:$B$41,Assumptions!$B$36:$H$41))</f>
        <v>0</v>
      </c>
      <c r="VGR28">
        <f t="array" ref="VGR28">_xlfn.XLOOKUP(VGR$11,Assumptions!$B$35:$H$35,_xlfn.XLOOKUP($C28,Assumptions!$B$36:$B$41,Assumptions!$B$36:$H$41))</f>
        <v>0</v>
      </c>
      <c r="VGS28">
        <f t="array" ref="VGS28">_xlfn.XLOOKUP(VGS$11,Assumptions!$B$35:$H$35,_xlfn.XLOOKUP($C28,Assumptions!$B$36:$B$41,Assumptions!$B$36:$H$41))</f>
        <v>0</v>
      </c>
      <c r="VGT28">
        <f t="array" ref="VGT28">_xlfn.XLOOKUP(VGT$11,Assumptions!$B$35:$H$35,_xlfn.XLOOKUP($C28,Assumptions!$B$36:$B$41,Assumptions!$B$36:$H$41))</f>
        <v>0</v>
      </c>
      <c r="VGU28">
        <f t="array" ref="VGU28">_xlfn.XLOOKUP(VGU$11,Assumptions!$B$35:$H$35,_xlfn.XLOOKUP($C28,Assumptions!$B$36:$B$41,Assumptions!$B$36:$H$41))</f>
        <v>0</v>
      </c>
      <c r="VGV28">
        <f t="array" ref="VGV28">_xlfn.XLOOKUP(VGV$11,Assumptions!$B$35:$H$35,_xlfn.XLOOKUP($C28,Assumptions!$B$36:$B$41,Assumptions!$B$36:$H$41))</f>
        <v>0</v>
      </c>
      <c r="VGW28">
        <f t="array" ref="VGW28">_xlfn.XLOOKUP(VGW$11,Assumptions!$B$35:$H$35,_xlfn.XLOOKUP($C28,Assumptions!$B$36:$B$41,Assumptions!$B$36:$H$41))</f>
        <v>0</v>
      </c>
      <c r="VGX28">
        <f t="array" ref="VGX28">_xlfn.XLOOKUP(VGX$11,Assumptions!$B$35:$H$35,_xlfn.XLOOKUP($C28,Assumptions!$B$36:$B$41,Assumptions!$B$36:$H$41))</f>
        <v>0</v>
      </c>
      <c r="VGY28">
        <f t="array" ref="VGY28">_xlfn.XLOOKUP(VGY$11,Assumptions!$B$35:$H$35,_xlfn.XLOOKUP($C28,Assumptions!$B$36:$B$41,Assumptions!$B$36:$H$41))</f>
        <v>0</v>
      </c>
      <c r="VGZ28">
        <f t="array" ref="VGZ28">_xlfn.XLOOKUP(VGZ$11,Assumptions!$B$35:$H$35,_xlfn.XLOOKUP($C28,Assumptions!$B$36:$B$41,Assumptions!$B$36:$H$41))</f>
        <v>0</v>
      </c>
      <c r="VHA28">
        <f t="array" ref="VHA28">_xlfn.XLOOKUP(VHA$11,Assumptions!$B$35:$H$35,_xlfn.XLOOKUP($C28,Assumptions!$B$36:$B$41,Assumptions!$B$36:$H$41))</f>
        <v>0</v>
      </c>
      <c r="VHB28">
        <f t="array" ref="VHB28">_xlfn.XLOOKUP(VHB$11,Assumptions!$B$35:$H$35,_xlfn.XLOOKUP($C28,Assumptions!$B$36:$B$41,Assumptions!$B$36:$H$41))</f>
        <v>0</v>
      </c>
      <c r="VHC28">
        <f t="array" ref="VHC28">_xlfn.XLOOKUP(VHC$11,Assumptions!$B$35:$H$35,_xlfn.XLOOKUP($C28,Assumptions!$B$36:$B$41,Assumptions!$B$36:$H$41))</f>
        <v>0</v>
      </c>
      <c r="VHD28">
        <f t="array" ref="VHD28">_xlfn.XLOOKUP(VHD$11,Assumptions!$B$35:$H$35,_xlfn.XLOOKUP($C28,Assumptions!$B$36:$B$41,Assumptions!$B$36:$H$41))</f>
        <v>0</v>
      </c>
      <c r="VHE28">
        <f t="array" ref="VHE28">_xlfn.XLOOKUP(VHE$11,Assumptions!$B$35:$H$35,_xlfn.XLOOKUP($C28,Assumptions!$B$36:$B$41,Assumptions!$B$36:$H$41))</f>
        <v>0</v>
      </c>
      <c r="VHF28">
        <f t="array" ref="VHF28">_xlfn.XLOOKUP(VHF$11,Assumptions!$B$35:$H$35,_xlfn.XLOOKUP($C28,Assumptions!$B$36:$B$41,Assumptions!$B$36:$H$41))</f>
        <v>0</v>
      </c>
      <c r="VHG28">
        <f t="array" ref="VHG28">_xlfn.XLOOKUP(VHG$11,Assumptions!$B$35:$H$35,_xlfn.XLOOKUP($C28,Assumptions!$B$36:$B$41,Assumptions!$B$36:$H$41))</f>
        <v>0</v>
      </c>
      <c r="VHH28">
        <f t="array" ref="VHH28">_xlfn.XLOOKUP(VHH$11,Assumptions!$B$35:$H$35,_xlfn.XLOOKUP($C28,Assumptions!$B$36:$B$41,Assumptions!$B$36:$H$41))</f>
        <v>0</v>
      </c>
      <c r="VHI28">
        <f t="array" ref="VHI28">_xlfn.XLOOKUP(VHI$11,Assumptions!$B$35:$H$35,_xlfn.XLOOKUP($C28,Assumptions!$B$36:$B$41,Assumptions!$B$36:$H$41))</f>
        <v>0</v>
      </c>
      <c r="VHJ28">
        <f t="array" ref="VHJ28">_xlfn.XLOOKUP(VHJ$11,Assumptions!$B$35:$H$35,_xlfn.XLOOKUP($C28,Assumptions!$B$36:$B$41,Assumptions!$B$36:$H$41))</f>
        <v>0</v>
      </c>
      <c r="VHK28">
        <f t="array" ref="VHK28">_xlfn.XLOOKUP(VHK$11,Assumptions!$B$35:$H$35,_xlfn.XLOOKUP($C28,Assumptions!$B$36:$B$41,Assumptions!$B$36:$H$41))</f>
        <v>0</v>
      </c>
      <c r="VHL28">
        <f t="array" ref="VHL28">_xlfn.XLOOKUP(VHL$11,Assumptions!$B$35:$H$35,_xlfn.XLOOKUP($C28,Assumptions!$B$36:$B$41,Assumptions!$B$36:$H$41))</f>
        <v>0</v>
      </c>
      <c r="VHM28">
        <f t="array" ref="VHM28">_xlfn.XLOOKUP(VHM$11,Assumptions!$B$35:$H$35,_xlfn.XLOOKUP($C28,Assumptions!$B$36:$B$41,Assumptions!$B$36:$H$41))</f>
        <v>0</v>
      </c>
      <c r="VHN28">
        <f t="array" ref="VHN28">_xlfn.XLOOKUP(VHN$11,Assumptions!$B$35:$H$35,_xlfn.XLOOKUP($C28,Assumptions!$B$36:$B$41,Assumptions!$B$36:$H$41))</f>
        <v>0</v>
      </c>
      <c r="VHO28">
        <f t="array" ref="VHO28">_xlfn.XLOOKUP(VHO$11,Assumptions!$B$35:$H$35,_xlfn.XLOOKUP($C28,Assumptions!$B$36:$B$41,Assumptions!$B$36:$H$41))</f>
        <v>0</v>
      </c>
      <c r="VHP28">
        <f t="array" ref="VHP28">_xlfn.XLOOKUP(VHP$11,Assumptions!$B$35:$H$35,_xlfn.XLOOKUP($C28,Assumptions!$B$36:$B$41,Assumptions!$B$36:$H$41))</f>
        <v>0</v>
      </c>
      <c r="VHQ28">
        <f t="array" ref="VHQ28">_xlfn.XLOOKUP(VHQ$11,Assumptions!$B$35:$H$35,_xlfn.XLOOKUP($C28,Assumptions!$B$36:$B$41,Assumptions!$B$36:$H$41))</f>
        <v>0</v>
      </c>
      <c r="VHR28">
        <f t="array" ref="VHR28">_xlfn.XLOOKUP(VHR$11,Assumptions!$B$35:$H$35,_xlfn.XLOOKUP($C28,Assumptions!$B$36:$B$41,Assumptions!$B$36:$H$41))</f>
        <v>0</v>
      </c>
      <c r="VHS28">
        <f t="array" ref="VHS28">_xlfn.XLOOKUP(VHS$11,Assumptions!$B$35:$H$35,_xlfn.XLOOKUP($C28,Assumptions!$B$36:$B$41,Assumptions!$B$36:$H$41))</f>
        <v>0</v>
      </c>
      <c r="VHT28">
        <f t="array" ref="VHT28">_xlfn.XLOOKUP(VHT$11,Assumptions!$B$35:$H$35,_xlfn.XLOOKUP($C28,Assumptions!$B$36:$B$41,Assumptions!$B$36:$H$41))</f>
        <v>0</v>
      </c>
      <c r="VHU28">
        <f t="array" ref="VHU28">_xlfn.XLOOKUP(VHU$11,Assumptions!$B$35:$H$35,_xlfn.XLOOKUP($C28,Assumptions!$B$36:$B$41,Assumptions!$B$36:$H$41))</f>
        <v>0</v>
      </c>
      <c r="VHV28">
        <f t="array" ref="VHV28">_xlfn.XLOOKUP(VHV$11,Assumptions!$B$35:$H$35,_xlfn.XLOOKUP($C28,Assumptions!$B$36:$B$41,Assumptions!$B$36:$H$41))</f>
        <v>0</v>
      </c>
      <c r="VHW28">
        <f t="array" ref="VHW28">_xlfn.XLOOKUP(VHW$11,Assumptions!$B$35:$H$35,_xlfn.XLOOKUP($C28,Assumptions!$B$36:$B$41,Assumptions!$B$36:$H$41))</f>
        <v>0</v>
      </c>
      <c r="VHX28">
        <f t="array" ref="VHX28">_xlfn.XLOOKUP(VHX$11,Assumptions!$B$35:$H$35,_xlfn.XLOOKUP($C28,Assumptions!$B$36:$B$41,Assumptions!$B$36:$H$41))</f>
        <v>0</v>
      </c>
      <c r="VHY28">
        <f t="array" ref="VHY28">_xlfn.XLOOKUP(VHY$11,Assumptions!$B$35:$H$35,_xlfn.XLOOKUP($C28,Assumptions!$B$36:$B$41,Assumptions!$B$36:$H$41))</f>
        <v>0</v>
      </c>
      <c r="VHZ28">
        <f t="array" ref="VHZ28">_xlfn.XLOOKUP(VHZ$11,Assumptions!$B$35:$H$35,_xlfn.XLOOKUP($C28,Assumptions!$B$36:$B$41,Assumptions!$B$36:$H$41))</f>
        <v>0</v>
      </c>
      <c r="VIA28">
        <f t="array" ref="VIA28">_xlfn.XLOOKUP(VIA$11,Assumptions!$B$35:$H$35,_xlfn.XLOOKUP($C28,Assumptions!$B$36:$B$41,Assumptions!$B$36:$H$41))</f>
        <v>0</v>
      </c>
      <c r="VIB28">
        <f t="array" ref="VIB28">_xlfn.XLOOKUP(VIB$11,Assumptions!$B$35:$H$35,_xlfn.XLOOKUP($C28,Assumptions!$B$36:$B$41,Assumptions!$B$36:$H$41))</f>
        <v>0</v>
      </c>
      <c r="VIC28">
        <f t="array" ref="VIC28">_xlfn.XLOOKUP(VIC$11,Assumptions!$B$35:$H$35,_xlfn.XLOOKUP($C28,Assumptions!$B$36:$B$41,Assumptions!$B$36:$H$41))</f>
        <v>0</v>
      </c>
      <c r="VID28">
        <f t="array" ref="VID28">_xlfn.XLOOKUP(VID$11,Assumptions!$B$35:$H$35,_xlfn.XLOOKUP($C28,Assumptions!$B$36:$B$41,Assumptions!$B$36:$H$41))</f>
        <v>0</v>
      </c>
      <c r="VIE28">
        <f t="array" ref="VIE28">_xlfn.XLOOKUP(VIE$11,Assumptions!$B$35:$H$35,_xlfn.XLOOKUP($C28,Assumptions!$B$36:$B$41,Assumptions!$B$36:$H$41))</f>
        <v>0</v>
      </c>
      <c r="VIF28">
        <f t="array" ref="VIF28">_xlfn.XLOOKUP(VIF$11,Assumptions!$B$35:$H$35,_xlfn.XLOOKUP($C28,Assumptions!$B$36:$B$41,Assumptions!$B$36:$H$41))</f>
        <v>0</v>
      </c>
      <c r="VIG28">
        <f t="array" ref="VIG28">_xlfn.XLOOKUP(VIG$11,Assumptions!$B$35:$H$35,_xlfn.XLOOKUP($C28,Assumptions!$B$36:$B$41,Assumptions!$B$36:$H$41))</f>
        <v>0</v>
      </c>
      <c r="VIH28">
        <f t="array" ref="VIH28">_xlfn.XLOOKUP(VIH$11,Assumptions!$B$35:$H$35,_xlfn.XLOOKUP($C28,Assumptions!$B$36:$B$41,Assumptions!$B$36:$H$41))</f>
        <v>0</v>
      </c>
      <c r="VII28">
        <f t="array" ref="VII28">_xlfn.XLOOKUP(VII$11,Assumptions!$B$35:$H$35,_xlfn.XLOOKUP($C28,Assumptions!$B$36:$B$41,Assumptions!$B$36:$H$41))</f>
        <v>0</v>
      </c>
      <c r="VIJ28">
        <f t="array" ref="VIJ28">_xlfn.XLOOKUP(VIJ$11,Assumptions!$B$35:$H$35,_xlfn.XLOOKUP($C28,Assumptions!$B$36:$B$41,Assumptions!$B$36:$H$41))</f>
        <v>0</v>
      </c>
      <c r="VIK28">
        <f t="array" ref="VIK28">_xlfn.XLOOKUP(VIK$11,Assumptions!$B$35:$H$35,_xlfn.XLOOKUP($C28,Assumptions!$B$36:$B$41,Assumptions!$B$36:$H$41))</f>
        <v>0</v>
      </c>
      <c r="VIL28">
        <f t="array" ref="VIL28">_xlfn.XLOOKUP(VIL$11,Assumptions!$B$35:$H$35,_xlfn.XLOOKUP($C28,Assumptions!$B$36:$B$41,Assumptions!$B$36:$H$41))</f>
        <v>0</v>
      </c>
      <c r="VIM28">
        <f t="array" ref="VIM28">_xlfn.XLOOKUP(VIM$11,Assumptions!$B$35:$H$35,_xlfn.XLOOKUP($C28,Assumptions!$B$36:$B$41,Assumptions!$B$36:$H$41))</f>
        <v>0</v>
      </c>
      <c r="VIN28">
        <f t="array" ref="VIN28">_xlfn.XLOOKUP(VIN$11,Assumptions!$B$35:$H$35,_xlfn.XLOOKUP($C28,Assumptions!$B$36:$B$41,Assumptions!$B$36:$H$41))</f>
        <v>0</v>
      </c>
      <c r="VIO28">
        <f t="array" ref="VIO28">_xlfn.XLOOKUP(VIO$11,Assumptions!$B$35:$H$35,_xlfn.XLOOKUP($C28,Assumptions!$B$36:$B$41,Assumptions!$B$36:$H$41))</f>
        <v>0</v>
      </c>
      <c r="VIP28">
        <f t="array" ref="VIP28">_xlfn.XLOOKUP(VIP$11,Assumptions!$B$35:$H$35,_xlfn.XLOOKUP($C28,Assumptions!$B$36:$B$41,Assumptions!$B$36:$H$41))</f>
        <v>0</v>
      </c>
      <c r="VIQ28">
        <f t="array" ref="VIQ28">_xlfn.XLOOKUP(VIQ$11,Assumptions!$B$35:$H$35,_xlfn.XLOOKUP($C28,Assumptions!$B$36:$B$41,Assumptions!$B$36:$H$41))</f>
        <v>0</v>
      </c>
      <c r="VIR28">
        <f t="array" ref="VIR28">_xlfn.XLOOKUP(VIR$11,Assumptions!$B$35:$H$35,_xlfn.XLOOKUP($C28,Assumptions!$B$36:$B$41,Assumptions!$B$36:$H$41))</f>
        <v>0</v>
      </c>
      <c r="VIS28">
        <f t="array" ref="VIS28">_xlfn.XLOOKUP(VIS$11,Assumptions!$B$35:$H$35,_xlfn.XLOOKUP($C28,Assumptions!$B$36:$B$41,Assumptions!$B$36:$H$41))</f>
        <v>0</v>
      </c>
      <c r="VIT28">
        <f t="array" ref="VIT28">_xlfn.XLOOKUP(VIT$11,Assumptions!$B$35:$H$35,_xlfn.XLOOKUP($C28,Assumptions!$B$36:$B$41,Assumptions!$B$36:$H$41))</f>
        <v>0</v>
      </c>
      <c r="VIU28">
        <f t="array" ref="VIU28">_xlfn.XLOOKUP(VIU$11,Assumptions!$B$35:$H$35,_xlfn.XLOOKUP($C28,Assumptions!$B$36:$B$41,Assumptions!$B$36:$H$41))</f>
        <v>0</v>
      </c>
      <c r="VIV28">
        <f t="array" ref="VIV28">_xlfn.XLOOKUP(VIV$11,Assumptions!$B$35:$H$35,_xlfn.XLOOKUP($C28,Assumptions!$B$36:$B$41,Assumptions!$B$36:$H$41))</f>
        <v>0</v>
      </c>
      <c r="VIW28">
        <f t="array" ref="VIW28">_xlfn.XLOOKUP(VIW$11,Assumptions!$B$35:$H$35,_xlfn.XLOOKUP($C28,Assumptions!$B$36:$B$41,Assumptions!$B$36:$H$41))</f>
        <v>0</v>
      </c>
      <c r="VIX28">
        <f t="array" ref="VIX28">_xlfn.XLOOKUP(VIX$11,Assumptions!$B$35:$H$35,_xlfn.XLOOKUP($C28,Assumptions!$B$36:$B$41,Assumptions!$B$36:$H$41))</f>
        <v>0</v>
      </c>
      <c r="VIY28">
        <f t="array" ref="VIY28">_xlfn.XLOOKUP(VIY$11,Assumptions!$B$35:$H$35,_xlfn.XLOOKUP($C28,Assumptions!$B$36:$B$41,Assumptions!$B$36:$H$41))</f>
        <v>0</v>
      </c>
      <c r="VIZ28">
        <f t="array" ref="VIZ28">_xlfn.XLOOKUP(VIZ$11,Assumptions!$B$35:$H$35,_xlfn.XLOOKUP($C28,Assumptions!$B$36:$B$41,Assumptions!$B$36:$H$41))</f>
        <v>0</v>
      </c>
      <c r="VJA28">
        <f t="array" ref="VJA28">_xlfn.XLOOKUP(VJA$11,Assumptions!$B$35:$H$35,_xlfn.XLOOKUP($C28,Assumptions!$B$36:$B$41,Assumptions!$B$36:$H$41))</f>
        <v>0</v>
      </c>
      <c r="VJB28">
        <f t="array" ref="VJB28">_xlfn.XLOOKUP(VJB$11,Assumptions!$B$35:$H$35,_xlfn.XLOOKUP($C28,Assumptions!$B$36:$B$41,Assumptions!$B$36:$H$41))</f>
        <v>0</v>
      </c>
      <c r="VJC28">
        <f t="array" ref="VJC28">_xlfn.XLOOKUP(VJC$11,Assumptions!$B$35:$H$35,_xlfn.XLOOKUP($C28,Assumptions!$B$36:$B$41,Assumptions!$B$36:$H$41))</f>
        <v>0</v>
      </c>
      <c r="VJD28">
        <f t="array" ref="VJD28">_xlfn.XLOOKUP(VJD$11,Assumptions!$B$35:$H$35,_xlfn.XLOOKUP($C28,Assumptions!$B$36:$B$41,Assumptions!$B$36:$H$41))</f>
        <v>0</v>
      </c>
      <c r="VJE28">
        <f t="array" ref="VJE28">_xlfn.XLOOKUP(VJE$11,Assumptions!$B$35:$H$35,_xlfn.XLOOKUP($C28,Assumptions!$B$36:$B$41,Assumptions!$B$36:$H$41))</f>
        <v>0</v>
      </c>
      <c r="VJF28">
        <f t="array" ref="VJF28">_xlfn.XLOOKUP(VJF$11,Assumptions!$B$35:$H$35,_xlfn.XLOOKUP($C28,Assumptions!$B$36:$B$41,Assumptions!$B$36:$H$41))</f>
        <v>0</v>
      </c>
      <c r="VJG28">
        <f t="array" ref="VJG28">_xlfn.XLOOKUP(VJG$11,Assumptions!$B$35:$H$35,_xlfn.XLOOKUP($C28,Assumptions!$B$36:$B$41,Assumptions!$B$36:$H$41))</f>
        <v>0</v>
      </c>
      <c r="VJH28">
        <f t="array" ref="VJH28">_xlfn.XLOOKUP(VJH$11,Assumptions!$B$35:$H$35,_xlfn.XLOOKUP($C28,Assumptions!$B$36:$B$41,Assumptions!$B$36:$H$41))</f>
        <v>0</v>
      </c>
      <c r="VJI28">
        <f t="array" ref="VJI28">_xlfn.XLOOKUP(VJI$11,Assumptions!$B$35:$H$35,_xlfn.XLOOKUP($C28,Assumptions!$B$36:$B$41,Assumptions!$B$36:$H$41))</f>
        <v>0</v>
      </c>
      <c r="VJJ28">
        <f t="array" ref="VJJ28">_xlfn.XLOOKUP(VJJ$11,Assumptions!$B$35:$H$35,_xlfn.XLOOKUP($C28,Assumptions!$B$36:$B$41,Assumptions!$B$36:$H$41))</f>
        <v>0</v>
      </c>
      <c r="VJK28">
        <f t="array" ref="VJK28">_xlfn.XLOOKUP(VJK$11,Assumptions!$B$35:$H$35,_xlfn.XLOOKUP($C28,Assumptions!$B$36:$B$41,Assumptions!$B$36:$H$41))</f>
        <v>0</v>
      </c>
      <c r="VJL28">
        <f t="array" ref="VJL28">_xlfn.XLOOKUP(VJL$11,Assumptions!$B$35:$H$35,_xlfn.XLOOKUP($C28,Assumptions!$B$36:$B$41,Assumptions!$B$36:$H$41))</f>
        <v>0</v>
      </c>
      <c r="VJM28">
        <f t="array" ref="VJM28">_xlfn.XLOOKUP(VJM$11,Assumptions!$B$35:$H$35,_xlfn.XLOOKUP($C28,Assumptions!$B$36:$B$41,Assumptions!$B$36:$H$41))</f>
        <v>0</v>
      </c>
      <c r="VJN28">
        <f t="array" ref="VJN28">_xlfn.XLOOKUP(VJN$11,Assumptions!$B$35:$H$35,_xlfn.XLOOKUP($C28,Assumptions!$B$36:$B$41,Assumptions!$B$36:$H$41))</f>
        <v>0</v>
      </c>
      <c r="VJO28">
        <f t="array" ref="VJO28">_xlfn.XLOOKUP(VJO$11,Assumptions!$B$35:$H$35,_xlfn.XLOOKUP($C28,Assumptions!$B$36:$B$41,Assumptions!$B$36:$H$41))</f>
        <v>0</v>
      </c>
      <c r="VJP28">
        <f t="array" ref="VJP28">_xlfn.XLOOKUP(VJP$11,Assumptions!$B$35:$H$35,_xlfn.XLOOKUP($C28,Assumptions!$B$36:$B$41,Assumptions!$B$36:$H$41))</f>
        <v>0</v>
      </c>
      <c r="VJQ28">
        <f t="array" ref="VJQ28">_xlfn.XLOOKUP(VJQ$11,Assumptions!$B$35:$H$35,_xlfn.XLOOKUP($C28,Assumptions!$B$36:$B$41,Assumptions!$B$36:$H$41))</f>
        <v>0</v>
      </c>
      <c r="VJR28">
        <f t="array" ref="VJR28">_xlfn.XLOOKUP(VJR$11,Assumptions!$B$35:$H$35,_xlfn.XLOOKUP($C28,Assumptions!$B$36:$B$41,Assumptions!$B$36:$H$41))</f>
        <v>0</v>
      </c>
      <c r="VJS28">
        <f t="array" ref="VJS28">_xlfn.XLOOKUP(VJS$11,Assumptions!$B$35:$H$35,_xlfn.XLOOKUP($C28,Assumptions!$B$36:$B$41,Assumptions!$B$36:$H$41))</f>
        <v>0</v>
      </c>
      <c r="VJT28">
        <f t="array" ref="VJT28">_xlfn.XLOOKUP(VJT$11,Assumptions!$B$35:$H$35,_xlfn.XLOOKUP($C28,Assumptions!$B$36:$B$41,Assumptions!$B$36:$H$41))</f>
        <v>0</v>
      </c>
      <c r="VJU28">
        <f t="array" ref="VJU28">_xlfn.XLOOKUP(VJU$11,Assumptions!$B$35:$H$35,_xlfn.XLOOKUP($C28,Assumptions!$B$36:$B$41,Assumptions!$B$36:$H$41))</f>
        <v>0</v>
      </c>
      <c r="VJV28">
        <f t="array" ref="VJV28">_xlfn.XLOOKUP(VJV$11,Assumptions!$B$35:$H$35,_xlfn.XLOOKUP($C28,Assumptions!$B$36:$B$41,Assumptions!$B$36:$H$41))</f>
        <v>0</v>
      </c>
      <c r="VJW28">
        <f t="array" ref="VJW28">_xlfn.XLOOKUP(VJW$11,Assumptions!$B$35:$H$35,_xlfn.XLOOKUP($C28,Assumptions!$B$36:$B$41,Assumptions!$B$36:$H$41))</f>
        <v>0</v>
      </c>
      <c r="VJX28">
        <f t="array" ref="VJX28">_xlfn.XLOOKUP(VJX$11,Assumptions!$B$35:$H$35,_xlfn.XLOOKUP($C28,Assumptions!$B$36:$B$41,Assumptions!$B$36:$H$41))</f>
        <v>0</v>
      </c>
      <c r="VJY28">
        <f t="array" ref="VJY28">_xlfn.XLOOKUP(VJY$11,Assumptions!$B$35:$H$35,_xlfn.XLOOKUP($C28,Assumptions!$B$36:$B$41,Assumptions!$B$36:$H$41))</f>
        <v>0</v>
      </c>
      <c r="VJZ28">
        <f t="array" ref="VJZ28">_xlfn.XLOOKUP(VJZ$11,Assumptions!$B$35:$H$35,_xlfn.XLOOKUP($C28,Assumptions!$B$36:$B$41,Assumptions!$B$36:$H$41))</f>
        <v>0</v>
      </c>
      <c r="VKA28">
        <f t="array" ref="VKA28">_xlfn.XLOOKUP(VKA$11,Assumptions!$B$35:$H$35,_xlfn.XLOOKUP($C28,Assumptions!$B$36:$B$41,Assumptions!$B$36:$H$41))</f>
        <v>0</v>
      </c>
      <c r="VKB28">
        <f t="array" ref="VKB28">_xlfn.XLOOKUP(VKB$11,Assumptions!$B$35:$H$35,_xlfn.XLOOKUP($C28,Assumptions!$B$36:$B$41,Assumptions!$B$36:$H$41))</f>
        <v>0</v>
      </c>
      <c r="VKC28">
        <f t="array" ref="VKC28">_xlfn.XLOOKUP(VKC$11,Assumptions!$B$35:$H$35,_xlfn.XLOOKUP($C28,Assumptions!$B$36:$B$41,Assumptions!$B$36:$H$41))</f>
        <v>0</v>
      </c>
      <c r="VKD28">
        <f t="array" ref="VKD28">_xlfn.XLOOKUP(VKD$11,Assumptions!$B$35:$H$35,_xlfn.XLOOKUP($C28,Assumptions!$B$36:$B$41,Assumptions!$B$36:$H$41))</f>
        <v>0</v>
      </c>
      <c r="VKE28">
        <f t="array" ref="VKE28">_xlfn.XLOOKUP(VKE$11,Assumptions!$B$35:$H$35,_xlfn.XLOOKUP($C28,Assumptions!$B$36:$B$41,Assumptions!$B$36:$H$41))</f>
        <v>0</v>
      </c>
      <c r="VKF28">
        <f t="array" ref="VKF28">_xlfn.XLOOKUP(VKF$11,Assumptions!$B$35:$H$35,_xlfn.XLOOKUP($C28,Assumptions!$B$36:$B$41,Assumptions!$B$36:$H$41))</f>
        <v>0</v>
      </c>
      <c r="VKG28">
        <f t="array" ref="VKG28">_xlfn.XLOOKUP(VKG$11,Assumptions!$B$35:$H$35,_xlfn.XLOOKUP($C28,Assumptions!$B$36:$B$41,Assumptions!$B$36:$H$41))</f>
        <v>0</v>
      </c>
      <c r="VKH28">
        <f t="array" ref="VKH28">_xlfn.XLOOKUP(VKH$11,Assumptions!$B$35:$H$35,_xlfn.XLOOKUP($C28,Assumptions!$B$36:$B$41,Assumptions!$B$36:$H$41))</f>
        <v>0</v>
      </c>
      <c r="VKI28">
        <f t="array" ref="VKI28">_xlfn.XLOOKUP(VKI$11,Assumptions!$B$35:$H$35,_xlfn.XLOOKUP($C28,Assumptions!$B$36:$B$41,Assumptions!$B$36:$H$41))</f>
        <v>0</v>
      </c>
      <c r="VKJ28">
        <f t="array" ref="VKJ28">_xlfn.XLOOKUP(VKJ$11,Assumptions!$B$35:$H$35,_xlfn.XLOOKUP($C28,Assumptions!$B$36:$B$41,Assumptions!$B$36:$H$41))</f>
        <v>0</v>
      </c>
      <c r="VKK28">
        <f t="array" ref="VKK28">_xlfn.XLOOKUP(VKK$11,Assumptions!$B$35:$H$35,_xlfn.XLOOKUP($C28,Assumptions!$B$36:$B$41,Assumptions!$B$36:$H$41))</f>
        <v>0</v>
      </c>
      <c r="VKL28">
        <f t="array" ref="VKL28">_xlfn.XLOOKUP(VKL$11,Assumptions!$B$35:$H$35,_xlfn.XLOOKUP($C28,Assumptions!$B$36:$B$41,Assumptions!$B$36:$H$41))</f>
        <v>0</v>
      </c>
      <c r="VKM28">
        <f t="array" ref="VKM28">_xlfn.XLOOKUP(VKM$11,Assumptions!$B$35:$H$35,_xlfn.XLOOKUP($C28,Assumptions!$B$36:$B$41,Assumptions!$B$36:$H$41))</f>
        <v>0</v>
      </c>
      <c r="VKN28">
        <f t="array" ref="VKN28">_xlfn.XLOOKUP(VKN$11,Assumptions!$B$35:$H$35,_xlfn.XLOOKUP($C28,Assumptions!$B$36:$B$41,Assumptions!$B$36:$H$41))</f>
        <v>0</v>
      </c>
      <c r="VKO28">
        <f t="array" ref="VKO28">_xlfn.XLOOKUP(VKO$11,Assumptions!$B$35:$H$35,_xlfn.XLOOKUP($C28,Assumptions!$B$36:$B$41,Assumptions!$B$36:$H$41))</f>
        <v>0</v>
      </c>
      <c r="VKP28">
        <f t="array" ref="VKP28">_xlfn.XLOOKUP(VKP$11,Assumptions!$B$35:$H$35,_xlfn.XLOOKUP($C28,Assumptions!$B$36:$B$41,Assumptions!$B$36:$H$41))</f>
        <v>0</v>
      </c>
      <c r="VKQ28">
        <f t="array" ref="VKQ28">_xlfn.XLOOKUP(VKQ$11,Assumptions!$B$35:$H$35,_xlfn.XLOOKUP($C28,Assumptions!$B$36:$B$41,Assumptions!$B$36:$H$41))</f>
        <v>0</v>
      </c>
      <c r="VKR28">
        <f t="array" ref="VKR28">_xlfn.XLOOKUP(VKR$11,Assumptions!$B$35:$H$35,_xlfn.XLOOKUP($C28,Assumptions!$B$36:$B$41,Assumptions!$B$36:$H$41))</f>
        <v>0</v>
      </c>
      <c r="VKS28">
        <f t="array" ref="VKS28">_xlfn.XLOOKUP(VKS$11,Assumptions!$B$35:$H$35,_xlfn.XLOOKUP($C28,Assumptions!$B$36:$B$41,Assumptions!$B$36:$H$41))</f>
        <v>0</v>
      </c>
      <c r="VKT28">
        <f t="array" ref="VKT28">_xlfn.XLOOKUP(VKT$11,Assumptions!$B$35:$H$35,_xlfn.XLOOKUP($C28,Assumptions!$B$36:$B$41,Assumptions!$B$36:$H$41))</f>
        <v>0</v>
      </c>
      <c r="VKU28">
        <f t="array" ref="VKU28">_xlfn.XLOOKUP(VKU$11,Assumptions!$B$35:$H$35,_xlfn.XLOOKUP($C28,Assumptions!$B$36:$B$41,Assumptions!$B$36:$H$41))</f>
        <v>0</v>
      </c>
      <c r="VKV28">
        <f t="array" ref="VKV28">_xlfn.XLOOKUP(VKV$11,Assumptions!$B$35:$H$35,_xlfn.XLOOKUP($C28,Assumptions!$B$36:$B$41,Assumptions!$B$36:$H$41))</f>
        <v>0</v>
      </c>
      <c r="VKW28">
        <f t="array" ref="VKW28">_xlfn.XLOOKUP(VKW$11,Assumptions!$B$35:$H$35,_xlfn.XLOOKUP($C28,Assumptions!$B$36:$B$41,Assumptions!$B$36:$H$41))</f>
        <v>0</v>
      </c>
      <c r="VKX28">
        <f t="array" ref="VKX28">_xlfn.XLOOKUP(VKX$11,Assumptions!$B$35:$H$35,_xlfn.XLOOKUP($C28,Assumptions!$B$36:$B$41,Assumptions!$B$36:$H$41))</f>
        <v>0</v>
      </c>
      <c r="VKY28">
        <f t="array" ref="VKY28">_xlfn.XLOOKUP(VKY$11,Assumptions!$B$35:$H$35,_xlfn.XLOOKUP($C28,Assumptions!$B$36:$B$41,Assumptions!$B$36:$H$41))</f>
        <v>0</v>
      </c>
      <c r="VKZ28">
        <f t="array" ref="VKZ28">_xlfn.XLOOKUP(VKZ$11,Assumptions!$B$35:$H$35,_xlfn.XLOOKUP($C28,Assumptions!$B$36:$B$41,Assumptions!$B$36:$H$41))</f>
        <v>0</v>
      </c>
      <c r="VLA28">
        <f t="array" ref="VLA28">_xlfn.XLOOKUP(VLA$11,Assumptions!$B$35:$H$35,_xlfn.XLOOKUP($C28,Assumptions!$B$36:$B$41,Assumptions!$B$36:$H$41))</f>
        <v>0</v>
      </c>
      <c r="VLB28">
        <f t="array" ref="VLB28">_xlfn.XLOOKUP(VLB$11,Assumptions!$B$35:$H$35,_xlfn.XLOOKUP($C28,Assumptions!$B$36:$B$41,Assumptions!$B$36:$H$41))</f>
        <v>0</v>
      </c>
      <c r="VLC28">
        <f t="array" ref="VLC28">_xlfn.XLOOKUP(VLC$11,Assumptions!$B$35:$H$35,_xlfn.XLOOKUP($C28,Assumptions!$B$36:$B$41,Assumptions!$B$36:$H$41))</f>
        <v>0</v>
      </c>
      <c r="VLD28">
        <f t="array" ref="VLD28">_xlfn.XLOOKUP(VLD$11,Assumptions!$B$35:$H$35,_xlfn.XLOOKUP($C28,Assumptions!$B$36:$B$41,Assumptions!$B$36:$H$41))</f>
        <v>0</v>
      </c>
      <c r="VLE28">
        <f t="array" ref="VLE28">_xlfn.XLOOKUP(VLE$11,Assumptions!$B$35:$H$35,_xlfn.XLOOKUP($C28,Assumptions!$B$36:$B$41,Assumptions!$B$36:$H$41))</f>
        <v>0</v>
      </c>
      <c r="VLF28">
        <f t="array" ref="VLF28">_xlfn.XLOOKUP(VLF$11,Assumptions!$B$35:$H$35,_xlfn.XLOOKUP($C28,Assumptions!$B$36:$B$41,Assumptions!$B$36:$H$41))</f>
        <v>0</v>
      </c>
      <c r="VLG28">
        <f t="array" ref="VLG28">_xlfn.XLOOKUP(VLG$11,Assumptions!$B$35:$H$35,_xlfn.XLOOKUP($C28,Assumptions!$B$36:$B$41,Assumptions!$B$36:$H$41))</f>
        <v>0</v>
      </c>
      <c r="VLH28">
        <f t="array" ref="VLH28">_xlfn.XLOOKUP(VLH$11,Assumptions!$B$35:$H$35,_xlfn.XLOOKUP($C28,Assumptions!$B$36:$B$41,Assumptions!$B$36:$H$41))</f>
        <v>0</v>
      </c>
      <c r="VLI28">
        <f t="array" ref="VLI28">_xlfn.XLOOKUP(VLI$11,Assumptions!$B$35:$H$35,_xlfn.XLOOKUP($C28,Assumptions!$B$36:$B$41,Assumptions!$B$36:$H$41))</f>
        <v>0</v>
      </c>
      <c r="VLJ28">
        <f t="array" ref="VLJ28">_xlfn.XLOOKUP(VLJ$11,Assumptions!$B$35:$H$35,_xlfn.XLOOKUP($C28,Assumptions!$B$36:$B$41,Assumptions!$B$36:$H$41))</f>
        <v>0</v>
      </c>
      <c r="VLK28">
        <f t="array" ref="VLK28">_xlfn.XLOOKUP(VLK$11,Assumptions!$B$35:$H$35,_xlfn.XLOOKUP($C28,Assumptions!$B$36:$B$41,Assumptions!$B$36:$H$41))</f>
        <v>0</v>
      </c>
      <c r="VLL28">
        <f t="array" ref="VLL28">_xlfn.XLOOKUP(VLL$11,Assumptions!$B$35:$H$35,_xlfn.XLOOKUP($C28,Assumptions!$B$36:$B$41,Assumptions!$B$36:$H$41))</f>
        <v>0</v>
      </c>
      <c r="VLM28">
        <f t="array" ref="VLM28">_xlfn.XLOOKUP(VLM$11,Assumptions!$B$35:$H$35,_xlfn.XLOOKUP($C28,Assumptions!$B$36:$B$41,Assumptions!$B$36:$H$41))</f>
        <v>0</v>
      </c>
      <c r="VLN28">
        <f t="array" ref="VLN28">_xlfn.XLOOKUP(VLN$11,Assumptions!$B$35:$H$35,_xlfn.XLOOKUP($C28,Assumptions!$B$36:$B$41,Assumptions!$B$36:$H$41))</f>
        <v>0</v>
      </c>
      <c r="VLO28">
        <f t="array" ref="VLO28">_xlfn.XLOOKUP(VLO$11,Assumptions!$B$35:$H$35,_xlfn.XLOOKUP($C28,Assumptions!$B$36:$B$41,Assumptions!$B$36:$H$41))</f>
        <v>0</v>
      </c>
      <c r="VLP28">
        <f t="array" ref="VLP28">_xlfn.XLOOKUP(VLP$11,Assumptions!$B$35:$H$35,_xlfn.XLOOKUP($C28,Assumptions!$B$36:$B$41,Assumptions!$B$36:$H$41))</f>
        <v>0</v>
      </c>
      <c r="VLQ28">
        <f t="array" ref="VLQ28">_xlfn.XLOOKUP(VLQ$11,Assumptions!$B$35:$H$35,_xlfn.XLOOKUP($C28,Assumptions!$B$36:$B$41,Assumptions!$B$36:$H$41))</f>
        <v>0</v>
      </c>
      <c r="VLR28">
        <f t="array" ref="VLR28">_xlfn.XLOOKUP(VLR$11,Assumptions!$B$35:$H$35,_xlfn.XLOOKUP($C28,Assumptions!$B$36:$B$41,Assumptions!$B$36:$H$41))</f>
        <v>0</v>
      </c>
      <c r="VLS28">
        <f t="array" ref="VLS28">_xlfn.XLOOKUP(VLS$11,Assumptions!$B$35:$H$35,_xlfn.XLOOKUP($C28,Assumptions!$B$36:$B$41,Assumptions!$B$36:$H$41))</f>
        <v>0</v>
      </c>
      <c r="VLT28">
        <f t="array" ref="VLT28">_xlfn.XLOOKUP(VLT$11,Assumptions!$B$35:$H$35,_xlfn.XLOOKUP($C28,Assumptions!$B$36:$B$41,Assumptions!$B$36:$H$41))</f>
        <v>0</v>
      </c>
      <c r="VLU28">
        <f t="array" ref="VLU28">_xlfn.XLOOKUP(VLU$11,Assumptions!$B$35:$H$35,_xlfn.XLOOKUP($C28,Assumptions!$B$36:$B$41,Assumptions!$B$36:$H$41))</f>
        <v>0</v>
      </c>
      <c r="VLV28">
        <f t="array" ref="VLV28">_xlfn.XLOOKUP(VLV$11,Assumptions!$B$35:$H$35,_xlfn.XLOOKUP($C28,Assumptions!$B$36:$B$41,Assumptions!$B$36:$H$41))</f>
        <v>0</v>
      </c>
      <c r="VLW28">
        <f t="array" ref="VLW28">_xlfn.XLOOKUP(VLW$11,Assumptions!$B$35:$H$35,_xlfn.XLOOKUP($C28,Assumptions!$B$36:$B$41,Assumptions!$B$36:$H$41))</f>
        <v>0</v>
      </c>
      <c r="VLX28">
        <f t="array" ref="VLX28">_xlfn.XLOOKUP(VLX$11,Assumptions!$B$35:$H$35,_xlfn.XLOOKUP($C28,Assumptions!$B$36:$B$41,Assumptions!$B$36:$H$41))</f>
        <v>0</v>
      </c>
      <c r="VLY28">
        <f t="array" ref="VLY28">_xlfn.XLOOKUP(VLY$11,Assumptions!$B$35:$H$35,_xlfn.XLOOKUP($C28,Assumptions!$B$36:$B$41,Assumptions!$B$36:$H$41))</f>
        <v>0</v>
      </c>
      <c r="VLZ28">
        <f t="array" ref="VLZ28">_xlfn.XLOOKUP(VLZ$11,Assumptions!$B$35:$H$35,_xlfn.XLOOKUP($C28,Assumptions!$B$36:$B$41,Assumptions!$B$36:$H$41))</f>
        <v>0</v>
      </c>
      <c r="VMA28">
        <f t="array" ref="VMA28">_xlfn.XLOOKUP(VMA$11,Assumptions!$B$35:$H$35,_xlfn.XLOOKUP($C28,Assumptions!$B$36:$B$41,Assumptions!$B$36:$H$41))</f>
        <v>0</v>
      </c>
      <c r="VMB28">
        <f t="array" ref="VMB28">_xlfn.XLOOKUP(VMB$11,Assumptions!$B$35:$H$35,_xlfn.XLOOKUP($C28,Assumptions!$B$36:$B$41,Assumptions!$B$36:$H$41))</f>
        <v>0</v>
      </c>
      <c r="VMC28">
        <f t="array" ref="VMC28">_xlfn.XLOOKUP(VMC$11,Assumptions!$B$35:$H$35,_xlfn.XLOOKUP($C28,Assumptions!$B$36:$B$41,Assumptions!$B$36:$H$41))</f>
        <v>0</v>
      </c>
      <c r="VMD28">
        <f t="array" ref="VMD28">_xlfn.XLOOKUP(VMD$11,Assumptions!$B$35:$H$35,_xlfn.XLOOKUP($C28,Assumptions!$B$36:$B$41,Assumptions!$B$36:$H$41))</f>
        <v>0</v>
      </c>
      <c r="VME28">
        <f t="array" ref="VME28">_xlfn.XLOOKUP(VME$11,Assumptions!$B$35:$H$35,_xlfn.XLOOKUP($C28,Assumptions!$B$36:$B$41,Assumptions!$B$36:$H$41))</f>
        <v>0</v>
      </c>
      <c r="VMF28">
        <f t="array" ref="VMF28">_xlfn.XLOOKUP(VMF$11,Assumptions!$B$35:$H$35,_xlfn.XLOOKUP($C28,Assumptions!$B$36:$B$41,Assumptions!$B$36:$H$41))</f>
        <v>0</v>
      </c>
      <c r="VMG28">
        <f t="array" ref="VMG28">_xlfn.XLOOKUP(VMG$11,Assumptions!$B$35:$H$35,_xlfn.XLOOKUP($C28,Assumptions!$B$36:$B$41,Assumptions!$B$36:$H$41))</f>
        <v>0</v>
      </c>
      <c r="VMH28">
        <f t="array" ref="VMH28">_xlfn.XLOOKUP(VMH$11,Assumptions!$B$35:$H$35,_xlfn.XLOOKUP($C28,Assumptions!$B$36:$B$41,Assumptions!$B$36:$H$41))</f>
        <v>0</v>
      </c>
      <c r="VMI28">
        <f t="array" ref="VMI28">_xlfn.XLOOKUP(VMI$11,Assumptions!$B$35:$H$35,_xlfn.XLOOKUP($C28,Assumptions!$B$36:$B$41,Assumptions!$B$36:$H$41))</f>
        <v>0</v>
      </c>
      <c r="VMJ28">
        <f t="array" ref="VMJ28">_xlfn.XLOOKUP(VMJ$11,Assumptions!$B$35:$H$35,_xlfn.XLOOKUP($C28,Assumptions!$B$36:$B$41,Assumptions!$B$36:$H$41))</f>
        <v>0</v>
      </c>
      <c r="VMK28">
        <f t="array" ref="VMK28">_xlfn.XLOOKUP(VMK$11,Assumptions!$B$35:$H$35,_xlfn.XLOOKUP($C28,Assumptions!$B$36:$B$41,Assumptions!$B$36:$H$41))</f>
        <v>0</v>
      </c>
      <c r="VML28">
        <f t="array" ref="VML28">_xlfn.XLOOKUP(VML$11,Assumptions!$B$35:$H$35,_xlfn.XLOOKUP($C28,Assumptions!$B$36:$B$41,Assumptions!$B$36:$H$41))</f>
        <v>0</v>
      </c>
      <c r="VMM28">
        <f t="array" ref="VMM28">_xlfn.XLOOKUP(VMM$11,Assumptions!$B$35:$H$35,_xlfn.XLOOKUP($C28,Assumptions!$B$36:$B$41,Assumptions!$B$36:$H$41))</f>
        <v>0</v>
      </c>
      <c r="VMN28">
        <f t="array" ref="VMN28">_xlfn.XLOOKUP(VMN$11,Assumptions!$B$35:$H$35,_xlfn.XLOOKUP($C28,Assumptions!$B$36:$B$41,Assumptions!$B$36:$H$41))</f>
        <v>0</v>
      </c>
      <c r="VMO28">
        <f t="array" ref="VMO28">_xlfn.XLOOKUP(VMO$11,Assumptions!$B$35:$H$35,_xlfn.XLOOKUP($C28,Assumptions!$B$36:$B$41,Assumptions!$B$36:$H$41))</f>
        <v>0</v>
      </c>
      <c r="VMP28">
        <f t="array" ref="VMP28">_xlfn.XLOOKUP(VMP$11,Assumptions!$B$35:$H$35,_xlfn.XLOOKUP($C28,Assumptions!$B$36:$B$41,Assumptions!$B$36:$H$41))</f>
        <v>0</v>
      </c>
      <c r="VMQ28">
        <f t="array" ref="VMQ28">_xlfn.XLOOKUP(VMQ$11,Assumptions!$B$35:$H$35,_xlfn.XLOOKUP($C28,Assumptions!$B$36:$B$41,Assumptions!$B$36:$H$41))</f>
        <v>0</v>
      </c>
      <c r="VMR28">
        <f t="array" ref="VMR28">_xlfn.XLOOKUP(VMR$11,Assumptions!$B$35:$H$35,_xlfn.XLOOKUP($C28,Assumptions!$B$36:$B$41,Assumptions!$B$36:$H$41))</f>
        <v>0</v>
      </c>
      <c r="VMS28">
        <f t="array" ref="VMS28">_xlfn.XLOOKUP(VMS$11,Assumptions!$B$35:$H$35,_xlfn.XLOOKUP($C28,Assumptions!$B$36:$B$41,Assumptions!$B$36:$H$41))</f>
        <v>0</v>
      </c>
      <c r="VMT28">
        <f t="array" ref="VMT28">_xlfn.XLOOKUP(VMT$11,Assumptions!$B$35:$H$35,_xlfn.XLOOKUP($C28,Assumptions!$B$36:$B$41,Assumptions!$B$36:$H$41))</f>
        <v>0</v>
      </c>
      <c r="VMU28">
        <f t="array" ref="VMU28">_xlfn.XLOOKUP(VMU$11,Assumptions!$B$35:$H$35,_xlfn.XLOOKUP($C28,Assumptions!$B$36:$B$41,Assumptions!$B$36:$H$41))</f>
        <v>0</v>
      </c>
      <c r="VMV28">
        <f t="array" ref="VMV28">_xlfn.XLOOKUP(VMV$11,Assumptions!$B$35:$H$35,_xlfn.XLOOKUP($C28,Assumptions!$B$36:$B$41,Assumptions!$B$36:$H$41))</f>
        <v>0</v>
      </c>
      <c r="VMW28">
        <f t="array" ref="VMW28">_xlfn.XLOOKUP(VMW$11,Assumptions!$B$35:$H$35,_xlfn.XLOOKUP($C28,Assumptions!$B$36:$B$41,Assumptions!$B$36:$H$41))</f>
        <v>0</v>
      </c>
      <c r="VMX28">
        <f t="array" ref="VMX28">_xlfn.XLOOKUP(VMX$11,Assumptions!$B$35:$H$35,_xlfn.XLOOKUP($C28,Assumptions!$B$36:$B$41,Assumptions!$B$36:$H$41))</f>
        <v>0</v>
      </c>
      <c r="VMY28">
        <f t="array" ref="VMY28">_xlfn.XLOOKUP(VMY$11,Assumptions!$B$35:$H$35,_xlfn.XLOOKUP($C28,Assumptions!$B$36:$B$41,Assumptions!$B$36:$H$41))</f>
        <v>0</v>
      </c>
      <c r="VMZ28">
        <f t="array" ref="VMZ28">_xlfn.XLOOKUP(VMZ$11,Assumptions!$B$35:$H$35,_xlfn.XLOOKUP($C28,Assumptions!$B$36:$B$41,Assumptions!$B$36:$H$41))</f>
        <v>0</v>
      </c>
      <c r="VNA28">
        <f t="array" ref="VNA28">_xlfn.XLOOKUP(VNA$11,Assumptions!$B$35:$H$35,_xlfn.XLOOKUP($C28,Assumptions!$B$36:$B$41,Assumptions!$B$36:$H$41))</f>
        <v>0</v>
      </c>
      <c r="VNB28">
        <f t="array" ref="VNB28">_xlfn.XLOOKUP(VNB$11,Assumptions!$B$35:$H$35,_xlfn.XLOOKUP($C28,Assumptions!$B$36:$B$41,Assumptions!$B$36:$H$41))</f>
        <v>0</v>
      </c>
      <c r="VNC28">
        <f t="array" ref="VNC28">_xlfn.XLOOKUP(VNC$11,Assumptions!$B$35:$H$35,_xlfn.XLOOKUP($C28,Assumptions!$B$36:$B$41,Assumptions!$B$36:$H$41))</f>
        <v>0</v>
      </c>
      <c r="VND28">
        <f t="array" ref="VND28">_xlfn.XLOOKUP(VND$11,Assumptions!$B$35:$H$35,_xlfn.XLOOKUP($C28,Assumptions!$B$36:$B$41,Assumptions!$B$36:$H$41))</f>
        <v>0</v>
      </c>
      <c r="VNE28">
        <f t="array" ref="VNE28">_xlfn.XLOOKUP(VNE$11,Assumptions!$B$35:$H$35,_xlfn.XLOOKUP($C28,Assumptions!$B$36:$B$41,Assumptions!$B$36:$H$41))</f>
        <v>0</v>
      </c>
      <c r="VNF28">
        <f t="array" ref="VNF28">_xlfn.XLOOKUP(VNF$11,Assumptions!$B$35:$H$35,_xlfn.XLOOKUP($C28,Assumptions!$B$36:$B$41,Assumptions!$B$36:$H$41))</f>
        <v>0</v>
      </c>
      <c r="VNG28">
        <f t="array" ref="VNG28">_xlfn.XLOOKUP(VNG$11,Assumptions!$B$35:$H$35,_xlfn.XLOOKUP($C28,Assumptions!$B$36:$B$41,Assumptions!$B$36:$H$41))</f>
        <v>0</v>
      </c>
      <c r="VNH28">
        <f t="array" ref="VNH28">_xlfn.XLOOKUP(VNH$11,Assumptions!$B$35:$H$35,_xlfn.XLOOKUP($C28,Assumptions!$B$36:$B$41,Assumptions!$B$36:$H$41))</f>
        <v>0</v>
      </c>
      <c r="VNI28">
        <f t="array" ref="VNI28">_xlfn.XLOOKUP(VNI$11,Assumptions!$B$35:$H$35,_xlfn.XLOOKUP($C28,Assumptions!$B$36:$B$41,Assumptions!$B$36:$H$41))</f>
        <v>0</v>
      </c>
      <c r="VNJ28">
        <f t="array" ref="VNJ28">_xlfn.XLOOKUP(VNJ$11,Assumptions!$B$35:$H$35,_xlfn.XLOOKUP($C28,Assumptions!$B$36:$B$41,Assumptions!$B$36:$H$41))</f>
        <v>0</v>
      </c>
      <c r="VNK28">
        <f t="array" ref="VNK28">_xlfn.XLOOKUP(VNK$11,Assumptions!$B$35:$H$35,_xlfn.XLOOKUP($C28,Assumptions!$B$36:$B$41,Assumptions!$B$36:$H$41))</f>
        <v>0</v>
      </c>
      <c r="VNL28">
        <f t="array" ref="VNL28">_xlfn.XLOOKUP(VNL$11,Assumptions!$B$35:$H$35,_xlfn.XLOOKUP($C28,Assumptions!$B$36:$B$41,Assumptions!$B$36:$H$41))</f>
        <v>0</v>
      </c>
      <c r="VNM28">
        <f t="array" ref="VNM28">_xlfn.XLOOKUP(VNM$11,Assumptions!$B$35:$H$35,_xlfn.XLOOKUP($C28,Assumptions!$B$36:$B$41,Assumptions!$B$36:$H$41))</f>
        <v>0</v>
      </c>
      <c r="VNN28">
        <f t="array" ref="VNN28">_xlfn.XLOOKUP(VNN$11,Assumptions!$B$35:$H$35,_xlfn.XLOOKUP($C28,Assumptions!$B$36:$B$41,Assumptions!$B$36:$H$41))</f>
        <v>0</v>
      </c>
      <c r="VNO28">
        <f t="array" ref="VNO28">_xlfn.XLOOKUP(VNO$11,Assumptions!$B$35:$H$35,_xlfn.XLOOKUP($C28,Assumptions!$B$36:$B$41,Assumptions!$B$36:$H$41))</f>
        <v>0</v>
      </c>
      <c r="VNP28">
        <f t="array" ref="VNP28">_xlfn.XLOOKUP(VNP$11,Assumptions!$B$35:$H$35,_xlfn.XLOOKUP($C28,Assumptions!$B$36:$B$41,Assumptions!$B$36:$H$41))</f>
        <v>0</v>
      </c>
      <c r="VNQ28">
        <f t="array" ref="VNQ28">_xlfn.XLOOKUP(VNQ$11,Assumptions!$B$35:$H$35,_xlfn.XLOOKUP($C28,Assumptions!$B$36:$B$41,Assumptions!$B$36:$H$41))</f>
        <v>0</v>
      </c>
      <c r="VNR28">
        <f t="array" ref="VNR28">_xlfn.XLOOKUP(VNR$11,Assumptions!$B$35:$H$35,_xlfn.XLOOKUP($C28,Assumptions!$B$36:$B$41,Assumptions!$B$36:$H$41))</f>
        <v>0</v>
      </c>
      <c r="VNS28">
        <f t="array" ref="VNS28">_xlfn.XLOOKUP(VNS$11,Assumptions!$B$35:$H$35,_xlfn.XLOOKUP($C28,Assumptions!$B$36:$B$41,Assumptions!$B$36:$H$41))</f>
        <v>0</v>
      </c>
      <c r="VNT28">
        <f t="array" ref="VNT28">_xlfn.XLOOKUP(VNT$11,Assumptions!$B$35:$H$35,_xlfn.XLOOKUP($C28,Assumptions!$B$36:$B$41,Assumptions!$B$36:$H$41))</f>
        <v>0</v>
      </c>
      <c r="VNU28">
        <f t="array" ref="VNU28">_xlfn.XLOOKUP(VNU$11,Assumptions!$B$35:$H$35,_xlfn.XLOOKUP($C28,Assumptions!$B$36:$B$41,Assumptions!$B$36:$H$41))</f>
        <v>0</v>
      </c>
      <c r="VNV28">
        <f t="array" ref="VNV28">_xlfn.XLOOKUP(VNV$11,Assumptions!$B$35:$H$35,_xlfn.XLOOKUP($C28,Assumptions!$B$36:$B$41,Assumptions!$B$36:$H$41))</f>
        <v>0</v>
      </c>
      <c r="VNW28">
        <f t="array" ref="VNW28">_xlfn.XLOOKUP(VNW$11,Assumptions!$B$35:$H$35,_xlfn.XLOOKUP($C28,Assumptions!$B$36:$B$41,Assumptions!$B$36:$H$41))</f>
        <v>0</v>
      </c>
      <c r="VNX28">
        <f t="array" ref="VNX28">_xlfn.XLOOKUP(VNX$11,Assumptions!$B$35:$H$35,_xlfn.XLOOKUP($C28,Assumptions!$B$36:$B$41,Assumptions!$B$36:$H$41))</f>
        <v>0</v>
      </c>
      <c r="VNY28">
        <f t="array" ref="VNY28">_xlfn.XLOOKUP(VNY$11,Assumptions!$B$35:$H$35,_xlfn.XLOOKUP($C28,Assumptions!$B$36:$B$41,Assumptions!$B$36:$H$41))</f>
        <v>0</v>
      </c>
      <c r="VNZ28">
        <f t="array" ref="VNZ28">_xlfn.XLOOKUP(VNZ$11,Assumptions!$B$35:$H$35,_xlfn.XLOOKUP($C28,Assumptions!$B$36:$B$41,Assumptions!$B$36:$H$41))</f>
        <v>0</v>
      </c>
      <c r="VOA28">
        <f t="array" ref="VOA28">_xlfn.XLOOKUP(VOA$11,Assumptions!$B$35:$H$35,_xlfn.XLOOKUP($C28,Assumptions!$B$36:$B$41,Assumptions!$B$36:$H$41))</f>
        <v>0</v>
      </c>
      <c r="VOB28">
        <f t="array" ref="VOB28">_xlfn.XLOOKUP(VOB$11,Assumptions!$B$35:$H$35,_xlfn.XLOOKUP($C28,Assumptions!$B$36:$B$41,Assumptions!$B$36:$H$41))</f>
        <v>0</v>
      </c>
      <c r="VOC28">
        <f t="array" ref="VOC28">_xlfn.XLOOKUP(VOC$11,Assumptions!$B$35:$H$35,_xlfn.XLOOKUP($C28,Assumptions!$B$36:$B$41,Assumptions!$B$36:$H$41))</f>
        <v>0</v>
      </c>
      <c r="VOD28">
        <f t="array" ref="VOD28">_xlfn.XLOOKUP(VOD$11,Assumptions!$B$35:$H$35,_xlfn.XLOOKUP($C28,Assumptions!$B$36:$B$41,Assumptions!$B$36:$H$41))</f>
        <v>0</v>
      </c>
      <c r="VOE28">
        <f t="array" ref="VOE28">_xlfn.XLOOKUP(VOE$11,Assumptions!$B$35:$H$35,_xlfn.XLOOKUP($C28,Assumptions!$B$36:$B$41,Assumptions!$B$36:$H$41))</f>
        <v>0</v>
      </c>
      <c r="VOF28">
        <f t="array" ref="VOF28">_xlfn.XLOOKUP(VOF$11,Assumptions!$B$35:$H$35,_xlfn.XLOOKUP($C28,Assumptions!$B$36:$B$41,Assumptions!$B$36:$H$41))</f>
        <v>0</v>
      </c>
      <c r="VOG28">
        <f t="array" ref="VOG28">_xlfn.XLOOKUP(VOG$11,Assumptions!$B$35:$H$35,_xlfn.XLOOKUP($C28,Assumptions!$B$36:$B$41,Assumptions!$B$36:$H$41))</f>
        <v>0</v>
      </c>
      <c r="VOH28">
        <f t="array" ref="VOH28">_xlfn.XLOOKUP(VOH$11,Assumptions!$B$35:$H$35,_xlfn.XLOOKUP($C28,Assumptions!$B$36:$B$41,Assumptions!$B$36:$H$41))</f>
        <v>0</v>
      </c>
      <c r="VOI28">
        <f t="array" ref="VOI28">_xlfn.XLOOKUP(VOI$11,Assumptions!$B$35:$H$35,_xlfn.XLOOKUP($C28,Assumptions!$B$36:$B$41,Assumptions!$B$36:$H$41))</f>
        <v>0</v>
      </c>
      <c r="VOJ28">
        <f t="array" ref="VOJ28">_xlfn.XLOOKUP(VOJ$11,Assumptions!$B$35:$H$35,_xlfn.XLOOKUP($C28,Assumptions!$B$36:$B$41,Assumptions!$B$36:$H$41))</f>
        <v>0</v>
      </c>
      <c r="VOK28">
        <f t="array" ref="VOK28">_xlfn.XLOOKUP(VOK$11,Assumptions!$B$35:$H$35,_xlfn.XLOOKUP($C28,Assumptions!$B$36:$B$41,Assumptions!$B$36:$H$41))</f>
        <v>0</v>
      </c>
      <c r="VOL28">
        <f t="array" ref="VOL28">_xlfn.XLOOKUP(VOL$11,Assumptions!$B$35:$H$35,_xlfn.XLOOKUP($C28,Assumptions!$B$36:$B$41,Assumptions!$B$36:$H$41))</f>
        <v>0</v>
      </c>
      <c r="VOM28">
        <f t="array" ref="VOM28">_xlfn.XLOOKUP(VOM$11,Assumptions!$B$35:$H$35,_xlfn.XLOOKUP($C28,Assumptions!$B$36:$B$41,Assumptions!$B$36:$H$41))</f>
        <v>0</v>
      </c>
      <c r="VON28">
        <f t="array" ref="VON28">_xlfn.XLOOKUP(VON$11,Assumptions!$B$35:$H$35,_xlfn.XLOOKUP($C28,Assumptions!$B$36:$B$41,Assumptions!$B$36:$H$41))</f>
        <v>0</v>
      </c>
      <c r="VOO28">
        <f t="array" ref="VOO28">_xlfn.XLOOKUP(VOO$11,Assumptions!$B$35:$H$35,_xlfn.XLOOKUP($C28,Assumptions!$B$36:$B$41,Assumptions!$B$36:$H$41))</f>
        <v>0</v>
      </c>
      <c r="VOP28">
        <f t="array" ref="VOP28">_xlfn.XLOOKUP(VOP$11,Assumptions!$B$35:$H$35,_xlfn.XLOOKUP($C28,Assumptions!$B$36:$B$41,Assumptions!$B$36:$H$41))</f>
        <v>0</v>
      </c>
      <c r="VOQ28">
        <f t="array" ref="VOQ28">_xlfn.XLOOKUP(VOQ$11,Assumptions!$B$35:$H$35,_xlfn.XLOOKUP($C28,Assumptions!$B$36:$B$41,Assumptions!$B$36:$H$41))</f>
        <v>0</v>
      </c>
      <c r="VOR28">
        <f t="array" ref="VOR28">_xlfn.XLOOKUP(VOR$11,Assumptions!$B$35:$H$35,_xlfn.XLOOKUP($C28,Assumptions!$B$36:$B$41,Assumptions!$B$36:$H$41))</f>
        <v>0</v>
      </c>
      <c r="VOS28">
        <f t="array" ref="VOS28">_xlfn.XLOOKUP(VOS$11,Assumptions!$B$35:$H$35,_xlfn.XLOOKUP($C28,Assumptions!$B$36:$B$41,Assumptions!$B$36:$H$41))</f>
        <v>0</v>
      </c>
      <c r="VOT28">
        <f t="array" ref="VOT28">_xlfn.XLOOKUP(VOT$11,Assumptions!$B$35:$H$35,_xlfn.XLOOKUP($C28,Assumptions!$B$36:$B$41,Assumptions!$B$36:$H$41))</f>
        <v>0</v>
      </c>
      <c r="VOU28">
        <f t="array" ref="VOU28">_xlfn.XLOOKUP(VOU$11,Assumptions!$B$35:$H$35,_xlfn.XLOOKUP($C28,Assumptions!$B$36:$B$41,Assumptions!$B$36:$H$41))</f>
        <v>0</v>
      </c>
      <c r="VOV28">
        <f t="array" ref="VOV28">_xlfn.XLOOKUP(VOV$11,Assumptions!$B$35:$H$35,_xlfn.XLOOKUP($C28,Assumptions!$B$36:$B$41,Assumptions!$B$36:$H$41))</f>
        <v>0</v>
      </c>
      <c r="VOW28">
        <f t="array" ref="VOW28">_xlfn.XLOOKUP(VOW$11,Assumptions!$B$35:$H$35,_xlfn.XLOOKUP($C28,Assumptions!$B$36:$B$41,Assumptions!$B$36:$H$41))</f>
        <v>0</v>
      </c>
      <c r="VOX28">
        <f t="array" ref="VOX28">_xlfn.XLOOKUP(VOX$11,Assumptions!$B$35:$H$35,_xlfn.XLOOKUP($C28,Assumptions!$B$36:$B$41,Assumptions!$B$36:$H$41))</f>
        <v>0</v>
      </c>
      <c r="VOY28">
        <f t="array" ref="VOY28">_xlfn.XLOOKUP(VOY$11,Assumptions!$B$35:$H$35,_xlfn.XLOOKUP($C28,Assumptions!$B$36:$B$41,Assumptions!$B$36:$H$41))</f>
        <v>0</v>
      </c>
      <c r="VOZ28">
        <f t="array" ref="VOZ28">_xlfn.XLOOKUP(VOZ$11,Assumptions!$B$35:$H$35,_xlfn.XLOOKUP($C28,Assumptions!$B$36:$B$41,Assumptions!$B$36:$H$41))</f>
        <v>0</v>
      </c>
      <c r="VPA28">
        <f t="array" ref="VPA28">_xlfn.XLOOKUP(VPA$11,Assumptions!$B$35:$H$35,_xlfn.XLOOKUP($C28,Assumptions!$B$36:$B$41,Assumptions!$B$36:$H$41))</f>
        <v>0</v>
      </c>
      <c r="VPB28">
        <f t="array" ref="VPB28">_xlfn.XLOOKUP(VPB$11,Assumptions!$B$35:$H$35,_xlfn.XLOOKUP($C28,Assumptions!$B$36:$B$41,Assumptions!$B$36:$H$41))</f>
        <v>0</v>
      </c>
      <c r="VPC28">
        <f t="array" ref="VPC28">_xlfn.XLOOKUP(VPC$11,Assumptions!$B$35:$H$35,_xlfn.XLOOKUP($C28,Assumptions!$B$36:$B$41,Assumptions!$B$36:$H$41))</f>
        <v>0</v>
      </c>
      <c r="VPD28">
        <f t="array" ref="VPD28">_xlfn.XLOOKUP(VPD$11,Assumptions!$B$35:$H$35,_xlfn.XLOOKUP($C28,Assumptions!$B$36:$B$41,Assumptions!$B$36:$H$41))</f>
        <v>0</v>
      </c>
      <c r="VPE28">
        <f t="array" ref="VPE28">_xlfn.XLOOKUP(VPE$11,Assumptions!$B$35:$H$35,_xlfn.XLOOKUP($C28,Assumptions!$B$36:$B$41,Assumptions!$B$36:$H$41))</f>
        <v>0</v>
      </c>
      <c r="VPF28">
        <f t="array" ref="VPF28">_xlfn.XLOOKUP(VPF$11,Assumptions!$B$35:$H$35,_xlfn.XLOOKUP($C28,Assumptions!$B$36:$B$41,Assumptions!$B$36:$H$41))</f>
        <v>0</v>
      </c>
      <c r="VPG28">
        <f t="array" ref="VPG28">_xlfn.XLOOKUP(VPG$11,Assumptions!$B$35:$H$35,_xlfn.XLOOKUP($C28,Assumptions!$B$36:$B$41,Assumptions!$B$36:$H$41))</f>
        <v>0</v>
      </c>
      <c r="VPH28">
        <f t="array" ref="VPH28">_xlfn.XLOOKUP(VPH$11,Assumptions!$B$35:$H$35,_xlfn.XLOOKUP($C28,Assumptions!$B$36:$B$41,Assumptions!$B$36:$H$41))</f>
        <v>0</v>
      </c>
      <c r="VPI28">
        <f t="array" ref="VPI28">_xlfn.XLOOKUP(VPI$11,Assumptions!$B$35:$H$35,_xlfn.XLOOKUP($C28,Assumptions!$B$36:$B$41,Assumptions!$B$36:$H$41))</f>
        <v>0</v>
      </c>
      <c r="VPJ28">
        <f t="array" ref="VPJ28">_xlfn.XLOOKUP(VPJ$11,Assumptions!$B$35:$H$35,_xlfn.XLOOKUP($C28,Assumptions!$B$36:$B$41,Assumptions!$B$36:$H$41))</f>
        <v>0</v>
      </c>
      <c r="VPK28">
        <f t="array" ref="VPK28">_xlfn.XLOOKUP(VPK$11,Assumptions!$B$35:$H$35,_xlfn.XLOOKUP($C28,Assumptions!$B$36:$B$41,Assumptions!$B$36:$H$41))</f>
        <v>0</v>
      </c>
      <c r="VPL28">
        <f t="array" ref="VPL28">_xlfn.XLOOKUP(VPL$11,Assumptions!$B$35:$H$35,_xlfn.XLOOKUP($C28,Assumptions!$B$36:$B$41,Assumptions!$B$36:$H$41))</f>
        <v>0</v>
      </c>
      <c r="VPM28">
        <f t="array" ref="VPM28">_xlfn.XLOOKUP(VPM$11,Assumptions!$B$35:$H$35,_xlfn.XLOOKUP($C28,Assumptions!$B$36:$B$41,Assumptions!$B$36:$H$41))</f>
        <v>0</v>
      </c>
      <c r="VPN28">
        <f t="array" ref="VPN28">_xlfn.XLOOKUP(VPN$11,Assumptions!$B$35:$H$35,_xlfn.XLOOKUP($C28,Assumptions!$B$36:$B$41,Assumptions!$B$36:$H$41))</f>
        <v>0</v>
      </c>
      <c r="VPO28">
        <f t="array" ref="VPO28">_xlfn.XLOOKUP(VPO$11,Assumptions!$B$35:$H$35,_xlfn.XLOOKUP($C28,Assumptions!$B$36:$B$41,Assumptions!$B$36:$H$41))</f>
        <v>0</v>
      </c>
      <c r="VPP28">
        <f t="array" ref="VPP28">_xlfn.XLOOKUP(VPP$11,Assumptions!$B$35:$H$35,_xlfn.XLOOKUP($C28,Assumptions!$B$36:$B$41,Assumptions!$B$36:$H$41))</f>
        <v>0</v>
      </c>
      <c r="VPQ28">
        <f t="array" ref="VPQ28">_xlfn.XLOOKUP(VPQ$11,Assumptions!$B$35:$H$35,_xlfn.XLOOKUP($C28,Assumptions!$B$36:$B$41,Assumptions!$B$36:$H$41))</f>
        <v>0</v>
      </c>
      <c r="VPR28">
        <f t="array" ref="VPR28">_xlfn.XLOOKUP(VPR$11,Assumptions!$B$35:$H$35,_xlfn.XLOOKUP($C28,Assumptions!$B$36:$B$41,Assumptions!$B$36:$H$41))</f>
        <v>0</v>
      </c>
      <c r="VPS28">
        <f t="array" ref="VPS28">_xlfn.XLOOKUP(VPS$11,Assumptions!$B$35:$H$35,_xlfn.XLOOKUP($C28,Assumptions!$B$36:$B$41,Assumptions!$B$36:$H$41))</f>
        <v>0</v>
      </c>
      <c r="VPT28">
        <f t="array" ref="VPT28">_xlfn.XLOOKUP(VPT$11,Assumptions!$B$35:$H$35,_xlfn.XLOOKUP($C28,Assumptions!$B$36:$B$41,Assumptions!$B$36:$H$41))</f>
        <v>0</v>
      </c>
      <c r="VPU28">
        <f t="array" ref="VPU28">_xlfn.XLOOKUP(VPU$11,Assumptions!$B$35:$H$35,_xlfn.XLOOKUP($C28,Assumptions!$B$36:$B$41,Assumptions!$B$36:$H$41))</f>
        <v>0</v>
      </c>
      <c r="VPV28">
        <f t="array" ref="VPV28">_xlfn.XLOOKUP(VPV$11,Assumptions!$B$35:$H$35,_xlfn.XLOOKUP($C28,Assumptions!$B$36:$B$41,Assumptions!$B$36:$H$41))</f>
        <v>0</v>
      </c>
      <c r="VPW28">
        <f t="array" ref="VPW28">_xlfn.XLOOKUP(VPW$11,Assumptions!$B$35:$H$35,_xlfn.XLOOKUP($C28,Assumptions!$B$36:$B$41,Assumptions!$B$36:$H$41))</f>
        <v>0</v>
      </c>
      <c r="VPX28">
        <f t="array" ref="VPX28">_xlfn.XLOOKUP(VPX$11,Assumptions!$B$35:$H$35,_xlfn.XLOOKUP($C28,Assumptions!$B$36:$B$41,Assumptions!$B$36:$H$41))</f>
        <v>0</v>
      </c>
      <c r="VPY28">
        <f t="array" ref="VPY28">_xlfn.XLOOKUP(VPY$11,Assumptions!$B$35:$H$35,_xlfn.XLOOKUP($C28,Assumptions!$B$36:$B$41,Assumptions!$B$36:$H$41))</f>
        <v>0</v>
      </c>
      <c r="VPZ28">
        <f t="array" ref="VPZ28">_xlfn.XLOOKUP(VPZ$11,Assumptions!$B$35:$H$35,_xlfn.XLOOKUP($C28,Assumptions!$B$36:$B$41,Assumptions!$B$36:$H$41))</f>
        <v>0</v>
      </c>
      <c r="VQA28">
        <f t="array" ref="VQA28">_xlfn.XLOOKUP(VQA$11,Assumptions!$B$35:$H$35,_xlfn.XLOOKUP($C28,Assumptions!$B$36:$B$41,Assumptions!$B$36:$H$41))</f>
        <v>0</v>
      </c>
      <c r="VQB28">
        <f t="array" ref="VQB28">_xlfn.XLOOKUP(VQB$11,Assumptions!$B$35:$H$35,_xlfn.XLOOKUP($C28,Assumptions!$B$36:$B$41,Assumptions!$B$36:$H$41))</f>
        <v>0</v>
      </c>
      <c r="VQC28">
        <f t="array" ref="VQC28">_xlfn.XLOOKUP(VQC$11,Assumptions!$B$35:$H$35,_xlfn.XLOOKUP($C28,Assumptions!$B$36:$B$41,Assumptions!$B$36:$H$41))</f>
        <v>0</v>
      </c>
      <c r="VQD28">
        <f t="array" ref="VQD28">_xlfn.XLOOKUP(VQD$11,Assumptions!$B$35:$H$35,_xlfn.XLOOKUP($C28,Assumptions!$B$36:$B$41,Assumptions!$B$36:$H$41))</f>
        <v>0</v>
      </c>
      <c r="VQE28">
        <f t="array" ref="VQE28">_xlfn.XLOOKUP(VQE$11,Assumptions!$B$35:$H$35,_xlfn.XLOOKUP($C28,Assumptions!$B$36:$B$41,Assumptions!$B$36:$H$41))</f>
        <v>0</v>
      </c>
      <c r="VQF28">
        <f t="array" ref="VQF28">_xlfn.XLOOKUP(VQF$11,Assumptions!$B$35:$H$35,_xlfn.XLOOKUP($C28,Assumptions!$B$36:$B$41,Assumptions!$B$36:$H$41))</f>
        <v>0</v>
      </c>
      <c r="VQG28">
        <f t="array" ref="VQG28">_xlfn.XLOOKUP(VQG$11,Assumptions!$B$35:$H$35,_xlfn.XLOOKUP($C28,Assumptions!$B$36:$B$41,Assumptions!$B$36:$H$41))</f>
        <v>0</v>
      </c>
      <c r="VQH28">
        <f t="array" ref="VQH28">_xlfn.XLOOKUP(VQH$11,Assumptions!$B$35:$H$35,_xlfn.XLOOKUP($C28,Assumptions!$B$36:$B$41,Assumptions!$B$36:$H$41))</f>
        <v>0</v>
      </c>
      <c r="VQI28">
        <f t="array" ref="VQI28">_xlfn.XLOOKUP(VQI$11,Assumptions!$B$35:$H$35,_xlfn.XLOOKUP($C28,Assumptions!$B$36:$B$41,Assumptions!$B$36:$H$41))</f>
        <v>0</v>
      </c>
      <c r="VQJ28">
        <f t="array" ref="VQJ28">_xlfn.XLOOKUP(VQJ$11,Assumptions!$B$35:$H$35,_xlfn.XLOOKUP($C28,Assumptions!$B$36:$B$41,Assumptions!$B$36:$H$41))</f>
        <v>0</v>
      </c>
      <c r="VQK28">
        <f t="array" ref="VQK28">_xlfn.XLOOKUP(VQK$11,Assumptions!$B$35:$H$35,_xlfn.XLOOKUP($C28,Assumptions!$B$36:$B$41,Assumptions!$B$36:$H$41))</f>
        <v>0</v>
      </c>
      <c r="VQL28">
        <f t="array" ref="VQL28">_xlfn.XLOOKUP(VQL$11,Assumptions!$B$35:$H$35,_xlfn.XLOOKUP($C28,Assumptions!$B$36:$B$41,Assumptions!$B$36:$H$41))</f>
        <v>0</v>
      </c>
      <c r="VQM28">
        <f t="array" ref="VQM28">_xlfn.XLOOKUP(VQM$11,Assumptions!$B$35:$H$35,_xlfn.XLOOKUP($C28,Assumptions!$B$36:$B$41,Assumptions!$B$36:$H$41))</f>
        <v>0</v>
      </c>
      <c r="VQN28">
        <f t="array" ref="VQN28">_xlfn.XLOOKUP(VQN$11,Assumptions!$B$35:$H$35,_xlfn.XLOOKUP($C28,Assumptions!$B$36:$B$41,Assumptions!$B$36:$H$41))</f>
        <v>0</v>
      </c>
      <c r="VQO28">
        <f t="array" ref="VQO28">_xlfn.XLOOKUP(VQO$11,Assumptions!$B$35:$H$35,_xlfn.XLOOKUP($C28,Assumptions!$B$36:$B$41,Assumptions!$B$36:$H$41))</f>
        <v>0</v>
      </c>
      <c r="VQP28">
        <f t="array" ref="VQP28">_xlfn.XLOOKUP(VQP$11,Assumptions!$B$35:$H$35,_xlfn.XLOOKUP($C28,Assumptions!$B$36:$B$41,Assumptions!$B$36:$H$41))</f>
        <v>0</v>
      </c>
      <c r="VQQ28">
        <f t="array" ref="VQQ28">_xlfn.XLOOKUP(VQQ$11,Assumptions!$B$35:$H$35,_xlfn.XLOOKUP($C28,Assumptions!$B$36:$B$41,Assumptions!$B$36:$H$41))</f>
        <v>0</v>
      </c>
      <c r="VQR28">
        <f t="array" ref="VQR28">_xlfn.XLOOKUP(VQR$11,Assumptions!$B$35:$H$35,_xlfn.XLOOKUP($C28,Assumptions!$B$36:$B$41,Assumptions!$B$36:$H$41))</f>
        <v>0</v>
      </c>
      <c r="VQS28">
        <f t="array" ref="VQS28">_xlfn.XLOOKUP(VQS$11,Assumptions!$B$35:$H$35,_xlfn.XLOOKUP($C28,Assumptions!$B$36:$B$41,Assumptions!$B$36:$H$41))</f>
        <v>0</v>
      </c>
      <c r="VQT28">
        <f t="array" ref="VQT28">_xlfn.XLOOKUP(VQT$11,Assumptions!$B$35:$H$35,_xlfn.XLOOKUP($C28,Assumptions!$B$36:$B$41,Assumptions!$B$36:$H$41))</f>
        <v>0</v>
      </c>
      <c r="VQU28">
        <f t="array" ref="VQU28">_xlfn.XLOOKUP(VQU$11,Assumptions!$B$35:$H$35,_xlfn.XLOOKUP($C28,Assumptions!$B$36:$B$41,Assumptions!$B$36:$H$41))</f>
        <v>0</v>
      </c>
      <c r="VQV28">
        <f t="array" ref="VQV28">_xlfn.XLOOKUP(VQV$11,Assumptions!$B$35:$H$35,_xlfn.XLOOKUP($C28,Assumptions!$B$36:$B$41,Assumptions!$B$36:$H$41))</f>
        <v>0</v>
      </c>
      <c r="VQW28">
        <f t="array" ref="VQW28">_xlfn.XLOOKUP(VQW$11,Assumptions!$B$35:$H$35,_xlfn.XLOOKUP($C28,Assumptions!$B$36:$B$41,Assumptions!$B$36:$H$41))</f>
        <v>0</v>
      </c>
      <c r="VQX28">
        <f t="array" ref="VQX28">_xlfn.XLOOKUP(VQX$11,Assumptions!$B$35:$H$35,_xlfn.XLOOKUP($C28,Assumptions!$B$36:$B$41,Assumptions!$B$36:$H$41))</f>
        <v>0</v>
      </c>
      <c r="VQY28">
        <f t="array" ref="VQY28">_xlfn.XLOOKUP(VQY$11,Assumptions!$B$35:$H$35,_xlfn.XLOOKUP($C28,Assumptions!$B$36:$B$41,Assumptions!$B$36:$H$41))</f>
        <v>0</v>
      </c>
      <c r="VQZ28">
        <f t="array" ref="VQZ28">_xlfn.XLOOKUP(VQZ$11,Assumptions!$B$35:$H$35,_xlfn.XLOOKUP($C28,Assumptions!$B$36:$B$41,Assumptions!$B$36:$H$41))</f>
        <v>0</v>
      </c>
      <c r="VRA28">
        <f t="array" ref="VRA28">_xlfn.XLOOKUP(VRA$11,Assumptions!$B$35:$H$35,_xlfn.XLOOKUP($C28,Assumptions!$B$36:$B$41,Assumptions!$B$36:$H$41))</f>
        <v>0</v>
      </c>
      <c r="VRB28">
        <f t="array" ref="VRB28">_xlfn.XLOOKUP(VRB$11,Assumptions!$B$35:$H$35,_xlfn.XLOOKUP($C28,Assumptions!$B$36:$B$41,Assumptions!$B$36:$H$41))</f>
        <v>0</v>
      </c>
      <c r="VRC28">
        <f t="array" ref="VRC28">_xlfn.XLOOKUP(VRC$11,Assumptions!$B$35:$H$35,_xlfn.XLOOKUP($C28,Assumptions!$B$36:$B$41,Assumptions!$B$36:$H$41))</f>
        <v>0</v>
      </c>
      <c r="VRD28">
        <f t="array" ref="VRD28">_xlfn.XLOOKUP(VRD$11,Assumptions!$B$35:$H$35,_xlfn.XLOOKUP($C28,Assumptions!$B$36:$B$41,Assumptions!$B$36:$H$41))</f>
        <v>0</v>
      </c>
      <c r="VRE28">
        <f t="array" ref="VRE28">_xlfn.XLOOKUP(VRE$11,Assumptions!$B$35:$H$35,_xlfn.XLOOKUP($C28,Assumptions!$B$36:$B$41,Assumptions!$B$36:$H$41))</f>
        <v>0</v>
      </c>
      <c r="VRF28">
        <f t="array" ref="VRF28">_xlfn.XLOOKUP(VRF$11,Assumptions!$B$35:$H$35,_xlfn.XLOOKUP($C28,Assumptions!$B$36:$B$41,Assumptions!$B$36:$H$41))</f>
        <v>0</v>
      </c>
      <c r="VRG28">
        <f t="array" ref="VRG28">_xlfn.XLOOKUP(VRG$11,Assumptions!$B$35:$H$35,_xlfn.XLOOKUP($C28,Assumptions!$B$36:$B$41,Assumptions!$B$36:$H$41))</f>
        <v>0</v>
      </c>
      <c r="VRH28">
        <f t="array" ref="VRH28">_xlfn.XLOOKUP(VRH$11,Assumptions!$B$35:$H$35,_xlfn.XLOOKUP($C28,Assumptions!$B$36:$B$41,Assumptions!$B$36:$H$41))</f>
        <v>0</v>
      </c>
      <c r="VRI28">
        <f t="array" ref="VRI28">_xlfn.XLOOKUP(VRI$11,Assumptions!$B$35:$H$35,_xlfn.XLOOKUP($C28,Assumptions!$B$36:$B$41,Assumptions!$B$36:$H$41))</f>
        <v>0</v>
      </c>
      <c r="VRJ28">
        <f t="array" ref="VRJ28">_xlfn.XLOOKUP(VRJ$11,Assumptions!$B$35:$H$35,_xlfn.XLOOKUP($C28,Assumptions!$B$36:$B$41,Assumptions!$B$36:$H$41))</f>
        <v>0</v>
      </c>
      <c r="VRK28">
        <f t="array" ref="VRK28">_xlfn.XLOOKUP(VRK$11,Assumptions!$B$35:$H$35,_xlfn.XLOOKUP($C28,Assumptions!$B$36:$B$41,Assumptions!$B$36:$H$41))</f>
        <v>0</v>
      </c>
      <c r="VRL28">
        <f t="array" ref="VRL28">_xlfn.XLOOKUP(VRL$11,Assumptions!$B$35:$H$35,_xlfn.XLOOKUP($C28,Assumptions!$B$36:$B$41,Assumptions!$B$36:$H$41))</f>
        <v>0</v>
      </c>
      <c r="VRM28">
        <f t="array" ref="VRM28">_xlfn.XLOOKUP(VRM$11,Assumptions!$B$35:$H$35,_xlfn.XLOOKUP($C28,Assumptions!$B$36:$B$41,Assumptions!$B$36:$H$41))</f>
        <v>0</v>
      </c>
      <c r="VRN28">
        <f t="array" ref="VRN28">_xlfn.XLOOKUP(VRN$11,Assumptions!$B$35:$H$35,_xlfn.XLOOKUP($C28,Assumptions!$B$36:$B$41,Assumptions!$B$36:$H$41))</f>
        <v>0</v>
      </c>
      <c r="VRO28">
        <f t="array" ref="VRO28">_xlfn.XLOOKUP(VRO$11,Assumptions!$B$35:$H$35,_xlfn.XLOOKUP($C28,Assumptions!$B$36:$B$41,Assumptions!$B$36:$H$41))</f>
        <v>0</v>
      </c>
      <c r="VRP28">
        <f t="array" ref="VRP28">_xlfn.XLOOKUP(VRP$11,Assumptions!$B$35:$H$35,_xlfn.XLOOKUP($C28,Assumptions!$B$36:$B$41,Assumptions!$B$36:$H$41))</f>
        <v>0</v>
      </c>
      <c r="VRQ28">
        <f t="array" ref="VRQ28">_xlfn.XLOOKUP(VRQ$11,Assumptions!$B$35:$H$35,_xlfn.XLOOKUP($C28,Assumptions!$B$36:$B$41,Assumptions!$B$36:$H$41))</f>
        <v>0</v>
      </c>
      <c r="VRR28">
        <f t="array" ref="VRR28">_xlfn.XLOOKUP(VRR$11,Assumptions!$B$35:$H$35,_xlfn.XLOOKUP($C28,Assumptions!$B$36:$B$41,Assumptions!$B$36:$H$41))</f>
        <v>0</v>
      </c>
      <c r="VRS28">
        <f t="array" ref="VRS28">_xlfn.XLOOKUP(VRS$11,Assumptions!$B$35:$H$35,_xlfn.XLOOKUP($C28,Assumptions!$B$36:$B$41,Assumptions!$B$36:$H$41))</f>
        <v>0</v>
      </c>
      <c r="VRT28">
        <f t="array" ref="VRT28">_xlfn.XLOOKUP(VRT$11,Assumptions!$B$35:$H$35,_xlfn.XLOOKUP($C28,Assumptions!$B$36:$B$41,Assumptions!$B$36:$H$41))</f>
        <v>0</v>
      </c>
      <c r="VRU28">
        <f t="array" ref="VRU28">_xlfn.XLOOKUP(VRU$11,Assumptions!$B$35:$H$35,_xlfn.XLOOKUP($C28,Assumptions!$B$36:$B$41,Assumptions!$B$36:$H$41))</f>
        <v>0</v>
      </c>
      <c r="VRV28">
        <f t="array" ref="VRV28">_xlfn.XLOOKUP(VRV$11,Assumptions!$B$35:$H$35,_xlfn.XLOOKUP($C28,Assumptions!$B$36:$B$41,Assumptions!$B$36:$H$41))</f>
        <v>0</v>
      </c>
      <c r="VRW28">
        <f t="array" ref="VRW28">_xlfn.XLOOKUP(VRW$11,Assumptions!$B$35:$H$35,_xlfn.XLOOKUP($C28,Assumptions!$B$36:$B$41,Assumptions!$B$36:$H$41))</f>
        <v>0</v>
      </c>
      <c r="VRX28">
        <f t="array" ref="VRX28">_xlfn.XLOOKUP(VRX$11,Assumptions!$B$35:$H$35,_xlfn.XLOOKUP($C28,Assumptions!$B$36:$B$41,Assumptions!$B$36:$H$41))</f>
        <v>0</v>
      </c>
      <c r="VRY28">
        <f t="array" ref="VRY28">_xlfn.XLOOKUP(VRY$11,Assumptions!$B$35:$H$35,_xlfn.XLOOKUP($C28,Assumptions!$B$36:$B$41,Assumptions!$B$36:$H$41))</f>
        <v>0</v>
      </c>
      <c r="VRZ28">
        <f t="array" ref="VRZ28">_xlfn.XLOOKUP(VRZ$11,Assumptions!$B$35:$H$35,_xlfn.XLOOKUP($C28,Assumptions!$B$36:$B$41,Assumptions!$B$36:$H$41))</f>
        <v>0</v>
      </c>
      <c r="VSA28">
        <f t="array" ref="VSA28">_xlfn.XLOOKUP(VSA$11,Assumptions!$B$35:$H$35,_xlfn.XLOOKUP($C28,Assumptions!$B$36:$B$41,Assumptions!$B$36:$H$41))</f>
        <v>0</v>
      </c>
      <c r="VSB28">
        <f t="array" ref="VSB28">_xlfn.XLOOKUP(VSB$11,Assumptions!$B$35:$H$35,_xlfn.XLOOKUP($C28,Assumptions!$B$36:$B$41,Assumptions!$B$36:$H$41))</f>
        <v>0</v>
      </c>
      <c r="VSC28">
        <f t="array" ref="VSC28">_xlfn.XLOOKUP(VSC$11,Assumptions!$B$35:$H$35,_xlfn.XLOOKUP($C28,Assumptions!$B$36:$B$41,Assumptions!$B$36:$H$41))</f>
        <v>0</v>
      </c>
      <c r="VSD28">
        <f t="array" ref="VSD28">_xlfn.XLOOKUP(VSD$11,Assumptions!$B$35:$H$35,_xlfn.XLOOKUP($C28,Assumptions!$B$36:$B$41,Assumptions!$B$36:$H$41))</f>
        <v>0</v>
      </c>
      <c r="VSE28">
        <f t="array" ref="VSE28">_xlfn.XLOOKUP(VSE$11,Assumptions!$B$35:$H$35,_xlfn.XLOOKUP($C28,Assumptions!$B$36:$B$41,Assumptions!$B$36:$H$41))</f>
        <v>0</v>
      </c>
      <c r="VSF28">
        <f t="array" ref="VSF28">_xlfn.XLOOKUP(VSF$11,Assumptions!$B$35:$H$35,_xlfn.XLOOKUP($C28,Assumptions!$B$36:$B$41,Assumptions!$B$36:$H$41))</f>
        <v>0</v>
      </c>
      <c r="VSG28">
        <f t="array" ref="VSG28">_xlfn.XLOOKUP(VSG$11,Assumptions!$B$35:$H$35,_xlfn.XLOOKUP($C28,Assumptions!$B$36:$B$41,Assumptions!$B$36:$H$41))</f>
        <v>0</v>
      </c>
      <c r="VSH28">
        <f t="array" ref="VSH28">_xlfn.XLOOKUP(VSH$11,Assumptions!$B$35:$H$35,_xlfn.XLOOKUP($C28,Assumptions!$B$36:$B$41,Assumptions!$B$36:$H$41))</f>
        <v>0</v>
      </c>
      <c r="VSI28">
        <f t="array" ref="VSI28">_xlfn.XLOOKUP(VSI$11,Assumptions!$B$35:$H$35,_xlfn.XLOOKUP($C28,Assumptions!$B$36:$B$41,Assumptions!$B$36:$H$41))</f>
        <v>0</v>
      </c>
      <c r="VSJ28">
        <f t="array" ref="VSJ28">_xlfn.XLOOKUP(VSJ$11,Assumptions!$B$35:$H$35,_xlfn.XLOOKUP($C28,Assumptions!$B$36:$B$41,Assumptions!$B$36:$H$41))</f>
        <v>0</v>
      </c>
      <c r="VSK28">
        <f t="array" ref="VSK28">_xlfn.XLOOKUP(VSK$11,Assumptions!$B$35:$H$35,_xlfn.XLOOKUP($C28,Assumptions!$B$36:$B$41,Assumptions!$B$36:$H$41))</f>
        <v>0</v>
      </c>
      <c r="VSL28">
        <f t="array" ref="VSL28">_xlfn.XLOOKUP(VSL$11,Assumptions!$B$35:$H$35,_xlfn.XLOOKUP($C28,Assumptions!$B$36:$B$41,Assumptions!$B$36:$H$41))</f>
        <v>0</v>
      </c>
      <c r="VSM28">
        <f t="array" ref="VSM28">_xlfn.XLOOKUP(VSM$11,Assumptions!$B$35:$H$35,_xlfn.XLOOKUP($C28,Assumptions!$B$36:$B$41,Assumptions!$B$36:$H$41))</f>
        <v>0</v>
      </c>
      <c r="VSN28">
        <f t="array" ref="VSN28">_xlfn.XLOOKUP(VSN$11,Assumptions!$B$35:$H$35,_xlfn.XLOOKUP($C28,Assumptions!$B$36:$B$41,Assumptions!$B$36:$H$41))</f>
        <v>0</v>
      </c>
      <c r="VSO28">
        <f t="array" ref="VSO28">_xlfn.XLOOKUP(VSO$11,Assumptions!$B$35:$H$35,_xlfn.XLOOKUP($C28,Assumptions!$B$36:$B$41,Assumptions!$B$36:$H$41))</f>
        <v>0</v>
      </c>
      <c r="VSP28">
        <f t="array" ref="VSP28">_xlfn.XLOOKUP(VSP$11,Assumptions!$B$35:$H$35,_xlfn.XLOOKUP($C28,Assumptions!$B$36:$B$41,Assumptions!$B$36:$H$41))</f>
        <v>0</v>
      </c>
      <c r="VSQ28">
        <f t="array" ref="VSQ28">_xlfn.XLOOKUP(VSQ$11,Assumptions!$B$35:$H$35,_xlfn.XLOOKUP($C28,Assumptions!$B$36:$B$41,Assumptions!$B$36:$H$41))</f>
        <v>0</v>
      </c>
      <c r="VSR28">
        <f t="array" ref="VSR28">_xlfn.XLOOKUP(VSR$11,Assumptions!$B$35:$H$35,_xlfn.XLOOKUP($C28,Assumptions!$B$36:$B$41,Assumptions!$B$36:$H$41))</f>
        <v>0</v>
      </c>
      <c r="VSS28">
        <f t="array" ref="VSS28">_xlfn.XLOOKUP(VSS$11,Assumptions!$B$35:$H$35,_xlfn.XLOOKUP($C28,Assumptions!$B$36:$B$41,Assumptions!$B$36:$H$41))</f>
        <v>0</v>
      </c>
      <c r="VST28">
        <f t="array" ref="VST28">_xlfn.XLOOKUP(VST$11,Assumptions!$B$35:$H$35,_xlfn.XLOOKUP($C28,Assumptions!$B$36:$B$41,Assumptions!$B$36:$H$41))</f>
        <v>0</v>
      </c>
      <c r="VSU28">
        <f t="array" ref="VSU28">_xlfn.XLOOKUP(VSU$11,Assumptions!$B$35:$H$35,_xlfn.XLOOKUP($C28,Assumptions!$B$36:$B$41,Assumptions!$B$36:$H$41))</f>
        <v>0</v>
      </c>
      <c r="VSV28">
        <f t="array" ref="VSV28">_xlfn.XLOOKUP(VSV$11,Assumptions!$B$35:$H$35,_xlfn.XLOOKUP($C28,Assumptions!$B$36:$B$41,Assumptions!$B$36:$H$41))</f>
        <v>0</v>
      </c>
      <c r="VSW28">
        <f t="array" ref="VSW28">_xlfn.XLOOKUP(VSW$11,Assumptions!$B$35:$H$35,_xlfn.XLOOKUP($C28,Assumptions!$B$36:$B$41,Assumptions!$B$36:$H$41))</f>
        <v>0</v>
      </c>
      <c r="VSX28">
        <f t="array" ref="VSX28">_xlfn.XLOOKUP(VSX$11,Assumptions!$B$35:$H$35,_xlfn.XLOOKUP($C28,Assumptions!$B$36:$B$41,Assumptions!$B$36:$H$41))</f>
        <v>0</v>
      </c>
      <c r="VSY28">
        <f t="array" ref="VSY28">_xlfn.XLOOKUP(VSY$11,Assumptions!$B$35:$H$35,_xlfn.XLOOKUP($C28,Assumptions!$B$36:$B$41,Assumptions!$B$36:$H$41))</f>
        <v>0</v>
      </c>
      <c r="VSZ28">
        <f t="array" ref="VSZ28">_xlfn.XLOOKUP(VSZ$11,Assumptions!$B$35:$H$35,_xlfn.XLOOKUP($C28,Assumptions!$B$36:$B$41,Assumptions!$B$36:$H$41))</f>
        <v>0</v>
      </c>
      <c r="VTA28">
        <f t="array" ref="VTA28">_xlfn.XLOOKUP(VTA$11,Assumptions!$B$35:$H$35,_xlfn.XLOOKUP($C28,Assumptions!$B$36:$B$41,Assumptions!$B$36:$H$41))</f>
        <v>0</v>
      </c>
      <c r="VTB28">
        <f t="array" ref="VTB28">_xlfn.XLOOKUP(VTB$11,Assumptions!$B$35:$H$35,_xlfn.XLOOKUP($C28,Assumptions!$B$36:$B$41,Assumptions!$B$36:$H$41))</f>
        <v>0</v>
      </c>
      <c r="VTC28">
        <f t="array" ref="VTC28">_xlfn.XLOOKUP(VTC$11,Assumptions!$B$35:$H$35,_xlfn.XLOOKUP($C28,Assumptions!$B$36:$B$41,Assumptions!$B$36:$H$41))</f>
        <v>0</v>
      </c>
      <c r="VTD28">
        <f t="array" ref="VTD28">_xlfn.XLOOKUP(VTD$11,Assumptions!$B$35:$H$35,_xlfn.XLOOKUP($C28,Assumptions!$B$36:$B$41,Assumptions!$B$36:$H$41))</f>
        <v>0</v>
      </c>
      <c r="VTE28">
        <f t="array" ref="VTE28">_xlfn.XLOOKUP(VTE$11,Assumptions!$B$35:$H$35,_xlfn.XLOOKUP($C28,Assumptions!$B$36:$B$41,Assumptions!$B$36:$H$41))</f>
        <v>0</v>
      </c>
      <c r="VTF28">
        <f t="array" ref="VTF28">_xlfn.XLOOKUP(VTF$11,Assumptions!$B$35:$H$35,_xlfn.XLOOKUP($C28,Assumptions!$B$36:$B$41,Assumptions!$B$36:$H$41))</f>
        <v>0</v>
      </c>
      <c r="VTG28">
        <f t="array" ref="VTG28">_xlfn.XLOOKUP(VTG$11,Assumptions!$B$35:$H$35,_xlfn.XLOOKUP($C28,Assumptions!$B$36:$B$41,Assumptions!$B$36:$H$41))</f>
        <v>0</v>
      </c>
      <c r="VTH28">
        <f t="array" ref="VTH28">_xlfn.XLOOKUP(VTH$11,Assumptions!$B$35:$H$35,_xlfn.XLOOKUP($C28,Assumptions!$B$36:$B$41,Assumptions!$B$36:$H$41))</f>
        <v>0</v>
      </c>
      <c r="VTI28">
        <f t="array" ref="VTI28">_xlfn.XLOOKUP(VTI$11,Assumptions!$B$35:$H$35,_xlfn.XLOOKUP($C28,Assumptions!$B$36:$B$41,Assumptions!$B$36:$H$41))</f>
        <v>0</v>
      </c>
      <c r="VTJ28">
        <f t="array" ref="VTJ28">_xlfn.XLOOKUP(VTJ$11,Assumptions!$B$35:$H$35,_xlfn.XLOOKUP($C28,Assumptions!$B$36:$B$41,Assumptions!$B$36:$H$41))</f>
        <v>0</v>
      </c>
      <c r="VTK28">
        <f t="array" ref="VTK28">_xlfn.XLOOKUP(VTK$11,Assumptions!$B$35:$H$35,_xlfn.XLOOKUP($C28,Assumptions!$B$36:$B$41,Assumptions!$B$36:$H$41))</f>
        <v>0</v>
      </c>
      <c r="VTL28">
        <f t="array" ref="VTL28">_xlfn.XLOOKUP(VTL$11,Assumptions!$B$35:$H$35,_xlfn.XLOOKUP($C28,Assumptions!$B$36:$B$41,Assumptions!$B$36:$H$41))</f>
        <v>0</v>
      </c>
      <c r="VTM28">
        <f t="array" ref="VTM28">_xlfn.XLOOKUP(VTM$11,Assumptions!$B$35:$H$35,_xlfn.XLOOKUP($C28,Assumptions!$B$36:$B$41,Assumptions!$B$36:$H$41))</f>
        <v>0</v>
      </c>
      <c r="VTN28">
        <f t="array" ref="VTN28">_xlfn.XLOOKUP(VTN$11,Assumptions!$B$35:$H$35,_xlfn.XLOOKUP($C28,Assumptions!$B$36:$B$41,Assumptions!$B$36:$H$41))</f>
        <v>0</v>
      </c>
      <c r="VTO28">
        <f t="array" ref="VTO28">_xlfn.XLOOKUP(VTO$11,Assumptions!$B$35:$H$35,_xlfn.XLOOKUP($C28,Assumptions!$B$36:$B$41,Assumptions!$B$36:$H$41))</f>
        <v>0</v>
      </c>
      <c r="VTP28">
        <f t="array" ref="VTP28">_xlfn.XLOOKUP(VTP$11,Assumptions!$B$35:$H$35,_xlfn.XLOOKUP($C28,Assumptions!$B$36:$B$41,Assumptions!$B$36:$H$41))</f>
        <v>0</v>
      </c>
      <c r="VTQ28">
        <f t="array" ref="VTQ28">_xlfn.XLOOKUP(VTQ$11,Assumptions!$B$35:$H$35,_xlfn.XLOOKUP($C28,Assumptions!$B$36:$B$41,Assumptions!$B$36:$H$41))</f>
        <v>0</v>
      </c>
      <c r="VTR28">
        <f t="array" ref="VTR28">_xlfn.XLOOKUP(VTR$11,Assumptions!$B$35:$H$35,_xlfn.XLOOKUP($C28,Assumptions!$B$36:$B$41,Assumptions!$B$36:$H$41))</f>
        <v>0</v>
      </c>
      <c r="VTS28">
        <f t="array" ref="VTS28">_xlfn.XLOOKUP(VTS$11,Assumptions!$B$35:$H$35,_xlfn.XLOOKUP($C28,Assumptions!$B$36:$B$41,Assumptions!$B$36:$H$41))</f>
        <v>0</v>
      </c>
      <c r="VTT28">
        <f t="array" ref="VTT28">_xlfn.XLOOKUP(VTT$11,Assumptions!$B$35:$H$35,_xlfn.XLOOKUP($C28,Assumptions!$B$36:$B$41,Assumptions!$B$36:$H$41))</f>
        <v>0</v>
      </c>
      <c r="VTU28">
        <f t="array" ref="VTU28">_xlfn.XLOOKUP(VTU$11,Assumptions!$B$35:$H$35,_xlfn.XLOOKUP($C28,Assumptions!$B$36:$B$41,Assumptions!$B$36:$H$41))</f>
        <v>0</v>
      </c>
      <c r="VTV28">
        <f t="array" ref="VTV28">_xlfn.XLOOKUP(VTV$11,Assumptions!$B$35:$H$35,_xlfn.XLOOKUP($C28,Assumptions!$B$36:$B$41,Assumptions!$B$36:$H$41))</f>
        <v>0</v>
      </c>
      <c r="VTW28">
        <f t="array" ref="VTW28">_xlfn.XLOOKUP(VTW$11,Assumptions!$B$35:$H$35,_xlfn.XLOOKUP($C28,Assumptions!$B$36:$B$41,Assumptions!$B$36:$H$41))</f>
        <v>0</v>
      </c>
      <c r="VTX28">
        <f t="array" ref="VTX28">_xlfn.XLOOKUP(VTX$11,Assumptions!$B$35:$H$35,_xlfn.XLOOKUP($C28,Assumptions!$B$36:$B$41,Assumptions!$B$36:$H$41))</f>
        <v>0</v>
      </c>
      <c r="VTY28">
        <f t="array" ref="VTY28">_xlfn.XLOOKUP(VTY$11,Assumptions!$B$35:$H$35,_xlfn.XLOOKUP($C28,Assumptions!$B$36:$B$41,Assumptions!$B$36:$H$41))</f>
        <v>0</v>
      </c>
      <c r="VTZ28">
        <f t="array" ref="VTZ28">_xlfn.XLOOKUP(VTZ$11,Assumptions!$B$35:$H$35,_xlfn.XLOOKUP($C28,Assumptions!$B$36:$B$41,Assumptions!$B$36:$H$41))</f>
        <v>0</v>
      </c>
      <c r="VUA28">
        <f t="array" ref="VUA28">_xlfn.XLOOKUP(VUA$11,Assumptions!$B$35:$H$35,_xlfn.XLOOKUP($C28,Assumptions!$B$36:$B$41,Assumptions!$B$36:$H$41))</f>
        <v>0</v>
      </c>
      <c r="VUB28">
        <f t="array" ref="VUB28">_xlfn.XLOOKUP(VUB$11,Assumptions!$B$35:$H$35,_xlfn.XLOOKUP($C28,Assumptions!$B$36:$B$41,Assumptions!$B$36:$H$41))</f>
        <v>0</v>
      </c>
      <c r="VUC28">
        <f t="array" ref="VUC28">_xlfn.XLOOKUP(VUC$11,Assumptions!$B$35:$H$35,_xlfn.XLOOKUP($C28,Assumptions!$B$36:$B$41,Assumptions!$B$36:$H$41))</f>
        <v>0</v>
      </c>
      <c r="VUD28">
        <f t="array" ref="VUD28">_xlfn.XLOOKUP(VUD$11,Assumptions!$B$35:$H$35,_xlfn.XLOOKUP($C28,Assumptions!$B$36:$B$41,Assumptions!$B$36:$H$41))</f>
        <v>0</v>
      </c>
      <c r="VUE28">
        <f t="array" ref="VUE28">_xlfn.XLOOKUP(VUE$11,Assumptions!$B$35:$H$35,_xlfn.XLOOKUP($C28,Assumptions!$B$36:$B$41,Assumptions!$B$36:$H$41))</f>
        <v>0</v>
      </c>
      <c r="VUF28">
        <f t="array" ref="VUF28">_xlfn.XLOOKUP(VUF$11,Assumptions!$B$35:$H$35,_xlfn.XLOOKUP($C28,Assumptions!$B$36:$B$41,Assumptions!$B$36:$H$41))</f>
        <v>0</v>
      </c>
      <c r="VUG28">
        <f t="array" ref="VUG28">_xlfn.XLOOKUP(VUG$11,Assumptions!$B$35:$H$35,_xlfn.XLOOKUP($C28,Assumptions!$B$36:$B$41,Assumptions!$B$36:$H$41))</f>
        <v>0</v>
      </c>
      <c r="VUH28">
        <f t="array" ref="VUH28">_xlfn.XLOOKUP(VUH$11,Assumptions!$B$35:$H$35,_xlfn.XLOOKUP($C28,Assumptions!$B$36:$B$41,Assumptions!$B$36:$H$41))</f>
        <v>0</v>
      </c>
      <c r="VUI28">
        <f t="array" ref="VUI28">_xlfn.XLOOKUP(VUI$11,Assumptions!$B$35:$H$35,_xlfn.XLOOKUP($C28,Assumptions!$B$36:$B$41,Assumptions!$B$36:$H$41))</f>
        <v>0</v>
      </c>
      <c r="VUJ28">
        <f t="array" ref="VUJ28">_xlfn.XLOOKUP(VUJ$11,Assumptions!$B$35:$H$35,_xlfn.XLOOKUP($C28,Assumptions!$B$36:$B$41,Assumptions!$B$36:$H$41))</f>
        <v>0</v>
      </c>
      <c r="VUK28">
        <f t="array" ref="VUK28">_xlfn.XLOOKUP(VUK$11,Assumptions!$B$35:$H$35,_xlfn.XLOOKUP($C28,Assumptions!$B$36:$B$41,Assumptions!$B$36:$H$41))</f>
        <v>0</v>
      </c>
      <c r="VUL28">
        <f t="array" ref="VUL28">_xlfn.XLOOKUP(VUL$11,Assumptions!$B$35:$H$35,_xlfn.XLOOKUP($C28,Assumptions!$B$36:$B$41,Assumptions!$B$36:$H$41))</f>
        <v>0</v>
      </c>
      <c r="VUM28">
        <f t="array" ref="VUM28">_xlfn.XLOOKUP(VUM$11,Assumptions!$B$35:$H$35,_xlfn.XLOOKUP($C28,Assumptions!$B$36:$B$41,Assumptions!$B$36:$H$41))</f>
        <v>0</v>
      </c>
      <c r="VUN28">
        <f t="array" ref="VUN28">_xlfn.XLOOKUP(VUN$11,Assumptions!$B$35:$H$35,_xlfn.XLOOKUP($C28,Assumptions!$B$36:$B$41,Assumptions!$B$36:$H$41))</f>
        <v>0</v>
      </c>
      <c r="VUO28">
        <f t="array" ref="VUO28">_xlfn.XLOOKUP(VUO$11,Assumptions!$B$35:$H$35,_xlfn.XLOOKUP($C28,Assumptions!$B$36:$B$41,Assumptions!$B$36:$H$41))</f>
        <v>0</v>
      </c>
      <c r="VUP28">
        <f t="array" ref="VUP28">_xlfn.XLOOKUP(VUP$11,Assumptions!$B$35:$H$35,_xlfn.XLOOKUP($C28,Assumptions!$B$36:$B$41,Assumptions!$B$36:$H$41))</f>
        <v>0</v>
      </c>
      <c r="VUQ28">
        <f t="array" ref="VUQ28">_xlfn.XLOOKUP(VUQ$11,Assumptions!$B$35:$H$35,_xlfn.XLOOKUP($C28,Assumptions!$B$36:$B$41,Assumptions!$B$36:$H$41))</f>
        <v>0</v>
      </c>
      <c r="VUR28">
        <f t="array" ref="VUR28">_xlfn.XLOOKUP(VUR$11,Assumptions!$B$35:$H$35,_xlfn.XLOOKUP($C28,Assumptions!$B$36:$B$41,Assumptions!$B$36:$H$41))</f>
        <v>0</v>
      </c>
      <c r="VUS28">
        <f t="array" ref="VUS28">_xlfn.XLOOKUP(VUS$11,Assumptions!$B$35:$H$35,_xlfn.XLOOKUP($C28,Assumptions!$B$36:$B$41,Assumptions!$B$36:$H$41))</f>
        <v>0</v>
      </c>
      <c r="VUT28">
        <f t="array" ref="VUT28">_xlfn.XLOOKUP(VUT$11,Assumptions!$B$35:$H$35,_xlfn.XLOOKUP($C28,Assumptions!$B$36:$B$41,Assumptions!$B$36:$H$41))</f>
        <v>0</v>
      </c>
      <c r="VUU28">
        <f t="array" ref="VUU28">_xlfn.XLOOKUP(VUU$11,Assumptions!$B$35:$H$35,_xlfn.XLOOKUP($C28,Assumptions!$B$36:$B$41,Assumptions!$B$36:$H$41))</f>
        <v>0</v>
      </c>
      <c r="VUV28">
        <f t="array" ref="VUV28">_xlfn.XLOOKUP(VUV$11,Assumptions!$B$35:$H$35,_xlfn.XLOOKUP($C28,Assumptions!$B$36:$B$41,Assumptions!$B$36:$H$41))</f>
        <v>0</v>
      </c>
      <c r="VUW28">
        <f t="array" ref="VUW28">_xlfn.XLOOKUP(VUW$11,Assumptions!$B$35:$H$35,_xlfn.XLOOKUP($C28,Assumptions!$B$36:$B$41,Assumptions!$B$36:$H$41))</f>
        <v>0</v>
      </c>
      <c r="VUX28">
        <f t="array" ref="VUX28">_xlfn.XLOOKUP(VUX$11,Assumptions!$B$35:$H$35,_xlfn.XLOOKUP($C28,Assumptions!$B$36:$B$41,Assumptions!$B$36:$H$41))</f>
        <v>0</v>
      </c>
      <c r="VUY28">
        <f t="array" ref="VUY28">_xlfn.XLOOKUP(VUY$11,Assumptions!$B$35:$H$35,_xlfn.XLOOKUP($C28,Assumptions!$B$36:$B$41,Assumptions!$B$36:$H$41))</f>
        <v>0</v>
      </c>
      <c r="VUZ28">
        <f t="array" ref="VUZ28">_xlfn.XLOOKUP(VUZ$11,Assumptions!$B$35:$H$35,_xlfn.XLOOKUP($C28,Assumptions!$B$36:$B$41,Assumptions!$B$36:$H$41))</f>
        <v>0</v>
      </c>
      <c r="VVA28">
        <f t="array" ref="VVA28">_xlfn.XLOOKUP(VVA$11,Assumptions!$B$35:$H$35,_xlfn.XLOOKUP($C28,Assumptions!$B$36:$B$41,Assumptions!$B$36:$H$41))</f>
        <v>0</v>
      </c>
      <c r="VVB28">
        <f t="array" ref="VVB28">_xlfn.XLOOKUP(VVB$11,Assumptions!$B$35:$H$35,_xlfn.XLOOKUP($C28,Assumptions!$B$36:$B$41,Assumptions!$B$36:$H$41))</f>
        <v>0</v>
      </c>
      <c r="VVC28">
        <f t="array" ref="VVC28">_xlfn.XLOOKUP(VVC$11,Assumptions!$B$35:$H$35,_xlfn.XLOOKUP($C28,Assumptions!$B$36:$B$41,Assumptions!$B$36:$H$41))</f>
        <v>0</v>
      </c>
      <c r="VVD28">
        <f t="array" ref="VVD28">_xlfn.XLOOKUP(VVD$11,Assumptions!$B$35:$H$35,_xlfn.XLOOKUP($C28,Assumptions!$B$36:$B$41,Assumptions!$B$36:$H$41))</f>
        <v>0</v>
      </c>
      <c r="VVE28">
        <f t="array" ref="VVE28">_xlfn.XLOOKUP(VVE$11,Assumptions!$B$35:$H$35,_xlfn.XLOOKUP($C28,Assumptions!$B$36:$B$41,Assumptions!$B$36:$H$41))</f>
        <v>0</v>
      </c>
      <c r="VVF28">
        <f t="array" ref="VVF28">_xlfn.XLOOKUP(VVF$11,Assumptions!$B$35:$H$35,_xlfn.XLOOKUP($C28,Assumptions!$B$36:$B$41,Assumptions!$B$36:$H$41))</f>
        <v>0</v>
      </c>
      <c r="VVG28">
        <f t="array" ref="VVG28">_xlfn.XLOOKUP(VVG$11,Assumptions!$B$35:$H$35,_xlfn.XLOOKUP($C28,Assumptions!$B$36:$B$41,Assumptions!$B$36:$H$41))</f>
        <v>0</v>
      </c>
      <c r="VVH28">
        <f t="array" ref="VVH28">_xlfn.XLOOKUP(VVH$11,Assumptions!$B$35:$H$35,_xlfn.XLOOKUP($C28,Assumptions!$B$36:$B$41,Assumptions!$B$36:$H$41))</f>
        <v>0</v>
      </c>
      <c r="VVI28">
        <f t="array" ref="VVI28">_xlfn.XLOOKUP(VVI$11,Assumptions!$B$35:$H$35,_xlfn.XLOOKUP($C28,Assumptions!$B$36:$B$41,Assumptions!$B$36:$H$41))</f>
        <v>0</v>
      </c>
      <c r="VVJ28">
        <f t="array" ref="VVJ28">_xlfn.XLOOKUP(VVJ$11,Assumptions!$B$35:$H$35,_xlfn.XLOOKUP($C28,Assumptions!$B$36:$B$41,Assumptions!$B$36:$H$41))</f>
        <v>0</v>
      </c>
      <c r="VVK28">
        <f t="array" ref="VVK28">_xlfn.XLOOKUP(VVK$11,Assumptions!$B$35:$H$35,_xlfn.XLOOKUP($C28,Assumptions!$B$36:$B$41,Assumptions!$B$36:$H$41))</f>
        <v>0</v>
      </c>
      <c r="VVL28">
        <f t="array" ref="VVL28">_xlfn.XLOOKUP(VVL$11,Assumptions!$B$35:$H$35,_xlfn.XLOOKUP($C28,Assumptions!$B$36:$B$41,Assumptions!$B$36:$H$41))</f>
        <v>0</v>
      </c>
      <c r="VVM28">
        <f t="array" ref="VVM28">_xlfn.XLOOKUP(VVM$11,Assumptions!$B$35:$H$35,_xlfn.XLOOKUP($C28,Assumptions!$B$36:$B$41,Assumptions!$B$36:$H$41))</f>
        <v>0</v>
      </c>
      <c r="VVN28">
        <f t="array" ref="VVN28">_xlfn.XLOOKUP(VVN$11,Assumptions!$B$35:$H$35,_xlfn.XLOOKUP($C28,Assumptions!$B$36:$B$41,Assumptions!$B$36:$H$41))</f>
        <v>0</v>
      </c>
      <c r="VVO28">
        <f t="array" ref="VVO28">_xlfn.XLOOKUP(VVO$11,Assumptions!$B$35:$H$35,_xlfn.XLOOKUP($C28,Assumptions!$B$36:$B$41,Assumptions!$B$36:$H$41))</f>
        <v>0</v>
      </c>
      <c r="VVP28">
        <f t="array" ref="VVP28">_xlfn.XLOOKUP(VVP$11,Assumptions!$B$35:$H$35,_xlfn.XLOOKUP($C28,Assumptions!$B$36:$B$41,Assumptions!$B$36:$H$41))</f>
        <v>0</v>
      </c>
      <c r="VVQ28">
        <f t="array" ref="VVQ28">_xlfn.XLOOKUP(VVQ$11,Assumptions!$B$35:$H$35,_xlfn.XLOOKUP($C28,Assumptions!$B$36:$B$41,Assumptions!$B$36:$H$41))</f>
        <v>0</v>
      </c>
      <c r="VVR28">
        <f t="array" ref="VVR28">_xlfn.XLOOKUP(VVR$11,Assumptions!$B$35:$H$35,_xlfn.XLOOKUP($C28,Assumptions!$B$36:$B$41,Assumptions!$B$36:$H$41))</f>
        <v>0</v>
      </c>
      <c r="VVS28">
        <f t="array" ref="VVS28">_xlfn.XLOOKUP(VVS$11,Assumptions!$B$35:$H$35,_xlfn.XLOOKUP($C28,Assumptions!$B$36:$B$41,Assumptions!$B$36:$H$41))</f>
        <v>0</v>
      </c>
      <c r="VVT28">
        <f t="array" ref="VVT28">_xlfn.XLOOKUP(VVT$11,Assumptions!$B$35:$H$35,_xlfn.XLOOKUP($C28,Assumptions!$B$36:$B$41,Assumptions!$B$36:$H$41))</f>
        <v>0</v>
      </c>
      <c r="VVU28">
        <f t="array" ref="VVU28">_xlfn.XLOOKUP(VVU$11,Assumptions!$B$35:$H$35,_xlfn.XLOOKUP($C28,Assumptions!$B$36:$B$41,Assumptions!$B$36:$H$41))</f>
        <v>0</v>
      </c>
      <c r="VVV28">
        <f t="array" ref="VVV28">_xlfn.XLOOKUP(VVV$11,Assumptions!$B$35:$H$35,_xlfn.XLOOKUP($C28,Assumptions!$B$36:$B$41,Assumptions!$B$36:$H$41))</f>
        <v>0</v>
      </c>
      <c r="VVW28">
        <f t="array" ref="VVW28">_xlfn.XLOOKUP(VVW$11,Assumptions!$B$35:$H$35,_xlfn.XLOOKUP($C28,Assumptions!$B$36:$B$41,Assumptions!$B$36:$H$41))</f>
        <v>0</v>
      </c>
      <c r="VVX28">
        <f t="array" ref="VVX28">_xlfn.XLOOKUP(VVX$11,Assumptions!$B$35:$H$35,_xlfn.XLOOKUP($C28,Assumptions!$B$36:$B$41,Assumptions!$B$36:$H$41))</f>
        <v>0</v>
      </c>
      <c r="VVY28">
        <f t="array" ref="VVY28">_xlfn.XLOOKUP(VVY$11,Assumptions!$B$35:$H$35,_xlfn.XLOOKUP($C28,Assumptions!$B$36:$B$41,Assumptions!$B$36:$H$41))</f>
        <v>0</v>
      </c>
      <c r="VVZ28">
        <f t="array" ref="VVZ28">_xlfn.XLOOKUP(VVZ$11,Assumptions!$B$35:$H$35,_xlfn.XLOOKUP($C28,Assumptions!$B$36:$B$41,Assumptions!$B$36:$H$41))</f>
        <v>0</v>
      </c>
      <c r="VWA28">
        <f t="array" ref="VWA28">_xlfn.XLOOKUP(VWA$11,Assumptions!$B$35:$H$35,_xlfn.XLOOKUP($C28,Assumptions!$B$36:$B$41,Assumptions!$B$36:$H$41))</f>
        <v>0</v>
      </c>
      <c r="VWB28">
        <f t="array" ref="VWB28">_xlfn.XLOOKUP(VWB$11,Assumptions!$B$35:$H$35,_xlfn.XLOOKUP($C28,Assumptions!$B$36:$B$41,Assumptions!$B$36:$H$41))</f>
        <v>0</v>
      </c>
      <c r="VWC28">
        <f t="array" ref="VWC28">_xlfn.XLOOKUP(VWC$11,Assumptions!$B$35:$H$35,_xlfn.XLOOKUP($C28,Assumptions!$B$36:$B$41,Assumptions!$B$36:$H$41))</f>
        <v>0</v>
      </c>
      <c r="VWD28">
        <f t="array" ref="VWD28">_xlfn.XLOOKUP(VWD$11,Assumptions!$B$35:$H$35,_xlfn.XLOOKUP($C28,Assumptions!$B$36:$B$41,Assumptions!$B$36:$H$41))</f>
        <v>0</v>
      </c>
      <c r="VWE28">
        <f t="array" ref="VWE28">_xlfn.XLOOKUP(VWE$11,Assumptions!$B$35:$H$35,_xlfn.XLOOKUP($C28,Assumptions!$B$36:$B$41,Assumptions!$B$36:$H$41))</f>
        <v>0</v>
      </c>
      <c r="VWF28">
        <f t="array" ref="VWF28">_xlfn.XLOOKUP(VWF$11,Assumptions!$B$35:$H$35,_xlfn.XLOOKUP($C28,Assumptions!$B$36:$B$41,Assumptions!$B$36:$H$41))</f>
        <v>0</v>
      </c>
      <c r="VWG28">
        <f t="array" ref="VWG28">_xlfn.XLOOKUP(VWG$11,Assumptions!$B$35:$H$35,_xlfn.XLOOKUP($C28,Assumptions!$B$36:$B$41,Assumptions!$B$36:$H$41))</f>
        <v>0</v>
      </c>
      <c r="VWH28">
        <f t="array" ref="VWH28">_xlfn.XLOOKUP(VWH$11,Assumptions!$B$35:$H$35,_xlfn.XLOOKUP($C28,Assumptions!$B$36:$B$41,Assumptions!$B$36:$H$41))</f>
        <v>0</v>
      </c>
      <c r="VWI28">
        <f t="array" ref="VWI28">_xlfn.XLOOKUP(VWI$11,Assumptions!$B$35:$H$35,_xlfn.XLOOKUP($C28,Assumptions!$B$36:$B$41,Assumptions!$B$36:$H$41))</f>
        <v>0</v>
      </c>
      <c r="VWJ28">
        <f t="array" ref="VWJ28">_xlfn.XLOOKUP(VWJ$11,Assumptions!$B$35:$H$35,_xlfn.XLOOKUP($C28,Assumptions!$B$36:$B$41,Assumptions!$B$36:$H$41))</f>
        <v>0</v>
      </c>
      <c r="VWK28">
        <f t="array" ref="VWK28">_xlfn.XLOOKUP(VWK$11,Assumptions!$B$35:$H$35,_xlfn.XLOOKUP($C28,Assumptions!$B$36:$B$41,Assumptions!$B$36:$H$41))</f>
        <v>0</v>
      </c>
      <c r="VWL28">
        <f t="array" ref="VWL28">_xlfn.XLOOKUP(VWL$11,Assumptions!$B$35:$H$35,_xlfn.XLOOKUP($C28,Assumptions!$B$36:$B$41,Assumptions!$B$36:$H$41))</f>
        <v>0</v>
      </c>
      <c r="VWM28">
        <f t="array" ref="VWM28">_xlfn.XLOOKUP(VWM$11,Assumptions!$B$35:$H$35,_xlfn.XLOOKUP($C28,Assumptions!$B$36:$B$41,Assumptions!$B$36:$H$41))</f>
        <v>0</v>
      </c>
      <c r="VWN28">
        <f t="array" ref="VWN28">_xlfn.XLOOKUP(VWN$11,Assumptions!$B$35:$H$35,_xlfn.XLOOKUP($C28,Assumptions!$B$36:$B$41,Assumptions!$B$36:$H$41))</f>
        <v>0</v>
      </c>
      <c r="VWO28">
        <f t="array" ref="VWO28">_xlfn.XLOOKUP(VWO$11,Assumptions!$B$35:$H$35,_xlfn.XLOOKUP($C28,Assumptions!$B$36:$B$41,Assumptions!$B$36:$H$41))</f>
        <v>0</v>
      </c>
      <c r="VWP28">
        <f t="array" ref="VWP28">_xlfn.XLOOKUP(VWP$11,Assumptions!$B$35:$H$35,_xlfn.XLOOKUP($C28,Assumptions!$B$36:$B$41,Assumptions!$B$36:$H$41))</f>
        <v>0</v>
      </c>
      <c r="VWQ28">
        <f t="array" ref="VWQ28">_xlfn.XLOOKUP(VWQ$11,Assumptions!$B$35:$H$35,_xlfn.XLOOKUP($C28,Assumptions!$B$36:$B$41,Assumptions!$B$36:$H$41))</f>
        <v>0</v>
      </c>
      <c r="VWR28">
        <f t="array" ref="VWR28">_xlfn.XLOOKUP(VWR$11,Assumptions!$B$35:$H$35,_xlfn.XLOOKUP($C28,Assumptions!$B$36:$B$41,Assumptions!$B$36:$H$41))</f>
        <v>0</v>
      </c>
      <c r="VWS28">
        <f t="array" ref="VWS28">_xlfn.XLOOKUP(VWS$11,Assumptions!$B$35:$H$35,_xlfn.XLOOKUP($C28,Assumptions!$B$36:$B$41,Assumptions!$B$36:$H$41))</f>
        <v>0</v>
      </c>
      <c r="VWT28">
        <f t="array" ref="VWT28">_xlfn.XLOOKUP(VWT$11,Assumptions!$B$35:$H$35,_xlfn.XLOOKUP($C28,Assumptions!$B$36:$B$41,Assumptions!$B$36:$H$41))</f>
        <v>0</v>
      </c>
      <c r="VWU28">
        <f t="array" ref="VWU28">_xlfn.XLOOKUP(VWU$11,Assumptions!$B$35:$H$35,_xlfn.XLOOKUP($C28,Assumptions!$B$36:$B$41,Assumptions!$B$36:$H$41))</f>
        <v>0</v>
      </c>
      <c r="VWV28">
        <f t="array" ref="VWV28">_xlfn.XLOOKUP(VWV$11,Assumptions!$B$35:$H$35,_xlfn.XLOOKUP($C28,Assumptions!$B$36:$B$41,Assumptions!$B$36:$H$41))</f>
        <v>0</v>
      </c>
      <c r="VWW28">
        <f t="array" ref="VWW28">_xlfn.XLOOKUP(VWW$11,Assumptions!$B$35:$H$35,_xlfn.XLOOKUP($C28,Assumptions!$B$36:$B$41,Assumptions!$B$36:$H$41))</f>
        <v>0</v>
      </c>
      <c r="VWX28">
        <f t="array" ref="VWX28">_xlfn.XLOOKUP(VWX$11,Assumptions!$B$35:$H$35,_xlfn.XLOOKUP($C28,Assumptions!$B$36:$B$41,Assumptions!$B$36:$H$41))</f>
        <v>0</v>
      </c>
      <c r="VWY28">
        <f t="array" ref="VWY28">_xlfn.XLOOKUP(VWY$11,Assumptions!$B$35:$H$35,_xlfn.XLOOKUP($C28,Assumptions!$B$36:$B$41,Assumptions!$B$36:$H$41))</f>
        <v>0</v>
      </c>
      <c r="VWZ28">
        <f t="array" ref="VWZ28">_xlfn.XLOOKUP(VWZ$11,Assumptions!$B$35:$H$35,_xlfn.XLOOKUP($C28,Assumptions!$B$36:$B$41,Assumptions!$B$36:$H$41))</f>
        <v>0</v>
      </c>
      <c r="VXA28">
        <f t="array" ref="VXA28">_xlfn.XLOOKUP(VXA$11,Assumptions!$B$35:$H$35,_xlfn.XLOOKUP($C28,Assumptions!$B$36:$B$41,Assumptions!$B$36:$H$41))</f>
        <v>0</v>
      </c>
      <c r="VXB28">
        <f t="array" ref="VXB28">_xlfn.XLOOKUP(VXB$11,Assumptions!$B$35:$H$35,_xlfn.XLOOKUP($C28,Assumptions!$B$36:$B$41,Assumptions!$B$36:$H$41))</f>
        <v>0</v>
      </c>
      <c r="VXC28">
        <f t="array" ref="VXC28">_xlfn.XLOOKUP(VXC$11,Assumptions!$B$35:$H$35,_xlfn.XLOOKUP($C28,Assumptions!$B$36:$B$41,Assumptions!$B$36:$H$41))</f>
        <v>0</v>
      </c>
      <c r="VXD28">
        <f t="array" ref="VXD28">_xlfn.XLOOKUP(VXD$11,Assumptions!$B$35:$H$35,_xlfn.XLOOKUP($C28,Assumptions!$B$36:$B$41,Assumptions!$B$36:$H$41))</f>
        <v>0</v>
      </c>
      <c r="VXE28">
        <f t="array" ref="VXE28">_xlfn.XLOOKUP(VXE$11,Assumptions!$B$35:$H$35,_xlfn.XLOOKUP($C28,Assumptions!$B$36:$B$41,Assumptions!$B$36:$H$41))</f>
        <v>0</v>
      </c>
      <c r="VXF28">
        <f t="array" ref="VXF28">_xlfn.XLOOKUP(VXF$11,Assumptions!$B$35:$H$35,_xlfn.XLOOKUP($C28,Assumptions!$B$36:$B$41,Assumptions!$B$36:$H$41))</f>
        <v>0</v>
      </c>
      <c r="VXG28">
        <f t="array" ref="VXG28">_xlfn.XLOOKUP(VXG$11,Assumptions!$B$35:$H$35,_xlfn.XLOOKUP($C28,Assumptions!$B$36:$B$41,Assumptions!$B$36:$H$41))</f>
        <v>0</v>
      </c>
      <c r="VXH28">
        <f t="array" ref="VXH28">_xlfn.XLOOKUP(VXH$11,Assumptions!$B$35:$H$35,_xlfn.XLOOKUP($C28,Assumptions!$B$36:$B$41,Assumptions!$B$36:$H$41))</f>
        <v>0</v>
      </c>
      <c r="VXI28">
        <f t="array" ref="VXI28">_xlfn.XLOOKUP(VXI$11,Assumptions!$B$35:$H$35,_xlfn.XLOOKUP($C28,Assumptions!$B$36:$B$41,Assumptions!$B$36:$H$41))</f>
        <v>0</v>
      </c>
      <c r="VXJ28">
        <f t="array" ref="VXJ28">_xlfn.XLOOKUP(VXJ$11,Assumptions!$B$35:$H$35,_xlfn.XLOOKUP($C28,Assumptions!$B$36:$B$41,Assumptions!$B$36:$H$41))</f>
        <v>0</v>
      </c>
      <c r="VXK28">
        <f t="array" ref="VXK28">_xlfn.XLOOKUP(VXK$11,Assumptions!$B$35:$H$35,_xlfn.XLOOKUP($C28,Assumptions!$B$36:$B$41,Assumptions!$B$36:$H$41))</f>
        <v>0</v>
      </c>
      <c r="VXL28">
        <f t="array" ref="VXL28">_xlfn.XLOOKUP(VXL$11,Assumptions!$B$35:$H$35,_xlfn.XLOOKUP($C28,Assumptions!$B$36:$B$41,Assumptions!$B$36:$H$41))</f>
        <v>0</v>
      </c>
      <c r="VXM28">
        <f t="array" ref="VXM28">_xlfn.XLOOKUP(VXM$11,Assumptions!$B$35:$H$35,_xlfn.XLOOKUP($C28,Assumptions!$B$36:$B$41,Assumptions!$B$36:$H$41))</f>
        <v>0</v>
      </c>
      <c r="VXN28">
        <f t="array" ref="VXN28">_xlfn.XLOOKUP(VXN$11,Assumptions!$B$35:$H$35,_xlfn.XLOOKUP($C28,Assumptions!$B$36:$B$41,Assumptions!$B$36:$H$41))</f>
        <v>0</v>
      </c>
      <c r="VXO28">
        <f t="array" ref="VXO28">_xlfn.XLOOKUP(VXO$11,Assumptions!$B$35:$H$35,_xlfn.XLOOKUP($C28,Assumptions!$B$36:$B$41,Assumptions!$B$36:$H$41))</f>
        <v>0</v>
      </c>
      <c r="VXP28">
        <f t="array" ref="VXP28">_xlfn.XLOOKUP(VXP$11,Assumptions!$B$35:$H$35,_xlfn.XLOOKUP($C28,Assumptions!$B$36:$B$41,Assumptions!$B$36:$H$41))</f>
        <v>0</v>
      </c>
      <c r="VXQ28">
        <f t="array" ref="VXQ28">_xlfn.XLOOKUP(VXQ$11,Assumptions!$B$35:$H$35,_xlfn.XLOOKUP($C28,Assumptions!$B$36:$B$41,Assumptions!$B$36:$H$41))</f>
        <v>0</v>
      </c>
      <c r="VXR28">
        <f t="array" ref="VXR28">_xlfn.XLOOKUP(VXR$11,Assumptions!$B$35:$H$35,_xlfn.XLOOKUP($C28,Assumptions!$B$36:$B$41,Assumptions!$B$36:$H$41))</f>
        <v>0</v>
      </c>
      <c r="VXS28">
        <f t="array" ref="VXS28">_xlfn.XLOOKUP(VXS$11,Assumptions!$B$35:$H$35,_xlfn.XLOOKUP($C28,Assumptions!$B$36:$B$41,Assumptions!$B$36:$H$41))</f>
        <v>0</v>
      </c>
      <c r="VXT28">
        <f t="array" ref="VXT28">_xlfn.XLOOKUP(VXT$11,Assumptions!$B$35:$H$35,_xlfn.XLOOKUP($C28,Assumptions!$B$36:$B$41,Assumptions!$B$36:$H$41))</f>
        <v>0</v>
      </c>
      <c r="VXU28">
        <f t="array" ref="VXU28">_xlfn.XLOOKUP(VXU$11,Assumptions!$B$35:$H$35,_xlfn.XLOOKUP($C28,Assumptions!$B$36:$B$41,Assumptions!$B$36:$H$41))</f>
        <v>0</v>
      </c>
      <c r="VXV28">
        <f t="array" ref="VXV28">_xlfn.XLOOKUP(VXV$11,Assumptions!$B$35:$H$35,_xlfn.XLOOKUP($C28,Assumptions!$B$36:$B$41,Assumptions!$B$36:$H$41))</f>
        <v>0</v>
      </c>
      <c r="VXW28">
        <f t="array" ref="VXW28">_xlfn.XLOOKUP(VXW$11,Assumptions!$B$35:$H$35,_xlfn.XLOOKUP($C28,Assumptions!$B$36:$B$41,Assumptions!$B$36:$H$41))</f>
        <v>0</v>
      </c>
      <c r="VXX28">
        <f t="array" ref="VXX28">_xlfn.XLOOKUP(VXX$11,Assumptions!$B$35:$H$35,_xlfn.XLOOKUP($C28,Assumptions!$B$36:$B$41,Assumptions!$B$36:$H$41))</f>
        <v>0</v>
      </c>
      <c r="VXY28">
        <f t="array" ref="VXY28">_xlfn.XLOOKUP(VXY$11,Assumptions!$B$35:$H$35,_xlfn.XLOOKUP($C28,Assumptions!$B$36:$B$41,Assumptions!$B$36:$H$41))</f>
        <v>0</v>
      </c>
      <c r="VXZ28">
        <f t="array" ref="VXZ28">_xlfn.XLOOKUP(VXZ$11,Assumptions!$B$35:$H$35,_xlfn.XLOOKUP($C28,Assumptions!$B$36:$B$41,Assumptions!$B$36:$H$41))</f>
        <v>0</v>
      </c>
      <c r="VYA28">
        <f t="array" ref="VYA28">_xlfn.XLOOKUP(VYA$11,Assumptions!$B$35:$H$35,_xlfn.XLOOKUP($C28,Assumptions!$B$36:$B$41,Assumptions!$B$36:$H$41))</f>
        <v>0</v>
      </c>
      <c r="VYB28">
        <f t="array" ref="VYB28">_xlfn.XLOOKUP(VYB$11,Assumptions!$B$35:$H$35,_xlfn.XLOOKUP($C28,Assumptions!$B$36:$B$41,Assumptions!$B$36:$H$41))</f>
        <v>0</v>
      </c>
      <c r="VYC28">
        <f t="array" ref="VYC28">_xlfn.XLOOKUP(VYC$11,Assumptions!$B$35:$H$35,_xlfn.XLOOKUP($C28,Assumptions!$B$36:$B$41,Assumptions!$B$36:$H$41))</f>
        <v>0</v>
      </c>
      <c r="VYD28">
        <f t="array" ref="VYD28">_xlfn.XLOOKUP(VYD$11,Assumptions!$B$35:$H$35,_xlfn.XLOOKUP($C28,Assumptions!$B$36:$B$41,Assumptions!$B$36:$H$41))</f>
        <v>0</v>
      </c>
      <c r="VYE28">
        <f t="array" ref="VYE28">_xlfn.XLOOKUP(VYE$11,Assumptions!$B$35:$H$35,_xlfn.XLOOKUP($C28,Assumptions!$B$36:$B$41,Assumptions!$B$36:$H$41))</f>
        <v>0</v>
      </c>
      <c r="VYF28">
        <f t="array" ref="VYF28">_xlfn.XLOOKUP(VYF$11,Assumptions!$B$35:$H$35,_xlfn.XLOOKUP($C28,Assumptions!$B$36:$B$41,Assumptions!$B$36:$H$41))</f>
        <v>0</v>
      </c>
      <c r="VYG28">
        <f t="array" ref="VYG28">_xlfn.XLOOKUP(VYG$11,Assumptions!$B$35:$H$35,_xlfn.XLOOKUP($C28,Assumptions!$B$36:$B$41,Assumptions!$B$36:$H$41))</f>
        <v>0</v>
      </c>
      <c r="VYH28">
        <f t="array" ref="VYH28">_xlfn.XLOOKUP(VYH$11,Assumptions!$B$35:$H$35,_xlfn.XLOOKUP($C28,Assumptions!$B$36:$B$41,Assumptions!$B$36:$H$41))</f>
        <v>0</v>
      </c>
      <c r="VYI28">
        <f t="array" ref="VYI28">_xlfn.XLOOKUP(VYI$11,Assumptions!$B$35:$H$35,_xlfn.XLOOKUP($C28,Assumptions!$B$36:$B$41,Assumptions!$B$36:$H$41))</f>
        <v>0</v>
      </c>
      <c r="VYJ28">
        <f t="array" ref="VYJ28">_xlfn.XLOOKUP(VYJ$11,Assumptions!$B$35:$H$35,_xlfn.XLOOKUP($C28,Assumptions!$B$36:$B$41,Assumptions!$B$36:$H$41))</f>
        <v>0</v>
      </c>
      <c r="VYK28">
        <f t="array" ref="VYK28">_xlfn.XLOOKUP(VYK$11,Assumptions!$B$35:$H$35,_xlfn.XLOOKUP($C28,Assumptions!$B$36:$B$41,Assumptions!$B$36:$H$41))</f>
        <v>0</v>
      </c>
      <c r="VYL28">
        <f t="array" ref="VYL28">_xlfn.XLOOKUP(VYL$11,Assumptions!$B$35:$H$35,_xlfn.XLOOKUP($C28,Assumptions!$B$36:$B$41,Assumptions!$B$36:$H$41))</f>
        <v>0</v>
      </c>
      <c r="VYM28">
        <f t="array" ref="VYM28">_xlfn.XLOOKUP(VYM$11,Assumptions!$B$35:$H$35,_xlfn.XLOOKUP($C28,Assumptions!$B$36:$B$41,Assumptions!$B$36:$H$41))</f>
        <v>0</v>
      </c>
      <c r="VYN28">
        <f t="array" ref="VYN28">_xlfn.XLOOKUP(VYN$11,Assumptions!$B$35:$H$35,_xlfn.XLOOKUP($C28,Assumptions!$B$36:$B$41,Assumptions!$B$36:$H$41))</f>
        <v>0</v>
      </c>
      <c r="VYO28">
        <f t="array" ref="VYO28">_xlfn.XLOOKUP(VYO$11,Assumptions!$B$35:$H$35,_xlfn.XLOOKUP($C28,Assumptions!$B$36:$B$41,Assumptions!$B$36:$H$41))</f>
        <v>0</v>
      </c>
      <c r="VYP28">
        <f t="array" ref="VYP28">_xlfn.XLOOKUP(VYP$11,Assumptions!$B$35:$H$35,_xlfn.XLOOKUP($C28,Assumptions!$B$36:$B$41,Assumptions!$B$36:$H$41))</f>
        <v>0</v>
      </c>
      <c r="VYQ28">
        <f t="array" ref="VYQ28">_xlfn.XLOOKUP(VYQ$11,Assumptions!$B$35:$H$35,_xlfn.XLOOKUP($C28,Assumptions!$B$36:$B$41,Assumptions!$B$36:$H$41))</f>
        <v>0</v>
      </c>
      <c r="VYR28">
        <f t="array" ref="VYR28">_xlfn.XLOOKUP(VYR$11,Assumptions!$B$35:$H$35,_xlfn.XLOOKUP($C28,Assumptions!$B$36:$B$41,Assumptions!$B$36:$H$41))</f>
        <v>0</v>
      </c>
      <c r="VYS28">
        <f t="array" ref="VYS28">_xlfn.XLOOKUP(VYS$11,Assumptions!$B$35:$H$35,_xlfn.XLOOKUP($C28,Assumptions!$B$36:$B$41,Assumptions!$B$36:$H$41))</f>
        <v>0</v>
      </c>
      <c r="VYT28">
        <f t="array" ref="VYT28">_xlfn.XLOOKUP(VYT$11,Assumptions!$B$35:$H$35,_xlfn.XLOOKUP($C28,Assumptions!$B$36:$B$41,Assumptions!$B$36:$H$41))</f>
        <v>0</v>
      </c>
      <c r="VYU28">
        <f t="array" ref="VYU28">_xlfn.XLOOKUP(VYU$11,Assumptions!$B$35:$H$35,_xlfn.XLOOKUP($C28,Assumptions!$B$36:$B$41,Assumptions!$B$36:$H$41))</f>
        <v>0</v>
      </c>
      <c r="VYV28">
        <f t="array" ref="VYV28">_xlfn.XLOOKUP(VYV$11,Assumptions!$B$35:$H$35,_xlfn.XLOOKUP($C28,Assumptions!$B$36:$B$41,Assumptions!$B$36:$H$41))</f>
        <v>0</v>
      </c>
      <c r="VYW28">
        <f t="array" ref="VYW28">_xlfn.XLOOKUP(VYW$11,Assumptions!$B$35:$H$35,_xlfn.XLOOKUP($C28,Assumptions!$B$36:$B$41,Assumptions!$B$36:$H$41))</f>
        <v>0</v>
      </c>
      <c r="VYX28">
        <f t="array" ref="VYX28">_xlfn.XLOOKUP(VYX$11,Assumptions!$B$35:$H$35,_xlfn.XLOOKUP($C28,Assumptions!$B$36:$B$41,Assumptions!$B$36:$H$41))</f>
        <v>0</v>
      </c>
      <c r="VYY28">
        <f t="array" ref="VYY28">_xlfn.XLOOKUP(VYY$11,Assumptions!$B$35:$H$35,_xlfn.XLOOKUP($C28,Assumptions!$B$36:$B$41,Assumptions!$B$36:$H$41))</f>
        <v>0</v>
      </c>
      <c r="VYZ28">
        <f t="array" ref="VYZ28">_xlfn.XLOOKUP(VYZ$11,Assumptions!$B$35:$H$35,_xlfn.XLOOKUP($C28,Assumptions!$B$36:$B$41,Assumptions!$B$36:$H$41))</f>
        <v>0</v>
      </c>
      <c r="VZA28">
        <f t="array" ref="VZA28">_xlfn.XLOOKUP(VZA$11,Assumptions!$B$35:$H$35,_xlfn.XLOOKUP($C28,Assumptions!$B$36:$B$41,Assumptions!$B$36:$H$41))</f>
        <v>0</v>
      </c>
      <c r="VZB28">
        <f t="array" ref="VZB28">_xlfn.XLOOKUP(VZB$11,Assumptions!$B$35:$H$35,_xlfn.XLOOKUP($C28,Assumptions!$B$36:$B$41,Assumptions!$B$36:$H$41))</f>
        <v>0</v>
      </c>
      <c r="VZC28">
        <f t="array" ref="VZC28">_xlfn.XLOOKUP(VZC$11,Assumptions!$B$35:$H$35,_xlfn.XLOOKUP($C28,Assumptions!$B$36:$B$41,Assumptions!$B$36:$H$41))</f>
        <v>0</v>
      </c>
      <c r="VZD28">
        <f t="array" ref="VZD28">_xlfn.XLOOKUP(VZD$11,Assumptions!$B$35:$H$35,_xlfn.XLOOKUP($C28,Assumptions!$B$36:$B$41,Assumptions!$B$36:$H$41))</f>
        <v>0</v>
      </c>
      <c r="VZE28">
        <f t="array" ref="VZE28">_xlfn.XLOOKUP(VZE$11,Assumptions!$B$35:$H$35,_xlfn.XLOOKUP($C28,Assumptions!$B$36:$B$41,Assumptions!$B$36:$H$41))</f>
        <v>0</v>
      </c>
      <c r="VZF28">
        <f t="array" ref="VZF28">_xlfn.XLOOKUP(VZF$11,Assumptions!$B$35:$H$35,_xlfn.XLOOKUP($C28,Assumptions!$B$36:$B$41,Assumptions!$B$36:$H$41))</f>
        <v>0</v>
      </c>
      <c r="VZG28">
        <f t="array" ref="VZG28">_xlfn.XLOOKUP(VZG$11,Assumptions!$B$35:$H$35,_xlfn.XLOOKUP($C28,Assumptions!$B$36:$B$41,Assumptions!$B$36:$H$41))</f>
        <v>0</v>
      </c>
      <c r="VZH28">
        <f t="array" ref="VZH28">_xlfn.XLOOKUP(VZH$11,Assumptions!$B$35:$H$35,_xlfn.XLOOKUP($C28,Assumptions!$B$36:$B$41,Assumptions!$B$36:$H$41))</f>
        <v>0</v>
      </c>
      <c r="VZI28">
        <f t="array" ref="VZI28">_xlfn.XLOOKUP(VZI$11,Assumptions!$B$35:$H$35,_xlfn.XLOOKUP($C28,Assumptions!$B$36:$B$41,Assumptions!$B$36:$H$41))</f>
        <v>0</v>
      </c>
      <c r="VZJ28">
        <f t="array" ref="VZJ28">_xlfn.XLOOKUP(VZJ$11,Assumptions!$B$35:$H$35,_xlfn.XLOOKUP($C28,Assumptions!$B$36:$B$41,Assumptions!$B$36:$H$41))</f>
        <v>0</v>
      </c>
      <c r="VZK28">
        <f t="array" ref="VZK28">_xlfn.XLOOKUP(VZK$11,Assumptions!$B$35:$H$35,_xlfn.XLOOKUP($C28,Assumptions!$B$36:$B$41,Assumptions!$B$36:$H$41))</f>
        <v>0</v>
      </c>
      <c r="VZL28">
        <f t="array" ref="VZL28">_xlfn.XLOOKUP(VZL$11,Assumptions!$B$35:$H$35,_xlfn.XLOOKUP($C28,Assumptions!$B$36:$B$41,Assumptions!$B$36:$H$41))</f>
        <v>0</v>
      </c>
      <c r="VZM28">
        <f t="array" ref="VZM28">_xlfn.XLOOKUP(VZM$11,Assumptions!$B$35:$H$35,_xlfn.XLOOKUP($C28,Assumptions!$B$36:$B$41,Assumptions!$B$36:$H$41))</f>
        <v>0</v>
      </c>
      <c r="VZN28">
        <f t="array" ref="VZN28">_xlfn.XLOOKUP(VZN$11,Assumptions!$B$35:$H$35,_xlfn.XLOOKUP($C28,Assumptions!$B$36:$B$41,Assumptions!$B$36:$H$41))</f>
        <v>0</v>
      </c>
      <c r="VZO28">
        <f t="array" ref="VZO28">_xlfn.XLOOKUP(VZO$11,Assumptions!$B$35:$H$35,_xlfn.XLOOKUP($C28,Assumptions!$B$36:$B$41,Assumptions!$B$36:$H$41))</f>
        <v>0</v>
      </c>
      <c r="VZP28">
        <f t="array" ref="VZP28">_xlfn.XLOOKUP(VZP$11,Assumptions!$B$35:$H$35,_xlfn.XLOOKUP($C28,Assumptions!$B$36:$B$41,Assumptions!$B$36:$H$41))</f>
        <v>0</v>
      </c>
      <c r="VZQ28">
        <f t="array" ref="VZQ28">_xlfn.XLOOKUP(VZQ$11,Assumptions!$B$35:$H$35,_xlfn.XLOOKUP($C28,Assumptions!$B$36:$B$41,Assumptions!$B$36:$H$41))</f>
        <v>0</v>
      </c>
      <c r="VZR28">
        <f t="array" ref="VZR28">_xlfn.XLOOKUP(VZR$11,Assumptions!$B$35:$H$35,_xlfn.XLOOKUP($C28,Assumptions!$B$36:$B$41,Assumptions!$B$36:$H$41))</f>
        <v>0</v>
      </c>
      <c r="VZS28">
        <f t="array" ref="VZS28">_xlfn.XLOOKUP(VZS$11,Assumptions!$B$35:$H$35,_xlfn.XLOOKUP($C28,Assumptions!$B$36:$B$41,Assumptions!$B$36:$H$41))</f>
        <v>0</v>
      </c>
      <c r="VZT28">
        <f t="array" ref="VZT28">_xlfn.XLOOKUP(VZT$11,Assumptions!$B$35:$H$35,_xlfn.XLOOKUP($C28,Assumptions!$B$36:$B$41,Assumptions!$B$36:$H$41))</f>
        <v>0</v>
      </c>
      <c r="VZU28">
        <f t="array" ref="VZU28">_xlfn.XLOOKUP(VZU$11,Assumptions!$B$35:$H$35,_xlfn.XLOOKUP($C28,Assumptions!$B$36:$B$41,Assumptions!$B$36:$H$41))</f>
        <v>0</v>
      </c>
      <c r="VZV28">
        <f t="array" ref="VZV28">_xlfn.XLOOKUP(VZV$11,Assumptions!$B$35:$H$35,_xlfn.XLOOKUP($C28,Assumptions!$B$36:$B$41,Assumptions!$B$36:$H$41))</f>
        <v>0</v>
      </c>
      <c r="VZW28">
        <f t="array" ref="VZW28">_xlfn.XLOOKUP(VZW$11,Assumptions!$B$35:$H$35,_xlfn.XLOOKUP($C28,Assumptions!$B$36:$B$41,Assumptions!$B$36:$H$41))</f>
        <v>0</v>
      </c>
      <c r="VZX28">
        <f t="array" ref="VZX28">_xlfn.XLOOKUP(VZX$11,Assumptions!$B$35:$H$35,_xlfn.XLOOKUP($C28,Assumptions!$B$36:$B$41,Assumptions!$B$36:$H$41))</f>
        <v>0</v>
      </c>
      <c r="VZY28">
        <f t="array" ref="VZY28">_xlfn.XLOOKUP(VZY$11,Assumptions!$B$35:$H$35,_xlfn.XLOOKUP($C28,Assumptions!$B$36:$B$41,Assumptions!$B$36:$H$41))</f>
        <v>0</v>
      </c>
      <c r="VZZ28">
        <f t="array" ref="VZZ28">_xlfn.XLOOKUP(VZZ$11,Assumptions!$B$35:$H$35,_xlfn.XLOOKUP($C28,Assumptions!$B$36:$B$41,Assumptions!$B$36:$H$41))</f>
        <v>0</v>
      </c>
      <c r="WAA28">
        <f t="array" ref="WAA28">_xlfn.XLOOKUP(WAA$11,Assumptions!$B$35:$H$35,_xlfn.XLOOKUP($C28,Assumptions!$B$36:$B$41,Assumptions!$B$36:$H$41))</f>
        <v>0</v>
      </c>
      <c r="WAB28">
        <f t="array" ref="WAB28">_xlfn.XLOOKUP(WAB$11,Assumptions!$B$35:$H$35,_xlfn.XLOOKUP($C28,Assumptions!$B$36:$B$41,Assumptions!$B$36:$H$41))</f>
        <v>0</v>
      </c>
      <c r="WAC28">
        <f t="array" ref="WAC28">_xlfn.XLOOKUP(WAC$11,Assumptions!$B$35:$H$35,_xlfn.XLOOKUP($C28,Assumptions!$B$36:$B$41,Assumptions!$B$36:$H$41))</f>
        <v>0</v>
      </c>
      <c r="WAD28">
        <f t="array" ref="WAD28">_xlfn.XLOOKUP(WAD$11,Assumptions!$B$35:$H$35,_xlfn.XLOOKUP($C28,Assumptions!$B$36:$B$41,Assumptions!$B$36:$H$41))</f>
        <v>0</v>
      </c>
      <c r="WAE28">
        <f t="array" ref="WAE28">_xlfn.XLOOKUP(WAE$11,Assumptions!$B$35:$H$35,_xlfn.XLOOKUP($C28,Assumptions!$B$36:$B$41,Assumptions!$B$36:$H$41))</f>
        <v>0</v>
      </c>
      <c r="WAF28">
        <f t="array" ref="WAF28">_xlfn.XLOOKUP(WAF$11,Assumptions!$B$35:$H$35,_xlfn.XLOOKUP($C28,Assumptions!$B$36:$B$41,Assumptions!$B$36:$H$41))</f>
        <v>0</v>
      </c>
      <c r="WAG28">
        <f t="array" ref="WAG28">_xlfn.XLOOKUP(WAG$11,Assumptions!$B$35:$H$35,_xlfn.XLOOKUP($C28,Assumptions!$B$36:$B$41,Assumptions!$B$36:$H$41))</f>
        <v>0</v>
      </c>
      <c r="WAH28">
        <f t="array" ref="WAH28">_xlfn.XLOOKUP(WAH$11,Assumptions!$B$35:$H$35,_xlfn.XLOOKUP($C28,Assumptions!$B$36:$B$41,Assumptions!$B$36:$H$41))</f>
        <v>0</v>
      </c>
      <c r="WAI28">
        <f t="array" ref="WAI28">_xlfn.XLOOKUP(WAI$11,Assumptions!$B$35:$H$35,_xlfn.XLOOKUP($C28,Assumptions!$B$36:$B$41,Assumptions!$B$36:$H$41))</f>
        <v>0</v>
      </c>
      <c r="WAJ28">
        <f t="array" ref="WAJ28">_xlfn.XLOOKUP(WAJ$11,Assumptions!$B$35:$H$35,_xlfn.XLOOKUP($C28,Assumptions!$B$36:$B$41,Assumptions!$B$36:$H$41))</f>
        <v>0</v>
      </c>
      <c r="WAK28">
        <f t="array" ref="WAK28">_xlfn.XLOOKUP(WAK$11,Assumptions!$B$35:$H$35,_xlfn.XLOOKUP($C28,Assumptions!$B$36:$B$41,Assumptions!$B$36:$H$41))</f>
        <v>0</v>
      </c>
      <c r="WAL28">
        <f t="array" ref="WAL28">_xlfn.XLOOKUP(WAL$11,Assumptions!$B$35:$H$35,_xlfn.XLOOKUP($C28,Assumptions!$B$36:$B$41,Assumptions!$B$36:$H$41))</f>
        <v>0</v>
      </c>
      <c r="WAM28">
        <f t="array" ref="WAM28">_xlfn.XLOOKUP(WAM$11,Assumptions!$B$35:$H$35,_xlfn.XLOOKUP($C28,Assumptions!$B$36:$B$41,Assumptions!$B$36:$H$41))</f>
        <v>0</v>
      </c>
      <c r="WAN28">
        <f t="array" ref="WAN28">_xlfn.XLOOKUP(WAN$11,Assumptions!$B$35:$H$35,_xlfn.XLOOKUP($C28,Assumptions!$B$36:$B$41,Assumptions!$B$36:$H$41))</f>
        <v>0</v>
      </c>
      <c r="WAO28">
        <f t="array" ref="WAO28">_xlfn.XLOOKUP(WAO$11,Assumptions!$B$35:$H$35,_xlfn.XLOOKUP($C28,Assumptions!$B$36:$B$41,Assumptions!$B$36:$H$41))</f>
        <v>0</v>
      </c>
      <c r="WAP28">
        <f t="array" ref="WAP28">_xlfn.XLOOKUP(WAP$11,Assumptions!$B$35:$H$35,_xlfn.XLOOKUP($C28,Assumptions!$B$36:$B$41,Assumptions!$B$36:$H$41))</f>
        <v>0</v>
      </c>
      <c r="WAQ28">
        <f t="array" ref="WAQ28">_xlfn.XLOOKUP(WAQ$11,Assumptions!$B$35:$H$35,_xlfn.XLOOKUP($C28,Assumptions!$B$36:$B$41,Assumptions!$B$36:$H$41))</f>
        <v>0</v>
      </c>
      <c r="WAR28">
        <f t="array" ref="WAR28">_xlfn.XLOOKUP(WAR$11,Assumptions!$B$35:$H$35,_xlfn.XLOOKUP($C28,Assumptions!$B$36:$B$41,Assumptions!$B$36:$H$41))</f>
        <v>0</v>
      </c>
      <c r="WAS28">
        <f t="array" ref="WAS28">_xlfn.XLOOKUP(WAS$11,Assumptions!$B$35:$H$35,_xlfn.XLOOKUP($C28,Assumptions!$B$36:$B$41,Assumptions!$B$36:$H$41))</f>
        <v>0</v>
      </c>
      <c r="WAT28">
        <f t="array" ref="WAT28">_xlfn.XLOOKUP(WAT$11,Assumptions!$B$35:$H$35,_xlfn.XLOOKUP($C28,Assumptions!$B$36:$B$41,Assumptions!$B$36:$H$41))</f>
        <v>0</v>
      </c>
      <c r="WAU28">
        <f t="array" ref="WAU28">_xlfn.XLOOKUP(WAU$11,Assumptions!$B$35:$H$35,_xlfn.XLOOKUP($C28,Assumptions!$B$36:$B$41,Assumptions!$B$36:$H$41))</f>
        <v>0</v>
      </c>
      <c r="WAV28">
        <f t="array" ref="WAV28">_xlfn.XLOOKUP(WAV$11,Assumptions!$B$35:$H$35,_xlfn.XLOOKUP($C28,Assumptions!$B$36:$B$41,Assumptions!$B$36:$H$41))</f>
        <v>0</v>
      </c>
      <c r="WAW28">
        <f t="array" ref="WAW28">_xlfn.XLOOKUP(WAW$11,Assumptions!$B$35:$H$35,_xlfn.XLOOKUP($C28,Assumptions!$B$36:$B$41,Assumptions!$B$36:$H$41))</f>
        <v>0</v>
      </c>
      <c r="WAX28">
        <f t="array" ref="WAX28">_xlfn.XLOOKUP(WAX$11,Assumptions!$B$35:$H$35,_xlfn.XLOOKUP($C28,Assumptions!$B$36:$B$41,Assumptions!$B$36:$H$41))</f>
        <v>0</v>
      </c>
      <c r="WAY28">
        <f t="array" ref="WAY28">_xlfn.XLOOKUP(WAY$11,Assumptions!$B$35:$H$35,_xlfn.XLOOKUP($C28,Assumptions!$B$36:$B$41,Assumptions!$B$36:$H$41))</f>
        <v>0</v>
      </c>
      <c r="WAZ28">
        <f t="array" ref="WAZ28">_xlfn.XLOOKUP(WAZ$11,Assumptions!$B$35:$H$35,_xlfn.XLOOKUP($C28,Assumptions!$B$36:$B$41,Assumptions!$B$36:$H$41))</f>
        <v>0</v>
      </c>
      <c r="WBA28">
        <f t="array" ref="WBA28">_xlfn.XLOOKUP(WBA$11,Assumptions!$B$35:$H$35,_xlfn.XLOOKUP($C28,Assumptions!$B$36:$B$41,Assumptions!$B$36:$H$41))</f>
        <v>0</v>
      </c>
      <c r="WBB28">
        <f t="array" ref="WBB28">_xlfn.XLOOKUP(WBB$11,Assumptions!$B$35:$H$35,_xlfn.XLOOKUP($C28,Assumptions!$B$36:$B$41,Assumptions!$B$36:$H$41))</f>
        <v>0</v>
      </c>
      <c r="WBC28">
        <f t="array" ref="WBC28">_xlfn.XLOOKUP(WBC$11,Assumptions!$B$35:$H$35,_xlfn.XLOOKUP($C28,Assumptions!$B$36:$B$41,Assumptions!$B$36:$H$41))</f>
        <v>0</v>
      </c>
      <c r="WBD28">
        <f t="array" ref="WBD28">_xlfn.XLOOKUP(WBD$11,Assumptions!$B$35:$H$35,_xlfn.XLOOKUP($C28,Assumptions!$B$36:$B$41,Assumptions!$B$36:$H$41))</f>
        <v>0</v>
      </c>
      <c r="WBE28">
        <f t="array" ref="WBE28">_xlfn.XLOOKUP(WBE$11,Assumptions!$B$35:$H$35,_xlfn.XLOOKUP($C28,Assumptions!$B$36:$B$41,Assumptions!$B$36:$H$41))</f>
        <v>0</v>
      </c>
      <c r="WBF28">
        <f t="array" ref="WBF28">_xlfn.XLOOKUP(WBF$11,Assumptions!$B$35:$H$35,_xlfn.XLOOKUP($C28,Assumptions!$B$36:$B$41,Assumptions!$B$36:$H$41))</f>
        <v>0</v>
      </c>
      <c r="WBG28">
        <f t="array" ref="WBG28">_xlfn.XLOOKUP(WBG$11,Assumptions!$B$35:$H$35,_xlfn.XLOOKUP($C28,Assumptions!$B$36:$B$41,Assumptions!$B$36:$H$41))</f>
        <v>0</v>
      </c>
      <c r="WBH28">
        <f t="array" ref="WBH28">_xlfn.XLOOKUP(WBH$11,Assumptions!$B$35:$H$35,_xlfn.XLOOKUP($C28,Assumptions!$B$36:$B$41,Assumptions!$B$36:$H$41))</f>
        <v>0</v>
      </c>
      <c r="WBI28">
        <f t="array" ref="WBI28">_xlfn.XLOOKUP(WBI$11,Assumptions!$B$35:$H$35,_xlfn.XLOOKUP($C28,Assumptions!$B$36:$B$41,Assumptions!$B$36:$H$41))</f>
        <v>0</v>
      </c>
      <c r="WBJ28">
        <f t="array" ref="WBJ28">_xlfn.XLOOKUP(WBJ$11,Assumptions!$B$35:$H$35,_xlfn.XLOOKUP($C28,Assumptions!$B$36:$B$41,Assumptions!$B$36:$H$41))</f>
        <v>0</v>
      </c>
      <c r="WBK28">
        <f t="array" ref="WBK28">_xlfn.XLOOKUP(WBK$11,Assumptions!$B$35:$H$35,_xlfn.XLOOKUP($C28,Assumptions!$B$36:$B$41,Assumptions!$B$36:$H$41))</f>
        <v>0</v>
      </c>
      <c r="WBL28">
        <f t="array" ref="WBL28">_xlfn.XLOOKUP(WBL$11,Assumptions!$B$35:$H$35,_xlfn.XLOOKUP($C28,Assumptions!$B$36:$B$41,Assumptions!$B$36:$H$41))</f>
        <v>0</v>
      </c>
      <c r="WBM28">
        <f t="array" ref="WBM28">_xlfn.XLOOKUP(WBM$11,Assumptions!$B$35:$H$35,_xlfn.XLOOKUP($C28,Assumptions!$B$36:$B$41,Assumptions!$B$36:$H$41))</f>
        <v>0</v>
      </c>
      <c r="WBN28">
        <f t="array" ref="WBN28">_xlfn.XLOOKUP(WBN$11,Assumptions!$B$35:$H$35,_xlfn.XLOOKUP($C28,Assumptions!$B$36:$B$41,Assumptions!$B$36:$H$41))</f>
        <v>0</v>
      </c>
      <c r="WBO28">
        <f t="array" ref="WBO28">_xlfn.XLOOKUP(WBO$11,Assumptions!$B$35:$H$35,_xlfn.XLOOKUP($C28,Assumptions!$B$36:$B$41,Assumptions!$B$36:$H$41))</f>
        <v>0</v>
      </c>
      <c r="WBP28">
        <f t="array" ref="WBP28">_xlfn.XLOOKUP(WBP$11,Assumptions!$B$35:$H$35,_xlfn.XLOOKUP($C28,Assumptions!$B$36:$B$41,Assumptions!$B$36:$H$41))</f>
        <v>0</v>
      </c>
      <c r="WBQ28">
        <f t="array" ref="WBQ28">_xlfn.XLOOKUP(WBQ$11,Assumptions!$B$35:$H$35,_xlfn.XLOOKUP($C28,Assumptions!$B$36:$B$41,Assumptions!$B$36:$H$41))</f>
        <v>0</v>
      </c>
      <c r="WBR28">
        <f t="array" ref="WBR28">_xlfn.XLOOKUP(WBR$11,Assumptions!$B$35:$H$35,_xlfn.XLOOKUP($C28,Assumptions!$B$36:$B$41,Assumptions!$B$36:$H$41))</f>
        <v>0</v>
      </c>
      <c r="WBS28">
        <f t="array" ref="WBS28">_xlfn.XLOOKUP(WBS$11,Assumptions!$B$35:$H$35,_xlfn.XLOOKUP($C28,Assumptions!$B$36:$B$41,Assumptions!$B$36:$H$41))</f>
        <v>0</v>
      </c>
      <c r="WBT28">
        <f t="array" ref="WBT28">_xlfn.XLOOKUP(WBT$11,Assumptions!$B$35:$H$35,_xlfn.XLOOKUP($C28,Assumptions!$B$36:$B$41,Assumptions!$B$36:$H$41))</f>
        <v>0</v>
      </c>
      <c r="WBU28">
        <f t="array" ref="WBU28">_xlfn.XLOOKUP(WBU$11,Assumptions!$B$35:$H$35,_xlfn.XLOOKUP($C28,Assumptions!$B$36:$B$41,Assumptions!$B$36:$H$41))</f>
        <v>0</v>
      </c>
      <c r="WBV28">
        <f t="array" ref="WBV28">_xlfn.XLOOKUP(WBV$11,Assumptions!$B$35:$H$35,_xlfn.XLOOKUP($C28,Assumptions!$B$36:$B$41,Assumptions!$B$36:$H$41))</f>
        <v>0</v>
      </c>
      <c r="WBW28">
        <f t="array" ref="WBW28">_xlfn.XLOOKUP(WBW$11,Assumptions!$B$35:$H$35,_xlfn.XLOOKUP($C28,Assumptions!$B$36:$B$41,Assumptions!$B$36:$H$41))</f>
        <v>0</v>
      </c>
      <c r="WBX28">
        <f t="array" ref="WBX28">_xlfn.XLOOKUP(WBX$11,Assumptions!$B$35:$H$35,_xlfn.XLOOKUP($C28,Assumptions!$B$36:$B$41,Assumptions!$B$36:$H$41))</f>
        <v>0</v>
      </c>
      <c r="WBY28">
        <f t="array" ref="WBY28">_xlfn.XLOOKUP(WBY$11,Assumptions!$B$35:$H$35,_xlfn.XLOOKUP($C28,Assumptions!$B$36:$B$41,Assumptions!$B$36:$H$41))</f>
        <v>0</v>
      </c>
      <c r="WBZ28">
        <f t="array" ref="WBZ28">_xlfn.XLOOKUP(WBZ$11,Assumptions!$B$35:$H$35,_xlfn.XLOOKUP($C28,Assumptions!$B$36:$B$41,Assumptions!$B$36:$H$41))</f>
        <v>0</v>
      </c>
      <c r="WCA28">
        <f t="array" ref="WCA28">_xlfn.XLOOKUP(WCA$11,Assumptions!$B$35:$H$35,_xlfn.XLOOKUP($C28,Assumptions!$B$36:$B$41,Assumptions!$B$36:$H$41))</f>
        <v>0</v>
      </c>
      <c r="WCB28">
        <f t="array" ref="WCB28">_xlfn.XLOOKUP(WCB$11,Assumptions!$B$35:$H$35,_xlfn.XLOOKUP($C28,Assumptions!$B$36:$B$41,Assumptions!$B$36:$H$41))</f>
        <v>0</v>
      </c>
      <c r="WCC28">
        <f t="array" ref="WCC28">_xlfn.XLOOKUP(WCC$11,Assumptions!$B$35:$H$35,_xlfn.XLOOKUP($C28,Assumptions!$B$36:$B$41,Assumptions!$B$36:$H$41))</f>
        <v>0</v>
      </c>
      <c r="WCD28">
        <f t="array" ref="WCD28">_xlfn.XLOOKUP(WCD$11,Assumptions!$B$35:$H$35,_xlfn.XLOOKUP($C28,Assumptions!$B$36:$B$41,Assumptions!$B$36:$H$41))</f>
        <v>0</v>
      </c>
      <c r="WCE28">
        <f t="array" ref="WCE28">_xlfn.XLOOKUP(WCE$11,Assumptions!$B$35:$H$35,_xlfn.XLOOKUP($C28,Assumptions!$B$36:$B$41,Assumptions!$B$36:$H$41))</f>
        <v>0</v>
      </c>
      <c r="WCF28">
        <f t="array" ref="WCF28">_xlfn.XLOOKUP(WCF$11,Assumptions!$B$35:$H$35,_xlfn.XLOOKUP($C28,Assumptions!$B$36:$B$41,Assumptions!$B$36:$H$41))</f>
        <v>0</v>
      </c>
      <c r="WCG28">
        <f t="array" ref="WCG28">_xlfn.XLOOKUP(WCG$11,Assumptions!$B$35:$H$35,_xlfn.XLOOKUP($C28,Assumptions!$B$36:$B$41,Assumptions!$B$36:$H$41))</f>
        <v>0</v>
      </c>
      <c r="WCH28">
        <f t="array" ref="WCH28">_xlfn.XLOOKUP(WCH$11,Assumptions!$B$35:$H$35,_xlfn.XLOOKUP($C28,Assumptions!$B$36:$B$41,Assumptions!$B$36:$H$41))</f>
        <v>0</v>
      </c>
      <c r="WCI28">
        <f t="array" ref="WCI28">_xlfn.XLOOKUP(WCI$11,Assumptions!$B$35:$H$35,_xlfn.XLOOKUP($C28,Assumptions!$B$36:$B$41,Assumptions!$B$36:$H$41))</f>
        <v>0</v>
      </c>
      <c r="WCJ28">
        <f t="array" ref="WCJ28">_xlfn.XLOOKUP(WCJ$11,Assumptions!$B$35:$H$35,_xlfn.XLOOKUP($C28,Assumptions!$B$36:$B$41,Assumptions!$B$36:$H$41))</f>
        <v>0</v>
      </c>
      <c r="WCK28">
        <f t="array" ref="WCK28">_xlfn.XLOOKUP(WCK$11,Assumptions!$B$35:$H$35,_xlfn.XLOOKUP($C28,Assumptions!$B$36:$B$41,Assumptions!$B$36:$H$41))</f>
        <v>0</v>
      </c>
      <c r="WCL28">
        <f t="array" ref="WCL28">_xlfn.XLOOKUP(WCL$11,Assumptions!$B$35:$H$35,_xlfn.XLOOKUP($C28,Assumptions!$B$36:$B$41,Assumptions!$B$36:$H$41))</f>
        <v>0</v>
      </c>
      <c r="WCM28">
        <f t="array" ref="WCM28">_xlfn.XLOOKUP(WCM$11,Assumptions!$B$35:$H$35,_xlfn.XLOOKUP($C28,Assumptions!$B$36:$B$41,Assumptions!$B$36:$H$41))</f>
        <v>0</v>
      </c>
      <c r="WCN28">
        <f t="array" ref="WCN28">_xlfn.XLOOKUP(WCN$11,Assumptions!$B$35:$H$35,_xlfn.XLOOKUP($C28,Assumptions!$B$36:$B$41,Assumptions!$B$36:$H$41))</f>
        <v>0</v>
      </c>
      <c r="WCO28">
        <f t="array" ref="WCO28">_xlfn.XLOOKUP(WCO$11,Assumptions!$B$35:$H$35,_xlfn.XLOOKUP($C28,Assumptions!$B$36:$B$41,Assumptions!$B$36:$H$41))</f>
        <v>0</v>
      </c>
      <c r="WCP28">
        <f t="array" ref="WCP28">_xlfn.XLOOKUP(WCP$11,Assumptions!$B$35:$H$35,_xlfn.XLOOKUP($C28,Assumptions!$B$36:$B$41,Assumptions!$B$36:$H$41))</f>
        <v>0</v>
      </c>
      <c r="WCQ28">
        <f t="array" ref="WCQ28">_xlfn.XLOOKUP(WCQ$11,Assumptions!$B$35:$H$35,_xlfn.XLOOKUP($C28,Assumptions!$B$36:$B$41,Assumptions!$B$36:$H$41))</f>
        <v>0</v>
      </c>
      <c r="WCR28">
        <f t="array" ref="WCR28">_xlfn.XLOOKUP(WCR$11,Assumptions!$B$35:$H$35,_xlfn.XLOOKUP($C28,Assumptions!$B$36:$B$41,Assumptions!$B$36:$H$41))</f>
        <v>0</v>
      </c>
      <c r="WCS28">
        <f t="array" ref="WCS28">_xlfn.XLOOKUP(WCS$11,Assumptions!$B$35:$H$35,_xlfn.XLOOKUP($C28,Assumptions!$B$36:$B$41,Assumptions!$B$36:$H$41))</f>
        <v>0</v>
      </c>
      <c r="WCT28">
        <f t="array" ref="WCT28">_xlfn.XLOOKUP(WCT$11,Assumptions!$B$35:$H$35,_xlfn.XLOOKUP($C28,Assumptions!$B$36:$B$41,Assumptions!$B$36:$H$41))</f>
        <v>0</v>
      </c>
      <c r="WCU28">
        <f t="array" ref="WCU28">_xlfn.XLOOKUP(WCU$11,Assumptions!$B$35:$H$35,_xlfn.XLOOKUP($C28,Assumptions!$B$36:$B$41,Assumptions!$B$36:$H$41))</f>
        <v>0</v>
      </c>
      <c r="WCV28">
        <f t="array" ref="WCV28">_xlfn.XLOOKUP(WCV$11,Assumptions!$B$35:$H$35,_xlfn.XLOOKUP($C28,Assumptions!$B$36:$B$41,Assumptions!$B$36:$H$41))</f>
        <v>0</v>
      </c>
      <c r="WCW28">
        <f t="array" ref="WCW28">_xlfn.XLOOKUP(WCW$11,Assumptions!$B$35:$H$35,_xlfn.XLOOKUP($C28,Assumptions!$B$36:$B$41,Assumptions!$B$36:$H$41))</f>
        <v>0</v>
      </c>
      <c r="WCX28">
        <f t="array" ref="WCX28">_xlfn.XLOOKUP(WCX$11,Assumptions!$B$35:$H$35,_xlfn.XLOOKUP($C28,Assumptions!$B$36:$B$41,Assumptions!$B$36:$H$41))</f>
        <v>0</v>
      </c>
      <c r="WCY28">
        <f t="array" ref="WCY28">_xlfn.XLOOKUP(WCY$11,Assumptions!$B$35:$H$35,_xlfn.XLOOKUP($C28,Assumptions!$B$36:$B$41,Assumptions!$B$36:$H$41))</f>
        <v>0</v>
      </c>
      <c r="WCZ28">
        <f t="array" ref="WCZ28">_xlfn.XLOOKUP(WCZ$11,Assumptions!$B$35:$H$35,_xlfn.XLOOKUP($C28,Assumptions!$B$36:$B$41,Assumptions!$B$36:$H$41))</f>
        <v>0</v>
      </c>
      <c r="WDA28">
        <f t="array" ref="WDA28">_xlfn.XLOOKUP(WDA$11,Assumptions!$B$35:$H$35,_xlfn.XLOOKUP($C28,Assumptions!$B$36:$B$41,Assumptions!$B$36:$H$41))</f>
        <v>0</v>
      </c>
      <c r="WDB28">
        <f t="array" ref="WDB28">_xlfn.XLOOKUP(WDB$11,Assumptions!$B$35:$H$35,_xlfn.XLOOKUP($C28,Assumptions!$B$36:$B$41,Assumptions!$B$36:$H$41))</f>
        <v>0</v>
      </c>
      <c r="WDC28">
        <f t="array" ref="WDC28">_xlfn.XLOOKUP(WDC$11,Assumptions!$B$35:$H$35,_xlfn.XLOOKUP($C28,Assumptions!$B$36:$B$41,Assumptions!$B$36:$H$41))</f>
        <v>0</v>
      </c>
      <c r="WDD28">
        <f t="array" ref="WDD28">_xlfn.XLOOKUP(WDD$11,Assumptions!$B$35:$H$35,_xlfn.XLOOKUP($C28,Assumptions!$B$36:$B$41,Assumptions!$B$36:$H$41))</f>
        <v>0</v>
      </c>
      <c r="WDE28">
        <f t="array" ref="WDE28">_xlfn.XLOOKUP(WDE$11,Assumptions!$B$35:$H$35,_xlfn.XLOOKUP($C28,Assumptions!$B$36:$B$41,Assumptions!$B$36:$H$41))</f>
        <v>0</v>
      </c>
      <c r="WDF28">
        <f t="array" ref="WDF28">_xlfn.XLOOKUP(WDF$11,Assumptions!$B$35:$H$35,_xlfn.XLOOKUP($C28,Assumptions!$B$36:$B$41,Assumptions!$B$36:$H$41))</f>
        <v>0</v>
      </c>
      <c r="WDG28">
        <f t="array" ref="WDG28">_xlfn.XLOOKUP(WDG$11,Assumptions!$B$35:$H$35,_xlfn.XLOOKUP($C28,Assumptions!$B$36:$B$41,Assumptions!$B$36:$H$41))</f>
        <v>0</v>
      </c>
      <c r="WDH28">
        <f t="array" ref="WDH28">_xlfn.XLOOKUP(WDH$11,Assumptions!$B$35:$H$35,_xlfn.XLOOKUP($C28,Assumptions!$B$36:$B$41,Assumptions!$B$36:$H$41))</f>
        <v>0</v>
      </c>
      <c r="WDI28">
        <f t="array" ref="WDI28">_xlfn.XLOOKUP(WDI$11,Assumptions!$B$35:$H$35,_xlfn.XLOOKUP($C28,Assumptions!$B$36:$B$41,Assumptions!$B$36:$H$41))</f>
        <v>0</v>
      </c>
      <c r="WDJ28">
        <f t="array" ref="WDJ28">_xlfn.XLOOKUP(WDJ$11,Assumptions!$B$35:$H$35,_xlfn.XLOOKUP($C28,Assumptions!$B$36:$B$41,Assumptions!$B$36:$H$41))</f>
        <v>0</v>
      </c>
      <c r="WDK28">
        <f t="array" ref="WDK28">_xlfn.XLOOKUP(WDK$11,Assumptions!$B$35:$H$35,_xlfn.XLOOKUP($C28,Assumptions!$B$36:$B$41,Assumptions!$B$36:$H$41))</f>
        <v>0</v>
      </c>
      <c r="WDL28">
        <f t="array" ref="WDL28">_xlfn.XLOOKUP(WDL$11,Assumptions!$B$35:$H$35,_xlfn.XLOOKUP($C28,Assumptions!$B$36:$B$41,Assumptions!$B$36:$H$41))</f>
        <v>0</v>
      </c>
      <c r="WDM28">
        <f t="array" ref="WDM28">_xlfn.XLOOKUP(WDM$11,Assumptions!$B$35:$H$35,_xlfn.XLOOKUP($C28,Assumptions!$B$36:$B$41,Assumptions!$B$36:$H$41))</f>
        <v>0</v>
      </c>
      <c r="WDN28">
        <f t="array" ref="WDN28">_xlfn.XLOOKUP(WDN$11,Assumptions!$B$35:$H$35,_xlfn.XLOOKUP($C28,Assumptions!$B$36:$B$41,Assumptions!$B$36:$H$41))</f>
        <v>0</v>
      </c>
      <c r="WDO28">
        <f t="array" ref="WDO28">_xlfn.XLOOKUP(WDO$11,Assumptions!$B$35:$H$35,_xlfn.XLOOKUP($C28,Assumptions!$B$36:$B$41,Assumptions!$B$36:$H$41))</f>
        <v>0</v>
      </c>
      <c r="WDP28">
        <f t="array" ref="WDP28">_xlfn.XLOOKUP(WDP$11,Assumptions!$B$35:$H$35,_xlfn.XLOOKUP($C28,Assumptions!$B$36:$B$41,Assumptions!$B$36:$H$41))</f>
        <v>0</v>
      </c>
      <c r="WDQ28">
        <f t="array" ref="WDQ28">_xlfn.XLOOKUP(WDQ$11,Assumptions!$B$35:$H$35,_xlfn.XLOOKUP($C28,Assumptions!$B$36:$B$41,Assumptions!$B$36:$H$41))</f>
        <v>0</v>
      </c>
      <c r="WDR28">
        <f t="array" ref="WDR28">_xlfn.XLOOKUP(WDR$11,Assumptions!$B$35:$H$35,_xlfn.XLOOKUP($C28,Assumptions!$B$36:$B$41,Assumptions!$B$36:$H$41))</f>
        <v>0</v>
      </c>
      <c r="WDS28">
        <f t="array" ref="WDS28">_xlfn.XLOOKUP(WDS$11,Assumptions!$B$35:$H$35,_xlfn.XLOOKUP($C28,Assumptions!$B$36:$B$41,Assumptions!$B$36:$H$41))</f>
        <v>0</v>
      </c>
      <c r="WDT28">
        <f t="array" ref="WDT28">_xlfn.XLOOKUP(WDT$11,Assumptions!$B$35:$H$35,_xlfn.XLOOKUP($C28,Assumptions!$B$36:$B$41,Assumptions!$B$36:$H$41))</f>
        <v>0</v>
      </c>
      <c r="WDU28">
        <f t="array" ref="WDU28">_xlfn.XLOOKUP(WDU$11,Assumptions!$B$35:$H$35,_xlfn.XLOOKUP($C28,Assumptions!$B$36:$B$41,Assumptions!$B$36:$H$41))</f>
        <v>0</v>
      </c>
      <c r="WDV28">
        <f t="array" ref="WDV28">_xlfn.XLOOKUP(WDV$11,Assumptions!$B$35:$H$35,_xlfn.XLOOKUP($C28,Assumptions!$B$36:$B$41,Assumptions!$B$36:$H$41))</f>
        <v>0</v>
      </c>
      <c r="WDW28">
        <f t="array" ref="WDW28">_xlfn.XLOOKUP(WDW$11,Assumptions!$B$35:$H$35,_xlfn.XLOOKUP($C28,Assumptions!$B$36:$B$41,Assumptions!$B$36:$H$41))</f>
        <v>0</v>
      </c>
      <c r="WDX28">
        <f t="array" ref="WDX28">_xlfn.XLOOKUP(WDX$11,Assumptions!$B$35:$H$35,_xlfn.XLOOKUP($C28,Assumptions!$B$36:$B$41,Assumptions!$B$36:$H$41))</f>
        <v>0</v>
      </c>
      <c r="WDY28">
        <f t="array" ref="WDY28">_xlfn.XLOOKUP(WDY$11,Assumptions!$B$35:$H$35,_xlfn.XLOOKUP($C28,Assumptions!$B$36:$B$41,Assumptions!$B$36:$H$41))</f>
        <v>0</v>
      </c>
      <c r="WDZ28">
        <f t="array" ref="WDZ28">_xlfn.XLOOKUP(WDZ$11,Assumptions!$B$35:$H$35,_xlfn.XLOOKUP($C28,Assumptions!$B$36:$B$41,Assumptions!$B$36:$H$41))</f>
        <v>0</v>
      </c>
      <c r="WEA28">
        <f t="array" ref="WEA28">_xlfn.XLOOKUP(WEA$11,Assumptions!$B$35:$H$35,_xlfn.XLOOKUP($C28,Assumptions!$B$36:$B$41,Assumptions!$B$36:$H$41))</f>
        <v>0</v>
      </c>
      <c r="WEB28">
        <f t="array" ref="WEB28">_xlfn.XLOOKUP(WEB$11,Assumptions!$B$35:$H$35,_xlfn.XLOOKUP($C28,Assumptions!$B$36:$B$41,Assumptions!$B$36:$H$41))</f>
        <v>0</v>
      </c>
      <c r="WEC28">
        <f t="array" ref="WEC28">_xlfn.XLOOKUP(WEC$11,Assumptions!$B$35:$H$35,_xlfn.XLOOKUP($C28,Assumptions!$B$36:$B$41,Assumptions!$B$36:$H$41))</f>
        <v>0</v>
      </c>
      <c r="WED28">
        <f t="array" ref="WED28">_xlfn.XLOOKUP(WED$11,Assumptions!$B$35:$H$35,_xlfn.XLOOKUP($C28,Assumptions!$B$36:$B$41,Assumptions!$B$36:$H$41))</f>
        <v>0</v>
      </c>
      <c r="WEE28">
        <f t="array" ref="WEE28">_xlfn.XLOOKUP(WEE$11,Assumptions!$B$35:$H$35,_xlfn.XLOOKUP($C28,Assumptions!$B$36:$B$41,Assumptions!$B$36:$H$41))</f>
        <v>0</v>
      </c>
      <c r="WEF28">
        <f t="array" ref="WEF28">_xlfn.XLOOKUP(WEF$11,Assumptions!$B$35:$H$35,_xlfn.XLOOKUP($C28,Assumptions!$B$36:$B$41,Assumptions!$B$36:$H$41))</f>
        <v>0</v>
      </c>
      <c r="WEG28">
        <f t="array" ref="WEG28">_xlfn.XLOOKUP(WEG$11,Assumptions!$B$35:$H$35,_xlfn.XLOOKUP($C28,Assumptions!$B$36:$B$41,Assumptions!$B$36:$H$41))</f>
        <v>0</v>
      </c>
      <c r="WEH28">
        <f t="array" ref="WEH28">_xlfn.XLOOKUP(WEH$11,Assumptions!$B$35:$H$35,_xlfn.XLOOKUP($C28,Assumptions!$B$36:$B$41,Assumptions!$B$36:$H$41))</f>
        <v>0</v>
      </c>
      <c r="WEI28">
        <f t="array" ref="WEI28">_xlfn.XLOOKUP(WEI$11,Assumptions!$B$35:$H$35,_xlfn.XLOOKUP($C28,Assumptions!$B$36:$B$41,Assumptions!$B$36:$H$41))</f>
        <v>0</v>
      </c>
      <c r="WEJ28">
        <f t="array" ref="WEJ28">_xlfn.XLOOKUP(WEJ$11,Assumptions!$B$35:$H$35,_xlfn.XLOOKUP($C28,Assumptions!$B$36:$B$41,Assumptions!$B$36:$H$41))</f>
        <v>0</v>
      </c>
      <c r="WEK28">
        <f t="array" ref="WEK28">_xlfn.XLOOKUP(WEK$11,Assumptions!$B$35:$H$35,_xlfn.XLOOKUP($C28,Assumptions!$B$36:$B$41,Assumptions!$B$36:$H$41))</f>
        <v>0</v>
      </c>
      <c r="WEL28">
        <f t="array" ref="WEL28">_xlfn.XLOOKUP(WEL$11,Assumptions!$B$35:$H$35,_xlfn.XLOOKUP($C28,Assumptions!$B$36:$B$41,Assumptions!$B$36:$H$41))</f>
        <v>0</v>
      </c>
      <c r="WEM28">
        <f t="array" ref="WEM28">_xlfn.XLOOKUP(WEM$11,Assumptions!$B$35:$H$35,_xlfn.XLOOKUP($C28,Assumptions!$B$36:$B$41,Assumptions!$B$36:$H$41))</f>
        <v>0</v>
      </c>
      <c r="WEN28">
        <f t="array" ref="WEN28">_xlfn.XLOOKUP(WEN$11,Assumptions!$B$35:$H$35,_xlfn.XLOOKUP($C28,Assumptions!$B$36:$B$41,Assumptions!$B$36:$H$41))</f>
        <v>0</v>
      </c>
      <c r="WEO28">
        <f t="array" ref="WEO28">_xlfn.XLOOKUP(WEO$11,Assumptions!$B$35:$H$35,_xlfn.XLOOKUP($C28,Assumptions!$B$36:$B$41,Assumptions!$B$36:$H$41))</f>
        <v>0</v>
      </c>
      <c r="WEP28">
        <f t="array" ref="WEP28">_xlfn.XLOOKUP(WEP$11,Assumptions!$B$35:$H$35,_xlfn.XLOOKUP($C28,Assumptions!$B$36:$B$41,Assumptions!$B$36:$H$41))</f>
        <v>0</v>
      </c>
      <c r="WEQ28">
        <f t="array" ref="WEQ28">_xlfn.XLOOKUP(WEQ$11,Assumptions!$B$35:$H$35,_xlfn.XLOOKUP($C28,Assumptions!$B$36:$B$41,Assumptions!$B$36:$H$41))</f>
        <v>0</v>
      </c>
      <c r="WER28">
        <f t="array" ref="WER28">_xlfn.XLOOKUP(WER$11,Assumptions!$B$35:$H$35,_xlfn.XLOOKUP($C28,Assumptions!$B$36:$B$41,Assumptions!$B$36:$H$41))</f>
        <v>0</v>
      </c>
      <c r="WES28">
        <f t="array" ref="WES28">_xlfn.XLOOKUP(WES$11,Assumptions!$B$35:$H$35,_xlfn.XLOOKUP($C28,Assumptions!$B$36:$B$41,Assumptions!$B$36:$H$41))</f>
        <v>0</v>
      </c>
      <c r="WET28">
        <f t="array" ref="WET28">_xlfn.XLOOKUP(WET$11,Assumptions!$B$35:$H$35,_xlfn.XLOOKUP($C28,Assumptions!$B$36:$B$41,Assumptions!$B$36:$H$41))</f>
        <v>0</v>
      </c>
      <c r="WEU28">
        <f t="array" ref="WEU28">_xlfn.XLOOKUP(WEU$11,Assumptions!$B$35:$H$35,_xlfn.XLOOKUP($C28,Assumptions!$B$36:$B$41,Assumptions!$B$36:$H$41))</f>
        <v>0</v>
      </c>
      <c r="WEV28">
        <f t="array" ref="WEV28">_xlfn.XLOOKUP(WEV$11,Assumptions!$B$35:$H$35,_xlfn.XLOOKUP($C28,Assumptions!$B$36:$B$41,Assumptions!$B$36:$H$41))</f>
        <v>0</v>
      </c>
      <c r="WEW28">
        <f t="array" ref="WEW28">_xlfn.XLOOKUP(WEW$11,Assumptions!$B$35:$H$35,_xlfn.XLOOKUP($C28,Assumptions!$B$36:$B$41,Assumptions!$B$36:$H$41))</f>
        <v>0</v>
      </c>
      <c r="WEX28">
        <f t="array" ref="WEX28">_xlfn.XLOOKUP(WEX$11,Assumptions!$B$35:$H$35,_xlfn.XLOOKUP($C28,Assumptions!$B$36:$B$41,Assumptions!$B$36:$H$41))</f>
        <v>0</v>
      </c>
      <c r="WEY28">
        <f t="array" ref="WEY28">_xlfn.XLOOKUP(WEY$11,Assumptions!$B$35:$H$35,_xlfn.XLOOKUP($C28,Assumptions!$B$36:$B$41,Assumptions!$B$36:$H$41))</f>
        <v>0</v>
      </c>
      <c r="WEZ28">
        <f t="array" ref="WEZ28">_xlfn.XLOOKUP(WEZ$11,Assumptions!$B$35:$H$35,_xlfn.XLOOKUP($C28,Assumptions!$B$36:$B$41,Assumptions!$B$36:$H$41))</f>
        <v>0</v>
      </c>
      <c r="WFA28">
        <f t="array" ref="WFA28">_xlfn.XLOOKUP(WFA$11,Assumptions!$B$35:$H$35,_xlfn.XLOOKUP($C28,Assumptions!$B$36:$B$41,Assumptions!$B$36:$H$41))</f>
        <v>0</v>
      </c>
      <c r="WFB28">
        <f t="array" ref="WFB28">_xlfn.XLOOKUP(WFB$11,Assumptions!$B$35:$H$35,_xlfn.XLOOKUP($C28,Assumptions!$B$36:$B$41,Assumptions!$B$36:$H$41))</f>
        <v>0</v>
      </c>
      <c r="WFC28">
        <f t="array" ref="WFC28">_xlfn.XLOOKUP(WFC$11,Assumptions!$B$35:$H$35,_xlfn.XLOOKUP($C28,Assumptions!$B$36:$B$41,Assumptions!$B$36:$H$41))</f>
        <v>0</v>
      </c>
      <c r="WFD28">
        <f t="array" ref="WFD28">_xlfn.XLOOKUP(WFD$11,Assumptions!$B$35:$H$35,_xlfn.XLOOKUP($C28,Assumptions!$B$36:$B$41,Assumptions!$B$36:$H$41))</f>
        <v>0</v>
      </c>
      <c r="WFE28">
        <f t="array" ref="WFE28">_xlfn.XLOOKUP(WFE$11,Assumptions!$B$35:$H$35,_xlfn.XLOOKUP($C28,Assumptions!$B$36:$B$41,Assumptions!$B$36:$H$41))</f>
        <v>0</v>
      </c>
      <c r="WFF28">
        <f t="array" ref="WFF28">_xlfn.XLOOKUP(WFF$11,Assumptions!$B$35:$H$35,_xlfn.XLOOKUP($C28,Assumptions!$B$36:$B$41,Assumptions!$B$36:$H$41))</f>
        <v>0</v>
      </c>
      <c r="WFG28">
        <f t="array" ref="WFG28">_xlfn.XLOOKUP(WFG$11,Assumptions!$B$35:$H$35,_xlfn.XLOOKUP($C28,Assumptions!$B$36:$B$41,Assumptions!$B$36:$H$41))</f>
        <v>0</v>
      </c>
      <c r="WFH28">
        <f t="array" ref="WFH28">_xlfn.XLOOKUP(WFH$11,Assumptions!$B$35:$H$35,_xlfn.XLOOKUP($C28,Assumptions!$B$36:$B$41,Assumptions!$B$36:$H$41))</f>
        <v>0</v>
      </c>
      <c r="WFI28">
        <f t="array" ref="WFI28">_xlfn.XLOOKUP(WFI$11,Assumptions!$B$35:$H$35,_xlfn.XLOOKUP($C28,Assumptions!$B$36:$B$41,Assumptions!$B$36:$H$41))</f>
        <v>0</v>
      </c>
      <c r="WFJ28">
        <f t="array" ref="WFJ28">_xlfn.XLOOKUP(WFJ$11,Assumptions!$B$35:$H$35,_xlfn.XLOOKUP($C28,Assumptions!$B$36:$B$41,Assumptions!$B$36:$H$41))</f>
        <v>0</v>
      </c>
      <c r="WFK28">
        <f t="array" ref="WFK28">_xlfn.XLOOKUP(WFK$11,Assumptions!$B$35:$H$35,_xlfn.XLOOKUP($C28,Assumptions!$B$36:$B$41,Assumptions!$B$36:$H$41))</f>
        <v>0</v>
      </c>
      <c r="WFL28">
        <f t="array" ref="WFL28">_xlfn.XLOOKUP(WFL$11,Assumptions!$B$35:$H$35,_xlfn.XLOOKUP($C28,Assumptions!$B$36:$B$41,Assumptions!$B$36:$H$41))</f>
        <v>0</v>
      </c>
      <c r="WFM28">
        <f t="array" ref="WFM28">_xlfn.XLOOKUP(WFM$11,Assumptions!$B$35:$H$35,_xlfn.XLOOKUP($C28,Assumptions!$B$36:$B$41,Assumptions!$B$36:$H$41))</f>
        <v>0</v>
      </c>
      <c r="WFN28">
        <f t="array" ref="WFN28">_xlfn.XLOOKUP(WFN$11,Assumptions!$B$35:$H$35,_xlfn.XLOOKUP($C28,Assumptions!$B$36:$B$41,Assumptions!$B$36:$H$41))</f>
        <v>0</v>
      </c>
      <c r="WFO28">
        <f t="array" ref="WFO28">_xlfn.XLOOKUP(WFO$11,Assumptions!$B$35:$H$35,_xlfn.XLOOKUP($C28,Assumptions!$B$36:$B$41,Assumptions!$B$36:$H$41))</f>
        <v>0</v>
      </c>
      <c r="WFP28">
        <f t="array" ref="WFP28">_xlfn.XLOOKUP(WFP$11,Assumptions!$B$35:$H$35,_xlfn.XLOOKUP($C28,Assumptions!$B$36:$B$41,Assumptions!$B$36:$H$41))</f>
        <v>0</v>
      </c>
      <c r="WFQ28">
        <f t="array" ref="WFQ28">_xlfn.XLOOKUP(WFQ$11,Assumptions!$B$35:$H$35,_xlfn.XLOOKUP($C28,Assumptions!$B$36:$B$41,Assumptions!$B$36:$H$41))</f>
        <v>0</v>
      </c>
      <c r="WFR28">
        <f t="array" ref="WFR28">_xlfn.XLOOKUP(WFR$11,Assumptions!$B$35:$H$35,_xlfn.XLOOKUP($C28,Assumptions!$B$36:$B$41,Assumptions!$B$36:$H$41))</f>
        <v>0</v>
      </c>
      <c r="WFS28">
        <f t="array" ref="WFS28">_xlfn.XLOOKUP(WFS$11,Assumptions!$B$35:$H$35,_xlfn.XLOOKUP($C28,Assumptions!$B$36:$B$41,Assumptions!$B$36:$H$41))</f>
        <v>0</v>
      </c>
      <c r="WFT28">
        <f t="array" ref="WFT28">_xlfn.XLOOKUP(WFT$11,Assumptions!$B$35:$H$35,_xlfn.XLOOKUP($C28,Assumptions!$B$36:$B$41,Assumptions!$B$36:$H$41))</f>
        <v>0</v>
      </c>
      <c r="WFU28">
        <f t="array" ref="WFU28">_xlfn.XLOOKUP(WFU$11,Assumptions!$B$35:$H$35,_xlfn.XLOOKUP($C28,Assumptions!$B$36:$B$41,Assumptions!$B$36:$H$41))</f>
        <v>0</v>
      </c>
      <c r="WFV28">
        <f t="array" ref="WFV28">_xlfn.XLOOKUP(WFV$11,Assumptions!$B$35:$H$35,_xlfn.XLOOKUP($C28,Assumptions!$B$36:$B$41,Assumptions!$B$36:$H$41))</f>
        <v>0</v>
      </c>
      <c r="WFW28">
        <f t="array" ref="WFW28">_xlfn.XLOOKUP(WFW$11,Assumptions!$B$35:$H$35,_xlfn.XLOOKUP($C28,Assumptions!$B$36:$B$41,Assumptions!$B$36:$H$41))</f>
        <v>0</v>
      </c>
      <c r="WFX28">
        <f t="array" ref="WFX28">_xlfn.XLOOKUP(WFX$11,Assumptions!$B$35:$H$35,_xlfn.XLOOKUP($C28,Assumptions!$B$36:$B$41,Assumptions!$B$36:$H$41))</f>
        <v>0</v>
      </c>
      <c r="WFY28">
        <f t="array" ref="WFY28">_xlfn.XLOOKUP(WFY$11,Assumptions!$B$35:$H$35,_xlfn.XLOOKUP($C28,Assumptions!$B$36:$B$41,Assumptions!$B$36:$H$41))</f>
        <v>0</v>
      </c>
      <c r="WFZ28">
        <f t="array" ref="WFZ28">_xlfn.XLOOKUP(WFZ$11,Assumptions!$B$35:$H$35,_xlfn.XLOOKUP($C28,Assumptions!$B$36:$B$41,Assumptions!$B$36:$H$41))</f>
        <v>0</v>
      </c>
      <c r="WGA28">
        <f t="array" ref="WGA28">_xlfn.XLOOKUP(WGA$11,Assumptions!$B$35:$H$35,_xlfn.XLOOKUP($C28,Assumptions!$B$36:$B$41,Assumptions!$B$36:$H$41))</f>
        <v>0</v>
      </c>
      <c r="WGB28">
        <f t="array" ref="WGB28">_xlfn.XLOOKUP(WGB$11,Assumptions!$B$35:$H$35,_xlfn.XLOOKUP($C28,Assumptions!$B$36:$B$41,Assumptions!$B$36:$H$41))</f>
        <v>0</v>
      </c>
      <c r="WGC28">
        <f t="array" ref="WGC28">_xlfn.XLOOKUP(WGC$11,Assumptions!$B$35:$H$35,_xlfn.XLOOKUP($C28,Assumptions!$B$36:$B$41,Assumptions!$B$36:$H$41))</f>
        <v>0</v>
      </c>
      <c r="WGD28">
        <f t="array" ref="WGD28">_xlfn.XLOOKUP(WGD$11,Assumptions!$B$35:$H$35,_xlfn.XLOOKUP($C28,Assumptions!$B$36:$B$41,Assumptions!$B$36:$H$41))</f>
        <v>0</v>
      </c>
      <c r="WGE28">
        <f t="array" ref="WGE28">_xlfn.XLOOKUP(WGE$11,Assumptions!$B$35:$H$35,_xlfn.XLOOKUP($C28,Assumptions!$B$36:$B$41,Assumptions!$B$36:$H$41))</f>
        <v>0</v>
      </c>
      <c r="WGF28">
        <f t="array" ref="WGF28">_xlfn.XLOOKUP(WGF$11,Assumptions!$B$35:$H$35,_xlfn.XLOOKUP($C28,Assumptions!$B$36:$B$41,Assumptions!$B$36:$H$41))</f>
        <v>0</v>
      </c>
      <c r="WGG28">
        <f t="array" ref="WGG28">_xlfn.XLOOKUP(WGG$11,Assumptions!$B$35:$H$35,_xlfn.XLOOKUP($C28,Assumptions!$B$36:$B$41,Assumptions!$B$36:$H$41))</f>
        <v>0</v>
      </c>
      <c r="WGH28">
        <f t="array" ref="WGH28">_xlfn.XLOOKUP(WGH$11,Assumptions!$B$35:$H$35,_xlfn.XLOOKUP($C28,Assumptions!$B$36:$B$41,Assumptions!$B$36:$H$41))</f>
        <v>0</v>
      </c>
      <c r="WGI28">
        <f t="array" ref="WGI28">_xlfn.XLOOKUP(WGI$11,Assumptions!$B$35:$H$35,_xlfn.XLOOKUP($C28,Assumptions!$B$36:$B$41,Assumptions!$B$36:$H$41))</f>
        <v>0</v>
      </c>
      <c r="WGJ28">
        <f t="array" ref="WGJ28">_xlfn.XLOOKUP(WGJ$11,Assumptions!$B$35:$H$35,_xlfn.XLOOKUP($C28,Assumptions!$B$36:$B$41,Assumptions!$B$36:$H$41))</f>
        <v>0</v>
      </c>
      <c r="WGK28">
        <f t="array" ref="WGK28">_xlfn.XLOOKUP(WGK$11,Assumptions!$B$35:$H$35,_xlfn.XLOOKUP($C28,Assumptions!$B$36:$B$41,Assumptions!$B$36:$H$41))</f>
        <v>0</v>
      </c>
      <c r="WGL28">
        <f t="array" ref="WGL28">_xlfn.XLOOKUP(WGL$11,Assumptions!$B$35:$H$35,_xlfn.XLOOKUP($C28,Assumptions!$B$36:$B$41,Assumptions!$B$36:$H$41))</f>
        <v>0</v>
      </c>
      <c r="WGM28">
        <f t="array" ref="WGM28">_xlfn.XLOOKUP(WGM$11,Assumptions!$B$35:$H$35,_xlfn.XLOOKUP($C28,Assumptions!$B$36:$B$41,Assumptions!$B$36:$H$41))</f>
        <v>0</v>
      </c>
      <c r="WGN28">
        <f t="array" ref="WGN28">_xlfn.XLOOKUP(WGN$11,Assumptions!$B$35:$H$35,_xlfn.XLOOKUP($C28,Assumptions!$B$36:$B$41,Assumptions!$B$36:$H$41))</f>
        <v>0</v>
      </c>
      <c r="WGO28">
        <f t="array" ref="WGO28">_xlfn.XLOOKUP(WGO$11,Assumptions!$B$35:$H$35,_xlfn.XLOOKUP($C28,Assumptions!$B$36:$B$41,Assumptions!$B$36:$H$41))</f>
        <v>0</v>
      </c>
      <c r="WGP28">
        <f t="array" ref="WGP28">_xlfn.XLOOKUP(WGP$11,Assumptions!$B$35:$H$35,_xlfn.XLOOKUP($C28,Assumptions!$B$36:$B$41,Assumptions!$B$36:$H$41))</f>
        <v>0</v>
      </c>
      <c r="WGQ28">
        <f t="array" ref="WGQ28">_xlfn.XLOOKUP(WGQ$11,Assumptions!$B$35:$H$35,_xlfn.XLOOKUP($C28,Assumptions!$B$36:$B$41,Assumptions!$B$36:$H$41))</f>
        <v>0</v>
      </c>
      <c r="WGR28">
        <f t="array" ref="WGR28">_xlfn.XLOOKUP(WGR$11,Assumptions!$B$35:$H$35,_xlfn.XLOOKUP($C28,Assumptions!$B$36:$B$41,Assumptions!$B$36:$H$41))</f>
        <v>0</v>
      </c>
      <c r="WGS28">
        <f t="array" ref="WGS28">_xlfn.XLOOKUP(WGS$11,Assumptions!$B$35:$H$35,_xlfn.XLOOKUP($C28,Assumptions!$B$36:$B$41,Assumptions!$B$36:$H$41))</f>
        <v>0</v>
      </c>
      <c r="WGT28">
        <f t="array" ref="WGT28">_xlfn.XLOOKUP(WGT$11,Assumptions!$B$35:$H$35,_xlfn.XLOOKUP($C28,Assumptions!$B$36:$B$41,Assumptions!$B$36:$H$41))</f>
        <v>0</v>
      </c>
      <c r="WGU28">
        <f t="array" ref="WGU28">_xlfn.XLOOKUP(WGU$11,Assumptions!$B$35:$H$35,_xlfn.XLOOKUP($C28,Assumptions!$B$36:$B$41,Assumptions!$B$36:$H$41))</f>
        <v>0</v>
      </c>
      <c r="WGV28">
        <f t="array" ref="WGV28">_xlfn.XLOOKUP(WGV$11,Assumptions!$B$35:$H$35,_xlfn.XLOOKUP($C28,Assumptions!$B$36:$B$41,Assumptions!$B$36:$H$41))</f>
        <v>0</v>
      </c>
      <c r="WGW28">
        <f t="array" ref="WGW28">_xlfn.XLOOKUP(WGW$11,Assumptions!$B$35:$H$35,_xlfn.XLOOKUP($C28,Assumptions!$B$36:$B$41,Assumptions!$B$36:$H$41))</f>
        <v>0</v>
      </c>
      <c r="WGX28">
        <f t="array" ref="WGX28">_xlfn.XLOOKUP(WGX$11,Assumptions!$B$35:$H$35,_xlfn.XLOOKUP($C28,Assumptions!$B$36:$B$41,Assumptions!$B$36:$H$41))</f>
        <v>0</v>
      </c>
      <c r="WGY28">
        <f t="array" ref="WGY28">_xlfn.XLOOKUP(WGY$11,Assumptions!$B$35:$H$35,_xlfn.XLOOKUP($C28,Assumptions!$B$36:$B$41,Assumptions!$B$36:$H$41))</f>
        <v>0</v>
      </c>
      <c r="WGZ28">
        <f t="array" ref="WGZ28">_xlfn.XLOOKUP(WGZ$11,Assumptions!$B$35:$H$35,_xlfn.XLOOKUP($C28,Assumptions!$B$36:$B$41,Assumptions!$B$36:$H$41))</f>
        <v>0</v>
      </c>
      <c r="WHA28">
        <f t="array" ref="WHA28">_xlfn.XLOOKUP(WHA$11,Assumptions!$B$35:$H$35,_xlfn.XLOOKUP($C28,Assumptions!$B$36:$B$41,Assumptions!$B$36:$H$41))</f>
        <v>0</v>
      </c>
      <c r="WHB28">
        <f t="array" ref="WHB28">_xlfn.XLOOKUP(WHB$11,Assumptions!$B$35:$H$35,_xlfn.XLOOKUP($C28,Assumptions!$B$36:$B$41,Assumptions!$B$36:$H$41))</f>
        <v>0</v>
      </c>
      <c r="WHC28">
        <f t="array" ref="WHC28">_xlfn.XLOOKUP(WHC$11,Assumptions!$B$35:$H$35,_xlfn.XLOOKUP($C28,Assumptions!$B$36:$B$41,Assumptions!$B$36:$H$41))</f>
        <v>0</v>
      </c>
      <c r="WHD28">
        <f t="array" ref="WHD28">_xlfn.XLOOKUP(WHD$11,Assumptions!$B$35:$H$35,_xlfn.XLOOKUP($C28,Assumptions!$B$36:$B$41,Assumptions!$B$36:$H$41))</f>
        <v>0</v>
      </c>
      <c r="WHE28">
        <f t="array" ref="WHE28">_xlfn.XLOOKUP(WHE$11,Assumptions!$B$35:$H$35,_xlfn.XLOOKUP($C28,Assumptions!$B$36:$B$41,Assumptions!$B$36:$H$41))</f>
        <v>0</v>
      </c>
      <c r="WHF28">
        <f t="array" ref="WHF28">_xlfn.XLOOKUP(WHF$11,Assumptions!$B$35:$H$35,_xlfn.XLOOKUP($C28,Assumptions!$B$36:$B$41,Assumptions!$B$36:$H$41))</f>
        <v>0</v>
      </c>
      <c r="WHG28">
        <f t="array" ref="WHG28">_xlfn.XLOOKUP(WHG$11,Assumptions!$B$35:$H$35,_xlfn.XLOOKUP($C28,Assumptions!$B$36:$B$41,Assumptions!$B$36:$H$41))</f>
        <v>0</v>
      </c>
      <c r="WHH28">
        <f t="array" ref="WHH28">_xlfn.XLOOKUP(WHH$11,Assumptions!$B$35:$H$35,_xlfn.XLOOKUP($C28,Assumptions!$B$36:$B$41,Assumptions!$B$36:$H$41))</f>
        <v>0</v>
      </c>
      <c r="WHI28">
        <f t="array" ref="WHI28">_xlfn.XLOOKUP(WHI$11,Assumptions!$B$35:$H$35,_xlfn.XLOOKUP($C28,Assumptions!$B$36:$B$41,Assumptions!$B$36:$H$41))</f>
        <v>0</v>
      </c>
      <c r="WHJ28">
        <f t="array" ref="WHJ28">_xlfn.XLOOKUP(WHJ$11,Assumptions!$B$35:$H$35,_xlfn.XLOOKUP($C28,Assumptions!$B$36:$B$41,Assumptions!$B$36:$H$41))</f>
        <v>0</v>
      </c>
      <c r="WHK28">
        <f t="array" ref="WHK28">_xlfn.XLOOKUP(WHK$11,Assumptions!$B$35:$H$35,_xlfn.XLOOKUP($C28,Assumptions!$B$36:$B$41,Assumptions!$B$36:$H$41))</f>
        <v>0</v>
      </c>
      <c r="WHL28">
        <f t="array" ref="WHL28">_xlfn.XLOOKUP(WHL$11,Assumptions!$B$35:$H$35,_xlfn.XLOOKUP($C28,Assumptions!$B$36:$B$41,Assumptions!$B$36:$H$41))</f>
        <v>0</v>
      </c>
      <c r="WHM28">
        <f t="array" ref="WHM28">_xlfn.XLOOKUP(WHM$11,Assumptions!$B$35:$H$35,_xlfn.XLOOKUP($C28,Assumptions!$B$36:$B$41,Assumptions!$B$36:$H$41))</f>
        <v>0</v>
      </c>
      <c r="WHN28">
        <f t="array" ref="WHN28">_xlfn.XLOOKUP(WHN$11,Assumptions!$B$35:$H$35,_xlfn.XLOOKUP($C28,Assumptions!$B$36:$B$41,Assumptions!$B$36:$H$41))</f>
        <v>0</v>
      </c>
      <c r="WHO28">
        <f t="array" ref="WHO28">_xlfn.XLOOKUP(WHO$11,Assumptions!$B$35:$H$35,_xlfn.XLOOKUP($C28,Assumptions!$B$36:$B$41,Assumptions!$B$36:$H$41))</f>
        <v>0</v>
      </c>
      <c r="WHP28">
        <f t="array" ref="WHP28">_xlfn.XLOOKUP(WHP$11,Assumptions!$B$35:$H$35,_xlfn.XLOOKUP($C28,Assumptions!$B$36:$B$41,Assumptions!$B$36:$H$41))</f>
        <v>0</v>
      </c>
      <c r="WHQ28">
        <f t="array" ref="WHQ28">_xlfn.XLOOKUP(WHQ$11,Assumptions!$B$35:$H$35,_xlfn.XLOOKUP($C28,Assumptions!$B$36:$B$41,Assumptions!$B$36:$H$41))</f>
        <v>0</v>
      </c>
      <c r="WHR28">
        <f t="array" ref="WHR28">_xlfn.XLOOKUP(WHR$11,Assumptions!$B$35:$H$35,_xlfn.XLOOKUP($C28,Assumptions!$B$36:$B$41,Assumptions!$B$36:$H$41))</f>
        <v>0</v>
      </c>
      <c r="WHS28">
        <f t="array" ref="WHS28">_xlfn.XLOOKUP(WHS$11,Assumptions!$B$35:$H$35,_xlfn.XLOOKUP($C28,Assumptions!$B$36:$B$41,Assumptions!$B$36:$H$41))</f>
        <v>0</v>
      </c>
      <c r="WHT28">
        <f t="array" ref="WHT28">_xlfn.XLOOKUP(WHT$11,Assumptions!$B$35:$H$35,_xlfn.XLOOKUP($C28,Assumptions!$B$36:$B$41,Assumptions!$B$36:$H$41))</f>
        <v>0</v>
      </c>
      <c r="WHU28">
        <f t="array" ref="WHU28">_xlfn.XLOOKUP(WHU$11,Assumptions!$B$35:$H$35,_xlfn.XLOOKUP($C28,Assumptions!$B$36:$B$41,Assumptions!$B$36:$H$41))</f>
        <v>0</v>
      </c>
      <c r="WHV28">
        <f t="array" ref="WHV28">_xlfn.XLOOKUP(WHV$11,Assumptions!$B$35:$H$35,_xlfn.XLOOKUP($C28,Assumptions!$B$36:$B$41,Assumptions!$B$36:$H$41))</f>
        <v>0</v>
      </c>
      <c r="WHW28">
        <f t="array" ref="WHW28">_xlfn.XLOOKUP(WHW$11,Assumptions!$B$35:$H$35,_xlfn.XLOOKUP($C28,Assumptions!$B$36:$B$41,Assumptions!$B$36:$H$41))</f>
        <v>0</v>
      </c>
      <c r="WHX28">
        <f t="array" ref="WHX28">_xlfn.XLOOKUP(WHX$11,Assumptions!$B$35:$H$35,_xlfn.XLOOKUP($C28,Assumptions!$B$36:$B$41,Assumptions!$B$36:$H$41))</f>
        <v>0</v>
      </c>
      <c r="WHY28">
        <f t="array" ref="WHY28">_xlfn.XLOOKUP(WHY$11,Assumptions!$B$35:$H$35,_xlfn.XLOOKUP($C28,Assumptions!$B$36:$B$41,Assumptions!$B$36:$H$41))</f>
        <v>0</v>
      </c>
      <c r="WHZ28">
        <f t="array" ref="WHZ28">_xlfn.XLOOKUP(WHZ$11,Assumptions!$B$35:$H$35,_xlfn.XLOOKUP($C28,Assumptions!$B$36:$B$41,Assumptions!$B$36:$H$41))</f>
        <v>0</v>
      </c>
      <c r="WIA28">
        <f t="array" ref="WIA28">_xlfn.XLOOKUP(WIA$11,Assumptions!$B$35:$H$35,_xlfn.XLOOKUP($C28,Assumptions!$B$36:$B$41,Assumptions!$B$36:$H$41))</f>
        <v>0</v>
      </c>
      <c r="WIB28">
        <f t="array" ref="WIB28">_xlfn.XLOOKUP(WIB$11,Assumptions!$B$35:$H$35,_xlfn.XLOOKUP($C28,Assumptions!$B$36:$B$41,Assumptions!$B$36:$H$41))</f>
        <v>0</v>
      </c>
      <c r="WIC28">
        <f t="array" ref="WIC28">_xlfn.XLOOKUP(WIC$11,Assumptions!$B$35:$H$35,_xlfn.XLOOKUP($C28,Assumptions!$B$36:$B$41,Assumptions!$B$36:$H$41))</f>
        <v>0</v>
      </c>
      <c r="WID28">
        <f t="array" ref="WID28">_xlfn.XLOOKUP(WID$11,Assumptions!$B$35:$H$35,_xlfn.XLOOKUP($C28,Assumptions!$B$36:$B$41,Assumptions!$B$36:$H$41))</f>
        <v>0</v>
      </c>
      <c r="WIE28">
        <f t="array" ref="WIE28">_xlfn.XLOOKUP(WIE$11,Assumptions!$B$35:$H$35,_xlfn.XLOOKUP($C28,Assumptions!$B$36:$B$41,Assumptions!$B$36:$H$41))</f>
        <v>0</v>
      </c>
      <c r="WIF28">
        <f t="array" ref="WIF28">_xlfn.XLOOKUP(WIF$11,Assumptions!$B$35:$H$35,_xlfn.XLOOKUP($C28,Assumptions!$B$36:$B$41,Assumptions!$B$36:$H$41))</f>
        <v>0</v>
      </c>
      <c r="WIG28">
        <f t="array" ref="WIG28">_xlfn.XLOOKUP(WIG$11,Assumptions!$B$35:$H$35,_xlfn.XLOOKUP($C28,Assumptions!$B$36:$B$41,Assumptions!$B$36:$H$41))</f>
        <v>0</v>
      </c>
      <c r="WIH28">
        <f t="array" ref="WIH28">_xlfn.XLOOKUP(WIH$11,Assumptions!$B$35:$H$35,_xlfn.XLOOKUP($C28,Assumptions!$B$36:$B$41,Assumptions!$B$36:$H$41))</f>
        <v>0</v>
      </c>
      <c r="WII28">
        <f t="array" ref="WII28">_xlfn.XLOOKUP(WII$11,Assumptions!$B$35:$H$35,_xlfn.XLOOKUP($C28,Assumptions!$B$36:$B$41,Assumptions!$B$36:$H$41))</f>
        <v>0</v>
      </c>
      <c r="WIJ28">
        <f t="array" ref="WIJ28">_xlfn.XLOOKUP(WIJ$11,Assumptions!$B$35:$H$35,_xlfn.XLOOKUP($C28,Assumptions!$B$36:$B$41,Assumptions!$B$36:$H$41))</f>
        <v>0</v>
      </c>
      <c r="WIK28">
        <f t="array" ref="WIK28">_xlfn.XLOOKUP(WIK$11,Assumptions!$B$35:$H$35,_xlfn.XLOOKUP($C28,Assumptions!$B$36:$B$41,Assumptions!$B$36:$H$41))</f>
        <v>0</v>
      </c>
      <c r="WIL28">
        <f t="array" ref="WIL28">_xlfn.XLOOKUP(WIL$11,Assumptions!$B$35:$H$35,_xlfn.XLOOKUP($C28,Assumptions!$B$36:$B$41,Assumptions!$B$36:$H$41))</f>
        <v>0</v>
      </c>
      <c r="WIM28">
        <f t="array" ref="WIM28">_xlfn.XLOOKUP(WIM$11,Assumptions!$B$35:$H$35,_xlfn.XLOOKUP($C28,Assumptions!$B$36:$B$41,Assumptions!$B$36:$H$41))</f>
        <v>0</v>
      </c>
      <c r="WIN28">
        <f t="array" ref="WIN28">_xlfn.XLOOKUP(WIN$11,Assumptions!$B$35:$H$35,_xlfn.XLOOKUP($C28,Assumptions!$B$36:$B$41,Assumptions!$B$36:$H$41))</f>
        <v>0</v>
      </c>
      <c r="WIO28">
        <f t="array" ref="WIO28">_xlfn.XLOOKUP(WIO$11,Assumptions!$B$35:$H$35,_xlfn.XLOOKUP($C28,Assumptions!$B$36:$B$41,Assumptions!$B$36:$H$41))</f>
        <v>0</v>
      </c>
      <c r="WIP28">
        <f t="array" ref="WIP28">_xlfn.XLOOKUP(WIP$11,Assumptions!$B$35:$H$35,_xlfn.XLOOKUP($C28,Assumptions!$B$36:$B$41,Assumptions!$B$36:$H$41))</f>
        <v>0</v>
      </c>
      <c r="WIQ28">
        <f t="array" ref="WIQ28">_xlfn.XLOOKUP(WIQ$11,Assumptions!$B$35:$H$35,_xlfn.XLOOKUP($C28,Assumptions!$B$36:$B$41,Assumptions!$B$36:$H$41))</f>
        <v>0</v>
      </c>
      <c r="WIR28">
        <f t="array" ref="WIR28">_xlfn.XLOOKUP(WIR$11,Assumptions!$B$35:$H$35,_xlfn.XLOOKUP($C28,Assumptions!$B$36:$B$41,Assumptions!$B$36:$H$41))</f>
        <v>0</v>
      </c>
      <c r="WIS28">
        <f t="array" ref="WIS28">_xlfn.XLOOKUP(WIS$11,Assumptions!$B$35:$H$35,_xlfn.XLOOKUP($C28,Assumptions!$B$36:$B$41,Assumptions!$B$36:$H$41))</f>
        <v>0</v>
      </c>
      <c r="WIT28">
        <f t="array" ref="WIT28">_xlfn.XLOOKUP(WIT$11,Assumptions!$B$35:$H$35,_xlfn.XLOOKUP($C28,Assumptions!$B$36:$B$41,Assumptions!$B$36:$H$41))</f>
        <v>0</v>
      </c>
      <c r="WIU28">
        <f t="array" ref="WIU28">_xlfn.XLOOKUP(WIU$11,Assumptions!$B$35:$H$35,_xlfn.XLOOKUP($C28,Assumptions!$B$36:$B$41,Assumptions!$B$36:$H$41))</f>
        <v>0</v>
      </c>
      <c r="WIV28">
        <f t="array" ref="WIV28">_xlfn.XLOOKUP(WIV$11,Assumptions!$B$35:$H$35,_xlfn.XLOOKUP($C28,Assumptions!$B$36:$B$41,Assumptions!$B$36:$H$41))</f>
        <v>0</v>
      </c>
      <c r="WIW28">
        <f t="array" ref="WIW28">_xlfn.XLOOKUP(WIW$11,Assumptions!$B$35:$H$35,_xlfn.XLOOKUP($C28,Assumptions!$B$36:$B$41,Assumptions!$B$36:$H$41))</f>
        <v>0</v>
      </c>
      <c r="WIX28">
        <f t="array" ref="WIX28">_xlfn.XLOOKUP(WIX$11,Assumptions!$B$35:$H$35,_xlfn.XLOOKUP($C28,Assumptions!$B$36:$B$41,Assumptions!$B$36:$H$41))</f>
        <v>0</v>
      </c>
      <c r="WIY28">
        <f t="array" ref="WIY28">_xlfn.XLOOKUP(WIY$11,Assumptions!$B$35:$H$35,_xlfn.XLOOKUP($C28,Assumptions!$B$36:$B$41,Assumptions!$B$36:$H$41))</f>
        <v>0</v>
      </c>
      <c r="WIZ28">
        <f t="array" ref="WIZ28">_xlfn.XLOOKUP(WIZ$11,Assumptions!$B$35:$H$35,_xlfn.XLOOKUP($C28,Assumptions!$B$36:$B$41,Assumptions!$B$36:$H$41))</f>
        <v>0</v>
      </c>
      <c r="WJA28">
        <f t="array" ref="WJA28">_xlfn.XLOOKUP(WJA$11,Assumptions!$B$35:$H$35,_xlfn.XLOOKUP($C28,Assumptions!$B$36:$B$41,Assumptions!$B$36:$H$41))</f>
        <v>0</v>
      </c>
      <c r="WJB28">
        <f t="array" ref="WJB28">_xlfn.XLOOKUP(WJB$11,Assumptions!$B$35:$H$35,_xlfn.XLOOKUP($C28,Assumptions!$B$36:$B$41,Assumptions!$B$36:$H$41))</f>
        <v>0</v>
      </c>
      <c r="WJC28">
        <f t="array" ref="WJC28">_xlfn.XLOOKUP(WJC$11,Assumptions!$B$35:$H$35,_xlfn.XLOOKUP($C28,Assumptions!$B$36:$B$41,Assumptions!$B$36:$H$41))</f>
        <v>0</v>
      </c>
      <c r="WJD28">
        <f t="array" ref="WJD28">_xlfn.XLOOKUP(WJD$11,Assumptions!$B$35:$H$35,_xlfn.XLOOKUP($C28,Assumptions!$B$36:$B$41,Assumptions!$B$36:$H$41))</f>
        <v>0</v>
      </c>
      <c r="WJE28">
        <f t="array" ref="WJE28">_xlfn.XLOOKUP(WJE$11,Assumptions!$B$35:$H$35,_xlfn.XLOOKUP($C28,Assumptions!$B$36:$B$41,Assumptions!$B$36:$H$41))</f>
        <v>0</v>
      </c>
      <c r="WJF28">
        <f t="array" ref="WJF28">_xlfn.XLOOKUP(WJF$11,Assumptions!$B$35:$H$35,_xlfn.XLOOKUP($C28,Assumptions!$B$36:$B$41,Assumptions!$B$36:$H$41))</f>
        <v>0</v>
      </c>
      <c r="WJG28">
        <f t="array" ref="WJG28">_xlfn.XLOOKUP(WJG$11,Assumptions!$B$35:$H$35,_xlfn.XLOOKUP($C28,Assumptions!$B$36:$B$41,Assumptions!$B$36:$H$41))</f>
        <v>0</v>
      </c>
      <c r="WJH28">
        <f t="array" ref="WJH28">_xlfn.XLOOKUP(WJH$11,Assumptions!$B$35:$H$35,_xlfn.XLOOKUP($C28,Assumptions!$B$36:$B$41,Assumptions!$B$36:$H$41))</f>
        <v>0</v>
      </c>
      <c r="WJI28">
        <f t="array" ref="WJI28">_xlfn.XLOOKUP(WJI$11,Assumptions!$B$35:$H$35,_xlfn.XLOOKUP($C28,Assumptions!$B$36:$B$41,Assumptions!$B$36:$H$41))</f>
        <v>0</v>
      </c>
      <c r="WJJ28">
        <f t="array" ref="WJJ28">_xlfn.XLOOKUP(WJJ$11,Assumptions!$B$35:$H$35,_xlfn.XLOOKUP($C28,Assumptions!$B$36:$B$41,Assumptions!$B$36:$H$41))</f>
        <v>0</v>
      </c>
      <c r="WJK28">
        <f t="array" ref="WJK28">_xlfn.XLOOKUP(WJK$11,Assumptions!$B$35:$H$35,_xlfn.XLOOKUP($C28,Assumptions!$B$36:$B$41,Assumptions!$B$36:$H$41))</f>
        <v>0</v>
      </c>
      <c r="WJL28">
        <f t="array" ref="WJL28">_xlfn.XLOOKUP(WJL$11,Assumptions!$B$35:$H$35,_xlfn.XLOOKUP($C28,Assumptions!$B$36:$B$41,Assumptions!$B$36:$H$41))</f>
        <v>0</v>
      </c>
      <c r="WJM28">
        <f t="array" ref="WJM28">_xlfn.XLOOKUP(WJM$11,Assumptions!$B$35:$H$35,_xlfn.XLOOKUP($C28,Assumptions!$B$36:$B$41,Assumptions!$B$36:$H$41))</f>
        <v>0</v>
      </c>
      <c r="WJN28">
        <f t="array" ref="WJN28">_xlfn.XLOOKUP(WJN$11,Assumptions!$B$35:$H$35,_xlfn.XLOOKUP($C28,Assumptions!$B$36:$B$41,Assumptions!$B$36:$H$41))</f>
        <v>0</v>
      </c>
      <c r="WJO28">
        <f t="array" ref="WJO28">_xlfn.XLOOKUP(WJO$11,Assumptions!$B$35:$H$35,_xlfn.XLOOKUP($C28,Assumptions!$B$36:$B$41,Assumptions!$B$36:$H$41))</f>
        <v>0</v>
      </c>
      <c r="WJP28">
        <f t="array" ref="WJP28">_xlfn.XLOOKUP(WJP$11,Assumptions!$B$35:$H$35,_xlfn.XLOOKUP($C28,Assumptions!$B$36:$B$41,Assumptions!$B$36:$H$41))</f>
        <v>0</v>
      </c>
      <c r="WJQ28">
        <f t="array" ref="WJQ28">_xlfn.XLOOKUP(WJQ$11,Assumptions!$B$35:$H$35,_xlfn.XLOOKUP($C28,Assumptions!$B$36:$B$41,Assumptions!$B$36:$H$41))</f>
        <v>0</v>
      </c>
      <c r="WJR28">
        <f t="array" ref="WJR28">_xlfn.XLOOKUP(WJR$11,Assumptions!$B$35:$H$35,_xlfn.XLOOKUP($C28,Assumptions!$B$36:$B$41,Assumptions!$B$36:$H$41))</f>
        <v>0</v>
      </c>
      <c r="WJS28">
        <f t="array" ref="WJS28">_xlfn.XLOOKUP(WJS$11,Assumptions!$B$35:$H$35,_xlfn.XLOOKUP($C28,Assumptions!$B$36:$B$41,Assumptions!$B$36:$H$41))</f>
        <v>0</v>
      </c>
      <c r="WJT28">
        <f t="array" ref="WJT28">_xlfn.XLOOKUP(WJT$11,Assumptions!$B$35:$H$35,_xlfn.XLOOKUP($C28,Assumptions!$B$36:$B$41,Assumptions!$B$36:$H$41))</f>
        <v>0</v>
      </c>
      <c r="WJU28">
        <f t="array" ref="WJU28">_xlfn.XLOOKUP(WJU$11,Assumptions!$B$35:$H$35,_xlfn.XLOOKUP($C28,Assumptions!$B$36:$B$41,Assumptions!$B$36:$H$41))</f>
        <v>0</v>
      </c>
      <c r="WJV28">
        <f t="array" ref="WJV28">_xlfn.XLOOKUP(WJV$11,Assumptions!$B$35:$H$35,_xlfn.XLOOKUP($C28,Assumptions!$B$36:$B$41,Assumptions!$B$36:$H$41))</f>
        <v>0</v>
      </c>
      <c r="WJW28">
        <f t="array" ref="WJW28">_xlfn.XLOOKUP(WJW$11,Assumptions!$B$35:$H$35,_xlfn.XLOOKUP($C28,Assumptions!$B$36:$B$41,Assumptions!$B$36:$H$41))</f>
        <v>0</v>
      </c>
      <c r="WJX28">
        <f t="array" ref="WJX28">_xlfn.XLOOKUP(WJX$11,Assumptions!$B$35:$H$35,_xlfn.XLOOKUP($C28,Assumptions!$B$36:$B$41,Assumptions!$B$36:$H$41))</f>
        <v>0</v>
      </c>
      <c r="WJY28">
        <f t="array" ref="WJY28">_xlfn.XLOOKUP(WJY$11,Assumptions!$B$35:$H$35,_xlfn.XLOOKUP($C28,Assumptions!$B$36:$B$41,Assumptions!$B$36:$H$41))</f>
        <v>0</v>
      </c>
      <c r="WJZ28">
        <f t="array" ref="WJZ28">_xlfn.XLOOKUP(WJZ$11,Assumptions!$B$35:$H$35,_xlfn.XLOOKUP($C28,Assumptions!$B$36:$B$41,Assumptions!$B$36:$H$41))</f>
        <v>0</v>
      </c>
      <c r="WKA28">
        <f t="array" ref="WKA28">_xlfn.XLOOKUP(WKA$11,Assumptions!$B$35:$H$35,_xlfn.XLOOKUP($C28,Assumptions!$B$36:$B$41,Assumptions!$B$36:$H$41))</f>
        <v>0</v>
      </c>
      <c r="WKB28">
        <f t="array" ref="WKB28">_xlfn.XLOOKUP(WKB$11,Assumptions!$B$35:$H$35,_xlfn.XLOOKUP($C28,Assumptions!$B$36:$B$41,Assumptions!$B$36:$H$41))</f>
        <v>0</v>
      </c>
      <c r="WKC28">
        <f t="array" ref="WKC28">_xlfn.XLOOKUP(WKC$11,Assumptions!$B$35:$H$35,_xlfn.XLOOKUP($C28,Assumptions!$B$36:$B$41,Assumptions!$B$36:$H$41))</f>
        <v>0</v>
      </c>
      <c r="WKD28">
        <f t="array" ref="WKD28">_xlfn.XLOOKUP(WKD$11,Assumptions!$B$35:$H$35,_xlfn.XLOOKUP($C28,Assumptions!$B$36:$B$41,Assumptions!$B$36:$H$41))</f>
        <v>0</v>
      </c>
      <c r="WKE28">
        <f t="array" ref="WKE28">_xlfn.XLOOKUP(WKE$11,Assumptions!$B$35:$H$35,_xlfn.XLOOKUP($C28,Assumptions!$B$36:$B$41,Assumptions!$B$36:$H$41))</f>
        <v>0</v>
      </c>
      <c r="WKF28">
        <f t="array" ref="WKF28">_xlfn.XLOOKUP(WKF$11,Assumptions!$B$35:$H$35,_xlfn.XLOOKUP($C28,Assumptions!$B$36:$B$41,Assumptions!$B$36:$H$41))</f>
        <v>0</v>
      </c>
      <c r="WKG28">
        <f t="array" ref="WKG28">_xlfn.XLOOKUP(WKG$11,Assumptions!$B$35:$H$35,_xlfn.XLOOKUP($C28,Assumptions!$B$36:$B$41,Assumptions!$B$36:$H$41))</f>
        <v>0</v>
      </c>
      <c r="WKH28">
        <f t="array" ref="WKH28">_xlfn.XLOOKUP(WKH$11,Assumptions!$B$35:$H$35,_xlfn.XLOOKUP($C28,Assumptions!$B$36:$B$41,Assumptions!$B$36:$H$41))</f>
        <v>0</v>
      </c>
      <c r="WKI28">
        <f t="array" ref="WKI28">_xlfn.XLOOKUP(WKI$11,Assumptions!$B$35:$H$35,_xlfn.XLOOKUP($C28,Assumptions!$B$36:$B$41,Assumptions!$B$36:$H$41))</f>
        <v>0</v>
      </c>
      <c r="WKJ28">
        <f t="array" ref="WKJ28">_xlfn.XLOOKUP(WKJ$11,Assumptions!$B$35:$H$35,_xlfn.XLOOKUP($C28,Assumptions!$B$36:$B$41,Assumptions!$B$36:$H$41))</f>
        <v>0</v>
      </c>
      <c r="WKK28">
        <f t="array" ref="WKK28">_xlfn.XLOOKUP(WKK$11,Assumptions!$B$35:$H$35,_xlfn.XLOOKUP($C28,Assumptions!$B$36:$B$41,Assumptions!$B$36:$H$41))</f>
        <v>0</v>
      </c>
      <c r="WKL28">
        <f t="array" ref="WKL28">_xlfn.XLOOKUP(WKL$11,Assumptions!$B$35:$H$35,_xlfn.XLOOKUP($C28,Assumptions!$B$36:$B$41,Assumptions!$B$36:$H$41))</f>
        <v>0</v>
      </c>
      <c r="WKM28">
        <f t="array" ref="WKM28">_xlfn.XLOOKUP(WKM$11,Assumptions!$B$35:$H$35,_xlfn.XLOOKUP($C28,Assumptions!$B$36:$B$41,Assumptions!$B$36:$H$41))</f>
        <v>0</v>
      </c>
      <c r="WKN28">
        <f t="array" ref="WKN28">_xlfn.XLOOKUP(WKN$11,Assumptions!$B$35:$H$35,_xlfn.XLOOKUP($C28,Assumptions!$B$36:$B$41,Assumptions!$B$36:$H$41))</f>
        <v>0</v>
      </c>
      <c r="WKO28">
        <f t="array" ref="WKO28">_xlfn.XLOOKUP(WKO$11,Assumptions!$B$35:$H$35,_xlfn.XLOOKUP($C28,Assumptions!$B$36:$B$41,Assumptions!$B$36:$H$41))</f>
        <v>0</v>
      </c>
      <c r="WKP28">
        <f t="array" ref="WKP28">_xlfn.XLOOKUP(WKP$11,Assumptions!$B$35:$H$35,_xlfn.XLOOKUP($C28,Assumptions!$B$36:$B$41,Assumptions!$B$36:$H$41))</f>
        <v>0</v>
      </c>
      <c r="WKQ28">
        <f t="array" ref="WKQ28">_xlfn.XLOOKUP(WKQ$11,Assumptions!$B$35:$H$35,_xlfn.XLOOKUP($C28,Assumptions!$B$36:$B$41,Assumptions!$B$36:$H$41))</f>
        <v>0</v>
      </c>
      <c r="WKR28">
        <f t="array" ref="WKR28">_xlfn.XLOOKUP(WKR$11,Assumptions!$B$35:$H$35,_xlfn.XLOOKUP($C28,Assumptions!$B$36:$B$41,Assumptions!$B$36:$H$41))</f>
        <v>0</v>
      </c>
      <c r="WKS28">
        <f t="array" ref="WKS28">_xlfn.XLOOKUP(WKS$11,Assumptions!$B$35:$H$35,_xlfn.XLOOKUP($C28,Assumptions!$B$36:$B$41,Assumptions!$B$36:$H$41))</f>
        <v>0</v>
      </c>
      <c r="WKT28">
        <f t="array" ref="WKT28">_xlfn.XLOOKUP(WKT$11,Assumptions!$B$35:$H$35,_xlfn.XLOOKUP($C28,Assumptions!$B$36:$B$41,Assumptions!$B$36:$H$41))</f>
        <v>0</v>
      </c>
      <c r="WKU28">
        <f t="array" ref="WKU28">_xlfn.XLOOKUP(WKU$11,Assumptions!$B$35:$H$35,_xlfn.XLOOKUP($C28,Assumptions!$B$36:$B$41,Assumptions!$B$36:$H$41))</f>
        <v>0</v>
      </c>
      <c r="WKV28">
        <f t="array" ref="WKV28">_xlfn.XLOOKUP(WKV$11,Assumptions!$B$35:$H$35,_xlfn.XLOOKUP($C28,Assumptions!$B$36:$B$41,Assumptions!$B$36:$H$41))</f>
        <v>0</v>
      </c>
      <c r="WKW28">
        <f t="array" ref="WKW28">_xlfn.XLOOKUP(WKW$11,Assumptions!$B$35:$H$35,_xlfn.XLOOKUP($C28,Assumptions!$B$36:$B$41,Assumptions!$B$36:$H$41))</f>
        <v>0</v>
      </c>
      <c r="WKX28">
        <f t="array" ref="WKX28">_xlfn.XLOOKUP(WKX$11,Assumptions!$B$35:$H$35,_xlfn.XLOOKUP($C28,Assumptions!$B$36:$B$41,Assumptions!$B$36:$H$41))</f>
        <v>0</v>
      </c>
      <c r="WKY28">
        <f t="array" ref="WKY28">_xlfn.XLOOKUP(WKY$11,Assumptions!$B$35:$H$35,_xlfn.XLOOKUP($C28,Assumptions!$B$36:$B$41,Assumptions!$B$36:$H$41))</f>
        <v>0</v>
      </c>
      <c r="WKZ28">
        <f t="array" ref="WKZ28">_xlfn.XLOOKUP(WKZ$11,Assumptions!$B$35:$H$35,_xlfn.XLOOKUP($C28,Assumptions!$B$36:$B$41,Assumptions!$B$36:$H$41))</f>
        <v>0</v>
      </c>
      <c r="WLA28">
        <f t="array" ref="WLA28">_xlfn.XLOOKUP(WLA$11,Assumptions!$B$35:$H$35,_xlfn.XLOOKUP($C28,Assumptions!$B$36:$B$41,Assumptions!$B$36:$H$41))</f>
        <v>0</v>
      </c>
      <c r="WLB28">
        <f t="array" ref="WLB28">_xlfn.XLOOKUP(WLB$11,Assumptions!$B$35:$H$35,_xlfn.XLOOKUP($C28,Assumptions!$B$36:$B$41,Assumptions!$B$36:$H$41))</f>
        <v>0</v>
      </c>
      <c r="WLC28">
        <f t="array" ref="WLC28">_xlfn.XLOOKUP(WLC$11,Assumptions!$B$35:$H$35,_xlfn.XLOOKUP($C28,Assumptions!$B$36:$B$41,Assumptions!$B$36:$H$41))</f>
        <v>0</v>
      </c>
      <c r="WLD28">
        <f t="array" ref="WLD28">_xlfn.XLOOKUP(WLD$11,Assumptions!$B$35:$H$35,_xlfn.XLOOKUP($C28,Assumptions!$B$36:$B$41,Assumptions!$B$36:$H$41))</f>
        <v>0</v>
      </c>
      <c r="WLE28">
        <f t="array" ref="WLE28">_xlfn.XLOOKUP(WLE$11,Assumptions!$B$35:$H$35,_xlfn.XLOOKUP($C28,Assumptions!$B$36:$B$41,Assumptions!$B$36:$H$41))</f>
        <v>0</v>
      </c>
      <c r="WLF28">
        <f t="array" ref="WLF28">_xlfn.XLOOKUP(WLF$11,Assumptions!$B$35:$H$35,_xlfn.XLOOKUP($C28,Assumptions!$B$36:$B$41,Assumptions!$B$36:$H$41))</f>
        <v>0</v>
      </c>
      <c r="WLG28">
        <f t="array" ref="WLG28">_xlfn.XLOOKUP(WLG$11,Assumptions!$B$35:$H$35,_xlfn.XLOOKUP($C28,Assumptions!$B$36:$B$41,Assumptions!$B$36:$H$41))</f>
        <v>0</v>
      </c>
      <c r="WLH28">
        <f t="array" ref="WLH28">_xlfn.XLOOKUP(WLH$11,Assumptions!$B$35:$H$35,_xlfn.XLOOKUP($C28,Assumptions!$B$36:$B$41,Assumptions!$B$36:$H$41))</f>
        <v>0</v>
      </c>
      <c r="WLI28">
        <f t="array" ref="WLI28">_xlfn.XLOOKUP(WLI$11,Assumptions!$B$35:$H$35,_xlfn.XLOOKUP($C28,Assumptions!$B$36:$B$41,Assumptions!$B$36:$H$41))</f>
        <v>0</v>
      </c>
      <c r="WLJ28">
        <f t="array" ref="WLJ28">_xlfn.XLOOKUP(WLJ$11,Assumptions!$B$35:$H$35,_xlfn.XLOOKUP($C28,Assumptions!$B$36:$B$41,Assumptions!$B$36:$H$41))</f>
        <v>0</v>
      </c>
      <c r="WLK28">
        <f t="array" ref="WLK28">_xlfn.XLOOKUP(WLK$11,Assumptions!$B$35:$H$35,_xlfn.XLOOKUP($C28,Assumptions!$B$36:$B$41,Assumptions!$B$36:$H$41))</f>
        <v>0</v>
      </c>
      <c r="WLL28">
        <f t="array" ref="WLL28">_xlfn.XLOOKUP(WLL$11,Assumptions!$B$35:$H$35,_xlfn.XLOOKUP($C28,Assumptions!$B$36:$B$41,Assumptions!$B$36:$H$41))</f>
        <v>0</v>
      </c>
      <c r="WLM28">
        <f t="array" ref="WLM28">_xlfn.XLOOKUP(WLM$11,Assumptions!$B$35:$H$35,_xlfn.XLOOKUP($C28,Assumptions!$B$36:$B$41,Assumptions!$B$36:$H$41))</f>
        <v>0</v>
      </c>
      <c r="WLN28">
        <f t="array" ref="WLN28">_xlfn.XLOOKUP(WLN$11,Assumptions!$B$35:$H$35,_xlfn.XLOOKUP($C28,Assumptions!$B$36:$B$41,Assumptions!$B$36:$H$41))</f>
        <v>0</v>
      </c>
      <c r="WLO28">
        <f t="array" ref="WLO28">_xlfn.XLOOKUP(WLO$11,Assumptions!$B$35:$H$35,_xlfn.XLOOKUP($C28,Assumptions!$B$36:$B$41,Assumptions!$B$36:$H$41))</f>
        <v>0</v>
      </c>
      <c r="WLP28">
        <f t="array" ref="WLP28">_xlfn.XLOOKUP(WLP$11,Assumptions!$B$35:$H$35,_xlfn.XLOOKUP($C28,Assumptions!$B$36:$B$41,Assumptions!$B$36:$H$41))</f>
        <v>0</v>
      </c>
      <c r="WLQ28">
        <f t="array" ref="WLQ28">_xlfn.XLOOKUP(WLQ$11,Assumptions!$B$35:$H$35,_xlfn.XLOOKUP($C28,Assumptions!$B$36:$B$41,Assumptions!$B$36:$H$41))</f>
        <v>0</v>
      </c>
      <c r="WLR28">
        <f t="array" ref="WLR28">_xlfn.XLOOKUP(WLR$11,Assumptions!$B$35:$H$35,_xlfn.XLOOKUP($C28,Assumptions!$B$36:$B$41,Assumptions!$B$36:$H$41))</f>
        <v>0</v>
      </c>
      <c r="WLS28">
        <f t="array" ref="WLS28">_xlfn.XLOOKUP(WLS$11,Assumptions!$B$35:$H$35,_xlfn.XLOOKUP($C28,Assumptions!$B$36:$B$41,Assumptions!$B$36:$H$41))</f>
        <v>0</v>
      </c>
      <c r="WLT28">
        <f t="array" ref="WLT28">_xlfn.XLOOKUP(WLT$11,Assumptions!$B$35:$H$35,_xlfn.XLOOKUP($C28,Assumptions!$B$36:$B$41,Assumptions!$B$36:$H$41))</f>
        <v>0</v>
      </c>
      <c r="WLU28">
        <f t="array" ref="WLU28">_xlfn.XLOOKUP(WLU$11,Assumptions!$B$35:$H$35,_xlfn.XLOOKUP($C28,Assumptions!$B$36:$B$41,Assumptions!$B$36:$H$41))</f>
        <v>0</v>
      </c>
      <c r="WLV28">
        <f t="array" ref="WLV28">_xlfn.XLOOKUP(WLV$11,Assumptions!$B$35:$H$35,_xlfn.XLOOKUP($C28,Assumptions!$B$36:$B$41,Assumptions!$B$36:$H$41))</f>
        <v>0</v>
      </c>
      <c r="WLW28">
        <f t="array" ref="WLW28">_xlfn.XLOOKUP(WLW$11,Assumptions!$B$35:$H$35,_xlfn.XLOOKUP($C28,Assumptions!$B$36:$B$41,Assumptions!$B$36:$H$41))</f>
        <v>0</v>
      </c>
      <c r="WLX28">
        <f t="array" ref="WLX28">_xlfn.XLOOKUP(WLX$11,Assumptions!$B$35:$H$35,_xlfn.XLOOKUP($C28,Assumptions!$B$36:$B$41,Assumptions!$B$36:$H$41))</f>
        <v>0</v>
      </c>
      <c r="WLY28">
        <f t="array" ref="WLY28">_xlfn.XLOOKUP(WLY$11,Assumptions!$B$35:$H$35,_xlfn.XLOOKUP($C28,Assumptions!$B$36:$B$41,Assumptions!$B$36:$H$41))</f>
        <v>0</v>
      </c>
      <c r="WLZ28">
        <f t="array" ref="WLZ28">_xlfn.XLOOKUP(WLZ$11,Assumptions!$B$35:$H$35,_xlfn.XLOOKUP($C28,Assumptions!$B$36:$B$41,Assumptions!$B$36:$H$41))</f>
        <v>0</v>
      </c>
      <c r="WMA28">
        <f t="array" ref="WMA28">_xlfn.XLOOKUP(WMA$11,Assumptions!$B$35:$H$35,_xlfn.XLOOKUP($C28,Assumptions!$B$36:$B$41,Assumptions!$B$36:$H$41))</f>
        <v>0</v>
      </c>
      <c r="WMB28">
        <f t="array" ref="WMB28">_xlfn.XLOOKUP(WMB$11,Assumptions!$B$35:$H$35,_xlfn.XLOOKUP($C28,Assumptions!$B$36:$B$41,Assumptions!$B$36:$H$41))</f>
        <v>0</v>
      </c>
      <c r="WMC28">
        <f t="array" ref="WMC28">_xlfn.XLOOKUP(WMC$11,Assumptions!$B$35:$H$35,_xlfn.XLOOKUP($C28,Assumptions!$B$36:$B$41,Assumptions!$B$36:$H$41))</f>
        <v>0</v>
      </c>
      <c r="WMD28">
        <f t="array" ref="WMD28">_xlfn.XLOOKUP(WMD$11,Assumptions!$B$35:$H$35,_xlfn.XLOOKUP($C28,Assumptions!$B$36:$B$41,Assumptions!$B$36:$H$41))</f>
        <v>0</v>
      </c>
      <c r="WME28">
        <f t="array" ref="WME28">_xlfn.XLOOKUP(WME$11,Assumptions!$B$35:$H$35,_xlfn.XLOOKUP($C28,Assumptions!$B$36:$B$41,Assumptions!$B$36:$H$41))</f>
        <v>0</v>
      </c>
      <c r="WMF28">
        <f t="array" ref="WMF28">_xlfn.XLOOKUP(WMF$11,Assumptions!$B$35:$H$35,_xlfn.XLOOKUP($C28,Assumptions!$B$36:$B$41,Assumptions!$B$36:$H$41))</f>
        <v>0</v>
      </c>
      <c r="WMG28">
        <f t="array" ref="WMG28">_xlfn.XLOOKUP(WMG$11,Assumptions!$B$35:$H$35,_xlfn.XLOOKUP($C28,Assumptions!$B$36:$B$41,Assumptions!$B$36:$H$41))</f>
        <v>0</v>
      </c>
      <c r="WMH28">
        <f t="array" ref="WMH28">_xlfn.XLOOKUP(WMH$11,Assumptions!$B$35:$H$35,_xlfn.XLOOKUP($C28,Assumptions!$B$36:$B$41,Assumptions!$B$36:$H$41))</f>
        <v>0</v>
      </c>
      <c r="WMI28">
        <f t="array" ref="WMI28">_xlfn.XLOOKUP(WMI$11,Assumptions!$B$35:$H$35,_xlfn.XLOOKUP($C28,Assumptions!$B$36:$B$41,Assumptions!$B$36:$H$41))</f>
        <v>0</v>
      </c>
      <c r="WMJ28">
        <f t="array" ref="WMJ28">_xlfn.XLOOKUP(WMJ$11,Assumptions!$B$35:$H$35,_xlfn.XLOOKUP($C28,Assumptions!$B$36:$B$41,Assumptions!$B$36:$H$41))</f>
        <v>0</v>
      </c>
      <c r="WMK28">
        <f t="array" ref="WMK28">_xlfn.XLOOKUP(WMK$11,Assumptions!$B$35:$H$35,_xlfn.XLOOKUP($C28,Assumptions!$B$36:$B$41,Assumptions!$B$36:$H$41))</f>
        <v>0</v>
      </c>
      <c r="WML28">
        <f t="array" ref="WML28">_xlfn.XLOOKUP(WML$11,Assumptions!$B$35:$H$35,_xlfn.XLOOKUP($C28,Assumptions!$B$36:$B$41,Assumptions!$B$36:$H$41))</f>
        <v>0</v>
      </c>
      <c r="WMM28">
        <f t="array" ref="WMM28">_xlfn.XLOOKUP(WMM$11,Assumptions!$B$35:$H$35,_xlfn.XLOOKUP($C28,Assumptions!$B$36:$B$41,Assumptions!$B$36:$H$41))</f>
        <v>0</v>
      </c>
      <c r="WMN28">
        <f t="array" ref="WMN28">_xlfn.XLOOKUP(WMN$11,Assumptions!$B$35:$H$35,_xlfn.XLOOKUP($C28,Assumptions!$B$36:$B$41,Assumptions!$B$36:$H$41))</f>
        <v>0</v>
      </c>
      <c r="WMO28">
        <f t="array" ref="WMO28">_xlfn.XLOOKUP(WMO$11,Assumptions!$B$35:$H$35,_xlfn.XLOOKUP($C28,Assumptions!$B$36:$B$41,Assumptions!$B$36:$H$41))</f>
        <v>0</v>
      </c>
      <c r="WMP28">
        <f t="array" ref="WMP28">_xlfn.XLOOKUP(WMP$11,Assumptions!$B$35:$H$35,_xlfn.XLOOKUP($C28,Assumptions!$B$36:$B$41,Assumptions!$B$36:$H$41))</f>
        <v>0</v>
      </c>
      <c r="WMQ28">
        <f t="array" ref="WMQ28">_xlfn.XLOOKUP(WMQ$11,Assumptions!$B$35:$H$35,_xlfn.XLOOKUP($C28,Assumptions!$B$36:$B$41,Assumptions!$B$36:$H$41))</f>
        <v>0</v>
      </c>
      <c r="WMR28">
        <f t="array" ref="WMR28">_xlfn.XLOOKUP(WMR$11,Assumptions!$B$35:$H$35,_xlfn.XLOOKUP($C28,Assumptions!$B$36:$B$41,Assumptions!$B$36:$H$41))</f>
        <v>0</v>
      </c>
      <c r="WMS28">
        <f t="array" ref="WMS28">_xlfn.XLOOKUP(WMS$11,Assumptions!$B$35:$H$35,_xlfn.XLOOKUP($C28,Assumptions!$B$36:$B$41,Assumptions!$B$36:$H$41))</f>
        <v>0</v>
      </c>
      <c r="WMT28">
        <f t="array" ref="WMT28">_xlfn.XLOOKUP(WMT$11,Assumptions!$B$35:$H$35,_xlfn.XLOOKUP($C28,Assumptions!$B$36:$B$41,Assumptions!$B$36:$H$41))</f>
        <v>0</v>
      </c>
      <c r="WMU28">
        <f t="array" ref="WMU28">_xlfn.XLOOKUP(WMU$11,Assumptions!$B$35:$H$35,_xlfn.XLOOKUP($C28,Assumptions!$B$36:$B$41,Assumptions!$B$36:$H$41))</f>
        <v>0</v>
      </c>
      <c r="WMV28">
        <f t="array" ref="WMV28">_xlfn.XLOOKUP(WMV$11,Assumptions!$B$35:$H$35,_xlfn.XLOOKUP($C28,Assumptions!$B$36:$B$41,Assumptions!$B$36:$H$41))</f>
        <v>0</v>
      </c>
      <c r="WMW28">
        <f t="array" ref="WMW28">_xlfn.XLOOKUP(WMW$11,Assumptions!$B$35:$H$35,_xlfn.XLOOKUP($C28,Assumptions!$B$36:$B$41,Assumptions!$B$36:$H$41))</f>
        <v>0</v>
      </c>
      <c r="WMX28">
        <f t="array" ref="WMX28">_xlfn.XLOOKUP(WMX$11,Assumptions!$B$35:$H$35,_xlfn.XLOOKUP($C28,Assumptions!$B$36:$B$41,Assumptions!$B$36:$H$41))</f>
        <v>0</v>
      </c>
      <c r="WMY28">
        <f t="array" ref="WMY28">_xlfn.XLOOKUP(WMY$11,Assumptions!$B$35:$H$35,_xlfn.XLOOKUP($C28,Assumptions!$B$36:$B$41,Assumptions!$B$36:$H$41))</f>
        <v>0</v>
      </c>
      <c r="WMZ28">
        <f t="array" ref="WMZ28">_xlfn.XLOOKUP(WMZ$11,Assumptions!$B$35:$H$35,_xlfn.XLOOKUP($C28,Assumptions!$B$36:$B$41,Assumptions!$B$36:$H$41))</f>
        <v>0</v>
      </c>
      <c r="WNA28">
        <f t="array" ref="WNA28">_xlfn.XLOOKUP(WNA$11,Assumptions!$B$35:$H$35,_xlfn.XLOOKUP($C28,Assumptions!$B$36:$B$41,Assumptions!$B$36:$H$41))</f>
        <v>0</v>
      </c>
      <c r="WNB28">
        <f t="array" ref="WNB28">_xlfn.XLOOKUP(WNB$11,Assumptions!$B$35:$H$35,_xlfn.XLOOKUP($C28,Assumptions!$B$36:$B$41,Assumptions!$B$36:$H$41))</f>
        <v>0</v>
      </c>
      <c r="WNC28">
        <f t="array" ref="WNC28">_xlfn.XLOOKUP(WNC$11,Assumptions!$B$35:$H$35,_xlfn.XLOOKUP($C28,Assumptions!$B$36:$B$41,Assumptions!$B$36:$H$41))</f>
        <v>0</v>
      </c>
      <c r="WND28">
        <f t="array" ref="WND28">_xlfn.XLOOKUP(WND$11,Assumptions!$B$35:$H$35,_xlfn.XLOOKUP($C28,Assumptions!$B$36:$B$41,Assumptions!$B$36:$H$41))</f>
        <v>0</v>
      </c>
      <c r="WNE28">
        <f t="array" ref="WNE28">_xlfn.XLOOKUP(WNE$11,Assumptions!$B$35:$H$35,_xlfn.XLOOKUP($C28,Assumptions!$B$36:$B$41,Assumptions!$B$36:$H$41))</f>
        <v>0</v>
      </c>
      <c r="WNF28">
        <f t="array" ref="WNF28">_xlfn.XLOOKUP(WNF$11,Assumptions!$B$35:$H$35,_xlfn.XLOOKUP($C28,Assumptions!$B$36:$B$41,Assumptions!$B$36:$H$41))</f>
        <v>0</v>
      </c>
      <c r="WNG28">
        <f t="array" ref="WNG28">_xlfn.XLOOKUP(WNG$11,Assumptions!$B$35:$H$35,_xlfn.XLOOKUP($C28,Assumptions!$B$36:$B$41,Assumptions!$B$36:$H$41))</f>
        <v>0</v>
      </c>
      <c r="WNH28">
        <f t="array" ref="WNH28">_xlfn.XLOOKUP(WNH$11,Assumptions!$B$35:$H$35,_xlfn.XLOOKUP($C28,Assumptions!$B$36:$B$41,Assumptions!$B$36:$H$41))</f>
        <v>0</v>
      </c>
      <c r="WNI28">
        <f t="array" ref="WNI28">_xlfn.XLOOKUP(WNI$11,Assumptions!$B$35:$H$35,_xlfn.XLOOKUP($C28,Assumptions!$B$36:$B$41,Assumptions!$B$36:$H$41))</f>
        <v>0</v>
      </c>
      <c r="WNJ28">
        <f t="array" ref="WNJ28">_xlfn.XLOOKUP(WNJ$11,Assumptions!$B$35:$H$35,_xlfn.XLOOKUP($C28,Assumptions!$B$36:$B$41,Assumptions!$B$36:$H$41))</f>
        <v>0</v>
      </c>
      <c r="WNK28">
        <f t="array" ref="WNK28">_xlfn.XLOOKUP(WNK$11,Assumptions!$B$35:$H$35,_xlfn.XLOOKUP($C28,Assumptions!$B$36:$B$41,Assumptions!$B$36:$H$41))</f>
        <v>0</v>
      </c>
      <c r="WNL28">
        <f t="array" ref="WNL28">_xlfn.XLOOKUP(WNL$11,Assumptions!$B$35:$H$35,_xlfn.XLOOKUP($C28,Assumptions!$B$36:$B$41,Assumptions!$B$36:$H$41))</f>
        <v>0</v>
      </c>
      <c r="WNM28">
        <f t="array" ref="WNM28">_xlfn.XLOOKUP(WNM$11,Assumptions!$B$35:$H$35,_xlfn.XLOOKUP($C28,Assumptions!$B$36:$B$41,Assumptions!$B$36:$H$41))</f>
        <v>0</v>
      </c>
      <c r="WNN28">
        <f t="array" ref="WNN28">_xlfn.XLOOKUP(WNN$11,Assumptions!$B$35:$H$35,_xlfn.XLOOKUP($C28,Assumptions!$B$36:$B$41,Assumptions!$B$36:$H$41))</f>
        <v>0</v>
      </c>
      <c r="WNO28">
        <f t="array" ref="WNO28">_xlfn.XLOOKUP(WNO$11,Assumptions!$B$35:$H$35,_xlfn.XLOOKUP($C28,Assumptions!$B$36:$B$41,Assumptions!$B$36:$H$41))</f>
        <v>0</v>
      </c>
      <c r="WNP28">
        <f t="array" ref="WNP28">_xlfn.XLOOKUP(WNP$11,Assumptions!$B$35:$H$35,_xlfn.XLOOKUP($C28,Assumptions!$B$36:$B$41,Assumptions!$B$36:$H$41))</f>
        <v>0</v>
      </c>
      <c r="WNQ28">
        <f t="array" ref="WNQ28">_xlfn.XLOOKUP(WNQ$11,Assumptions!$B$35:$H$35,_xlfn.XLOOKUP($C28,Assumptions!$B$36:$B$41,Assumptions!$B$36:$H$41))</f>
        <v>0</v>
      </c>
      <c r="WNR28">
        <f t="array" ref="WNR28">_xlfn.XLOOKUP(WNR$11,Assumptions!$B$35:$H$35,_xlfn.XLOOKUP($C28,Assumptions!$B$36:$B$41,Assumptions!$B$36:$H$41))</f>
        <v>0</v>
      </c>
      <c r="WNS28">
        <f t="array" ref="WNS28">_xlfn.XLOOKUP(WNS$11,Assumptions!$B$35:$H$35,_xlfn.XLOOKUP($C28,Assumptions!$B$36:$B$41,Assumptions!$B$36:$H$41))</f>
        <v>0</v>
      </c>
      <c r="WNT28">
        <f t="array" ref="WNT28">_xlfn.XLOOKUP(WNT$11,Assumptions!$B$35:$H$35,_xlfn.XLOOKUP($C28,Assumptions!$B$36:$B$41,Assumptions!$B$36:$H$41))</f>
        <v>0</v>
      </c>
      <c r="WNU28">
        <f t="array" ref="WNU28">_xlfn.XLOOKUP(WNU$11,Assumptions!$B$35:$H$35,_xlfn.XLOOKUP($C28,Assumptions!$B$36:$B$41,Assumptions!$B$36:$H$41))</f>
        <v>0</v>
      </c>
      <c r="WNV28">
        <f t="array" ref="WNV28">_xlfn.XLOOKUP(WNV$11,Assumptions!$B$35:$H$35,_xlfn.XLOOKUP($C28,Assumptions!$B$36:$B$41,Assumptions!$B$36:$H$41))</f>
        <v>0</v>
      </c>
      <c r="WNW28">
        <f t="array" ref="WNW28">_xlfn.XLOOKUP(WNW$11,Assumptions!$B$35:$H$35,_xlfn.XLOOKUP($C28,Assumptions!$B$36:$B$41,Assumptions!$B$36:$H$41))</f>
        <v>0</v>
      </c>
      <c r="WNX28">
        <f t="array" ref="WNX28">_xlfn.XLOOKUP(WNX$11,Assumptions!$B$35:$H$35,_xlfn.XLOOKUP($C28,Assumptions!$B$36:$B$41,Assumptions!$B$36:$H$41))</f>
        <v>0</v>
      </c>
      <c r="WNY28">
        <f t="array" ref="WNY28">_xlfn.XLOOKUP(WNY$11,Assumptions!$B$35:$H$35,_xlfn.XLOOKUP($C28,Assumptions!$B$36:$B$41,Assumptions!$B$36:$H$41))</f>
        <v>0</v>
      </c>
      <c r="WNZ28">
        <f t="array" ref="WNZ28">_xlfn.XLOOKUP(WNZ$11,Assumptions!$B$35:$H$35,_xlfn.XLOOKUP($C28,Assumptions!$B$36:$B$41,Assumptions!$B$36:$H$41))</f>
        <v>0</v>
      </c>
      <c r="WOA28">
        <f t="array" ref="WOA28">_xlfn.XLOOKUP(WOA$11,Assumptions!$B$35:$H$35,_xlfn.XLOOKUP($C28,Assumptions!$B$36:$B$41,Assumptions!$B$36:$H$41))</f>
        <v>0</v>
      </c>
      <c r="WOB28">
        <f t="array" ref="WOB28">_xlfn.XLOOKUP(WOB$11,Assumptions!$B$35:$H$35,_xlfn.XLOOKUP($C28,Assumptions!$B$36:$B$41,Assumptions!$B$36:$H$41))</f>
        <v>0</v>
      </c>
      <c r="WOC28">
        <f t="array" ref="WOC28">_xlfn.XLOOKUP(WOC$11,Assumptions!$B$35:$H$35,_xlfn.XLOOKUP($C28,Assumptions!$B$36:$B$41,Assumptions!$B$36:$H$41))</f>
        <v>0</v>
      </c>
      <c r="WOD28">
        <f t="array" ref="WOD28">_xlfn.XLOOKUP(WOD$11,Assumptions!$B$35:$H$35,_xlfn.XLOOKUP($C28,Assumptions!$B$36:$B$41,Assumptions!$B$36:$H$41))</f>
        <v>0</v>
      </c>
      <c r="WOE28">
        <f t="array" ref="WOE28">_xlfn.XLOOKUP(WOE$11,Assumptions!$B$35:$H$35,_xlfn.XLOOKUP($C28,Assumptions!$B$36:$B$41,Assumptions!$B$36:$H$41))</f>
        <v>0</v>
      </c>
      <c r="WOF28">
        <f t="array" ref="WOF28">_xlfn.XLOOKUP(WOF$11,Assumptions!$B$35:$H$35,_xlfn.XLOOKUP($C28,Assumptions!$B$36:$B$41,Assumptions!$B$36:$H$41))</f>
        <v>0</v>
      </c>
      <c r="WOG28">
        <f t="array" ref="WOG28">_xlfn.XLOOKUP(WOG$11,Assumptions!$B$35:$H$35,_xlfn.XLOOKUP($C28,Assumptions!$B$36:$B$41,Assumptions!$B$36:$H$41))</f>
        <v>0</v>
      </c>
      <c r="WOH28">
        <f t="array" ref="WOH28">_xlfn.XLOOKUP(WOH$11,Assumptions!$B$35:$H$35,_xlfn.XLOOKUP($C28,Assumptions!$B$36:$B$41,Assumptions!$B$36:$H$41))</f>
        <v>0</v>
      </c>
      <c r="WOI28">
        <f t="array" ref="WOI28">_xlfn.XLOOKUP(WOI$11,Assumptions!$B$35:$H$35,_xlfn.XLOOKUP($C28,Assumptions!$B$36:$B$41,Assumptions!$B$36:$H$41))</f>
        <v>0</v>
      </c>
      <c r="WOJ28">
        <f t="array" ref="WOJ28">_xlfn.XLOOKUP(WOJ$11,Assumptions!$B$35:$H$35,_xlfn.XLOOKUP($C28,Assumptions!$B$36:$B$41,Assumptions!$B$36:$H$41))</f>
        <v>0</v>
      </c>
      <c r="WOK28">
        <f t="array" ref="WOK28">_xlfn.XLOOKUP(WOK$11,Assumptions!$B$35:$H$35,_xlfn.XLOOKUP($C28,Assumptions!$B$36:$B$41,Assumptions!$B$36:$H$41))</f>
        <v>0</v>
      </c>
      <c r="WOL28">
        <f t="array" ref="WOL28">_xlfn.XLOOKUP(WOL$11,Assumptions!$B$35:$H$35,_xlfn.XLOOKUP($C28,Assumptions!$B$36:$B$41,Assumptions!$B$36:$H$41))</f>
        <v>0</v>
      </c>
      <c r="WOM28">
        <f t="array" ref="WOM28">_xlfn.XLOOKUP(WOM$11,Assumptions!$B$35:$H$35,_xlfn.XLOOKUP($C28,Assumptions!$B$36:$B$41,Assumptions!$B$36:$H$41))</f>
        <v>0</v>
      </c>
      <c r="WON28">
        <f t="array" ref="WON28">_xlfn.XLOOKUP(WON$11,Assumptions!$B$35:$H$35,_xlfn.XLOOKUP($C28,Assumptions!$B$36:$B$41,Assumptions!$B$36:$H$41))</f>
        <v>0</v>
      </c>
      <c r="WOO28">
        <f t="array" ref="WOO28">_xlfn.XLOOKUP(WOO$11,Assumptions!$B$35:$H$35,_xlfn.XLOOKUP($C28,Assumptions!$B$36:$B$41,Assumptions!$B$36:$H$41))</f>
        <v>0</v>
      </c>
      <c r="WOP28">
        <f t="array" ref="WOP28">_xlfn.XLOOKUP(WOP$11,Assumptions!$B$35:$H$35,_xlfn.XLOOKUP($C28,Assumptions!$B$36:$B$41,Assumptions!$B$36:$H$41))</f>
        <v>0</v>
      </c>
      <c r="WOQ28">
        <f t="array" ref="WOQ28">_xlfn.XLOOKUP(WOQ$11,Assumptions!$B$35:$H$35,_xlfn.XLOOKUP($C28,Assumptions!$B$36:$B$41,Assumptions!$B$36:$H$41))</f>
        <v>0</v>
      </c>
      <c r="WOR28">
        <f t="array" ref="WOR28">_xlfn.XLOOKUP(WOR$11,Assumptions!$B$35:$H$35,_xlfn.XLOOKUP($C28,Assumptions!$B$36:$B$41,Assumptions!$B$36:$H$41))</f>
        <v>0</v>
      </c>
      <c r="WOS28">
        <f t="array" ref="WOS28">_xlfn.XLOOKUP(WOS$11,Assumptions!$B$35:$H$35,_xlfn.XLOOKUP($C28,Assumptions!$B$36:$B$41,Assumptions!$B$36:$H$41))</f>
        <v>0</v>
      </c>
      <c r="WOT28">
        <f t="array" ref="WOT28">_xlfn.XLOOKUP(WOT$11,Assumptions!$B$35:$H$35,_xlfn.XLOOKUP($C28,Assumptions!$B$36:$B$41,Assumptions!$B$36:$H$41))</f>
        <v>0</v>
      </c>
      <c r="WOU28">
        <f t="array" ref="WOU28">_xlfn.XLOOKUP(WOU$11,Assumptions!$B$35:$H$35,_xlfn.XLOOKUP($C28,Assumptions!$B$36:$B$41,Assumptions!$B$36:$H$41))</f>
        <v>0</v>
      </c>
      <c r="WOV28">
        <f t="array" ref="WOV28">_xlfn.XLOOKUP(WOV$11,Assumptions!$B$35:$H$35,_xlfn.XLOOKUP($C28,Assumptions!$B$36:$B$41,Assumptions!$B$36:$H$41))</f>
        <v>0</v>
      </c>
      <c r="WOW28">
        <f t="array" ref="WOW28">_xlfn.XLOOKUP(WOW$11,Assumptions!$B$35:$H$35,_xlfn.XLOOKUP($C28,Assumptions!$B$36:$B$41,Assumptions!$B$36:$H$41))</f>
        <v>0</v>
      </c>
      <c r="WOX28">
        <f t="array" ref="WOX28">_xlfn.XLOOKUP(WOX$11,Assumptions!$B$35:$H$35,_xlfn.XLOOKUP($C28,Assumptions!$B$36:$B$41,Assumptions!$B$36:$H$41))</f>
        <v>0</v>
      </c>
      <c r="WOY28">
        <f t="array" ref="WOY28">_xlfn.XLOOKUP(WOY$11,Assumptions!$B$35:$H$35,_xlfn.XLOOKUP($C28,Assumptions!$B$36:$B$41,Assumptions!$B$36:$H$41))</f>
        <v>0</v>
      </c>
      <c r="WOZ28">
        <f t="array" ref="WOZ28">_xlfn.XLOOKUP(WOZ$11,Assumptions!$B$35:$H$35,_xlfn.XLOOKUP($C28,Assumptions!$B$36:$B$41,Assumptions!$B$36:$H$41))</f>
        <v>0</v>
      </c>
      <c r="WPA28">
        <f t="array" ref="WPA28">_xlfn.XLOOKUP(WPA$11,Assumptions!$B$35:$H$35,_xlfn.XLOOKUP($C28,Assumptions!$B$36:$B$41,Assumptions!$B$36:$H$41))</f>
        <v>0</v>
      </c>
      <c r="WPB28">
        <f t="array" ref="WPB28">_xlfn.XLOOKUP(WPB$11,Assumptions!$B$35:$H$35,_xlfn.XLOOKUP($C28,Assumptions!$B$36:$B$41,Assumptions!$B$36:$H$41))</f>
        <v>0</v>
      </c>
      <c r="WPC28">
        <f t="array" ref="WPC28">_xlfn.XLOOKUP(WPC$11,Assumptions!$B$35:$H$35,_xlfn.XLOOKUP($C28,Assumptions!$B$36:$B$41,Assumptions!$B$36:$H$41))</f>
        <v>0</v>
      </c>
      <c r="WPD28">
        <f t="array" ref="WPD28">_xlfn.XLOOKUP(WPD$11,Assumptions!$B$35:$H$35,_xlfn.XLOOKUP($C28,Assumptions!$B$36:$B$41,Assumptions!$B$36:$H$41))</f>
        <v>0</v>
      </c>
      <c r="WPE28">
        <f t="array" ref="WPE28">_xlfn.XLOOKUP(WPE$11,Assumptions!$B$35:$H$35,_xlfn.XLOOKUP($C28,Assumptions!$B$36:$B$41,Assumptions!$B$36:$H$41))</f>
        <v>0</v>
      </c>
      <c r="WPF28">
        <f t="array" ref="WPF28">_xlfn.XLOOKUP(WPF$11,Assumptions!$B$35:$H$35,_xlfn.XLOOKUP($C28,Assumptions!$B$36:$B$41,Assumptions!$B$36:$H$41))</f>
        <v>0</v>
      </c>
      <c r="WPG28">
        <f t="array" ref="WPG28">_xlfn.XLOOKUP(WPG$11,Assumptions!$B$35:$H$35,_xlfn.XLOOKUP($C28,Assumptions!$B$36:$B$41,Assumptions!$B$36:$H$41))</f>
        <v>0</v>
      </c>
      <c r="WPH28">
        <f t="array" ref="WPH28">_xlfn.XLOOKUP(WPH$11,Assumptions!$B$35:$H$35,_xlfn.XLOOKUP($C28,Assumptions!$B$36:$B$41,Assumptions!$B$36:$H$41))</f>
        <v>0</v>
      </c>
      <c r="WPI28">
        <f t="array" ref="WPI28">_xlfn.XLOOKUP(WPI$11,Assumptions!$B$35:$H$35,_xlfn.XLOOKUP($C28,Assumptions!$B$36:$B$41,Assumptions!$B$36:$H$41))</f>
        <v>0</v>
      </c>
      <c r="WPJ28">
        <f t="array" ref="WPJ28">_xlfn.XLOOKUP(WPJ$11,Assumptions!$B$35:$H$35,_xlfn.XLOOKUP($C28,Assumptions!$B$36:$B$41,Assumptions!$B$36:$H$41))</f>
        <v>0</v>
      </c>
      <c r="WPK28">
        <f t="array" ref="WPK28">_xlfn.XLOOKUP(WPK$11,Assumptions!$B$35:$H$35,_xlfn.XLOOKUP($C28,Assumptions!$B$36:$B$41,Assumptions!$B$36:$H$41))</f>
        <v>0</v>
      </c>
      <c r="WPL28">
        <f t="array" ref="WPL28">_xlfn.XLOOKUP(WPL$11,Assumptions!$B$35:$H$35,_xlfn.XLOOKUP($C28,Assumptions!$B$36:$B$41,Assumptions!$B$36:$H$41))</f>
        <v>0</v>
      </c>
      <c r="WPM28">
        <f t="array" ref="WPM28">_xlfn.XLOOKUP(WPM$11,Assumptions!$B$35:$H$35,_xlfn.XLOOKUP($C28,Assumptions!$B$36:$B$41,Assumptions!$B$36:$H$41))</f>
        <v>0</v>
      </c>
      <c r="WPN28">
        <f t="array" ref="WPN28">_xlfn.XLOOKUP(WPN$11,Assumptions!$B$35:$H$35,_xlfn.XLOOKUP($C28,Assumptions!$B$36:$B$41,Assumptions!$B$36:$H$41))</f>
        <v>0</v>
      </c>
      <c r="WPO28">
        <f t="array" ref="WPO28">_xlfn.XLOOKUP(WPO$11,Assumptions!$B$35:$H$35,_xlfn.XLOOKUP($C28,Assumptions!$B$36:$B$41,Assumptions!$B$36:$H$41))</f>
        <v>0</v>
      </c>
      <c r="WPP28">
        <f t="array" ref="WPP28">_xlfn.XLOOKUP(WPP$11,Assumptions!$B$35:$H$35,_xlfn.XLOOKUP($C28,Assumptions!$B$36:$B$41,Assumptions!$B$36:$H$41))</f>
        <v>0</v>
      </c>
      <c r="WPQ28">
        <f t="array" ref="WPQ28">_xlfn.XLOOKUP(WPQ$11,Assumptions!$B$35:$H$35,_xlfn.XLOOKUP($C28,Assumptions!$B$36:$B$41,Assumptions!$B$36:$H$41))</f>
        <v>0</v>
      </c>
      <c r="WPR28">
        <f t="array" ref="WPR28">_xlfn.XLOOKUP(WPR$11,Assumptions!$B$35:$H$35,_xlfn.XLOOKUP($C28,Assumptions!$B$36:$B$41,Assumptions!$B$36:$H$41))</f>
        <v>0</v>
      </c>
      <c r="WPS28">
        <f t="array" ref="WPS28">_xlfn.XLOOKUP(WPS$11,Assumptions!$B$35:$H$35,_xlfn.XLOOKUP($C28,Assumptions!$B$36:$B$41,Assumptions!$B$36:$H$41))</f>
        <v>0</v>
      </c>
      <c r="WPT28">
        <f t="array" ref="WPT28">_xlfn.XLOOKUP(WPT$11,Assumptions!$B$35:$H$35,_xlfn.XLOOKUP($C28,Assumptions!$B$36:$B$41,Assumptions!$B$36:$H$41))</f>
        <v>0</v>
      </c>
      <c r="WPU28">
        <f t="array" ref="WPU28">_xlfn.XLOOKUP(WPU$11,Assumptions!$B$35:$H$35,_xlfn.XLOOKUP($C28,Assumptions!$B$36:$B$41,Assumptions!$B$36:$H$41))</f>
        <v>0</v>
      </c>
      <c r="WPV28">
        <f t="array" ref="WPV28">_xlfn.XLOOKUP(WPV$11,Assumptions!$B$35:$H$35,_xlfn.XLOOKUP($C28,Assumptions!$B$36:$B$41,Assumptions!$B$36:$H$41))</f>
        <v>0</v>
      </c>
      <c r="WPW28">
        <f t="array" ref="WPW28">_xlfn.XLOOKUP(WPW$11,Assumptions!$B$35:$H$35,_xlfn.XLOOKUP($C28,Assumptions!$B$36:$B$41,Assumptions!$B$36:$H$41))</f>
        <v>0</v>
      </c>
      <c r="WPX28">
        <f t="array" ref="WPX28">_xlfn.XLOOKUP(WPX$11,Assumptions!$B$35:$H$35,_xlfn.XLOOKUP($C28,Assumptions!$B$36:$B$41,Assumptions!$B$36:$H$41))</f>
        <v>0</v>
      </c>
      <c r="WPY28">
        <f t="array" ref="WPY28">_xlfn.XLOOKUP(WPY$11,Assumptions!$B$35:$H$35,_xlfn.XLOOKUP($C28,Assumptions!$B$36:$B$41,Assumptions!$B$36:$H$41))</f>
        <v>0</v>
      </c>
      <c r="WPZ28">
        <f t="array" ref="WPZ28">_xlfn.XLOOKUP(WPZ$11,Assumptions!$B$35:$H$35,_xlfn.XLOOKUP($C28,Assumptions!$B$36:$B$41,Assumptions!$B$36:$H$41))</f>
        <v>0</v>
      </c>
      <c r="WQA28">
        <f t="array" ref="WQA28">_xlfn.XLOOKUP(WQA$11,Assumptions!$B$35:$H$35,_xlfn.XLOOKUP($C28,Assumptions!$B$36:$B$41,Assumptions!$B$36:$H$41))</f>
        <v>0</v>
      </c>
      <c r="WQB28">
        <f t="array" ref="WQB28">_xlfn.XLOOKUP(WQB$11,Assumptions!$B$35:$H$35,_xlfn.XLOOKUP($C28,Assumptions!$B$36:$B$41,Assumptions!$B$36:$H$41))</f>
        <v>0</v>
      </c>
      <c r="WQC28">
        <f t="array" ref="WQC28">_xlfn.XLOOKUP(WQC$11,Assumptions!$B$35:$H$35,_xlfn.XLOOKUP($C28,Assumptions!$B$36:$B$41,Assumptions!$B$36:$H$41))</f>
        <v>0</v>
      </c>
      <c r="WQD28">
        <f t="array" ref="WQD28">_xlfn.XLOOKUP(WQD$11,Assumptions!$B$35:$H$35,_xlfn.XLOOKUP($C28,Assumptions!$B$36:$B$41,Assumptions!$B$36:$H$41))</f>
        <v>0</v>
      </c>
      <c r="WQE28">
        <f t="array" ref="WQE28">_xlfn.XLOOKUP(WQE$11,Assumptions!$B$35:$H$35,_xlfn.XLOOKUP($C28,Assumptions!$B$36:$B$41,Assumptions!$B$36:$H$41))</f>
        <v>0</v>
      </c>
      <c r="WQF28">
        <f t="array" ref="WQF28">_xlfn.XLOOKUP(WQF$11,Assumptions!$B$35:$H$35,_xlfn.XLOOKUP($C28,Assumptions!$B$36:$B$41,Assumptions!$B$36:$H$41))</f>
        <v>0</v>
      </c>
      <c r="WQG28">
        <f t="array" ref="WQG28">_xlfn.XLOOKUP(WQG$11,Assumptions!$B$35:$H$35,_xlfn.XLOOKUP($C28,Assumptions!$B$36:$B$41,Assumptions!$B$36:$H$41))</f>
        <v>0</v>
      </c>
      <c r="WQH28">
        <f t="array" ref="WQH28">_xlfn.XLOOKUP(WQH$11,Assumptions!$B$35:$H$35,_xlfn.XLOOKUP($C28,Assumptions!$B$36:$B$41,Assumptions!$B$36:$H$41))</f>
        <v>0</v>
      </c>
      <c r="WQI28">
        <f t="array" ref="WQI28">_xlfn.XLOOKUP(WQI$11,Assumptions!$B$35:$H$35,_xlfn.XLOOKUP($C28,Assumptions!$B$36:$B$41,Assumptions!$B$36:$H$41))</f>
        <v>0</v>
      </c>
      <c r="WQJ28">
        <f t="array" ref="WQJ28">_xlfn.XLOOKUP(WQJ$11,Assumptions!$B$35:$H$35,_xlfn.XLOOKUP($C28,Assumptions!$B$36:$B$41,Assumptions!$B$36:$H$41))</f>
        <v>0</v>
      </c>
      <c r="WQK28">
        <f t="array" ref="WQK28">_xlfn.XLOOKUP(WQK$11,Assumptions!$B$35:$H$35,_xlfn.XLOOKUP($C28,Assumptions!$B$36:$B$41,Assumptions!$B$36:$H$41))</f>
        <v>0</v>
      </c>
      <c r="WQL28">
        <f t="array" ref="WQL28">_xlfn.XLOOKUP(WQL$11,Assumptions!$B$35:$H$35,_xlfn.XLOOKUP($C28,Assumptions!$B$36:$B$41,Assumptions!$B$36:$H$41))</f>
        <v>0</v>
      </c>
      <c r="WQM28">
        <f t="array" ref="WQM28">_xlfn.XLOOKUP(WQM$11,Assumptions!$B$35:$H$35,_xlfn.XLOOKUP($C28,Assumptions!$B$36:$B$41,Assumptions!$B$36:$H$41))</f>
        <v>0</v>
      </c>
      <c r="WQN28">
        <f t="array" ref="WQN28">_xlfn.XLOOKUP(WQN$11,Assumptions!$B$35:$H$35,_xlfn.XLOOKUP($C28,Assumptions!$B$36:$B$41,Assumptions!$B$36:$H$41))</f>
        <v>0</v>
      </c>
      <c r="WQO28">
        <f t="array" ref="WQO28">_xlfn.XLOOKUP(WQO$11,Assumptions!$B$35:$H$35,_xlfn.XLOOKUP($C28,Assumptions!$B$36:$B$41,Assumptions!$B$36:$H$41))</f>
        <v>0</v>
      </c>
      <c r="WQP28">
        <f t="array" ref="WQP28">_xlfn.XLOOKUP(WQP$11,Assumptions!$B$35:$H$35,_xlfn.XLOOKUP($C28,Assumptions!$B$36:$B$41,Assumptions!$B$36:$H$41))</f>
        <v>0</v>
      </c>
      <c r="WQQ28">
        <f t="array" ref="WQQ28">_xlfn.XLOOKUP(WQQ$11,Assumptions!$B$35:$H$35,_xlfn.XLOOKUP($C28,Assumptions!$B$36:$B$41,Assumptions!$B$36:$H$41))</f>
        <v>0</v>
      </c>
      <c r="WQR28">
        <f t="array" ref="WQR28">_xlfn.XLOOKUP(WQR$11,Assumptions!$B$35:$H$35,_xlfn.XLOOKUP($C28,Assumptions!$B$36:$B$41,Assumptions!$B$36:$H$41))</f>
        <v>0</v>
      </c>
      <c r="WQS28">
        <f t="array" ref="WQS28">_xlfn.XLOOKUP(WQS$11,Assumptions!$B$35:$H$35,_xlfn.XLOOKUP($C28,Assumptions!$B$36:$B$41,Assumptions!$B$36:$H$41))</f>
        <v>0</v>
      </c>
      <c r="WQT28">
        <f t="array" ref="WQT28">_xlfn.XLOOKUP(WQT$11,Assumptions!$B$35:$H$35,_xlfn.XLOOKUP($C28,Assumptions!$B$36:$B$41,Assumptions!$B$36:$H$41))</f>
        <v>0</v>
      </c>
      <c r="WQU28">
        <f t="array" ref="WQU28">_xlfn.XLOOKUP(WQU$11,Assumptions!$B$35:$H$35,_xlfn.XLOOKUP($C28,Assumptions!$B$36:$B$41,Assumptions!$B$36:$H$41))</f>
        <v>0</v>
      </c>
      <c r="WQV28">
        <f t="array" ref="WQV28">_xlfn.XLOOKUP(WQV$11,Assumptions!$B$35:$H$35,_xlfn.XLOOKUP($C28,Assumptions!$B$36:$B$41,Assumptions!$B$36:$H$41))</f>
        <v>0</v>
      </c>
      <c r="WQW28">
        <f t="array" ref="WQW28">_xlfn.XLOOKUP(WQW$11,Assumptions!$B$35:$H$35,_xlfn.XLOOKUP($C28,Assumptions!$B$36:$B$41,Assumptions!$B$36:$H$41))</f>
        <v>0</v>
      </c>
      <c r="WQX28">
        <f t="array" ref="WQX28">_xlfn.XLOOKUP(WQX$11,Assumptions!$B$35:$H$35,_xlfn.XLOOKUP($C28,Assumptions!$B$36:$B$41,Assumptions!$B$36:$H$41))</f>
        <v>0</v>
      </c>
      <c r="WQY28">
        <f t="array" ref="WQY28">_xlfn.XLOOKUP(WQY$11,Assumptions!$B$35:$H$35,_xlfn.XLOOKUP($C28,Assumptions!$B$36:$B$41,Assumptions!$B$36:$H$41))</f>
        <v>0</v>
      </c>
      <c r="WQZ28">
        <f t="array" ref="WQZ28">_xlfn.XLOOKUP(WQZ$11,Assumptions!$B$35:$H$35,_xlfn.XLOOKUP($C28,Assumptions!$B$36:$B$41,Assumptions!$B$36:$H$41))</f>
        <v>0</v>
      </c>
      <c r="WRA28">
        <f t="array" ref="WRA28">_xlfn.XLOOKUP(WRA$11,Assumptions!$B$35:$H$35,_xlfn.XLOOKUP($C28,Assumptions!$B$36:$B$41,Assumptions!$B$36:$H$41))</f>
        <v>0</v>
      </c>
      <c r="WRB28">
        <f t="array" ref="WRB28">_xlfn.XLOOKUP(WRB$11,Assumptions!$B$35:$H$35,_xlfn.XLOOKUP($C28,Assumptions!$B$36:$B$41,Assumptions!$B$36:$H$41))</f>
        <v>0</v>
      </c>
      <c r="WRC28">
        <f t="array" ref="WRC28">_xlfn.XLOOKUP(WRC$11,Assumptions!$B$35:$H$35,_xlfn.XLOOKUP($C28,Assumptions!$B$36:$B$41,Assumptions!$B$36:$H$41))</f>
        <v>0</v>
      </c>
      <c r="WRD28">
        <f t="array" ref="WRD28">_xlfn.XLOOKUP(WRD$11,Assumptions!$B$35:$H$35,_xlfn.XLOOKUP($C28,Assumptions!$B$36:$B$41,Assumptions!$B$36:$H$41))</f>
        <v>0</v>
      </c>
      <c r="WRE28">
        <f t="array" ref="WRE28">_xlfn.XLOOKUP(WRE$11,Assumptions!$B$35:$H$35,_xlfn.XLOOKUP($C28,Assumptions!$B$36:$B$41,Assumptions!$B$36:$H$41))</f>
        <v>0</v>
      </c>
      <c r="WRF28">
        <f t="array" ref="WRF28">_xlfn.XLOOKUP(WRF$11,Assumptions!$B$35:$H$35,_xlfn.XLOOKUP($C28,Assumptions!$B$36:$B$41,Assumptions!$B$36:$H$41))</f>
        <v>0</v>
      </c>
      <c r="WRG28">
        <f t="array" ref="WRG28">_xlfn.XLOOKUP(WRG$11,Assumptions!$B$35:$H$35,_xlfn.XLOOKUP($C28,Assumptions!$B$36:$B$41,Assumptions!$B$36:$H$41))</f>
        <v>0</v>
      </c>
      <c r="WRH28">
        <f t="array" ref="WRH28">_xlfn.XLOOKUP(WRH$11,Assumptions!$B$35:$H$35,_xlfn.XLOOKUP($C28,Assumptions!$B$36:$B$41,Assumptions!$B$36:$H$41))</f>
        <v>0</v>
      </c>
      <c r="WRI28">
        <f t="array" ref="WRI28">_xlfn.XLOOKUP(WRI$11,Assumptions!$B$35:$H$35,_xlfn.XLOOKUP($C28,Assumptions!$B$36:$B$41,Assumptions!$B$36:$H$41))</f>
        <v>0</v>
      </c>
      <c r="WRJ28">
        <f t="array" ref="WRJ28">_xlfn.XLOOKUP(WRJ$11,Assumptions!$B$35:$H$35,_xlfn.XLOOKUP($C28,Assumptions!$B$36:$B$41,Assumptions!$B$36:$H$41))</f>
        <v>0</v>
      </c>
      <c r="WRK28">
        <f t="array" ref="WRK28">_xlfn.XLOOKUP(WRK$11,Assumptions!$B$35:$H$35,_xlfn.XLOOKUP($C28,Assumptions!$B$36:$B$41,Assumptions!$B$36:$H$41))</f>
        <v>0</v>
      </c>
      <c r="WRL28">
        <f t="array" ref="WRL28">_xlfn.XLOOKUP(WRL$11,Assumptions!$B$35:$H$35,_xlfn.XLOOKUP($C28,Assumptions!$B$36:$B$41,Assumptions!$B$36:$H$41))</f>
        <v>0</v>
      </c>
      <c r="WRM28">
        <f t="array" ref="WRM28">_xlfn.XLOOKUP(WRM$11,Assumptions!$B$35:$H$35,_xlfn.XLOOKUP($C28,Assumptions!$B$36:$B$41,Assumptions!$B$36:$H$41))</f>
        <v>0</v>
      </c>
      <c r="WRN28">
        <f t="array" ref="WRN28">_xlfn.XLOOKUP(WRN$11,Assumptions!$B$35:$H$35,_xlfn.XLOOKUP($C28,Assumptions!$B$36:$B$41,Assumptions!$B$36:$H$41))</f>
        <v>0</v>
      </c>
      <c r="WRO28">
        <f t="array" ref="WRO28">_xlfn.XLOOKUP(WRO$11,Assumptions!$B$35:$H$35,_xlfn.XLOOKUP($C28,Assumptions!$B$36:$B$41,Assumptions!$B$36:$H$41))</f>
        <v>0</v>
      </c>
      <c r="WRP28">
        <f t="array" ref="WRP28">_xlfn.XLOOKUP(WRP$11,Assumptions!$B$35:$H$35,_xlfn.XLOOKUP($C28,Assumptions!$B$36:$B$41,Assumptions!$B$36:$H$41))</f>
        <v>0</v>
      </c>
      <c r="WRQ28">
        <f t="array" ref="WRQ28">_xlfn.XLOOKUP(WRQ$11,Assumptions!$B$35:$H$35,_xlfn.XLOOKUP($C28,Assumptions!$B$36:$B$41,Assumptions!$B$36:$H$41))</f>
        <v>0</v>
      </c>
      <c r="WRR28">
        <f t="array" ref="WRR28">_xlfn.XLOOKUP(WRR$11,Assumptions!$B$35:$H$35,_xlfn.XLOOKUP($C28,Assumptions!$B$36:$B$41,Assumptions!$B$36:$H$41))</f>
        <v>0</v>
      </c>
      <c r="WRS28">
        <f t="array" ref="WRS28">_xlfn.XLOOKUP(WRS$11,Assumptions!$B$35:$H$35,_xlfn.XLOOKUP($C28,Assumptions!$B$36:$B$41,Assumptions!$B$36:$H$41))</f>
        <v>0</v>
      </c>
      <c r="WRT28">
        <f t="array" ref="WRT28">_xlfn.XLOOKUP(WRT$11,Assumptions!$B$35:$H$35,_xlfn.XLOOKUP($C28,Assumptions!$B$36:$B$41,Assumptions!$B$36:$H$41))</f>
        <v>0</v>
      </c>
      <c r="WRU28">
        <f t="array" ref="WRU28">_xlfn.XLOOKUP(WRU$11,Assumptions!$B$35:$H$35,_xlfn.XLOOKUP($C28,Assumptions!$B$36:$B$41,Assumptions!$B$36:$H$41))</f>
        <v>0</v>
      </c>
      <c r="WRV28">
        <f t="array" ref="WRV28">_xlfn.XLOOKUP(WRV$11,Assumptions!$B$35:$H$35,_xlfn.XLOOKUP($C28,Assumptions!$B$36:$B$41,Assumptions!$B$36:$H$41))</f>
        <v>0</v>
      </c>
      <c r="WRW28">
        <f t="array" ref="WRW28">_xlfn.XLOOKUP(WRW$11,Assumptions!$B$35:$H$35,_xlfn.XLOOKUP($C28,Assumptions!$B$36:$B$41,Assumptions!$B$36:$H$41))</f>
        <v>0</v>
      </c>
      <c r="WRX28">
        <f t="array" ref="WRX28">_xlfn.XLOOKUP(WRX$11,Assumptions!$B$35:$H$35,_xlfn.XLOOKUP($C28,Assumptions!$B$36:$B$41,Assumptions!$B$36:$H$41))</f>
        <v>0</v>
      </c>
      <c r="WRY28">
        <f t="array" ref="WRY28">_xlfn.XLOOKUP(WRY$11,Assumptions!$B$35:$H$35,_xlfn.XLOOKUP($C28,Assumptions!$B$36:$B$41,Assumptions!$B$36:$H$41))</f>
        <v>0</v>
      </c>
      <c r="WRZ28">
        <f t="array" ref="WRZ28">_xlfn.XLOOKUP(WRZ$11,Assumptions!$B$35:$H$35,_xlfn.XLOOKUP($C28,Assumptions!$B$36:$B$41,Assumptions!$B$36:$H$41))</f>
        <v>0</v>
      </c>
      <c r="WSA28">
        <f t="array" ref="WSA28">_xlfn.XLOOKUP(WSA$11,Assumptions!$B$35:$H$35,_xlfn.XLOOKUP($C28,Assumptions!$B$36:$B$41,Assumptions!$B$36:$H$41))</f>
        <v>0</v>
      </c>
      <c r="WSB28">
        <f t="array" ref="WSB28">_xlfn.XLOOKUP(WSB$11,Assumptions!$B$35:$H$35,_xlfn.XLOOKUP($C28,Assumptions!$B$36:$B$41,Assumptions!$B$36:$H$41))</f>
        <v>0</v>
      </c>
      <c r="WSC28">
        <f t="array" ref="WSC28">_xlfn.XLOOKUP(WSC$11,Assumptions!$B$35:$H$35,_xlfn.XLOOKUP($C28,Assumptions!$B$36:$B$41,Assumptions!$B$36:$H$41))</f>
        <v>0</v>
      </c>
      <c r="WSD28">
        <f t="array" ref="WSD28">_xlfn.XLOOKUP(WSD$11,Assumptions!$B$35:$H$35,_xlfn.XLOOKUP($C28,Assumptions!$B$36:$B$41,Assumptions!$B$36:$H$41))</f>
        <v>0</v>
      </c>
      <c r="WSE28">
        <f t="array" ref="WSE28">_xlfn.XLOOKUP(WSE$11,Assumptions!$B$35:$H$35,_xlfn.XLOOKUP($C28,Assumptions!$B$36:$B$41,Assumptions!$B$36:$H$41))</f>
        <v>0</v>
      </c>
      <c r="WSF28">
        <f t="array" ref="WSF28">_xlfn.XLOOKUP(WSF$11,Assumptions!$B$35:$H$35,_xlfn.XLOOKUP($C28,Assumptions!$B$36:$B$41,Assumptions!$B$36:$H$41))</f>
        <v>0</v>
      </c>
      <c r="WSG28">
        <f t="array" ref="WSG28">_xlfn.XLOOKUP(WSG$11,Assumptions!$B$35:$H$35,_xlfn.XLOOKUP($C28,Assumptions!$B$36:$B$41,Assumptions!$B$36:$H$41))</f>
        <v>0</v>
      </c>
      <c r="WSH28">
        <f t="array" ref="WSH28">_xlfn.XLOOKUP(WSH$11,Assumptions!$B$35:$H$35,_xlfn.XLOOKUP($C28,Assumptions!$B$36:$B$41,Assumptions!$B$36:$H$41))</f>
        <v>0</v>
      </c>
      <c r="WSI28">
        <f t="array" ref="WSI28">_xlfn.XLOOKUP(WSI$11,Assumptions!$B$35:$H$35,_xlfn.XLOOKUP($C28,Assumptions!$B$36:$B$41,Assumptions!$B$36:$H$41))</f>
        <v>0</v>
      </c>
      <c r="WSJ28">
        <f t="array" ref="WSJ28">_xlfn.XLOOKUP(WSJ$11,Assumptions!$B$35:$H$35,_xlfn.XLOOKUP($C28,Assumptions!$B$36:$B$41,Assumptions!$B$36:$H$41))</f>
        <v>0</v>
      </c>
      <c r="WSK28">
        <f t="array" ref="WSK28">_xlfn.XLOOKUP(WSK$11,Assumptions!$B$35:$H$35,_xlfn.XLOOKUP($C28,Assumptions!$B$36:$B$41,Assumptions!$B$36:$H$41))</f>
        <v>0</v>
      </c>
      <c r="WSL28">
        <f t="array" ref="WSL28">_xlfn.XLOOKUP(WSL$11,Assumptions!$B$35:$H$35,_xlfn.XLOOKUP($C28,Assumptions!$B$36:$B$41,Assumptions!$B$36:$H$41))</f>
        <v>0</v>
      </c>
      <c r="WSM28">
        <f t="array" ref="WSM28">_xlfn.XLOOKUP(WSM$11,Assumptions!$B$35:$H$35,_xlfn.XLOOKUP($C28,Assumptions!$B$36:$B$41,Assumptions!$B$36:$H$41))</f>
        <v>0</v>
      </c>
      <c r="WSN28">
        <f t="array" ref="WSN28">_xlfn.XLOOKUP(WSN$11,Assumptions!$B$35:$H$35,_xlfn.XLOOKUP($C28,Assumptions!$B$36:$B$41,Assumptions!$B$36:$H$41))</f>
        <v>0</v>
      </c>
      <c r="WSO28">
        <f t="array" ref="WSO28">_xlfn.XLOOKUP(WSO$11,Assumptions!$B$35:$H$35,_xlfn.XLOOKUP($C28,Assumptions!$B$36:$B$41,Assumptions!$B$36:$H$41))</f>
        <v>0</v>
      </c>
      <c r="WSP28">
        <f t="array" ref="WSP28">_xlfn.XLOOKUP(WSP$11,Assumptions!$B$35:$H$35,_xlfn.XLOOKUP($C28,Assumptions!$B$36:$B$41,Assumptions!$B$36:$H$41))</f>
        <v>0</v>
      </c>
      <c r="WSQ28">
        <f t="array" ref="WSQ28">_xlfn.XLOOKUP(WSQ$11,Assumptions!$B$35:$H$35,_xlfn.XLOOKUP($C28,Assumptions!$B$36:$B$41,Assumptions!$B$36:$H$41))</f>
        <v>0</v>
      </c>
      <c r="WSR28">
        <f t="array" ref="WSR28">_xlfn.XLOOKUP(WSR$11,Assumptions!$B$35:$H$35,_xlfn.XLOOKUP($C28,Assumptions!$B$36:$B$41,Assumptions!$B$36:$H$41))</f>
        <v>0</v>
      </c>
      <c r="WSS28">
        <f t="array" ref="WSS28">_xlfn.XLOOKUP(WSS$11,Assumptions!$B$35:$H$35,_xlfn.XLOOKUP($C28,Assumptions!$B$36:$B$41,Assumptions!$B$36:$H$41))</f>
        <v>0</v>
      </c>
      <c r="WST28">
        <f t="array" ref="WST28">_xlfn.XLOOKUP(WST$11,Assumptions!$B$35:$H$35,_xlfn.XLOOKUP($C28,Assumptions!$B$36:$B$41,Assumptions!$B$36:$H$41))</f>
        <v>0</v>
      </c>
      <c r="WSU28">
        <f t="array" ref="WSU28">_xlfn.XLOOKUP(WSU$11,Assumptions!$B$35:$H$35,_xlfn.XLOOKUP($C28,Assumptions!$B$36:$B$41,Assumptions!$B$36:$H$41))</f>
        <v>0</v>
      </c>
      <c r="WSV28">
        <f t="array" ref="WSV28">_xlfn.XLOOKUP(WSV$11,Assumptions!$B$35:$H$35,_xlfn.XLOOKUP($C28,Assumptions!$B$36:$B$41,Assumptions!$B$36:$H$41))</f>
        <v>0</v>
      </c>
      <c r="WSW28">
        <f t="array" ref="WSW28">_xlfn.XLOOKUP(WSW$11,Assumptions!$B$35:$H$35,_xlfn.XLOOKUP($C28,Assumptions!$B$36:$B$41,Assumptions!$B$36:$H$41))</f>
        <v>0</v>
      </c>
      <c r="WSX28">
        <f t="array" ref="WSX28">_xlfn.XLOOKUP(WSX$11,Assumptions!$B$35:$H$35,_xlfn.XLOOKUP($C28,Assumptions!$B$36:$B$41,Assumptions!$B$36:$H$41))</f>
        <v>0</v>
      </c>
      <c r="WSY28">
        <f t="array" ref="WSY28">_xlfn.XLOOKUP(WSY$11,Assumptions!$B$35:$H$35,_xlfn.XLOOKUP($C28,Assumptions!$B$36:$B$41,Assumptions!$B$36:$H$41))</f>
        <v>0</v>
      </c>
      <c r="WSZ28">
        <f t="array" ref="WSZ28">_xlfn.XLOOKUP(WSZ$11,Assumptions!$B$35:$H$35,_xlfn.XLOOKUP($C28,Assumptions!$B$36:$B$41,Assumptions!$B$36:$H$41))</f>
        <v>0</v>
      </c>
      <c r="WTA28">
        <f t="array" ref="WTA28">_xlfn.XLOOKUP(WTA$11,Assumptions!$B$35:$H$35,_xlfn.XLOOKUP($C28,Assumptions!$B$36:$B$41,Assumptions!$B$36:$H$41))</f>
        <v>0</v>
      </c>
      <c r="WTB28">
        <f t="array" ref="WTB28">_xlfn.XLOOKUP(WTB$11,Assumptions!$B$35:$H$35,_xlfn.XLOOKUP($C28,Assumptions!$B$36:$B$41,Assumptions!$B$36:$H$41))</f>
        <v>0</v>
      </c>
      <c r="WTC28">
        <f t="array" ref="WTC28">_xlfn.XLOOKUP(WTC$11,Assumptions!$B$35:$H$35,_xlfn.XLOOKUP($C28,Assumptions!$B$36:$B$41,Assumptions!$B$36:$H$41))</f>
        <v>0</v>
      </c>
      <c r="WTD28">
        <f t="array" ref="WTD28">_xlfn.XLOOKUP(WTD$11,Assumptions!$B$35:$H$35,_xlfn.XLOOKUP($C28,Assumptions!$B$36:$B$41,Assumptions!$B$36:$H$41))</f>
        <v>0</v>
      </c>
      <c r="WTE28">
        <f t="array" ref="WTE28">_xlfn.XLOOKUP(WTE$11,Assumptions!$B$35:$H$35,_xlfn.XLOOKUP($C28,Assumptions!$B$36:$B$41,Assumptions!$B$36:$H$41))</f>
        <v>0</v>
      </c>
      <c r="WTF28">
        <f t="array" ref="WTF28">_xlfn.XLOOKUP(WTF$11,Assumptions!$B$35:$H$35,_xlfn.XLOOKUP($C28,Assumptions!$B$36:$B$41,Assumptions!$B$36:$H$41))</f>
        <v>0</v>
      </c>
      <c r="WTG28">
        <f t="array" ref="WTG28">_xlfn.XLOOKUP(WTG$11,Assumptions!$B$35:$H$35,_xlfn.XLOOKUP($C28,Assumptions!$B$36:$B$41,Assumptions!$B$36:$H$41))</f>
        <v>0</v>
      </c>
      <c r="WTH28">
        <f t="array" ref="WTH28">_xlfn.XLOOKUP(WTH$11,Assumptions!$B$35:$H$35,_xlfn.XLOOKUP($C28,Assumptions!$B$36:$B$41,Assumptions!$B$36:$H$41))</f>
        <v>0</v>
      </c>
      <c r="WTI28">
        <f t="array" ref="WTI28">_xlfn.XLOOKUP(WTI$11,Assumptions!$B$35:$H$35,_xlfn.XLOOKUP($C28,Assumptions!$B$36:$B$41,Assumptions!$B$36:$H$41))</f>
        <v>0</v>
      </c>
      <c r="WTJ28">
        <f t="array" ref="WTJ28">_xlfn.XLOOKUP(WTJ$11,Assumptions!$B$35:$H$35,_xlfn.XLOOKUP($C28,Assumptions!$B$36:$B$41,Assumptions!$B$36:$H$41))</f>
        <v>0</v>
      </c>
      <c r="WTK28">
        <f t="array" ref="WTK28">_xlfn.XLOOKUP(WTK$11,Assumptions!$B$35:$H$35,_xlfn.XLOOKUP($C28,Assumptions!$B$36:$B$41,Assumptions!$B$36:$H$41))</f>
        <v>0</v>
      </c>
      <c r="WTL28">
        <f t="array" ref="WTL28">_xlfn.XLOOKUP(WTL$11,Assumptions!$B$35:$H$35,_xlfn.XLOOKUP($C28,Assumptions!$B$36:$B$41,Assumptions!$B$36:$H$41))</f>
        <v>0</v>
      </c>
      <c r="WTM28">
        <f t="array" ref="WTM28">_xlfn.XLOOKUP(WTM$11,Assumptions!$B$35:$H$35,_xlfn.XLOOKUP($C28,Assumptions!$B$36:$B$41,Assumptions!$B$36:$H$41))</f>
        <v>0</v>
      </c>
      <c r="WTN28">
        <f t="array" ref="WTN28">_xlfn.XLOOKUP(WTN$11,Assumptions!$B$35:$H$35,_xlfn.XLOOKUP($C28,Assumptions!$B$36:$B$41,Assumptions!$B$36:$H$41))</f>
        <v>0</v>
      </c>
      <c r="WTO28">
        <f t="array" ref="WTO28">_xlfn.XLOOKUP(WTO$11,Assumptions!$B$35:$H$35,_xlfn.XLOOKUP($C28,Assumptions!$B$36:$B$41,Assumptions!$B$36:$H$41))</f>
        <v>0</v>
      </c>
      <c r="WTP28">
        <f t="array" ref="WTP28">_xlfn.XLOOKUP(WTP$11,Assumptions!$B$35:$H$35,_xlfn.XLOOKUP($C28,Assumptions!$B$36:$B$41,Assumptions!$B$36:$H$41))</f>
        <v>0</v>
      </c>
      <c r="WTQ28">
        <f t="array" ref="WTQ28">_xlfn.XLOOKUP(WTQ$11,Assumptions!$B$35:$H$35,_xlfn.XLOOKUP($C28,Assumptions!$B$36:$B$41,Assumptions!$B$36:$H$41))</f>
        <v>0</v>
      </c>
      <c r="WTR28">
        <f t="array" ref="WTR28">_xlfn.XLOOKUP(WTR$11,Assumptions!$B$35:$H$35,_xlfn.XLOOKUP($C28,Assumptions!$B$36:$B$41,Assumptions!$B$36:$H$41))</f>
        <v>0</v>
      </c>
      <c r="WTS28">
        <f t="array" ref="WTS28">_xlfn.XLOOKUP(WTS$11,Assumptions!$B$35:$H$35,_xlfn.XLOOKUP($C28,Assumptions!$B$36:$B$41,Assumptions!$B$36:$H$41))</f>
        <v>0</v>
      </c>
      <c r="WTT28">
        <f t="array" ref="WTT28">_xlfn.XLOOKUP(WTT$11,Assumptions!$B$35:$H$35,_xlfn.XLOOKUP($C28,Assumptions!$B$36:$B$41,Assumptions!$B$36:$H$41))</f>
        <v>0</v>
      </c>
      <c r="WTU28">
        <f t="array" ref="WTU28">_xlfn.XLOOKUP(WTU$11,Assumptions!$B$35:$H$35,_xlfn.XLOOKUP($C28,Assumptions!$B$36:$B$41,Assumptions!$B$36:$H$41))</f>
        <v>0</v>
      </c>
      <c r="WTV28">
        <f t="array" ref="WTV28">_xlfn.XLOOKUP(WTV$11,Assumptions!$B$35:$H$35,_xlfn.XLOOKUP($C28,Assumptions!$B$36:$B$41,Assumptions!$B$36:$H$41))</f>
        <v>0</v>
      </c>
      <c r="WTW28">
        <f t="array" ref="WTW28">_xlfn.XLOOKUP(WTW$11,Assumptions!$B$35:$H$35,_xlfn.XLOOKUP($C28,Assumptions!$B$36:$B$41,Assumptions!$B$36:$H$41))</f>
        <v>0</v>
      </c>
      <c r="WTX28">
        <f t="array" ref="WTX28">_xlfn.XLOOKUP(WTX$11,Assumptions!$B$35:$H$35,_xlfn.XLOOKUP($C28,Assumptions!$B$36:$B$41,Assumptions!$B$36:$H$41))</f>
        <v>0</v>
      </c>
      <c r="WTY28">
        <f t="array" ref="WTY28">_xlfn.XLOOKUP(WTY$11,Assumptions!$B$35:$H$35,_xlfn.XLOOKUP($C28,Assumptions!$B$36:$B$41,Assumptions!$B$36:$H$41))</f>
        <v>0</v>
      </c>
      <c r="WTZ28">
        <f t="array" ref="WTZ28">_xlfn.XLOOKUP(WTZ$11,Assumptions!$B$35:$H$35,_xlfn.XLOOKUP($C28,Assumptions!$B$36:$B$41,Assumptions!$B$36:$H$41))</f>
        <v>0</v>
      </c>
      <c r="WUA28">
        <f t="array" ref="WUA28">_xlfn.XLOOKUP(WUA$11,Assumptions!$B$35:$H$35,_xlfn.XLOOKUP($C28,Assumptions!$B$36:$B$41,Assumptions!$B$36:$H$41))</f>
        <v>0</v>
      </c>
      <c r="WUB28">
        <f t="array" ref="WUB28">_xlfn.XLOOKUP(WUB$11,Assumptions!$B$35:$H$35,_xlfn.XLOOKUP($C28,Assumptions!$B$36:$B$41,Assumptions!$B$36:$H$41))</f>
        <v>0</v>
      </c>
      <c r="WUC28">
        <f t="array" ref="WUC28">_xlfn.XLOOKUP(WUC$11,Assumptions!$B$35:$H$35,_xlfn.XLOOKUP($C28,Assumptions!$B$36:$B$41,Assumptions!$B$36:$H$41))</f>
        <v>0</v>
      </c>
      <c r="WUD28">
        <f t="array" ref="WUD28">_xlfn.XLOOKUP(WUD$11,Assumptions!$B$35:$H$35,_xlfn.XLOOKUP($C28,Assumptions!$B$36:$B$41,Assumptions!$B$36:$H$41))</f>
        <v>0</v>
      </c>
      <c r="WUE28">
        <f t="array" ref="WUE28">_xlfn.XLOOKUP(WUE$11,Assumptions!$B$35:$H$35,_xlfn.XLOOKUP($C28,Assumptions!$B$36:$B$41,Assumptions!$B$36:$H$41))</f>
        <v>0</v>
      </c>
      <c r="WUF28">
        <f t="array" ref="WUF28">_xlfn.XLOOKUP(WUF$11,Assumptions!$B$35:$H$35,_xlfn.XLOOKUP($C28,Assumptions!$B$36:$B$41,Assumptions!$B$36:$H$41))</f>
        <v>0</v>
      </c>
      <c r="WUG28">
        <f t="array" ref="WUG28">_xlfn.XLOOKUP(WUG$11,Assumptions!$B$35:$H$35,_xlfn.XLOOKUP($C28,Assumptions!$B$36:$B$41,Assumptions!$B$36:$H$41))</f>
        <v>0</v>
      </c>
      <c r="WUH28">
        <f t="array" ref="WUH28">_xlfn.XLOOKUP(WUH$11,Assumptions!$B$35:$H$35,_xlfn.XLOOKUP($C28,Assumptions!$B$36:$B$41,Assumptions!$B$36:$H$41))</f>
        <v>0</v>
      </c>
      <c r="WUI28">
        <f t="array" ref="WUI28">_xlfn.XLOOKUP(WUI$11,Assumptions!$B$35:$H$35,_xlfn.XLOOKUP($C28,Assumptions!$B$36:$B$41,Assumptions!$B$36:$H$41))</f>
        <v>0</v>
      </c>
      <c r="WUJ28">
        <f t="array" ref="WUJ28">_xlfn.XLOOKUP(WUJ$11,Assumptions!$B$35:$H$35,_xlfn.XLOOKUP($C28,Assumptions!$B$36:$B$41,Assumptions!$B$36:$H$41))</f>
        <v>0</v>
      </c>
      <c r="WUK28">
        <f t="array" ref="WUK28">_xlfn.XLOOKUP(WUK$11,Assumptions!$B$35:$H$35,_xlfn.XLOOKUP($C28,Assumptions!$B$36:$B$41,Assumptions!$B$36:$H$41))</f>
        <v>0</v>
      </c>
      <c r="WUL28">
        <f t="array" ref="WUL28">_xlfn.XLOOKUP(WUL$11,Assumptions!$B$35:$H$35,_xlfn.XLOOKUP($C28,Assumptions!$B$36:$B$41,Assumptions!$B$36:$H$41))</f>
        <v>0</v>
      </c>
      <c r="WUM28">
        <f t="array" ref="WUM28">_xlfn.XLOOKUP(WUM$11,Assumptions!$B$35:$H$35,_xlfn.XLOOKUP($C28,Assumptions!$B$36:$B$41,Assumptions!$B$36:$H$41))</f>
        <v>0</v>
      </c>
      <c r="WUN28">
        <f t="array" ref="WUN28">_xlfn.XLOOKUP(WUN$11,Assumptions!$B$35:$H$35,_xlfn.XLOOKUP($C28,Assumptions!$B$36:$B$41,Assumptions!$B$36:$H$41))</f>
        <v>0</v>
      </c>
      <c r="WUO28">
        <f t="array" ref="WUO28">_xlfn.XLOOKUP(WUO$11,Assumptions!$B$35:$H$35,_xlfn.XLOOKUP($C28,Assumptions!$B$36:$B$41,Assumptions!$B$36:$H$41))</f>
        <v>0</v>
      </c>
      <c r="WUP28">
        <f t="array" ref="WUP28">_xlfn.XLOOKUP(WUP$11,Assumptions!$B$35:$H$35,_xlfn.XLOOKUP($C28,Assumptions!$B$36:$B$41,Assumptions!$B$36:$H$41))</f>
        <v>0</v>
      </c>
      <c r="WUQ28">
        <f t="array" ref="WUQ28">_xlfn.XLOOKUP(WUQ$11,Assumptions!$B$35:$H$35,_xlfn.XLOOKUP($C28,Assumptions!$B$36:$B$41,Assumptions!$B$36:$H$41))</f>
        <v>0</v>
      </c>
      <c r="WUR28">
        <f t="array" ref="WUR28">_xlfn.XLOOKUP(WUR$11,Assumptions!$B$35:$H$35,_xlfn.XLOOKUP($C28,Assumptions!$B$36:$B$41,Assumptions!$B$36:$H$41))</f>
        <v>0</v>
      </c>
      <c r="WUS28">
        <f t="array" ref="WUS28">_xlfn.XLOOKUP(WUS$11,Assumptions!$B$35:$H$35,_xlfn.XLOOKUP($C28,Assumptions!$B$36:$B$41,Assumptions!$B$36:$H$41))</f>
        <v>0</v>
      </c>
      <c r="WUT28">
        <f t="array" ref="WUT28">_xlfn.XLOOKUP(WUT$11,Assumptions!$B$35:$H$35,_xlfn.XLOOKUP($C28,Assumptions!$B$36:$B$41,Assumptions!$B$36:$H$41))</f>
        <v>0</v>
      </c>
      <c r="WUU28">
        <f t="array" ref="WUU28">_xlfn.XLOOKUP(WUU$11,Assumptions!$B$35:$H$35,_xlfn.XLOOKUP($C28,Assumptions!$B$36:$B$41,Assumptions!$B$36:$H$41))</f>
        <v>0</v>
      </c>
      <c r="WUV28">
        <f t="array" ref="WUV28">_xlfn.XLOOKUP(WUV$11,Assumptions!$B$35:$H$35,_xlfn.XLOOKUP($C28,Assumptions!$B$36:$B$41,Assumptions!$B$36:$H$41))</f>
        <v>0</v>
      </c>
      <c r="WUW28">
        <f t="array" ref="WUW28">_xlfn.XLOOKUP(WUW$11,Assumptions!$B$35:$H$35,_xlfn.XLOOKUP($C28,Assumptions!$B$36:$B$41,Assumptions!$B$36:$H$41))</f>
        <v>0</v>
      </c>
      <c r="WUX28">
        <f t="array" ref="WUX28">_xlfn.XLOOKUP(WUX$11,Assumptions!$B$35:$H$35,_xlfn.XLOOKUP($C28,Assumptions!$B$36:$B$41,Assumptions!$B$36:$H$41))</f>
        <v>0</v>
      </c>
      <c r="WUY28">
        <f t="array" ref="WUY28">_xlfn.XLOOKUP(WUY$11,Assumptions!$B$35:$H$35,_xlfn.XLOOKUP($C28,Assumptions!$B$36:$B$41,Assumptions!$B$36:$H$41))</f>
        <v>0</v>
      </c>
      <c r="WUZ28">
        <f t="array" ref="WUZ28">_xlfn.XLOOKUP(WUZ$11,Assumptions!$B$35:$H$35,_xlfn.XLOOKUP($C28,Assumptions!$B$36:$B$41,Assumptions!$B$36:$H$41))</f>
        <v>0</v>
      </c>
      <c r="WVA28">
        <f t="array" ref="WVA28">_xlfn.XLOOKUP(WVA$11,Assumptions!$B$35:$H$35,_xlfn.XLOOKUP($C28,Assumptions!$B$36:$B$41,Assumptions!$B$36:$H$41))</f>
        <v>0</v>
      </c>
      <c r="WVB28">
        <f t="array" ref="WVB28">_xlfn.XLOOKUP(WVB$11,Assumptions!$B$35:$H$35,_xlfn.XLOOKUP($C28,Assumptions!$B$36:$B$41,Assumptions!$B$36:$H$41))</f>
        <v>0</v>
      </c>
      <c r="WVC28">
        <f t="array" ref="WVC28">_xlfn.XLOOKUP(WVC$11,Assumptions!$B$35:$H$35,_xlfn.XLOOKUP($C28,Assumptions!$B$36:$B$41,Assumptions!$B$36:$H$41))</f>
        <v>0</v>
      </c>
      <c r="WVD28">
        <f t="array" ref="WVD28">_xlfn.XLOOKUP(WVD$11,Assumptions!$B$35:$H$35,_xlfn.XLOOKUP($C28,Assumptions!$B$36:$B$41,Assumptions!$B$36:$H$41))</f>
        <v>0</v>
      </c>
      <c r="WVE28">
        <f t="array" ref="WVE28">_xlfn.XLOOKUP(WVE$11,Assumptions!$B$35:$H$35,_xlfn.XLOOKUP($C28,Assumptions!$B$36:$B$41,Assumptions!$B$36:$H$41))</f>
        <v>0</v>
      </c>
      <c r="WVF28">
        <f t="array" ref="WVF28">_xlfn.XLOOKUP(WVF$11,Assumptions!$B$35:$H$35,_xlfn.XLOOKUP($C28,Assumptions!$B$36:$B$41,Assumptions!$B$36:$H$41))</f>
        <v>0</v>
      </c>
      <c r="WVG28">
        <f t="array" ref="WVG28">_xlfn.XLOOKUP(WVG$11,Assumptions!$B$35:$H$35,_xlfn.XLOOKUP($C28,Assumptions!$B$36:$B$41,Assumptions!$B$36:$H$41))</f>
        <v>0</v>
      </c>
      <c r="WVH28">
        <f t="array" ref="WVH28">_xlfn.XLOOKUP(WVH$11,Assumptions!$B$35:$H$35,_xlfn.XLOOKUP($C28,Assumptions!$B$36:$B$41,Assumptions!$B$36:$H$41))</f>
        <v>0</v>
      </c>
      <c r="WVI28">
        <f t="array" ref="WVI28">_xlfn.XLOOKUP(WVI$11,Assumptions!$B$35:$H$35,_xlfn.XLOOKUP($C28,Assumptions!$B$36:$B$41,Assumptions!$B$36:$H$41))</f>
        <v>0</v>
      </c>
      <c r="WVJ28">
        <f t="array" ref="WVJ28">_xlfn.XLOOKUP(WVJ$11,Assumptions!$B$35:$H$35,_xlfn.XLOOKUP($C28,Assumptions!$B$36:$B$41,Assumptions!$B$36:$H$41))</f>
        <v>0</v>
      </c>
      <c r="WVK28">
        <f t="array" ref="WVK28">_xlfn.XLOOKUP(WVK$11,Assumptions!$B$35:$H$35,_xlfn.XLOOKUP($C28,Assumptions!$B$36:$B$41,Assumptions!$B$36:$H$41))</f>
        <v>0</v>
      </c>
      <c r="WVL28">
        <f t="array" ref="WVL28">_xlfn.XLOOKUP(WVL$11,Assumptions!$B$35:$H$35,_xlfn.XLOOKUP($C28,Assumptions!$B$36:$B$41,Assumptions!$B$36:$H$41))</f>
        <v>0</v>
      </c>
      <c r="WVM28">
        <f t="array" ref="WVM28">_xlfn.XLOOKUP(WVM$11,Assumptions!$B$35:$H$35,_xlfn.XLOOKUP($C28,Assumptions!$B$36:$B$41,Assumptions!$B$36:$H$41))</f>
        <v>0</v>
      </c>
      <c r="WVN28">
        <f t="array" ref="WVN28">_xlfn.XLOOKUP(WVN$11,Assumptions!$B$35:$H$35,_xlfn.XLOOKUP($C28,Assumptions!$B$36:$B$41,Assumptions!$B$36:$H$41))</f>
        <v>0</v>
      </c>
      <c r="WVO28">
        <f t="array" ref="WVO28">_xlfn.XLOOKUP(WVO$11,Assumptions!$B$35:$H$35,_xlfn.XLOOKUP($C28,Assumptions!$B$36:$B$41,Assumptions!$B$36:$H$41))</f>
        <v>0</v>
      </c>
      <c r="WVP28">
        <f t="array" ref="WVP28">_xlfn.XLOOKUP(WVP$11,Assumptions!$B$35:$H$35,_xlfn.XLOOKUP($C28,Assumptions!$B$36:$B$41,Assumptions!$B$36:$H$41))</f>
        <v>0</v>
      </c>
      <c r="WVQ28">
        <f t="array" ref="WVQ28">_xlfn.XLOOKUP(WVQ$11,Assumptions!$B$35:$H$35,_xlfn.XLOOKUP($C28,Assumptions!$B$36:$B$41,Assumptions!$B$36:$H$41))</f>
        <v>0</v>
      </c>
      <c r="WVR28">
        <f t="array" ref="WVR28">_xlfn.XLOOKUP(WVR$11,Assumptions!$B$35:$H$35,_xlfn.XLOOKUP($C28,Assumptions!$B$36:$B$41,Assumptions!$B$36:$H$41))</f>
        <v>0</v>
      </c>
      <c r="WVS28">
        <f t="array" ref="WVS28">_xlfn.XLOOKUP(WVS$11,Assumptions!$B$35:$H$35,_xlfn.XLOOKUP($C28,Assumptions!$B$36:$B$41,Assumptions!$B$36:$H$41))</f>
        <v>0</v>
      </c>
      <c r="WVT28">
        <f t="array" ref="WVT28">_xlfn.XLOOKUP(WVT$11,Assumptions!$B$35:$H$35,_xlfn.XLOOKUP($C28,Assumptions!$B$36:$B$41,Assumptions!$B$36:$H$41))</f>
        <v>0</v>
      </c>
      <c r="WVU28">
        <f t="array" ref="WVU28">_xlfn.XLOOKUP(WVU$11,Assumptions!$B$35:$H$35,_xlfn.XLOOKUP($C28,Assumptions!$B$36:$B$41,Assumptions!$B$36:$H$41))</f>
        <v>0</v>
      </c>
      <c r="WVV28">
        <f t="array" ref="WVV28">_xlfn.XLOOKUP(WVV$11,Assumptions!$B$35:$H$35,_xlfn.XLOOKUP($C28,Assumptions!$B$36:$B$41,Assumptions!$B$36:$H$41))</f>
        <v>0</v>
      </c>
      <c r="WVW28">
        <f t="array" ref="WVW28">_xlfn.XLOOKUP(WVW$11,Assumptions!$B$35:$H$35,_xlfn.XLOOKUP($C28,Assumptions!$B$36:$B$41,Assumptions!$B$36:$H$41))</f>
        <v>0</v>
      </c>
      <c r="WVX28">
        <f t="array" ref="WVX28">_xlfn.XLOOKUP(WVX$11,Assumptions!$B$35:$H$35,_xlfn.XLOOKUP($C28,Assumptions!$B$36:$B$41,Assumptions!$B$36:$H$41))</f>
        <v>0</v>
      </c>
      <c r="WVY28">
        <f t="array" ref="WVY28">_xlfn.XLOOKUP(WVY$11,Assumptions!$B$35:$H$35,_xlfn.XLOOKUP($C28,Assumptions!$B$36:$B$41,Assumptions!$B$36:$H$41))</f>
        <v>0</v>
      </c>
      <c r="WVZ28">
        <f t="array" ref="WVZ28">_xlfn.XLOOKUP(WVZ$11,Assumptions!$B$35:$H$35,_xlfn.XLOOKUP($C28,Assumptions!$B$36:$B$41,Assumptions!$B$36:$H$41))</f>
        <v>0</v>
      </c>
      <c r="WWA28">
        <f t="array" ref="WWA28">_xlfn.XLOOKUP(WWA$11,Assumptions!$B$35:$H$35,_xlfn.XLOOKUP($C28,Assumptions!$B$36:$B$41,Assumptions!$B$36:$H$41))</f>
        <v>0</v>
      </c>
      <c r="WWB28">
        <f t="array" ref="WWB28">_xlfn.XLOOKUP(WWB$11,Assumptions!$B$35:$H$35,_xlfn.XLOOKUP($C28,Assumptions!$B$36:$B$41,Assumptions!$B$36:$H$41))</f>
        <v>0</v>
      </c>
      <c r="WWC28">
        <f t="array" ref="WWC28">_xlfn.XLOOKUP(WWC$11,Assumptions!$B$35:$H$35,_xlfn.XLOOKUP($C28,Assumptions!$B$36:$B$41,Assumptions!$B$36:$H$41))</f>
        <v>0</v>
      </c>
      <c r="WWD28">
        <f t="array" ref="WWD28">_xlfn.XLOOKUP(WWD$11,Assumptions!$B$35:$H$35,_xlfn.XLOOKUP($C28,Assumptions!$B$36:$B$41,Assumptions!$B$36:$H$41))</f>
        <v>0</v>
      </c>
      <c r="WWE28">
        <f t="array" ref="WWE28">_xlfn.XLOOKUP(WWE$11,Assumptions!$B$35:$H$35,_xlfn.XLOOKUP($C28,Assumptions!$B$36:$B$41,Assumptions!$B$36:$H$41))</f>
        <v>0</v>
      </c>
      <c r="WWF28">
        <f t="array" ref="WWF28">_xlfn.XLOOKUP(WWF$11,Assumptions!$B$35:$H$35,_xlfn.XLOOKUP($C28,Assumptions!$B$36:$B$41,Assumptions!$B$36:$H$41))</f>
        <v>0</v>
      </c>
      <c r="WWG28">
        <f t="array" ref="WWG28">_xlfn.XLOOKUP(WWG$11,Assumptions!$B$35:$H$35,_xlfn.XLOOKUP($C28,Assumptions!$B$36:$B$41,Assumptions!$B$36:$H$41))</f>
        <v>0</v>
      </c>
      <c r="WWH28">
        <f t="array" ref="WWH28">_xlfn.XLOOKUP(WWH$11,Assumptions!$B$35:$H$35,_xlfn.XLOOKUP($C28,Assumptions!$B$36:$B$41,Assumptions!$B$36:$H$41))</f>
        <v>0</v>
      </c>
      <c r="WWI28">
        <f t="array" ref="WWI28">_xlfn.XLOOKUP(WWI$11,Assumptions!$B$35:$H$35,_xlfn.XLOOKUP($C28,Assumptions!$B$36:$B$41,Assumptions!$B$36:$H$41))</f>
        <v>0</v>
      </c>
      <c r="WWJ28">
        <f t="array" ref="WWJ28">_xlfn.XLOOKUP(WWJ$11,Assumptions!$B$35:$H$35,_xlfn.XLOOKUP($C28,Assumptions!$B$36:$B$41,Assumptions!$B$36:$H$41))</f>
        <v>0</v>
      </c>
      <c r="WWK28">
        <f t="array" ref="WWK28">_xlfn.XLOOKUP(WWK$11,Assumptions!$B$35:$H$35,_xlfn.XLOOKUP($C28,Assumptions!$B$36:$B$41,Assumptions!$B$36:$H$41))</f>
        <v>0</v>
      </c>
      <c r="WWL28">
        <f t="array" ref="WWL28">_xlfn.XLOOKUP(WWL$11,Assumptions!$B$35:$H$35,_xlfn.XLOOKUP($C28,Assumptions!$B$36:$B$41,Assumptions!$B$36:$H$41))</f>
        <v>0</v>
      </c>
      <c r="WWM28">
        <f t="array" ref="WWM28">_xlfn.XLOOKUP(WWM$11,Assumptions!$B$35:$H$35,_xlfn.XLOOKUP($C28,Assumptions!$B$36:$B$41,Assumptions!$B$36:$H$41))</f>
        <v>0</v>
      </c>
      <c r="WWN28">
        <f t="array" ref="WWN28">_xlfn.XLOOKUP(WWN$11,Assumptions!$B$35:$H$35,_xlfn.XLOOKUP($C28,Assumptions!$B$36:$B$41,Assumptions!$B$36:$H$41))</f>
        <v>0</v>
      </c>
      <c r="WWO28">
        <f t="array" ref="WWO28">_xlfn.XLOOKUP(WWO$11,Assumptions!$B$35:$H$35,_xlfn.XLOOKUP($C28,Assumptions!$B$36:$B$41,Assumptions!$B$36:$H$41))</f>
        <v>0</v>
      </c>
      <c r="WWP28">
        <f t="array" ref="WWP28">_xlfn.XLOOKUP(WWP$11,Assumptions!$B$35:$H$35,_xlfn.XLOOKUP($C28,Assumptions!$B$36:$B$41,Assumptions!$B$36:$H$41))</f>
        <v>0</v>
      </c>
      <c r="WWQ28">
        <f t="array" ref="WWQ28">_xlfn.XLOOKUP(WWQ$11,Assumptions!$B$35:$H$35,_xlfn.XLOOKUP($C28,Assumptions!$B$36:$B$41,Assumptions!$B$36:$H$41))</f>
        <v>0</v>
      </c>
      <c r="WWR28">
        <f t="array" ref="WWR28">_xlfn.XLOOKUP(WWR$11,Assumptions!$B$35:$H$35,_xlfn.XLOOKUP($C28,Assumptions!$B$36:$B$41,Assumptions!$B$36:$H$41))</f>
        <v>0</v>
      </c>
      <c r="WWS28">
        <f t="array" ref="WWS28">_xlfn.XLOOKUP(WWS$11,Assumptions!$B$35:$H$35,_xlfn.XLOOKUP($C28,Assumptions!$B$36:$B$41,Assumptions!$B$36:$H$41))</f>
        <v>0</v>
      </c>
      <c r="WWT28">
        <f t="array" ref="WWT28">_xlfn.XLOOKUP(WWT$11,Assumptions!$B$35:$H$35,_xlfn.XLOOKUP($C28,Assumptions!$B$36:$B$41,Assumptions!$B$36:$H$41))</f>
        <v>0</v>
      </c>
      <c r="WWU28">
        <f t="array" ref="WWU28">_xlfn.XLOOKUP(WWU$11,Assumptions!$B$35:$H$35,_xlfn.XLOOKUP($C28,Assumptions!$B$36:$B$41,Assumptions!$B$36:$H$41))</f>
        <v>0</v>
      </c>
      <c r="WWV28">
        <f t="array" ref="WWV28">_xlfn.XLOOKUP(WWV$11,Assumptions!$B$35:$H$35,_xlfn.XLOOKUP($C28,Assumptions!$B$36:$B$41,Assumptions!$B$36:$H$41))</f>
        <v>0</v>
      </c>
      <c r="WWW28">
        <f t="array" ref="WWW28">_xlfn.XLOOKUP(WWW$11,Assumptions!$B$35:$H$35,_xlfn.XLOOKUP($C28,Assumptions!$B$36:$B$41,Assumptions!$B$36:$H$41))</f>
        <v>0</v>
      </c>
      <c r="WWX28">
        <f t="array" ref="WWX28">_xlfn.XLOOKUP(WWX$11,Assumptions!$B$35:$H$35,_xlfn.XLOOKUP($C28,Assumptions!$B$36:$B$41,Assumptions!$B$36:$H$41))</f>
        <v>0</v>
      </c>
      <c r="WWY28">
        <f t="array" ref="WWY28">_xlfn.XLOOKUP(WWY$11,Assumptions!$B$35:$H$35,_xlfn.XLOOKUP($C28,Assumptions!$B$36:$B$41,Assumptions!$B$36:$H$41))</f>
        <v>0</v>
      </c>
      <c r="WWZ28">
        <f t="array" ref="WWZ28">_xlfn.XLOOKUP(WWZ$11,Assumptions!$B$35:$H$35,_xlfn.XLOOKUP($C28,Assumptions!$B$36:$B$41,Assumptions!$B$36:$H$41))</f>
        <v>0</v>
      </c>
      <c r="WXA28">
        <f t="array" ref="WXA28">_xlfn.XLOOKUP(WXA$11,Assumptions!$B$35:$H$35,_xlfn.XLOOKUP($C28,Assumptions!$B$36:$B$41,Assumptions!$B$36:$H$41))</f>
        <v>0</v>
      </c>
      <c r="WXB28">
        <f t="array" ref="WXB28">_xlfn.XLOOKUP(WXB$11,Assumptions!$B$35:$H$35,_xlfn.XLOOKUP($C28,Assumptions!$B$36:$B$41,Assumptions!$B$36:$H$41))</f>
        <v>0</v>
      </c>
      <c r="WXC28">
        <f t="array" ref="WXC28">_xlfn.XLOOKUP(WXC$11,Assumptions!$B$35:$H$35,_xlfn.XLOOKUP($C28,Assumptions!$B$36:$B$41,Assumptions!$B$36:$H$41))</f>
        <v>0</v>
      </c>
      <c r="WXD28">
        <f t="array" ref="WXD28">_xlfn.XLOOKUP(WXD$11,Assumptions!$B$35:$H$35,_xlfn.XLOOKUP($C28,Assumptions!$B$36:$B$41,Assumptions!$B$36:$H$41))</f>
        <v>0</v>
      </c>
      <c r="WXE28">
        <f t="array" ref="WXE28">_xlfn.XLOOKUP(WXE$11,Assumptions!$B$35:$H$35,_xlfn.XLOOKUP($C28,Assumptions!$B$36:$B$41,Assumptions!$B$36:$H$41))</f>
        <v>0</v>
      </c>
      <c r="WXF28">
        <f t="array" ref="WXF28">_xlfn.XLOOKUP(WXF$11,Assumptions!$B$35:$H$35,_xlfn.XLOOKUP($C28,Assumptions!$B$36:$B$41,Assumptions!$B$36:$H$41))</f>
        <v>0</v>
      </c>
      <c r="WXG28">
        <f t="array" ref="WXG28">_xlfn.XLOOKUP(WXG$11,Assumptions!$B$35:$H$35,_xlfn.XLOOKUP($C28,Assumptions!$B$36:$B$41,Assumptions!$B$36:$H$41))</f>
        <v>0</v>
      </c>
      <c r="WXH28">
        <f t="array" ref="WXH28">_xlfn.XLOOKUP(WXH$11,Assumptions!$B$35:$H$35,_xlfn.XLOOKUP($C28,Assumptions!$B$36:$B$41,Assumptions!$B$36:$H$41))</f>
        <v>0</v>
      </c>
      <c r="WXI28">
        <f t="array" ref="WXI28">_xlfn.XLOOKUP(WXI$11,Assumptions!$B$35:$H$35,_xlfn.XLOOKUP($C28,Assumptions!$B$36:$B$41,Assumptions!$B$36:$H$41))</f>
        <v>0</v>
      </c>
      <c r="WXJ28">
        <f t="array" ref="WXJ28">_xlfn.XLOOKUP(WXJ$11,Assumptions!$B$35:$H$35,_xlfn.XLOOKUP($C28,Assumptions!$B$36:$B$41,Assumptions!$B$36:$H$41))</f>
        <v>0</v>
      </c>
      <c r="WXK28">
        <f t="array" ref="WXK28">_xlfn.XLOOKUP(WXK$11,Assumptions!$B$35:$H$35,_xlfn.XLOOKUP($C28,Assumptions!$B$36:$B$41,Assumptions!$B$36:$H$41))</f>
        <v>0</v>
      </c>
      <c r="WXL28">
        <f t="array" ref="WXL28">_xlfn.XLOOKUP(WXL$11,Assumptions!$B$35:$H$35,_xlfn.XLOOKUP($C28,Assumptions!$B$36:$B$41,Assumptions!$B$36:$H$41))</f>
        <v>0</v>
      </c>
      <c r="WXM28">
        <f t="array" ref="WXM28">_xlfn.XLOOKUP(WXM$11,Assumptions!$B$35:$H$35,_xlfn.XLOOKUP($C28,Assumptions!$B$36:$B$41,Assumptions!$B$36:$H$41))</f>
        <v>0</v>
      </c>
      <c r="WXN28">
        <f t="array" ref="WXN28">_xlfn.XLOOKUP(WXN$11,Assumptions!$B$35:$H$35,_xlfn.XLOOKUP($C28,Assumptions!$B$36:$B$41,Assumptions!$B$36:$H$41))</f>
        <v>0</v>
      </c>
      <c r="WXO28">
        <f t="array" ref="WXO28">_xlfn.XLOOKUP(WXO$11,Assumptions!$B$35:$H$35,_xlfn.XLOOKUP($C28,Assumptions!$B$36:$B$41,Assumptions!$B$36:$H$41))</f>
        <v>0</v>
      </c>
      <c r="WXP28">
        <f t="array" ref="WXP28">_xlfn.XLOOKUP(WXP$11,Assumptions!$B$35:$H$35,_xlfn.XLOOKUP($C28,Assumptions!$B$36:$B$41,Assumptions!$B$36:$H$41))</f>
        <v>0</v>
      </c>
      <c r="WXQ28">
        <f t="array" ref="WXQ28">_xlfn.XLOOKUP(WXQ$11,Assumptions!$B$35:$H$35,_xlfn.XLOOKUP($C28,Assumptions!$B$36:$B$41,Assumptions!$B$36:$H$41))</f>
        <v>0</v>
      </c>
      <c r="WXR28">
        <f t="array" ref="WXR28">_xlfn.XLOOKUP(WXR$11,Assumptions!$B$35:$H$35,_xlfn.XLOOKUP($C28,Assumptions!$B$36:$B$41,Assumptions!$B$36:$H$41))</f>
        <v>0</v>
      </c>
      <c r="WXS28">
        <f t="array" ref="WXS28">_xlfn.XLOOKUP(WXS$11,Assumptions!$B$35:$H$35,_xlfn.XLOOKUP($C28,Assumptions!$B$36:$B$41,Assumptions!$B$36:$H$41))</f>
        <v>0</v>
      </c>
      <c r="WXT28">
        <f t="array" ref="WXT28">_xlfn.XLOOKUP(WXT$11,Assumptions!$B$35:$H$35,_xlfn.XLOOKUP($C28,Assumptions!$B$36:$B$41,Assumptions!$B$36:$H$41))</f>
        <v>0</v>
      </c>
      <c r="WXU28">
        <f t="array" ref="WXU28">_xlfn.XLOOKUP(WXU$11,Assumptions!$B$35:$H$35,_xlfn.XLOOKUP($C28,Assumptions!$B$36:$B$41,Assumptions!$B$36:$H$41))</f>
        <v>0</v>
      </c>
      <c r="WXV28">
        <f t="array" ref="WXV28">_xlfn.XLOOKUP(WXV$11,Assumptions!$B$35:$H$35,_xlfn.XLOOKUP($C28,Assumptions!$B$36:$B$41,Assumptions!$B$36:$H$41))</f>
        <v>0</v>
      </c>
      <c r="WXW28">
        <f t="array" ref="WXW28">_xlfn.XLOOKUP(WXW$11,Assumptions!$B$35:$H$35,_xlfn.XLOOKUP($C28,Assumptions!$B$36:$B$41,Assumptions!$B$36:$H$41))</f>
        <v>0</v>
      </c>
      <c r="WXX28">
        <f t="array" ref="WXX28">_xlfn.XLOOKUP(WXX$11,Assumptions!$B$35:$H$35,_xlfn.XLOOKUP($C28,Assumptions!$B$36:$B$41,Assumptions!$B$36:$H$41))</f>
        <v>0</v>
      </c>
      <c r="WXY28">
        <f t="array" ref="WXY28">_xlfn.XLOOKUP(WXY$11,Assumptions!$B$35:$H$35,_xlfn.XLOOKUP($C28,Assumptions!$B$36:$B$41,Assumptions!$B$36:$H$41))</f>
        <v>0</v>
      </c>
      <c r="WXZ28">
        <f t="array" ref="WXZ28">_xlfn.XLOOKUP(WXZ$11,Assumptions!$B$35:$H$35,_xlfn.XLOOKUP($C28,Assumptions!$B$36:$B$41,Assumptions!$B$36:$H$41))</f>
        <v>0</v>
      </c>
      <c r="WYA28">
        <f t="array" ref="WYA28">_xlfn.XLOOKUP(WYA$11,Assumptions!$B$35:$H$35,_xlfn.XLOOKUP($C28,Assumptions!$B$36:$B$41,Assumptions!$B$36:$H$41))</f>
        <v>0</v>
      </c>
      <c r="WYB28">
        <f t="array" ref="WYB28">_xlfn.XLOOKUP(WYB$11,Assumptions!$B$35:$H$35,_xlfn.XLOOKUP($C28,Assumptions!$B$36:$B$41,Assumptions!$B$36:$H$41))</f>
        <v>0</v>
      </c>
      <c r="WYC28">
        <f t="array" ref="WYC28">_xlfn.XLOOKUP(WYC$11,Assumptions!$B$35:$H$35,_xlfn.XLOOKUP($C28,Assumptions!$B$36:$B$41,Assumptions!$B$36:$H$41))</f>
        <v>0</v>
      </c>
      <c r="WYD28">
        <f t="array" ref="WYD28">_xlfn.XLOOKUP(WYD$11,Assumptions!$B$35:$H$35,_xlfn.XLOOKUP($C28,Assumptions!$B$36:$B$41,Assumptions!$B$36:$H$41))</f>
        <v>0</v>
      </c>
      <c r="WYE28">
        <f t="array" ref="WYE28">_xlfn.XLOOKUP(WYE$11,Assumptions!$B$35:$H$35,_xlfn.XLOOKUP($C28,Assumptions!$B$36:$B$41,Assumptions!$B$36:$H$41))</f>
        <v>0</v>
      </c>
      <c r="WYF28">
        <f t="array" ref="WYF28">_xlfn.XLOOKUP(WYF$11,Assumptions!$B$35:$H$35,_xlfn.XLOOKUP($C28,Assumptions!$B$36:$B$41,Assumptions!$B$36:$H$41))</f>
        <v>0</v>
      </c>
      <c r="WYG28">
        <f t="array" ref="WYG28">_xlfn.XLOOKUP(WYG$11,Assumptions!$B$35:$H$35,_xlfn.XLOOKUP($C28,Assumptions!$B$36:$B$41,Assumptions!$B$36:$H$41))</f>
        <v>0</v>
      </c>
      <c r="WYH28">
        <f t="array" ref="WYH28">_xlfn.XLOOKUP(WYH$11,Assumptions!$B$35:$H$35,_xlfn.XLOOKUP($C28,Assumptions!$B$36:$B$41,Assumptions!$B$36:$H$41))</f>
        <v>0</v>
      </c>
      <c r="WYI28">
        <f t="array" ref="WYI28">_xlfn.XLOOKUP(WYI$11,Assumptions!$B$35:$H$35,_xlfn.XLOOKUP($C28,Assumptions!$B$36:$B$41,Assumptions!$B$36:$H$41))</f>
        <v>0</v>
      </c>
      <c r="WYJ28">
        <f t="array" ref="WYJ28">_xlfn.XLOOKUP(WYJ$11,Assumptions!$B$35:$H$35,_xlfn.XLOOKUP($C28,Assumptions!$B$36:$B$41,Assumptions!$B$36:$H$41))</f>
        <v>0</v>
      </c>
      <c r="WYK28">
        <f t="array" ref="WYK28">_xlfn.XLOOKUP(WYK$11,Assumptions!$B$35:$H$35,_xlfn.XLOOKUP($C28,Assumptions!$B$36:$B$41,Assumptions!$B$36:$H$41))</f>
        <v>0</v>
      </c>
      <c r="WYL28">
        <f t="array" ref="WYL28">_xlfn.XLOOKUP(WYL$11,Assumptions!$B$35:$H$35,_xlfn.XLOOKUP($C28,Assumptions!$B$36:$B$41,Assumptions!$B$36:$H$41))</f>
        <v>0</v>
      </c>
      <c r="WYM28">
        <f t="array" ref="WYM28">_xlfn.XLOOKUP(WYM$11,Assumptions!$B$35:$H$35,_xlfn.XLOOKUP($C28,Assumptions!$B$36:$B$41,Assumptions!$B$36:$H$41))</f>
        <v>0</v>
      </c>
      <c r="WYN28">
        <f t="array" ref="WYN28">_xlfn.XLOOKUP(WYN$11,Assumptions!$B$35:$H$35,_xlfn.XLOOKUP($C28,Assumptions!$B$36:$B$41,Assumptions!$B$36:$H$41))</f>
        <v>0</v>
      </c>
      <c r="WYO28">
        <f t="array" ref="WYO28">_xlfn.XLOOKUP(WYO$11,Assumptions!$B$35:$H$35,_xlfn.XLOOKUP($C28,Assumptions!$B$36:$B$41,Assumptions!$B$36:$H$41))</f>
        <v>0</v>
      </c>
      <c r="WYP28">
        <f t="array" ref="WYP28">_xlfn.XLOOKUP(WYP$11,Assumptions!$B$35:$H$35,_xlfn.XLOOKUP($C28,Assumptions!$B$36:$B$41,Assumptions!$B$36:$H$41))</f>
        <v>0</v>
      </c>
      <c r="WYQ28">
        <f t="array" ref="WYQ28">_xlfn.XLOOKUP(WYQ$11,Assumptions!$B$35:$H$35,_xlfn.XLOOKUP($C28,Assumptions!$B$36:$B$41,Assumptions!$B$36:$H$41))</f>
        <v>0</v>
      </c>
      <c r="WYR28">
        <f t="array" ref="WYR28">_xlfn.XLOOKUP(WYR$11,Assumptions!$B$35:$H$35,_xlfn.XLOOKUP($C28,Assumptions!$B$36:$B$41,Assumptions!$B$36:$H$41))</f>
        <v>0</v>
      </c>
      <c r="WYS28">
        <f t="array" ref="WYS28">_xlfn.XLOOKUP(WYS$11,Assumptions!$B$35:$H$35,_xlfn.XLOOKUP($C28,Assumptions!$B$36:$B$41,Assumptions!$B$36:$H$41))</f>
        <v>0</v>
      </c>
      <c r="WYT28">
        <f t="array" ref="WYT28">_xlfn.XLOOKUP(WYT$11,Assumptions!$B$35:$H$35,_xlfn.XLOOKUP($C28,Assumptions!$B$36:$B$41,Assumptions!$B$36:$H$41))</f>
        <v>0</v>
      </c>
      <c r="WYU28">
        <f t="array" ref="WYU28">_xlfn.XLOOKUP(WYU$11,Assumptions!$B$35:$H$35,_xlfn.XLOOKUP($C28,Assumptions!$B$36:$B$41,Assumptions!$B$36:$H$41))</f>
        <v>0</v>
      </c>
      <c r="WYV28">
        <f t="array" ref="WYV28">_xlfn.XLOOKUP(WYV$11,Assumptions!$B$35:$H$35,_xlfn.XLOOKUP($C28,Assumptions!$B$36:$B$41,Assumptions!$B$36:$H$41))</f>
        <v>0</v>
      </c>
      <c r="WYW28">
        <f t="array" ref="WYW28">_xlfn.XLOOKUP(WYW$11,Assumptions!$B$35:$H$35,_xlfn.XLOOKUP($C28,Assumptions!$B$36:$B$41,Assumptions!$B$36:$H$41))</f>
        <v>0</v>
      </c>
      <c r="WYX28">
        <f t="array" ref="WYX28">_xlfn.XLOOKUP(WYX$11,Assumptions!$B$35:$H$35,_xlfn.XLOOKUP($C28,Assumptions!$B$36:$B$41,Assumptions!$B$36:$H$41))</f>
        <v>0</v>
      </c>
      <c r="WYY28">
        <f t="array" ref="WYY28">_xlfn.XLOOKUP(WYY$11,Assumptions!$B$35:$H$35,_xlfn.XLOOKUP($C28,Assumptions!$B$36:$B$41,Assumptions!$B$36:$H$41))</f>
        <v>0</v>
      </c>
      <c r="WYZ28">
        <f t="array" ref="WYZ28">_xlfn.XLOOKUP(WYZ$11,Assumptions!$B$35:$H$35,_xlfn.XLOOKUP($C28,Assumptions!$B$36:$B$41,Assumptions!$B$36:$H$41))</f>
        <v>0</v>
      </c>
      <c r="WZA28">
        <f t="array" ref="WZA28">_xlfn.XLOOKUP(WZA$11,Assumptions!$B$35:$H$35,_xlfn.XLOOKUP($C28,Assumptions!$B$36:$B$41,Assumptions!$B$36:$H$41))</f>
        <v>0</v>
      </c>
      <c r="WZB28">
        <f t="array" ref="WZB28">_xlfn.XLOOKUP(WZB$11,Assumptions!$B$35:$H$35,_xlfn.XLOOKUP($C28,Assumptions!$B$36:$B$41,Assumptions!$B$36:$H$41))</f>
        <v>0</v>
      </c>
      <c r="WZC28">
        <f t="array" ref="WZC28">_xlfn.XLOOKUP(WZC$11,Assumptions!$B$35:$H$35,_xlfn.XLOOKUP($C28,Assumptions!$B$36:$B$41,Assumptions!$B$36:$H$41))</f>
        <v>0</v>
      </c>
      <c r="WZD28">
        <f t="array" ref="WZD28">_xlfn.XLOOKUP(WZD$11,Assumptions!$B$35:$H$35,_xlfn.XLOOKUP($C28,Assumptions!$B$36:$B$41,Assumptions!$B$36:$H$41))</f>
        <v>0</v>
      </c>
      <c r="WZE28">
        <f t="array" ref="WZE28">_xlfn.XLOOKUP(WZE$11,Assumptions!$B$35:$H$35,_xlfn.XLOOKUP($C28,Assumptions!$B$36:$B$41,Assumptions!$B$36:$H$41))</f>
        <v>0</v>
      </c>
      <c r="WZF28">
        <f t="array" ref="WZF28">_xlfn.XLOOKUP(WZF$11,Assumptions!$B$35:$H$35,_xlfn.XLOOKUP($C28,Assumptions!$B$36:$B$41,Assumptions!$B$36:$H$41))</f>
        <v>0</v>
      </c>
      <c r="WZG28">
        <f t="array" ref="WZG28">_xlfn.XLOOKUP(WZG$11,Assumptions!$B$35:$H$35,_xlfn.XLOOKUP($C28,Assumptions!$B$36:$B$41,Assumptions!$B$36:$H$41))</f>
        <v>0</v>
      </c>
      <c r="WZH28">
        <f t="array" ref="WZH28">_xlfn.XLOOKUP(WZH$11,Assumptions!$B$35:$H$35,_xlfn.XLOOKUP($C28,Assumptions!$B$36:$B$41,Assumptions!$B$36:$H$41))</f>
        <v>0</v>
      </c>
      <c r="WZI28">
        <f t="array" ref="WZI28">_xlfn.XLOOKUP(WZI$11,Assumptions!$B$35:$H$35,_xlfn.XLOOKUP($C28,Assumptions!$B$36:$B$41,Assumptions!$B$36:$H$41))</f>
        <v>0</v>
      </c>
      <c r="WZJ28">
        <f t="array" ref="WZJ28">_xlfn.XLOOKUP(WZJ$11,Assumptions!$B$35:$H$35,_xlfn.XLOOKUP($C28,Assumptions!$B$36:$B$41,Assumptions!$B$36:$H$41))</f>
        <v>0</v>
      </c>
      <c r="WZK28">
        <f t="array" ref="WZK28">_xlfn.XLOOKUP(WZK$11,Assumptions!$B$35:$H$35,_xlfn.XLOOKUP($C28,Assumptions!$B$36:$B$41,Assumptions!$B$36:$H$41))</f>
        <v>0</v>
      </c>
      <c r="WZL28">
        <f t="array" ref="WZL28">_xlfn.XLOOKUP(WZL$11,Assumptions!$B$35:$H$35,_xlfn.XLOOKUP($C28,Assumptions!$B$36:$B$41,Assumptions!$B$36:$H$41))</f>
        <v>0</v>
      </c>
      <c r="WZM28">
        <f t="array" ref="WZM28">_xlfn.XLOOKUP(WZM$11,Assumptions!$B$35:$H$35,_xlfn.XLOOKUP($C28,Assumptions!$B$36:$B$41,Assumptions!$B$36:$H$41))</f>
        <v>0</v>
      </c>
      <c r="WZN28">
        <f t="array" ref="WZN28">_xlfn.XLOOKUP(WZN$11,Assumptions!$B$35:$H$35,_xlfn.XLOOKUP($C28,Assumptions!$B$36:$B$41,Assumptions!$B$36:$H$41))</f>
        <v>0</v>
      </c>
      <c r="WZO28">
        <f t="array" ref="WZO28">_xlfn.XLOOKUP(WZO$11,Assumptions!$B$35:$H$35,_xlfn.XLOOKUP($C28,Assumptions!$B$36:$B$41,Assumptions!$B$36:$H$41))</f>
        <v>0</v>
      </c>
      <c r="WZP28">
        <f t="array" ref="WZP28">_xlfn.XLOOKUP(WZP$11,Assumptions!$B$35:$H$35,_xlfn.XLOOKUP($C28,Assumptions!$B$36:$B$41,Assumptions!$B$36:$H$41))</f>
        <v>0</v>
      </c>
      <c r="WZQ28">
        <f t="array" ref="WZQ28">_xlfn.XLOOKUP(WZQ$11,Assumptions!$B$35:$H$35,_xlfn.XLOOKUP($C28,Assumptions!$B$36:$B$41,Assumptions!$B$36:$H$41))</f>
        <v>0</v>
      </c>
      <c r="WZR28">
        <f t="array" ref="WZR28">_xlfn.XLOOKUP(WZR$11,Assumptions!$B$35:$H$35,_xlfn.XLOOKUP($C28,Assumptions!$B$36:$B$41,Assumptions!$B$36:$H$41))</f>
        <v>0</v>
      </c>
      <c r="WZS28">
        <f t="array" ref="WZS28">_xlfn.XLOOKUP(WZS$11,Assumptions!$B$35:$H$35,_xlfn.XLOOKUP($C28,Assumptions!$B$36:$B$41,Assumptions!$B$36:$H$41))</f>
        <v>0</v>
      </c>
      <c r="WZT28">
        <f t="array" ref="WZT28">_xlfn.XLOOKUP(WZT$11,Assumptions!$B$35:$H$35,_xlfn.XLOOKUP($C28,Assumptions!$B$36:$B$41,Assumptions!$B$36:$H$41))</f>
        <v>0</v>
      </c>
      <c r="WZU28">
        <f t="array" ref="WZU28">_xlfn.XLOOKUP(WZU$11,Assumptions!$B$35:$H$35,_xlfn.XLOOKUP($C28,Assumptions!$B$36:$B$41,Assumptions!$B$36:$H$41))</f>
        <v>0</v>
      </c>
      <c r="WZV28">
        <f t="array" ref="WZV28">_xlfn.XLOOKUP(WZV$11,Assumptions!$B$35:$H$35,_xlfn.XLOOKUP($C28,Assumptions!$B$36:$B$41,Assumptions!$B$36:$H$41))</f>
        <v>0</v>
      </c>
      <c r="WZW28">
        <f t="array" ref="WZW28">_xlfn.XLOOKUP(WZW$11,Assumptions!$B$35:$H$35,_xlfn.XLOOKUP($C28,Assumptions!$B$36:$B$41,Assumptions!$B$36:$H$41))</f>
        <v>0</v>
      </c>
      <c r="WZX28">
        <f t="array" ref="WZX28">_xlfn.XLOOKUP(WZX$11,Assumptions!$B$35:$H$35,_xlfn.XLOOKUP($C28,Assumptions!$B$36:$B$41,Assumptions!$B$36:$H$41))</f>
        <v>0</v>
      </c>
      <c r="WZY28">
        <f t="array" ref="WZY28">_xlfn.XLOOKUP(WZY$11,Assumptions!$B$35:$H$35,_xlfn.XLOOKUP($C28,Assumptions!$B$36:$B$41,Assumptions!$B$36:$H$41))</f>
        <v>0</v>
      </c>
      <c r="WZZ28">
        <f t="array" ref="WZZ28">_xlfn.XLOOKUP(WZZ$11,Assumptions!$B$35:$H$35,_xlfn.XLOOKUP($C28,Assumptions!$B$36:$B$41,Assumptions!$B$36:$H$41))</f>
        <v>0</v>
      </c>
      <c r="XAA28">
        <f t="array" ref="XAA28">_xlfn.XLOOKUP(XAA$11,Assumptions!$B$35:$H$35,_xlfn.XLOOKUP($C28,Assumptions!$B$36:$B$41,Assumptions!$B$36:$H$41))</f>
        <v>0</v>
      </c>
      <c r="XAB28">
        <f t="array" ref="XAB28">_xlfn.XLOOKUP(XAB$11,Assumptions!$B$35:$H$35,_xlfn.XLOOKUP($C28,Assumptions!$B$36:$B$41,Assumptions!$B$36:$H$41))</f>
        <v>0</v>
      </c>
      <c r="XAC28">
        <f t="array" ref="XAC28">_xlfn.XLOOKUP(XAC$11,Assumptions!$B$35:$H$35,_xlfn.XLOOKUP($C28,Assumptions!$B$36:$B$41,Assumptions!$B$36:$H$41))</f>
        <v>0</v>
      </c>
      <c r="XAD28">
        <f t="array" ref="XAD28">_xlfn.XLOOKUP(XAD$11,Assumptions!$B$35:$H$35,_xlfn.XLOOKUP($C28,Assumptions!$B$36:$B$41,Assumptions!$B$36:$H$41))</f>
        <v>0</v>
      </c>
      <c r="XAE28">
        <f t="array" ref="XAE28">_xlfn.XLOOKUP(XAE$11,Assumptions!$B$35:$H$35,_xlfn.XLOOKUP($C28,Assumptions!$B$36:$B$41,Assumptions!$B$36:$H$41))</f>
        <v>0</v>
      </c>
      <c r="XAF28">
        <f t="array" ref="XAF28">_xlfn.XLOOKUP(XAF$11,Assumptions!$B$35:$H$35,_xlfn.XLOOKUP($C28,Assumptions!$B$36:$B$41,Assumptions!$B$36:$H$41))</f>
        <v>0</v>
      </c>
      <c r="XAG28">
        <f t="array" ref="XAG28">_xlfn.XLOOKUP(XAG$11,Assumptions!$B$35:$H$35,_xlfn.XLOOKUP($C28,Assumptions!$B$36:$B$41,Assumptions!$B$36:$H$41))</f>
        <v>0</v>
      </c>
      <c r="XAH28">
        <f t="array" ref="XAH28">_xlfn.XLOOKUP(XAH$11,Assumptions!$B$35:$H$35,_xlfn.XLOOKUP($C28,Assumptions!$B$36:$B$41,Assumptions!$B$36:$H$41))</f>
        <v>0</v>
      </c>
      <c r="XAI28">
        <f t="array" ref="XAI28">_xlfn.XLOOKUP(XAI$11,Assumptions!$B$35:$H$35,_xlfn.XLOOKUP($C28,Assumptions!$B$36:$B$41,Assumptions!$B$36:$H$41))</f>
        <v>0</v>
      </c>
      <c r="XAJ28">
        <f t="array" ref="XAJ28">_xlfn.XLOOKUP(XAJ$11,Assumptions!$B$35:$H$35,_xlfn.XLOOKUP($C28,Assumptions!$B$36:$B$41,Assumptions!$B$36:$H$41))</f>
        <v>0</v>
      </c>
      <c r="XAK28">
        <f t="array" ref="XAK28">_xlfn.XLOOKUP(XAK$11,Assumptions!$B$35:$H$35,_xlfn.XLOOKUP($C28,Assumptions!$B$36:$B$41,Assumptions!$B$36:$H$41))</f>
        <v>0</v>
      </c>
      <c r="XAL28">
        <f t="array" ref="XAL28">_xlfn.XLOOKUP(XAL$11,Assumptions!$B$35:$H$35,_xlfn.XLOOKUP($C28,Assumptions!$B$36:$B$41,Assumptions!$B$36:$H$41))</f>
        <v>0</v>
      </c>
      <c r="XAM28">
        <f t="array" ref="XAM28">_xlfn.XLOOKUP(XAM$11,Assumptions!$B$35:$H$35,_xlfn.XLOOKUP($C28,Assumptions!$B$36:$B$41,Assumptions!$B$36:$H$41))</f>
        <v>0</v>
      </c>
      <c r="XAN28">
        <f t="array" ref="XAN28">_xlfn.XLOOKUP(XAN$11,Assumptions!$B$35:$H$35,_xlfn.XLOOKUP($C28,Assumptions!$B$36:$B$41,Assumptions!$B$36:$H$41))</f>
        <v>0</v>
      </c>
      <c r="XAO28">
        <f t="array" ref="XAO28">_xlfn.XLOOKUP(XAO$11,Assumptions!$B$35:$H$35,_xlfn.XLOOKUP($C28,Assumptions!$B$36:$B$41,Assumptions!$B$36:$H$41))</f>
        <v>0</v>
      </c>
      <c r="XAP28">
        <f t="array" ref="XAP28">_xlfn.XLOOKUP(XAP$11,Assumptions!$B$35:$H$35,_xlfn.XLOOKUP($C28,Assumptions!$B$36:$B$41,Assumptions!$B$36:$H$41))</f>
        <v>0</v>
      </c>
      <c r="XAQ28">
        <f t="array" ref="XAQ28">_xlfn.XLOOKUP(XAQ$11,Assumptions!$B$35:$H$35,_xlfn.XLOOKUP($C28,Assumptions!$B$36:$B$41,Assumptions!$B$36:$H$41))</f>
        <v>0</v>
      </c>
      <c r="XAR28">
        <f t="array" ref="XAR28">_xlfn.XLOOKUP(XAR$11,Assumptions!$B$35:$H$35,_xlfn.XLOOKUP($C28,Assumptions!$B$36:$B$41,Assumptions!$B$36:$H$41))</f>
        <v>0</v>
      </c>
      <c r="XAS28">
        <f t="array" ref="XAS28">_xlfn.XLOOKUP(XAS$11,Assumptions!$B$35:$H$35,_xlfn.XLOOKUP($C28,Assumptions!$B$36:$B$41,Assumptions!$B$36:$H$41))</f>
        <v>0</v>
      </c>
      <c r="XAT28">
        <f t="array" ref="XAT28">_xlfn.XLOOKUP(XAT$11,Assumptions!$B$35:$H$35,_xlfn.XLOOKUP($C28,Assumptions!$B$36:$B$41,Assumptions!$B$36:$H$41))</f>
        <v>0</v>
      </c>
      <c r="XAU28">
        <f t="array" ref="XAU28">_xlfn.XLOOKUP(XAU$11,Assumptions!$B$35:$H$35,_xlfn.XLOOKUP($C28,Assumptions!$B$36:$B$41,Assumptions!$B$36:$H$41))</f>
        <v>0</v>
      </c>
      <c r="XAV28">
        <f t="array" ref="XAV28">_xlfn.XLOOKUP(XAV$11,Assumptions!$B$35:$H$35,_xlfn.XLOOKUP($C28,Assumptions!$B$36:$B$41,Assumptions!$B$36:$H$41))</f>
        <v>0</v>
      </c>
      <c r="XAW28">
        <f t="array" ref="XAW28">_xlfn.XLOOKUP(XAW$11,Assumptions!$B$35:$H$35,_xlfn.XLOOKUP($C28,Assumptions!$B$36:$B$41,Assumptions!$B$36:$H$41))</f>
        <v>0</v>
      </c>
      <c r="XAX28">
        <f t="array" ref="XAX28">_xlfn.XLOOKUP(XAX$11,Assumptions!$B$35:$H$35,_xlfn.XLOOKUP($C28,Assumptions!$B$36:$B$41,Assumptions!$B$36:$H$41))</f>
        <v>0</v>
      </c>
      <c r="XAY28">
        <f t="array" ref="XAY28">_xlfn.XLOOKUP(XAY$11,Assumptions!$B$35:$H$35,_xlfn.XLOOKUP($C28,Assumptions!$B$36:$B$41,Assumptions!$B$36:$H$41))</f>
        <v>0</v>
      </c>
      <c r="XAZ28">
        <f t="array" ref="XAZ28">_xlfn.XLOOKUP(XAZ$11,Assumptions!$B$35:$H$35,_xlfn.XLOOKUP($C28,Assumptions!$B$36:$B$41,Assumptions!$B$36:$H$41))</f>
        <v>0</v>
      </c>
      <c r="XBA28">
        <f t="array" ref="XBA28">_xlfn.XLOOKUP(XBA$11,Assumptions!$B$35:$H$35,_xlfn.XLOOKUP($C28,Assumptions!$B$36:$B$41,Assumptions!$B$36:$H$41))</f>
        <v>0</v>
      </c>
      <c r="XBB28">
        <f t="array" ref="XBB28">_xlfn.XLOOKUP(XBB$11,Assumptions!$B$35:$H$35,_xlfn.XLOOKUP($C28,Assumptions!$B$36:$B$41,Assumptions!$B$36:$H$41))</f>
        <v>0</v>
      </c>
      <c r="XBC28">
        <f t="array" ref="XBC28">_xlfn.XLOOKUP(XBC$11,Assumptions!$B$35:$H$35,_xlfn.XLOOKUP($C28,Assumptions!$B$36:$B$41,Assumptions!$B$36:$H$41))</f>
        <v>0</v>
      </c>
      <c r="XBD28">
        <f t="array" ref="XBD28">_xlfn.XLOOKUP(XBD$11,Assumptions!$B$35:$H$35,_xlfn.XLOOKUP($C28,Assumptions!$B$36:$B$41,Assumptions!$B$36:$H$41))</f>
        <v>0</v>
      </c>
      <c r="XBE28">
        <f t="array" ref="XBE28">_xlfn.XLOOKUP(XBE$11,Assumptions!$B$35:$H$35,_xlfn.XLOOKUP($C28,Assumptions!$B$36:$B$41,Assumptions!$B$36:$H$41))</f>
        <v>0</v>
      </c>
      <c r="XBF28">
        <f t="array" ref="XBF28">_xlfn.XLOOKUP(XBF$11,Assumptions!$B$35:$H$35,_xlfn.XLOOKUP($C28,Assumptions!$B$36:$B$41,Assumptions!$B$36:$H$41))</f>
        <v>0</v>
      </c>
      <c r="XBG28">
        <f t="array" ref="XBG28">_xlfn.XLOOKUP(XBG$11,Assumptions!$B$35:$H$35,_xlfn.XLOOKUP($C28,Assumptions!$B$36:$B$41,Assumptions!$B$36:$H$41))</f>
        <v>0</v>
      </c>
      <c r="XBH28">
        <f t="array" ref="XBH28">_xlfn.XLOOKUP(XBH$11,Assumptions!$B$35:$H$35,_xlfn.XLOOKUP($C28,Assumptions!$B$36:$B$41,Assumptions!$B$36:$H$41))</f>
        <v>0</v>
      </c>
      <c r="XBI28">
        <f t="array" ref="XBI28">_xlfn.XLOOKUP(XBI$11,Assumptions!$B$35:$H$35,_xlfn.XLOOKUP($C28,Assumptions!$B$36:$B$41,Assumptions!$B$36:$H$41))</f>
        <v>0</v>
      </c>
      <c r="XBJ28">
        <f t="array" ref="XBJ28">_xlfn.XLOOKUP(XBJ$11,Assumptions!$B$35:$H$35,_xlfn.XLOOKUP($C28,Assumptions!$B$36:$B$41,Assumptions!$B$36:$H$41))</f>
        <v>0</v>
      </c>
      <c r="XBK28">
        <f t="array" ref="XBK28">_xlfn.XLOOKUP(XBK$11,Assumptions!$B$35:$H$35,_xlfn.XLOOKUP($C28,Assumptions!$B$36:$B$41,Assumptions!$B$36:$H$41))</f>
        <v>0</v>
      </c>
      <c r="XBL28">
        <f t="array" ref="XBL28">_xlfn.XLOOKUP(XBL$11,Assumptions!$B$35:$H$35,_xlfn.XLOOKUP($C28,Assumptions!$B$36:$B$41,Assumptions!$B$36:$H$41))</f>
        <v>0</v>
      </c>
      <c r="XBM28">
        <f t="array" ref="XBM28">_xlfn.XLOOKUP(XBM$11,Assumptions!$B$35:$H$35,_xlfn.XLOOKUP($C28,Assumptions!$B$36:$B$41,Assumptions!$B$36:$H$41))</f>
        <v>0</v>
      </c>
      <c r="XBN28">
        <f t="array" ref="XBN28">_xlfn.XLOOKUP(XBN$11,Assumptions!$B$35:$H$35,_xlfn.XLOOKUP($C28,Assumptions!$B$36:$B$41,Assumptions!$B$36:$H$41))</f>
        <v>0</v>
      </c>
      <c r="XBO28">
        <f t="array" ref="XBO28">_xlfn.XLOOKUP(XBO$11,Assumptions!$B$35:$H$35,_xlfn.XLOOKUP($C28,Assumptions!$B$36:$B$41,Assumptions!$B$36:$H$41))</f>
        <v>0</v>
      </c>
      <c r="XBP28">
        <f t="array" ref="XBP28">_xlfn.XLOOKUP(XBP$11,Assumptions!$B$35:$H$35,_xlfn.XLOOKUP($C28,Assumptions!$B$36:$B$41,Assumptions!$B$36:$H$41))</f>
        <v>0</v>
      </c>
      <c r="XBQ28">
        <f t="array" ref="XBQ28">_xlfn.XLOOKUP(XBQ$11,Assumptions!$B$35:$H$35,_xlfn.XLOOKUP($C28,Assumptions!$B$36:$B$41,Assumptions!$B$36:$H$41))</f>
        <v>0</v>
      </c>
      <c r="XBR28">
        <f t="array" ref="XBR28">_xlfn.XLOOKUP(XBR$11,Assumptions!$B$35:$H$35,_xlfn.XLOOKUP($C28,Assumptions!$B$36:$B$41,Assumptions!$B$36:$H$41))</f>
        <v>0</v>
      </c>
      <c r="XBS28">
        <f t="array" ref="XBS28">_xlfn.XLOOKUP(XBS$11,Assumptions!$B$35:$H$35,_xlfn.XLOOKUP($C28,Assumptions!$B$36:$B$41,Assumptions!$B$36:$H$41))</f>
        <v>0</v>
      </c>
      <c r="XBT28">
        <f t="array" ref="XBT28">_xlfn.XLOOKUP(XBT$11,Assumptions!$B$35:$H$35,_xlfn.XLOOKUP($C28,Assumptions!$B$36:$B$41,Assumptions!$B$36:$H$41))</f>
        <v>0</v>
      </c>
      <c r="XBU28">
        <f t="array" ref="XBU28">_xlfn.XLOOKUP(XBU$11,Assumptions!$B$35:$H$35,_xlfn.XLOOKUP($C28,Assumptions!$B$36:$B$41,Assumptions!$B$36:$H$41))</f>
        <v>0</v>
      </c>
      <c r="XBV28">
        <f t="array" ref="XBV28">_xlfn.XLOOKUP(XBV$11,Assumptions!$B$35:$H$35,_xlfn.XLOOKUP($C28,Assumptions!$B$36:$B$41,Assumptions!$B$36:$H$41))</f>
        <v>0</v>
      </c>
      <c r="XBW28">
        <f t="array" ref="XBW28">_xlfn.XLOOKUP(XBW$11,Assumptions!$B$35:$H$35,_xlfn.XLOOKUP($C28,Assumptions!$B$36:$B$41,Assumptions!$B$36:$H$41))</f>
        <v>0</v>
      </c>
      <c r="XBX28">
        <f t="array" ref="XBX28">_xlfn.XLOOKUP(XBX$11,Assumptions!$B$35:$H$35,_xlfn.XLOOKUP($C28,Assumptions!$B$36:$B$41,Assumptions!$B$36:$H$41))</f>
        <v>0</v>
      </c>
      <c r="XBY28">
        <f t="array" ref="XBY28">_xlfn.XLOOKUP(XBY$11,Assumptions!$B$35:$H$35,_xlfn.XLOOKUP($C28,Assumptions!$B$36:$B$41,Assumptions!$B$36:$H$41))</f>
        <v>0</v>
      </c>
      <c r="XBZ28">
        <f t="array" ref="XBZ28">_xlfn.XLOOKUP(XBZ$11,Assumptions!$B$35:$H$35,_xlfn.XLOOKUP($C28,Assumptions!$B$36:$B$41,Assumptions!$B$36:$H$41))</f>
        <v>0</v>
      </c>
      <c r="XCA28">
        <f t="array" ref="XCA28">_xlfn.XLOOKUP(XCA$11,Assumptions!$B$35:$H$35,_xlfn.XLOOKUP($C28,Assumptions!$B$36:$B$41,Assumptions!$B$36:$H$41))</f>
        <v>0</v>
      </c>
      <c r="XCB28">
        <f t="array" ref="XCB28">_xlfn.XLOOKUP(XCB$11,Assumptions!$B$35:$H$35,_xlfn.XLOOKUP($C28,Assumptions!$B$36:$B$41,Assumptions!$B$36:$H$41))</f>
        <v>0</v>
      </c>
      <c r="XCC28">
        <f t="array" ref="XCC28">_xlfn.XLOOKUP(XCC$11,Assumptions!$B$35:$H$35,_xlfn.XLOOKUP($C28,Assumptions!$B$36:$B$41,Assumptions!$B$36:$H$41))</f>
        <v>0</v>
      </c>
      <c r="XCD28">
        <f t="array" ref="XCD28">_xlfn.XLOOKUP(XCD$11,Assumptions!$B$35:$H$35,_xlfn.XLOOKUP($C28,Assumptions!$B$36:$B$41,Assumptions!$B$36:$H$41))</f>
        <v>0</v>
      </c>
      <c r="XCE28">
        <f t="array" ref="XCE28">_xlfn.XLOOKUP(XCE$11,Assumptions!$B$35:$H$35,_xlfn.XLOOKUP($C28,Assumptions!$B$36:$B$41,Assumptions!$B$36:$H$41))</f>
        <v>0</v>
      </c>
      <c r="XCF28">
        <f t="array" ref="XCF28">_xlfn.XLOOKUP(XCF$11,Assumptions!$B$35:$H$35,_xlfn.XLOOKUP($C28,Assumptions!$B$36:$B$41,Assumptions!$B$36:$H$41))</f>
        <v>0</v>
      </c>
      <c r="XCG28">
        <f t="array" ref="XCG28">_xlfn.XLOOKUP(XCG$11,Assumptions!$B$35:$H$35,_xlfn.XLOOKUP($C28,Assumptions!$B$36:$B$41,Assumptions!$B$36:$H$41))</f>
        <v>0</v>
      </c>
      <c r="XCH28">
        <f t="array" ref="XCH28">_xlfn.XLOOKUP(XCH$11,Assumptions!$B$35:$H$35,_xlfn.XLOOKUP($C28,Assumptions!$B$36:$B$41,Assumptions!$B$36:$H$41))</f>
        <v>0</v>
      </c>
      <c r="XCI28">
        <f t="array" ref="XCI28">_xlfn.XLOOKUP(XCI$11,Assumptions!$B$35:$H$35,_xlfn.XLOOKUP($C28,Assumptions!$B$36:$B$41,Assumptions!$B$36:$H$41))</f>
        <v>0</v>
      </c>
      <c r="XCJ28">
        <f t="array" ref="XCJ28">_xlfn.XLOOKUP(XCJ$11,Assumptions!$B$35:$H$35,_xlfn.XLOOKUP($C28,Assumptions!$B$36:$B$41,Assumptions!$B$36:$H$41))</f>
        <v>0</v>
      </c>
      <c r="XCK28">
        <f t="array" ref="XCK28">_xlfn.XLOOKUP(XCK$11,Assumptions!$B$35:$H$35,_xlfn.XLOOKUP($C28,Assumptions!$B$36:$B$41,Assumptions!$B$36:$H$41))</f>
        <v>0</v>
      </c>
      <c r="XCL28">
        <f t="array" ref="XCL28">_xlfn.XLOOKUP(XCL$11,Assumptions!$B$35:$H$35,_xlfn.XLOOKUP($C28,Assumptions!$B$36:$B$41,Assumptions!$B$36:$H$41))</f>
        <v>0</v>
      </c>
      <c r="XCM28">
        <f t="array" ref="XCM28">_xlfn.XLOOKUP(XCM$11,Assumptions!$B$35:$H$35,_xlfn.XLOOKUP($C28,Assumptions!$B$36:$B$41,Assumptions!$B$36:$H$41))</f>
        <v>0</v>
      </c>
      <c r="XCN28">
        <f t="array" ref="XCN28">_xlfn.XLOOKUP(XCN$11,Assumptions!$B$35:$H$35,_xlfn.XLOOKUP($C28,Assumptions!$B$36:$B$41,Assumptions!$B$36:$H$41))</f>
        <v>0</v>
      </c>
      <c r="XCO28">
        <f t="array" ref="XCO28">_xlfn.XLOOKUP(XCO$11,Assumptions!$B$35:$H$35,_xlfn.XLOOKUP($C28,Assumptions!$B$36:$B$41,Assumptions!$B$36:$H$41))</f>
        <v>0</v>
      </c>
      <c r="XCP28">
        <f t="array" ref="XCP28">_xlfn.XLOOKUP(XCP$11,Assumptions!$B$35:$H$35,_xlfn.XLOOKUP($C28,Assumptions!$B$36:$B$41,Assumptions!$B$36:$H$41))</f>
        <v>0</v>
      </c>
      <c r="XCQ28">
        <f t="array" ref="XCQ28">_xlfn.XLOOKUP(XCQ$11,Assumptions!$B$35:$H$35,_xlfn.XLOOKUP($C28,Assumptions!$B$36:$B$41,Assumptions!$B$36:$H$41))</f>
        <v>0</v>
      </c>
      <c r="XCR28">
        <f t="array" ref="XCR28">_xlfn.XLOOKUP(XCR$11,Assumptions!$B$35:$H$35,_xlfn.XLOOKUP($C28,Assumptions!$B$36:$B$41,Assumptions!$B$36:$H$41))</f>
        <v>0</v>
      </c>
      <c r="XCS28">
        <f t="array" ref="XCS28">_xlfn.XLOOKUP(XCS$11,Assumptions!$B$35:$H$35,_xlfn.XLOOKUP($C28,Assumptions!$B$36:$B$41,Assumptions!$B$36:$H$41))</f>
        <v>0</v>
      </c>
      <c r="XCT28">
        <f t="array" ref="XCT28">_xlfn.XLOOKUP(XCT$11,Assumptions!$B$35:$H$35,_xlfn.XLOOKUP($C28,Assumptions!$B$36:$B$41,Assumptions!$B$36:$H$41))</f>
        <v>0</v>
      </c>
      <c r="XCU28">
        <f t="array" ref="XCU28">_xlfn.XLOOKUP(XCU$11,Assumptions!$B$35:$H$35,_xlfn.XLOOKUP($C28,Assumptions!$B$36:$B$41,Assumptions!$B$36:$H$41))</f>
        <v>0</v>
      </c>
      <c r="XCV28">
        <f t="array" ref="XCV28">_xlfn.XLOOKUP(XCV$11,Assumptions!$B$35:$H$35,_xlfn.XLOOKUP($C28,Assumptions!$B$36:$B$41,Assumptions!$B$36:$H$41))</f>
        <v>0</v>
      </c>
      <c r="XCW28">
        <f t="array" ref="XCW28">_xlfn.XLOOKUP(XCW$11,Assumptions!$B$35:$H$35,_xlfn.XLOOKUP($C28,Assumptions!$B$36:$B$41,Assumptions!$B$36:$H$41))</f>
        <v>0</v>
      </c>
      <c r="XCX28">
        <f t="array" ref="XCX28">_xlfn.XLOOKUP(XCX$11,Assumptions!$B$35:$H$35,_xlfn.XLOOKUP($C28,Assumptions!$B$36:$B$41,Assumptions!$B$36:$H$41))</f>
        <v>0</v>
      </c>
      <c r="XCY28">
        <f t="array" ref="XCY28">_xlfn.XLOOKUP(XCY$11,Assumptions!$B$35:$H$35,_xlfn.XLOOKUP($C28,Assumptions!$B$36:$B$41,Assumptions!$B$36:$H$41))</f>
        <v>0</v>
      </c>
      <c r="XCZ28">
        <f t="array" ref="XCZ28">_xlfn.XLOOKUP(XCZ$11,Assumptions!$B$35:$H$35,_xlfn.XLOOKUP($C28,Assumptions!$B$36:$B$41,Assumptions!$B$36:$H$41))</f>
        <v>0</v>
      </c>
      <c r="XDA28">
        <f t="array" ref="XDA28">_xlfn.XLOOKUP(XDA$11,Assumptions!$B$35:$H$35,_xlfn.XLOOKUP($C28,Assumptions!$B$36:$B$41,Assumptions!$B$36:$H$41))</f>
        <v>0</v>
      </c>
      <c r="XDB28">
        <f t="array" ref="XDB28">_xlfn.XLOOKUP(XDB$11,Assumptions!$B$35:$H$35,_xlfn.XLOOKUP($C28,Assumptions!$B$36:$B$41,Assumptions!$B$36:$H$41))</f>
        <v>0</v>
      </c>
      <c r="XDC28">
        <f t="array" ref="XDC28">_xlfn.XLOOKUP(XDC$11,Assumptions!$B$35:$H$35,_xlfn.XLOOKUP($C28,Assumptions!$B$36:$B$41,Assumptions!$B$36:$H$41))</f>
        <v>0</v>
      </c>
      <c r="XDD28">
        <f t="array" ref="XDD28">_xlfn.XLOOKUP(XDD$11,Assumptions!$B$35:$H$35,_xlfn.XLOOKUP($C28,Assumptions!$B$36:$B$41,Assumptions!$B$36:$H$41))</f>
        <v>0</v>
      </c>
      <c r="XDE28">
        <f t="array" ref="XDE28">_xlfn.XLOOKUP(XDE$11,Assumptions!$B$35:$H$35,_xlfn.XLOOKUP($C28,Assumptions!$B$36:$B$41,Assumptions!$B$36:$H$41))</f>
        <v>0</v>
      </c>
      <c r="XDF28">
        <f t="array" ref="XDF28">_xlfn.XLOOKUP(XDF$11,Assumptions!$B$35:$H$35,_xlfn.XLOOKUP($C28,Assumptions!$B$36:$B$41,Assumptions!$B$36:$H$41))</f>
        <v>0</v>
      </c>
      <c r="XDG28">
        <f t="array" ref="XDG28">_xlfn.XLOOKUP(XDG$11,Assumptions!$B$35:$H$35,_xlfn.XLOOKUP($C28,Assumptions!$B$36:$B$41,Assumptions!$B$36:$H$41))</f>
        <v>0</v>
      </c>
      <c r="XDH28">
        <f t="array" ref="XDH28">_xlfn.XLOOKUP(XDH$11,Assumptions!$B$35:$H$35,_xlfn.XLOOKUP($C28,Assumptions!$B$36:$B$41,Assumptions!$B$36:$H$41))</f>
        <v>0</v>
      </c>
      <c r="XDI28">
        <f t="array" ref="XDI28">_xlfn.XLOOKUP(XDI$11,Assumptions!$B$35:$H$35,_xlfn.XLOOKUP($C28,Assumptions!$B$36:$B$41,Assumptions!$B$36:$H$41))</f>
        <v>0</v>
      </c>
      <c r="XDJ28">
        <f t="array" ref="XDJ28">_xlfn.XLOOKUP(XDJ$11,Assumptions!$B$35:$H$35,_xlfn.XLOOKUP($C28,Assumptions!$B$36:$B$41,Assumptions!$B$36:$H$41))</f>
        <v>0</v>
      </c>
      <c r="XDK28">
        <f t="array" ref="XDK28">_xlfn.XLOOKUP(XDK$11,Assumptions!$B$35:$H$35,_xlfn.XLOOKUP($C28,Assumptions!$B$36:$B$41,Assumptions!$B$36:$H$41))</f>
        <v>0</v>
      </c>
      <c r="XDL28">
        <f t="array" ref="XDL28">_xlfn.XLOOKUP(XDL$11,Assumptions!$B$35:$H$35,_xlfn.XLOOKUP($C28,Assumptions!$B$36:$B$41,Assumptions!$B$36:$H$41))</f>
        <v>0</v>
      </c>
      <c r="XDM28">
        <f t="array" ref="XDM28">_xlfn.XLOOKUP(XDM$11,Assumptions!$B$35:$H$35,_xlfn.XLOOKUP($C28,Assumptions!$B$36:$B$41,Assumptions!$B$36:$H$41))</f>
        <v>0</v>
      </c>
      <c r="XDN28">
        <f t="array" ref="XDN28">_xlfn.XLOOKUP(XDN$11,Assumptions!$B$35:$H$35,_xlfn.XLOOKUP($C28,Assumptions!$B$36:$B$41,Assumptions!$B$36:$H$41))</f>
        <v>0</v>
      </c>
      <c r="XDO28">
        <f t="array" ref="XDO28">_xlfn.XLOOKUP(XDO$11,Assumptions!$B$35:$H$35,_xlfn.XLOOKUP($C28,Assumptions!$B$36:$B$41,Assumptions!$B$36:$H$41))</f>
        <v>0</v>
      </c>
      <c r="XDP28">
        <f t="array" ref="XDP28">_xlfn.XLOOKUP(XDP$11,Assumptions!$B$35:$H$35,_xlfn.XLOOKUP($C28,Assumptions!$B$36:$B$41,Assumptions!$B$36:$H$41))</f>
        <v>0</v>
      </c>
      <c r="XDQ28">
        <f t="array" ref="XDQ28">_xlfn.XLOOKUP(XDQ$11,Assumptions!$B$35:$H$35,_xlfn.XLOOKUP($C28,Assumptions!$B$36:$B$41,Assumptions!$B$36:$H$41))</f>
        <v>0</v>
      </c>
      <c r="XDR28">
        <f t="array" ref="XDR28">_xlfn.XLOOKUP(XDR$11,Assumptions!$B$35:$H$35,_xlfn.XLOOKUP($C28,Assumptions!$B$36:$B$41,Assumptions!$B$36:$H$41))</f>
        <v>0</v>
      </c>
      <c r="XDS28">
        <f t="array" ref="XDS28">_xlfn.XLOOKUP(XDS$11,Assumptions!$B$35:$H$35,_xlfn.XLOOKUP($C28,Assumptions!$B$36:$B$41,Assumptions!$B$36:$H$41))</f>
        <v>0</v>
      </c>
      <c r="XDT28">
        <f t="array" ref="XDT28">_xlfn.XLOOKUP(XDT$11,Assumptions!$B$35:$H$35,_xlfn.XLOOKUP($C28,Assumptions!$B$36:$B$41,Assumptions!$B$36:$H$41))</f>
        <v>0</v>
      </c>
      <c r="XDU28">
        <f t="array" ref="XDU28">_xlfn.XLOOKUP(XDU$11,Assumptions!$B$35:$H$35,_xlfn.XLOOKUP($C28,Assumptions!$B$36:$B$41,Assumptions!$B$36:$H$41))</f>
        <v>0</v>
      </c>
      <c r="XDV28">
        <f t="array" ref="XDV28">_xlfn.XLOOKUP(XDV$11,Assumptions!$B$35:$H$35,_xlfn.XLOOKUP($C28,Assumptions!$B$36:$B$41,Assumptions!$B$36:$H$41))</f>
        <v>0</v>
      </c>
      <c r="XDW28">
        <f t="array" ref="XDW28">_xlfn.XLOOKUP(XDW$11,Assumptions!$B$35:$H$35,_xlfn.XLOOKUP($C28,Assumptions!$B$36:$B$41,Assumptions!$B$36:$H$41))</f>
        <v>0</v>
      </c>
      <c r="XDX28">
        <f t="array" ref="XDX28">_xlfn.XLOOKUP(XDX$11,Assumptions!$B$35:$H$35,_xlfn.XLOOKUP($C28,Assumptions!$B$36:$B$41,Assumptions!$B$36:$H$41))</f>
        <v>0</v>
      </c>
      <c r="XDY28">
        <f t="array" ref="XDY28">_xlfn.XLOOKUP(XDY$11,Assumptions!$B$35:$H$35,_xlfn.XLOOKUP($C28,Assumptions!$B$36:$B$41,Assumptions!$B$36:$H$41))</f>
        <v>0</v>
      </c>
      <c r="XDZ28">
        <f t="array" ref="XDZ28">_xlfn.XLOOKUP(XDZ$11,Assumptions!$B$35:$H$35,_xlfn.XLOOKUP($C28,Assumptions!$B$36:$B$41,Assumptions!$B$36:$H$41))</f>
        <v>0</v>
      </c>
      <c r="XEA28">
        <f t="array" ref="XEA28">_xlfn.XLOOKUP(XEA$11,Assumptions!$B$35:$H$35,_xlfn.XLOOKUP($C28,Assumptions!$B$36:$B$41,Assumptions!$B$36:$H$41))</f>
        <v>0</v>
      </c>
      <c r="XEB28">
        <f t="array" ref="XEB28">_xlfn.XLOOKUP(XEB$11,Assumptions!$B$35:$H$35,_xlfn.XLOOKUP($C28,Assumptions!$B$36:$B$41,Assumptions!$B$36:$H$41))</f>
        <v>0</v>
      </c>
      <c r="XEC28">
        <f t="array" ref="XEC28">_xlfn.XLOOKUP(XEC$11,Assumptions!$B$35:$H$35,_xlfn.XLOOKUP($C28,Assumptions!$B$36:$B$41,Assumptions!$B$36:$H$41))</f>
        <v>0</v>
      </c>
      <c r="XED28">
        <f t="array" ref="XED28">_xlfn.XLOOKUP(XED$11,Assumptions!$B$35:$H$35,_xlfn.XLOOKUP($C28,Assumptions!$B$36:$B$41,Assumptions!$B$36:$H$41))</f>
        <v>0</v>
      </c>
      <c r="XEE28">
        <f t="array" ref="XEE28">_xlfn.XLOOKUP(XEE$11,Assumptions!$B$35:$H$35,_xlfn.XLOOKUP($C28,Assumptions!$B$36:$B$41,Assumptions!$B$36:$H$41))</f>
        <v>0</v>
      </c>
      <c r="XEF28">
        <f t="array" ref="XEF28">_xlfn.XLOOKUP(XEF$11,Assumptions!$B$35:$H$35,_xlfn.XLOOKUP($C28,Assumptions!$B$36:$B$41,Assumptions!$B$36:$H$41))</f>
        <v>0</v>
      </c>
      <c r="XEG28">
        <f t="array" ref="XEG28">_xlfn.XLOOKUP(XEG$11,Assumptions!$B$35:$H$35,_xlfn.XLOOKUP($C28,Assumptions!$B$36:$B$41,Assumptions!$B$36:$H$41))</f>
        <v>0</v>
      </c>
      <c r="XEH28">
        <f t="array" ref="XEH28">_xlfn.XLOOKUP(XEH$11,Assumptions!$B$35:$H$35,_xlfn.XLOOKUP($C28,Assumptions!$B$36:$B$41,Assumptions!$B$36:$H$41))</f>
        <v>0</v>
      </c>
      <c r="XEI28">
        <f t="array" ref="XEI28">_xlfn.XLOOKUP(XEI$11,Assumptions!$B$35:$H$35,_xlfn.XLOOKUP($C28,Assumptions!$B$36:$B$41,Assumptions!$B$36:$H$41))</f>
        <v>0</v>
      </c>
      <c r="XEJ28">
        <f t="array" ref="XEJ28">_xlfn.XLOOKUP(XEJ$11,Assumptions!$B$35:$H$35,_xlfn.XLOOKUP($C28,Assumptions!$B$36:$B$41,Assumptions!$B$36:$H$41))</f>
        <v>0</v>
      </c>
      <c r="XEK28">
        <f t="array" ref="XEK28">_xlfn.XLOOKUP(XEK$11,Assumptions!$B$35:$H$35,_xlfn.XLOOKUP($C28,Assumptions!$B$36:$B$41,Assumptions!$B$36:$H$41))</f>
        <v>0</v>
      </c>
      <c r="XEL28">
        <f t="array" ref="XEL28">_xlfn.XLOOKUP(XEL$11,Assumptions!$B$35:$H$35,_xlfn.XLOOKUP($C28,Assumptions!$B$36:$B$41,Assumptions!$B$36:$H$41))</f>
        <v>0</v>
      </c>
      <c r="XEM28">
        <f t="array" ref="XEM28">_xlfn.XLOOKUP(XEM$11,Assumptions!$B$35:$H$35,_xlfn.XLOOKUP($C28,Assumptions!$B$36:$B$41,Assumptions!$B$36:$H$41))</f>
        <v>0</v>
      </c>
      <c r="XEN28">
        <f t="array" ref="XEN28">_xlfn.XLOOKUP(XEN$11,Assumptions!$B$35:$H$35,_xlfn.XLOOKUP($C28,Assumptions!$B$36:$B$41,Assumptions!$B$36:$H$41))</f>
        <v>0</v>
      </c>
      <c r="XEO28">
        <f t="array" ref="XEO28">_xlfn.XLOOKUP(XEO$11,Assumptions!$B$35:$H$35,_xlfn.XLOOKUP($C28,Assumptions!$B$36:$B$41,Assumptions!$B$36:$H$41))</f>
        <v>0</v>
      </c>
      <c r="XEP28">
        <f t="array" ref="XEP28">_xlfn.XLOOKUP(XEP$11,Assumptions!$B$35:$H$35,_xlfn.XLOOKUP($C28,Assumptions!$B$36:$B$41,Assumptions!$B$36:$H$41))</f>
        <v>0</v>
      </c>
      <c r="XEQ28">
        <f t="array" ref="XEQ28">_xlfn.XLOOKUP(XEQ$11,Assumptions!$B$35:$H$35,_xlfn.XLOOKUP($C28,Assumptions!$B$36:$B$41,Assumptions!$B$36:$H$41))</f>
        <v>0</v>
      </c>
      <c r="XER28">
        <f t="array" ref="XER28">_xlfn.XLOOKUP(XER$11,Assumptions!$B$35:$H$35,_xlfn.XLOOKUP($C28,Assumptions!$B$36:$B$41,Assumptions!$B$36:$H$41))</f>
        <v>0</v>
      </c>
      <c r="XES28">
        <f t="array" ref="XES28">_xlfn.XLOOKUP(XES$11,Assumptions!$B$35:$H$35,_xlfn.XLOOKUP($C28,Assumptions!$B$36:$B$41,Assumptions!$B$36:$H$41))</f>
        <v>0</v>
      </c>
      <c r="XET28">
        <f t="array" ref="XET28">_xlfn.XLOOKUP(XET$11,Assumptions!$B$35:$H$35,_xlfn.XLOOKUP($C28,Assumptions!$B$36:$B$41,Assumptions!$B$36:$H$41))</f>
        <v>0</v>
      </c>
      <c r="XEU28">
        <f t="array" ref="XEU28">_xlfn.XLOOKUP(XEU$11,Assumptions!$B$35:$H$35,_xlfn.XLOOKUP($C28,Assumptions!$B$36:$B$41,Assumptions!$B$36:$H$41))</f>
        <v>0</v>
      </c>
      <c r="XEV28">
        <f t="array" ref="XEV28">_xlfn.XLOOKUP(XEV$11,Assumptions!$B$35:$H$35,_xlfn.XLOOKUP($C28,Assumptions!$B$36:$B$41,Assumptions!$B$36:$H$41))</f>
        <v>0</v>
      </c>
      <c r="XEW28">
        <f t="array" ref="XEW28">_xlfn.XLOOKUP(XEW$11,Assumptions!$B$35:$H$35,_xlfn.XLOOKUP($C28,Assumptions!$B$36:$B$41,Assumptions!$B$36:$H$41))</f>
        <v>0</v>
      </c>
      <c r="XEX28">
        <f t="array" ref="XEX28">_xlfn.XLOOKUP(XEX$11,Assumptions!$B$35:$H$35,_xlfn.XLOOKUP($C28,Assumptions!$B$36:$B$41,Assumptions!$B$36:$H$41))</f>
        <v>0</v>
      </c>
      <c r="XEY28">
        <f t="array" ref="XEY28">_xlfn.XLOOKUP(XEY$11,Assumptions!$B$35:$H$35,_xlfn.XLOOKUP($C28,Assumptions!$B$36:$B$41,Assumptions!$B$36:$H$41))</f>
        <v>0</v>
      </c>
      <c r="XEZ28">
        <f t="array" ref="XEZ28">_xlfn.XLOOKUP(XEZ$11,Assumptions!$B$35:$H$35,_xlfn.XLOOKUP($C28,Assumptions!$B$36:$B$41,Assumptions!$B$36:$H$41))</f>
        <v>0</v>
      </c>
      <c r="XFA28">
        <f t="array" ref="XFA28">_xlfn.XLOOKUP(XFA$11,Assumptions!$B$35:$H$35,_xlfn.XLOOKUP($C28,Assumptions!$B$36:$B$41,Assumptions!$B$36:$H$41))</f>
        <v>0</v>
      </c>
      <c r="XFB28">
        <f t="array" ref="XFB28">_xlfn.XLOOKUP(XFB$11,Assumptions!$B$35:$H$35,_xlfn.XLOOKUP($C28,Assumptions!$B$36:$B$41,Assumptions!$B$36:$H$41))</f>
        <v>0</v>
      </c>
      <c r="XFC28">
        <f t="array" ref="XFC28">_xlfn.XLOOKUP(XFC$11,Assumptions!$B$35:$H$35,_xlfn.XLOOKUP($C28,Assumptions!$B$36:$B$41,Assumptions!$B$36:$H$41))</f>
        <v>0</v>
      </c>
      <c r="XFD28">
        <f t="array" ref="XFD28">_xlfn.XLOOKUP(XFD$11,Assumptions!$B$35:$H$35,_xlfn.XLOOKUP($C28,Assumptions!$B$36:$B$41,Assumptions!$B$36:$H$41))</f>
        <v>0</v>
      </c>
    </row>
    <row r="29" spans="2:16384">
      <c r="C29" t="str">
        <v>Andrew Digital Commerce</v>
      </c>
      <c r="D29" s="43">
        <f>Assumptions!E26</f>
        <v>450000</v>
      </c>
      <c r="E29" s="64">
        <f t="array" ref="E29">(1+(_xlfn.XLOOKUP(E$11,Assumptions!$B$35:$H$35,_xlfn.XLOOKUP($C29,Assumptions!$B$36:$B$41,Assumptions!$B$36:$H$41),,-1)))*$D29</f>
        <v>504000.00000000006</v>
      </c>
      <c r="F29" s="64">
        <f t="array" ref="F29">(1+(_xlfn.XLOOKUP(F$11,Assumptions!$B$35:$H$35,_xlfn.XLOOKUP($C29,Assumptions!$B$36:$B$41,Assumptions!$B$36:$H$41),,-1)))*$D29</f>
        <v>504000.00000000006</v>
      </c>
      <c r="G29" s="64">
        <f t="array" ref="G29">(1+(_xlfn.XLOOKUP(G$11,Assumptions!$B$35:$H$35,_xlfn.XLOOKUP($C29,Assumptions!$B$36:$B$41,Assumptions!$B$36:$H$41),,-1)))*$D29</f>
        <v>504000.00000000006</v>
      </c>
      <c r="H29" s="64">
        <f t="array" ref="H29">(1+(_xlfn.XLOOKUP(H$11,Assumptions!$B$35:$H$35,_xlfn.XLOOKUP($C29,Assumptions!$B$36:$B$41,Assumptions!$B$36:$H$41),,-1)))*$D29</f>
        <v>504000.00000000006</v>
      </c>
      <c r="I29" s="64">
        <f t="array" ref="I29">(1+(_xlfn.XLOOKUP(I$11,Assumptions!$B$35:$H$35,_xlfn.XLOOKUP($C29,Assumptions!$B$36:$B$41,Assumptions!$B$36:$H$41),,-1)))*$D29</f>
        <v>504000.00000000006</v>
      </c>
      <c r="J29" s="64">
        <f t="array" ref="J29">(1+(_xlfn.XLOOKUP(J$11,Assumptions!$B$35:$H$35,_xlfn.XLOOKUP($C29,Assumptions!$B$36:$B$41,Assumptions!$B$36:$H$41),,-1)))*$D29</f>
        <v>504000.00000000006</v>
      </c>
      <c r="K29" s="64">
        <f t="array" ref="K29">(1+(_xlfn.XLOOKUP(K$11,Assumptions!$B$35:$H$35,_xlfn.XLOOKUP($C29,Assumptions!$B$36:$B$41,Assumptions!$B$36:$H$41),,-1)))*$D29</f>
        <v>504000.00000000006</v>
      </c>
      <c r="L29" s="64">
        <f t="array" ref="L29">(1+(_xlfn.XLOOKUP(L$11,Assumptions!$B$35:$H$35,_xlfn.XLOOKUP($C29,Assumptions!$B$36:$B$41,Assumptions!$B$36:$H$41),,-1)))*$D29</f>
        <v>504000.00000000006</v>
      </c>
      <c r="M29" s="64">
        <f t="array" ref="M29">(1+(_xlfn.XLOOKUP(M$11,Assumptions!$B$35:$H$35,_xlfn.XLOOKUP($C29,Assumptions!$B$36:$B$41,Assumptions!$B$36:$H$41),,-1)))*$D29</f>
        <v>504000.00000000006</v>
      </c>
      <c r="N29" s="64">
        <f t="array" ref="N29">(1+(_xlfn.XLOOKUP(N$11,Assumptions!$B$35:$H$35,_xlfn.XLOOKUP($C29,Assumptions!$B$36:$B$41,Assumptions!$B$36:$H$41),,-1)))*$D29</f>
        <v>504000.00000000006</v>
      </c>
      <c r="O29" s="64">
        <f t="array" ref="O29">(1+(_xlfn.XLOOKUP(O$11,Assumptions!$B$35:$H$35,_xlfn.XLOOKUP($C29,Assumptions!$B$36:$B$41,Assumptions!$B$36:$H$41),,-1)))*$D29</f>
        <v>504000.00000000006</v>
      </c>
      <c r="P29" s="64">
        <f t="array" ref="P29">(1+(_xlfn.XLOOKUP(P$11,Assumptions!$B$35:$H$35,_xlfn.XLOOKUP($C29,Assumptions!$B$36:$B$41,Assumptions!$B$36:$H$41),,-1)))*$D29</f>
        <v>504000.00000000006</v>
      </c>
      <c r="Q29" s="64">
        <f t="array" ref="Q29">(1+(_xlfn.XLOOKUP(Q$11,Assumptions!$B$35:$H$35,_xlfn.XLOOKUP($C29,Assumptions!$B$36:$B$41,Assumptions!$B$36:$H$41),,-1)))*$D29</f>
        <v>477000</v>
      </c>
      <c r="R29" s="64">
        <f t="array" ref="R29">(1+(_xlfn.XLOOKUP(R$11,Assumptions!$B$35:$H$35,_xlfn.XLOOKUP($C29,Assumptions!$B$36:$B$41,Assumptions!$B$36:$H$41),,-1)))*$D29</f>
        <v>477000</v>
      </c>
      <c r="S29" s="64">
        <f t="array" ref="S29">(1+(_xlfn.XLOOKUP(S$11,Assumptions!$B$35:$H$35,_xlfn.XLOOKUP($C29,Assumptions!$B$36:$B$41,Assumptions!$B$36:$H$41),,-1)))*$D29</f>
        <v>477000</v>
      </c>
      <c r="T29" s="64">
        <f t="array" ref="T29">(1+(_xlfn.XLOOKUP(T$11,Assumptions!$B$35:$H$35,_xlfn.XLOOKUP($C29,Assumptions!$B$36:$B$41,Assumptions!$B$36:$H$41),,-1)))*$D29</f>
        <v>477000</v>
      </c>
      <c r="U29" s="64">
        <f t="array" ref="U29">(1+(_xlfn.XLOOKUP(U$11,Assumptions!$B$35:$H$35,_xlfn.XLOOKUP($C29,Assumptions!$B$36:$B$41,Assumptions!$B$36:$H$41),,-1)))*$D29</f>
        <v>477000</v>
      </c>
      <c r="V29" s="64">
        <f t="array" ref="V29">(1+(_xlfn.XLOOKUP(V$11,Assumptions!$B$35:$H$35,_xlfn.XLOOKUP($C29,Assumptions!$B$36:$B$41,Assumptions!$B$36:$H$41),,-1)))*$D29</f>
        <v>477000</v>
      </c>
      <c r="W29" s="64">
        <f t="array" ref="W29">(1+(_xlfn.XLOOKUP(W$11,Assumptions!$B$35:$H$35,_xlfn.XLOOKUP($C29,Assumptions!$B$36:$B$41,Assumptions!$B$36:$H$41),,-1)))*$D29</f>
        <v>477000</v>
      </c>
      <c r="X29" s="64">
        <f t="array" ref="X29">(1+(_xlfn.XLOOKUP(X$11,Assumptions!$B$35:$H$35,_xlfn.XLOOKUP($C29,Assumptions!$B$36:$B$41,Assumptions!$B$36:$H$41),,-1)))*$D29</f>
        <v>477000</v>
      </c>
      <c r="Y29" s="64">
        <f t="array" ref="Y29">(1+(_xlfn.XLOOKUP(Y$11,Assumptions!$B$35:$H$35,_xlfn.XLOOKUP($C29,Assumptions!$B$36:$B$41,Assumptions!$B$36:$H$41),,-1)))*$D29</f>
        <v>477000</v>
      </c>
      <c r="Z29" s="64">
        <f t="array" ref="Z29">(1+(_xlfn.XLOOKUP(Z$11,Assumptions!$B$35:$H$35,_xlfn.XLOOKUP($C29,Assumptions!$B$36:$B$41,Assumptions!$B$36:$H$41),,-1)))*$D29</f>
        <v>477000</v>
      </c>
      <c r="AA29" s="64">
        <f t="array" ref="AA29">(1+(_xlfn.XLOOKUP(AA$11,Assumptions!$B$35:$H$35,_xlfn.XLOOKUP($C29,Assumptions!$B$36:$B$41,Assumptions!$B$36:$H$41),,-1)))*$D29</f>
        <v>477000</v>
      </c>
      <c r="AB29" s="64">
        <f t="array" ref="AB29">(1+(_xlfn.XLOOKUP(AB$11,Assumptions!$B$35:$H$35,_xlfn.XLOOKUP($C29,Assumptions!$B$36:$B$41,Assumptions!$B$36:$H$41),,-1)))*$D29</f>
        <v>477000</v>
      </c>
      <c r="AC29" s="64">
        <f t="array" ref="AC29">(1+(_xlfn.XLOOKUP(AC$11,Assumptions!$B$35:$H$35,_xlfn.XLOOKUP($C29,Assumptions!$B$36:$B$41,Assumptions!$B$36:$H$41),,-1)))*$D29</f>
        <v>459000</v>
      </c>
      <c r="AD29" s="64">
        <f t="array" ref="AD29">(1+(_xlfn.XLOOKUP(AD$11,Assumptions!$B$35:$H$35,_xlfn.XLOOKUP($C29,Assumptions!$B$36:$B$41,Assumptions!$B$36:$H$41),,-1)))*$D29</f>
        <v>459000</v>
      </c>
      <c r="AE29" s="64">
        <f t="array" ref="AE29">(1+(_xlfn.XLOOKUP(AE$11,Assumptions!$B$35:$H$35,_xlfn.XLOOKUP($C29,Assumptions!$B$36:$B$41,Assumptions!$B$36:$H$41),,-1)))*$D29</f>
        <v>459000</v>
      </c>
      <c r="AF29" s="64">
        <f t="array" ref="AF29">(1+(_xlfn.XLOOKUP(AF$11,Assumptions!$B$35:$H$35,_xlfn.XLOOKUP($C29,Assumptions!$B$36:$B$41,Assumptions!$B$36:$H$41),,-1)))*$D29</f>
        <v>459000</v>
      </c>
      <c r="AG29" s="64">
        <f t="array" ref="AG29">(1+(_xlfn.XLOOKUP(AG$11,Assumptions!$B$35:$H$35,_xlfn.XLOOKUP($C29,Assumptions!$B$36:$B$41,Assumptions!$B$36:$H$41),,-1)))*$D29</f>
        <v>459000</v>
      </c>
      <c r="AH29" s="64">
        <f t="array" ref="AH29">(1+(_xlfn.XLOOKUP(AH$11,Assumptions!$B$35:$H$35,_xlfn.XLOOKUP($C29,Assumptions!$B$36:$B$41,Assumptions!$B$36:$H$41),,-1)))*$D29</f>
        <v>459000</v>
      </c>
      <c r="AI29" s="64">
        <f t="array" ref="AI29">(1+(_xlfn.XLOOKUP(AI$11,Assumptions!$B$35:$H$35,_xlfn.XLOOKUP($C29,Assumptions!$B$36:$B$41,Assumptions!$B$36:$H$41),,-1)))*$D29</f>
        <v>459000</v>
      </c>
      <c r="AJ29" s="64">
        <f t="array" ref="AJ29">(1+(_xlfn.XLOOKUP(AJ$11,Assumptions!$B$35:$H$35,_xlfn.XLOOKUP($C29,Assumptions!$B$36:$B$41,Assumptions!$B$36:$H$41),,-1)))*$D29</f>
        <v>459000</v>
      </c>
      <c r="AK29" s="64">
        <f t="array" ref="AK29">(1+(_xlfn.XLOOKUP(AK$11,Assumptions!$B$35:$H$35,_xlfn.XLOOKUP($C29,Assumptions!$B$36:$B$41,Assumptions!$B$36:$H$41),,-1)))*$D29</f>
        <v>459000</v>
      </c>
      <c r="AL29" s="64">
        <f t="array" ref="AL29">(1+(_xlfn.XLOOKUP(AL$11,Assumptions!$B$35:$H$35,_xlfn.XLOOKUP($C29,Assumptions!$B$36:$B$41,Assumptions!$B$36:$H$41),,-1)))*$D29</f>
        <v>459000</v>
      </c>
      <c r="AM29" s="64">
        <f t="array" ref="AM29">(1+(_xlfn.XLOOKUP(AM$11,Assumptions!$B$35:$H$35,_xlfn.XLOOKUP($C29,Assumptions!$B$36:$B$41,Assumptions!$B$36:$H$41),,-1)))*$D29</f>
        <v>459000</v>
      </c>
      <c r="AN29" s="64">
        <f t="array" ref="AN29">(1+(_xlfn.XLOOKUP(AN$11,Assumptions!$B$35:$H$35,_xlfn.XLOOKUP($C29,Assumptions!$B$36:$B$41,Assumptions!$B$36:$H$41),,-1)))*$D29</f>
        <v>459000</v>
      </c>
      <c r="AO29" s="64">
        <f t="array" ref="AO29">(1+(_xlfn.XLOOKUP(AO$11,Assumptions!$B$35:$H$35,_xlfn.XLOOKUP($C29,Assumptions!$B$36:$B$41,Assumptions!$B$36:$H$41),,-1)))*$D29</f>
        <v>450000</v>
      </c>
      <c r="AP29" s="64">
        <f t="array" ref="AP29">(1+(_xlfn.XLOOKUP(AP$11,Assumptions!$B$35:$H$35,_xlfn.XLOOKUP($C29,Assumptions!$B$36:$B$41,Assumptions!$B$36:$H$41),,-1)))*$D29</f>
        <v>450000</v>
      </c>
      <c r="AQ29" s="64">
        <f t="array" ref="AQ29">(1+(_xlfn.XLOOKUP(AQ$11,Assumptions!$B$35:$H$35,_xlfn.XLOOKUP($C29,Assumptions!$B$36:$B$41,Assumptions!$B$36:$H$41),,-1)))*$D29</f>
        <v>450000</v>
      </c>
      <c r="AR29" s="64">
        <f t="array" ref="AR29">(1+(_xlfn.XLOOKUP(AR$11,Assumptions!$B$35:$H$35,_xlfn.XLOOKUP($C29,Assumptions!$B$36:$B$41,Assumptions!$B$36:$H$41),,-1)))*$D29</f>
        <v>450000</v>
      </c>
      <c r="AS29" s="64">
        <f t="array" ref="AS29">(1+(_xlfn.XLOOKUP(AS$11,Assumptions!$B$35:$H$35,_xlfn.XLOOKUP($C29,Assumptions!$B$36:$B$41,Assumptions!$B$36:$H$41),,-1)))*$D29</f>
        <v>450000</v>
      </c>
      <c r="AT29" s="64">
        <f t="array" ref="AT29">(1+(_xlfn.XLOOKUP(AT$11,Assumptions!$B$35:$H$35,_xlfn.XLOOKUP($C29,Assumptions!$B$36:$B$41,Assumptions!$B$36:$H$41),,-1)))*$D29</f>
        <v>450000</v>
      </c>
      <c r="AU29" s="64">
        <f t="array" ref="AU29">(1+(_xlfn.XLOOKUP(AU$11,Assumptions!$B$35:$H$35,_xlfn.XLOOKUP($C29,Assumptions!$B$36:$B$41,Assumptions!$B$36:$H$41),,-1)))*$D29</f>
        <v>450000</v>
      </c>
      <c r="AV29" s="64">
        <f t="array" ref="AV29">(1+(_xlfn.XLOOKUP(AV$11,Assumptions!$B$35:$H$35,_xlfn.XLOOKUP($C29,Assumptions!$B$36:$B$41,Assumptions!$B$36:$H$41),,-1)))*$D29</f>
        <v>450000</v>
      </c>
      <c r="AW29" s="64">
        <f t="array" ref="AW29">(1+(_xlfn.XLOOKUP(AW$11,Assumptions!$B$35:$H$35,_xlfn.XLOOKUP($C29,Assumptions!$B$36:$B$41,Assumptions!$B$36:$H$41),,-1)))*$D29</f>
        <v>450000</v>
      </c>
      <c r="AX29" s="64">
        <f t="array" ref="AX29">(1+(_xlfn.XLOOKUP(AX$11,Assumptions!$B$35:$H$35,_xlfn.XLOOKUP($C29,Assumptions!$B$36:$B$41,Assumptions!$B$36:$H$41),,-1)))*$D29</f>
        <v>450000</v>
      </c>
      <c r="AY29" s="64">
        <f t="array" ref="AY29">(1+(_xlfn.XLOOKUP(AY$11,Assumptions!$B$35:$H$35,_xlfn.XLOOKUP($C29,Assumptions!$B$36:$B$41,Assumptions!$B$36:$H$41),,-1)))*$D29</f>
        <v>450000</v>
      </c>
      <c r="AZ29" s="64">
        <f t="array" ref="AZ29">(1+(_xlfn.XLOOKUP(AZ$11,Assumptions!$B$35:$H$35,_xlfn.XLOOKUP($C29,Assumptions!$B$36:$B$41,Assumptions!$B$36:$H$41),,-1)))*$D29</f>
        <v>450000</v>
      </c>
      <c r="BA29" s="64">
        <f t="array" ref="BA29">(1+(_xlfn.XLOOKUP(BA$11,Assumptions!$B$35:$H$35,_xlfn.XLOOKUP($C29,Assumptions!$B$36:$B$41,Assumptions!$B$36:$H$41),,-1)))*$D29</f>
        <v>450000</v>
      </c>
      <c r="BB29" s="64">
        <f t="array" ref="BB29">(1+(_xlfn.XLOOKUP(BB$11,Assumptions!$B$35:$H$35,_xlfn.XLOOKUP($C29,Assumptions!$B$36:$B$41,Assumptions!$B$36:$H$41),,-1)))*$D29</f>
        <v>450000</v>
      </c>
      <c r="BC29" s="64">
        <f t="array" ref="BC29">(1+(_xlfn.XLOOKUP(BC$11,Assumptions!$B$35:$H$35,_xlfn.XLOOKUP($C29,Assumptions!$B$36:$B$41,Assumptions!$B$36:$H$41),,-1)))*$D29</f>
        <v>450000</v>
      </c>
      <c r="BD29" s="64">
        <f t="array" ref="BD29">(1+(_xlfn.XLOOKUP(BD$11,Assumptions!$B$35:$H$35,_xlfn.XLOOKUP($C29,Assumptions!$B$36:$B$41,Assumptions!$B$36:$H$41),,-1)))*$D29</f>
        <v>450000</v>
      </c>
      <c r="BE29" s="64">
        <f t="array" ref="BE29">(1+(_xlfn.XLOOKUP(BE$11,Assumptions!$B$35:$H$35,_xlfn.XLOOKUP($C29,Assumptions!$B$36:$B$41,Assumptions!$B$36:$H$41),,-1)))*$D29</f>
        <v>450000</v>
      </c>
      <c r="BF29" s="64">
        <f t="array" ref="BF29">(1+(_xlfn.XLOOKUP(BF$11,Assumptions!$B$35:$H$35,_xlfn.XLOOKUP($C29,Assumptions!$B$36:$B$41,Assumptions!$B$36:$H$41),,-1)))*$D29</f>
        <v>450000</v>
      </c>
      <c r="BG29" s="64">
        <f t="array" ref="BG29">(1+(_xlfn.XLOOKUP(BG$11,Assumptions!$B$35:$H$35,_xlfn.XLOOKUP($C29,Assumptions!$B$36:$B$41,Assumptions!$B$36:$H$41),,-1)))*$D29</f>
        <v>450000</v>
      </c>
      <c r="BH29" s="64">
        <f t="array" ref="BH29">(1+(_xlfn.XLOOKUP(BH$11,Assumptions!$B$35:$H$35,_xlfn.XLOOKUP($C29,Assumptions!$B$36:$B$41,Assumptions!$B$36:$H$41),,-1)))*$D29</f>
        <v>450000</v>
      </c>
      <c r="BI29" s="64">
        <f t="array" ref="BI29">(1+(_xlfn.XLOOKUP(BI$11,Assumptions!$B$35:$H$35,_xlfn.XLOOKUP($C29,Assumptions!$B$36:$B$41,Assumptions!$B$36:$H$41),,-1)))*$D29</f>
        <v>450000</v>
      </c>
      <c r="BJ29" s="64">
        <f t="array" ref="BJ29">(1+(_xlfn.XLOOKUP(BJ$11,Assumptions!$B$35:$H$35,_xlfn.XLOOKUP($C29,Assumptions!$B$36:$B$41,Assumptions!$B$36:$H$41),,-1)))*$D29</f>
        <v>450000</v>
      </c>
      <c r="BK29" s="64">
        <f t="array" ref="BK29">(1+(_xlfn.XLOOKUP(BK$11,Assumptions!$B$35:$H$35,_xlfn.XLOOKUP($C29,Assumptions!$B$36:$B$41,Assumptions!$B$36:$H$41),,-1)))*$D29</f>
        <v>450000</v>
      </c>
      <c r="BL29" s="64">
        <f t="array" ref="BL29">(1+(_xlfn.XLOOKUP(BL$11,Assumptions!$B$35:$H$35,_xlfn.XLOOKUP($C29,Assumptions!$B$36:$B$41,Assumptions!$B$36:$H$41),,-1)))*$D29</f>
        <v>450000</v>
      </c>
      <c r="BM29" s="64">
        <f t="array" ref="BM29">(1+(_xlfn.XLOOKUP(BM$11,Assumptions!$B$35:$H$35,_xlfn.XLOOKUP($C29,Assumptions!$B$36:$B$41,Assumptions!$B$36:$H$41),,-1)))*$D29</f>
        <v>450000</v>
      </c>
    </row>
    <row r="30" spans="2:16384">
      <c r="C30" t="str">
        <v>Anup Industrial Systems</v>
      </c>
      <c r="D30" s="43">
        <f>Assumptions!E27</f>
        <v>225000</v>
      </c>
      <c r="E30" s="64">
        <f t="array" ref="E30">(1+(_xlfn.XLOOKUP(E$11,Assumptions!$B$35:$H$35,_xlfn.XLOOKUP($C30,Assumptions!$B$36:$B$41,Assumptions!$B$36:$H$41),,-1)))*$D30</f>
        <v>227250</v>
      </c>
      <c r="F30" s="64">
        <f t="array" ref="F30">(1+(_xlfn.XLOOKUP(F$11,Assumptions!$B$35:$H$35,_xlfn.XLOOKUP($C30,Assumptions!$B$36:$B$41,Assumptions!$B$36:$H$41),,-1)))*$D30</f>
        <v>227250</v>
      </c>
      <c r="G30" s="64">
        <f t="array" ref="G30">(1+(_xlfn.XLOOKUP(G$11,Assumptions!$B$35:$H$35,_xlfn.XLOOKUP($C30,Assumptions!$B$36:$B$41,Assumptions!$B$36:$H$41),,-1)))*$D30</f>
        <v>227250</v>
      </c>
      <c r="H30" s="64">
        <f t="array" ref="H30">(1+(_xlfn.XLOOKUP(H$11,Assumptions!$B$35:$H$35,_xlfn.XLOOKUP($C30,Assumptions!$B$36:$B$41,Assumptions!$B$36:$H$41),,-1)))*$D30</f>
        <v>227250</v>
      </c>
      <c r="I30" s="64">
        <f t="array" ref="I30">(1+(_xlfn.XLOOKUP(I$11,Assumptions!$B$35:$H$35,_xlfn.XLOOKUP($C30,Assumptions!$B$36:$B$41,Assumptions!$B$36:$H$41),,-1)))*$D30</f>
        <v>227250</v>
      </c>
      <c r="J30" s="64">
        <f t="array" ref="J30">(1+(_xlfn.XLOOKUP(J$11,Assumptions!$B$35:$H$35,_xlfn.XLOOKUP($C30,Assumptions!$B$36:$B$41,Assumptions!$B$36:$H$41),,-1)))*$D30</f>
        <v>227250</v>
      </c>
      <c r="K30" s="64">
        <f t="array" ref="K30">(1+(_xlfn.XLOOKUP(K$11,Assumptions!$B$35:$H$35,_xlfn.XLOOKUP($C30,Assumptions!$B$36:$B$41,Assumptions!$B$36:$H$41),,-1)))*$D30</f>
        <v>227250</v>
      </c>
      <c r="L30" s="64">
        <f t="array" ref="L30">(1+(_xlfn.XLOOKUP(L$11,Assumptions!$B$35:$H$35,_xlfn.XLOOKUP($C30,Assumptions!$B$36:$B$41,Assumptions!$B$36:$H$41),,-1)))*$D30</f>
        <v>227250</v>
      </c>
      <c r="M30" s="64">
        <f t="array" ref="M30">(1+(_xlfn.XLOOKUP(M$11,Assumptions!$B$35:$H$35,_xlfn.XLOOKUP($C30,Assumptions!$B$36:$B$41,Assumptions!$B$36:$H$41),,-1)))*$D30</f>
        <v>227250</v>
      </c>
      <c r="N30" s="64">
        <f t="array" ref="N30">(1+(_xlfn.XLOOKUP(N$11,Assumptions!$B$35:$H$35,_xlfn.XLOOKUP($C30,Assumptions!$B$36:$B$41,Assumptions!$B$36:$H$41),,-1)))*$D30</f>
        <v>227250</v>
      </c>
      <c r="O30" s="64">
        <f t="array" ref="O30">(1+(_xlfn.XLOOKUP(O$11,Assumptions!$B$35:$H$35,_xlfn.XLOOKUP($C30,Assumptions!$B$36:$B$41,Assumptions!$B$36:$H$41),,-1)))*$D30</f>
        <v>227250</v>
      </c>
      <c r="P30" s="64">
        <f t="array" ref="P30">(1+(_xlfn.XLOOKUP(P$11,Assumptions!$B$35:$H$35,_xlfn.XLOOKUP($C30,Assumptions!$B$36:$B$41,Assumptions!$B$36:$H$41),,-1)))*$D30</f>
        <v>227250</v>
      </c>
      <c r="Q30" s="64">
        <f t="array" ref="Q30">(1+(_xlfn.XLOOKUP(Q$11,Assumptions!$B$35:$H$35,_xlfn.XLOOKUP($C30,Assumptions!$B$36:$B$41,Assumptions!$B$36:$H$41),,-1)))*$D30</f>
        <v>226124.99999999997</v>
      </c>
      <c r="R30" s="64">
        <f t="array" ref="R30">(1+(_xlfn.XLOOKUP(R$11,Assumptions!$B$35:$H$35,_xlfn.XLOOKUP($C30,Assumptions!$B$36:$B$41,Assumptions!$B$36:$H$41),,-1)))*$D30</f>
        <v>226124.99999999997</v>
      </c>
      <c r="S30" s="64">
        <f t="array" ref="S30">(1+(_xlfn.XLOOKUP(S$11,Assumptions!$B$35:$H$35,_xlfn.XLOOKUP($C30,Assumptions!$B$36:$B$41,Assumptions!$B$36:$H$41),,-1)))*$D30</f>
        <v>226124.99999999997</v>
      </c>
      <c r="T30" s="64">
        <f t="array" ref="T30">(1+(_xlfn.XLOOKUP(T$11,Assumptions!$B$35:$H$35,_xlfn.XLOOKUP($C30,Assumptions!$B$36:$B$41,Assumptions!$B$36:$H$41),,-1)))*$D30</f>
        <v>226124.99999999997</v>
      </c>
      <c r="U30" s="64">
        <f t="array" ref="U30">(1+(_xlfn.XLOOKUP(U$11,Assumptions!$B$35:$H$35,_xlfn.XLOOKUP($C30,Assumptions!$B$36:$B$41,Assumptions!$B$36:$H$41),,-1)))*$D30</f>
        <v>226124.99999999997</v>
      </c>
      <c r="V30" s="64">
        <f t="array" ref="V30">(1+(_xlfn.XLOOKUP(V$11,Assumptions!$B$35:$H$35,_xlfn.XLOOKUP($C30,Assumptions!$B$36:$B$41,Assumptions!$B$36:$H$41),,-1)))*$D30</f>
        <v>226124.99999999997</v>
      </c>
      <c r="W30" s="64">
        <f t="array" ref="W30">(1+(_xlfn.XLOOKUP(W$11,Assumptions!$B$35:$H$35,_xlfn.XLOOKUP($C30,Assumptions!$B$36:$B$41,Assumptions!$B$36:$H$41),,-1)))*$D30</f>
        <v>226124.99999999997</v>
      </c>
      <c r="X30" s="64">
        <f t="array" ref="X30">(1+(_xlfn.XLOOKUP(X$11,Assumptions!$B$35:$H$35,_xlfn.XLOOKUP($C30,Assumptions!$B$36:$B$41,Assumptions!$B$36:$H$41),,-1)))*$D30</f>
        <v>226124.99999999997</v>
      </c>
      <c r="Y30" s="64">
        <f t="array" ref="Y30">(1+(_xlfn.XLOOKUP(Y$11,Assumptions!$B$35:$H$35,_xlfn.XLOOKUP($C30,Assumptions!$B$36:$B$41,Assumptions!$B$36:$H$41),,-1)))*$D30</f>
        <v>226124.99999999997</v>
      </c>
      <c r="Z30" s="64">
        <f t="array" ref="Z30">(1+(_xlfn.XLOOKUP(Z$11,Assumptions!$B$35:$H$35,_xlfn.XLOOKUP($C30,Assumptions!$B$36:$B$41,Assumptions!$B$36:$H$41),,-1)))*$D30</f>
        <v>226124.99999999997</v>
      </c>
      <c r="AA30" s="64">
        <f t="array" ref="AA30">(1+(_xlfn.XLOOKUP(AA$11,Assumptions!$B$35:$H$35,_xlfn.XLOOKUP($C30,Assumptions!$B$36:$B$41,Assumptions!$B$36:$H$41),,-1)))*$D30</f>
        <v>226124.99999999997</v>
      </c>
      <c r="AB30" s="64">
        <f t="array" ref="AB30">(1+(_xlfn.XLOOKUP(AB$11,Assumptions!$B$35:$H$35,_xlfn.XLOOKUP($C30,Assumptions!$B$36:$B$41,Assumptions!$B$36:$H$41),,-1)))*$D30</f>
        <v>226124.99999999997</v>
      </c>
      <c r="AC30" s="64">
        <f t="array" ref="AC30">(1+(_xlfn.XLOOKUP(AC$11,Assumptions!$B$35:$H$35,_xlfn.XLOOKUP($C30,Assumptions!$B$36:$B$41,Assumptions!$B$36:$H$41),,-1)))*$D30</f>
        <v>225000</v>
      </c>
      <c r="AD30" s="64">
        <f t="array" ref="AD30">(1+(_xlfn.XLOOKUP(AD$11,Assumptions!$B$35:$H$35,_xlfn.XLOOKUP($C30,Assumptions!$B$36:$B$41,Assumptions!$B$36:$H$41),,-1)))*$D30</f>
        <v>225000</v>
      </c>
      <c r="AE30" s="64">
        <f t="array" ref="AE30">(1+(_xlfn.XLOOKUP(AE$11,Assumptions!$B$35:$H$35,_xlfn.XLOOKUP($C30,Assumptions!$B$36:$B$41,Assumptions!$B$36:$H$41),,-1)))*$D30</f>
        <v>225000</v>
      </c>
      <c r="AF30" s="64">
        <f t="array" ref="AF30">(1+(_xlfn.XLOOKUP(AF$11,Assumptions!$B$35:$H$35,_xlfn.XLOOKUP($C30,Assumptions!$B$36:$B$41,Assumptions!$B$36:$H$41),,-1)))*$D30</f>
        <v>225000</v>
      </c>
      <c r="AG30" s="64">
        <f t="array" ref="AG30">(1+(_xlfn.XLOOKUP(AG$11,Assumptions!$B$35:$H$35,_xlfn.XLOOKUP($C30,Assumptions!$B$36:$B$41,Assumptions!$B$36:$H$41),,-1)))*$D30</f>
        <v>225000</v>
      </c>
      <c r="AH30" s="64">
        <f t="array" ref="AH30">(1+(_xlfn.XLOOKUP(AH$11,Assumptions!$B$35:$H$35,_xlfn.XLOOKUP($C30,Assumptions!$B$36:$B$41,Assumptions!$B$36:$H$41),,-1)))*$D30</f>
        <v>225000</v>
      </c>
      <c r="AI30" s="64">
        <f t="array" ref="AI30">(1+(_xlfn.XLOOKUP(AI$11,Assumptions!$B$35:$H$35,_xlfn.XLOOKUP($C30,Assumptions!$B$36:$B$41,Assumptions!$B$36:$H$41),,-1)))*$D30</f>
        <v>225000</v>
      </c>
      <c r="AJ30" s="64">
        <f t="array" ref="AJ30">(1+(_xlfn.XLOOKUP(AJ$11,Assumptions!$B$35:$H$35,_xlfn.XLOOKUP($C30,Assumptions!$B$36:$B$41,Assumptions!$B$36:$H$41),,-1)))*$D30</f>
        <v>225000</v>
      </c>
      <c r="AK30" s="64">
        <f t="array" ref="AK30">(1+(_xlfn.XLOOKUP(AK$11,Assumptions!$B$35:$H$35,_xlfn.XLOOKUP($C30,Assumptions!$B$36:$B$41,Assumptions!$B$36:$H$41),,-1)))*$D30</f>
        <v>225000</v>
      </c>
      <c r="AL30" s="64">
        <f t="array" ref="AL30">(1+(_xlfn.XLOOKUP(AL$11,Assumptions!$B$35:$H$35,_xlfn.XLOOKUP($C30,Assumptions!$B$36:$B$41,Assumptions!$B$36:$H$41),,-1)))*$D30</f>
        <v>225000</v>
      </c>
      <c r="AM30" s="64">
        <f t="array" ref="AM30">(1+(_xlfn.XLOOKUP(AM$11,Assumptions!$B$35:$H$35,_xlfn.XLOOKUP($C30,Assumptions!$B$36:$B$41,Assumptions!$B$36:$H$41),,-1)))*$D30</f>
        <v>225000</v>
      </c>
      <c r="AN30" s="64">
        <f t="array" ref="AN30">(1+(_xlfn.XLOOKUP(AN$11,Assumptions!$B$35:$H$35,_xlfn.XLOOKUP($C30,Assumptions!$B$36:$B$41,Assumptions!$B$36:$H$41),,-1)))*$D30</f>
        <v>225000</v>
      </c>
      <c r="AO30" s="64">
        <f t="array" ref="AO30">(1+(_xlfn.XLOOKUP(AO$11,Assumptions!$B$35:$H$35,_xlfn.XLOOKUP($C30,Assumptions!$B$36:$B$41,Assumptions!$B$36:$H$41),,-1)))*$D30</f>
        <v>222750</v>
      </c>
      <c r="AP30" s="64">
        <f t="array" ref="AP30">(1+(_xlfn.XLOOKUP(AP$11,Assumptions!$B$35:$H$35,_xlfn.XLOOKUP($C30,Assumptions!$B$36:$B$41,Assumptions!$B$36:$H$41),,-1)))*$D30</f>
        <v>222750</v>
      </c>
      <c r="AQ30" s="64">
        <f t="array" ref="AQ30">(1+(_xlfn.XLOOKUP(AQ$11,Assumptions!$B$35:$H$35,_xlfn.XLOOKUP($C30,Assumptions!$B$36:$B$41,Assumptions!$B$36:$H$41),,-1)))*$D30</f>
        <v>222750</v>
      </c>
      <c r="AR30" s="64">
        <f t="array" ref="AR30">(1+(_xlfn.XLOOKUP(AR$11,Assumptions!$B$35:$H$35,_xlfn.XLOOKUP($C30,Assumptions!$B$36:$B$41,Assumptions!$B$36:$H$41),,-1)))*$D30</f>
        <v>222750</v>
      </c>
      <c r="AS30" s="64">
        <f t="array" ref="AS30">(1+(_xlfn.XLOOKUP(AS$11,Assumptions!$B$35:$H$35,_xlfn.XLOOKUP($C30,Assumptions!$B$36:$B$41,Assumptions!$B$36:$H$41),,-1)))*$D30</f>
        <v>222750</v>
      </c>
      <c r="AT30" s="64">
        <f t="array" ref="AT30">(1+(_xlfn.XLOOKUP(AT$11,Assumptions!$B$35:$H$35,_xlfn.XLOOKUP($C30,Assumptions!$B$36:$B$41,Assumptions!$B$36:$H$41),,-1)))*$D30</f>
        <v>222750</v>
      </c>
      <c r="AU30" s="64">
        <f t="array" ref="AU30">(1+(_xlfn.XLOOKUP(AU$11,Assumptions!$B$35:$H$35,_xlfn.XLOOKUP($C30,Assumptions!$B$36:$B$41,Assumptions!$B$36:$H$41),,-1)))*$D30</f>
        <v>222750</v>
      </c>
      <c r="AV30" s="64">
        <f t="array" ref="AV30">(1+(_xlfn.XLOOKUP(AV$11,Assumptions!$B$35:$H$35,_xlfn.XLOOKUP($C30,Assumptions!$B$36:$B$41,Assumptions!$B$36:$H$41),,-1)))*$D30</f>
        <v>222750</v>
      </c>
      <c r="AW30" s="64">
        <f t="array" ref="AW30">(1+(_xlfn.XLOOKUP(AW$11,Assumptions!$B$35:$H$35,_xlfn.XLOOKUP($C30,Assumptions!$B$36:$B$41,Assumptions!$B$36:$H$41),,-1)))*$D30</f>
        <v>222750</v>
      </c>
      <c r="AX30" s="64">
        <f t="array" ref="AX30">(1+(_xlfn.XLOOKUP(AX$11,Assumptions!$B$35:$H$35,_xlfn.XLOOKUP($C30,Assumptions!$B$36:$B$41,Assumptions!$B$36:$H$41),,-1)))*$D30</f>
        <v>222750</v>
      </c>
      <c r="AY30" s="64">
        <f t="array" ref="AY30">(1+(_xlfn.XLOOKUP(AY$11,Assumptions!$B$35:$H$35,_xlfn.XLOOKUP($C30,Assumptions!$B$36:$B$41,Assumptions!$B$36:$H$41),,-1)))*$D30</f>
        <v>222750</v>
      </c>
      <c r="AZ30" s="64">
        <f t="array" ref="AZ30">(1+(_xlfn.XLOOKUP(AZ$11,Assumptions!$B$35:$H$35,_xlfn.XLOOKUP($C30,Assumptions!$B$36:$B$41,Assumptions!$B$36:$H$41),,-1)))*$D30</f>
        <v>222750</v>
      </c>
      <c r="BA30" s="64">
        <f t="array" ref="BA30">(1+(_xlfn.XLOOKUP(BA$11,Assumptions!$B$35:$H$35,_xlfn.XLOOKUP($C30,Assumptions!$B$36:$B$41,Assumptions!$B$36:$H$41),,-1)))*$D30</f>
        <v>221625</v>
      </c>
      <c r="BB30" s="64">
        <f t="array" ref="BB30">(1+(_xlfn.XLOOKUP(BB$11,Assumptions!$B$35:$H$35,_xlfn.XLOOKUP($C30,Assumptions!$B$36:$B$41,Assumptions!$B$36:$H$41),,-1)))*$D30</f>
        <v>221625</v>
      </c>
      <c r="BC30" s="64">
        <f t="array" ref="BC30">(1+(_xlfn.XLOOKUP(BC$11,Assumptions!$B$35:$H$35,_xlfn.XLOOKUP($C30,Assumptions!$B$36:$B$41,Assumptions!$B$36:$H$41),,-1)))*$D30</f>
        <v>221625</v>
      </c>
      <c r="BD30" s="64">
        <f t="array" ref="BD30">(1+(_xlfn.XLOOKUP(BD$11,Assumptions!$B$35:$H$35,_xlfn.XLOOKUP($C30,Assumptions!$B$36:$B$41,Assumptions!$B$36:$H$41),,-1)))*$D30</f>
        <v>221625</v>
      </c>
      <c r="BE30" s="64">
        <f t="array" ref="BE30">(1+(_xlfn.XLOOKUP(BE$11,Assumptions!$B$35:$H$35,_xlfn.XLOOKUP($C30,Assumptions!$B$36:$B$41,Assumptions!$B$36:$H$41),,-1)))*$D30</f>
        <v>221625</v>
      </c>
      <c r="BF30" s="64">
        <f t="array" ref="BF30">(1+(_xlfn.XLOOKUP(BF$11,Assumptions!$B$35:$H$35,_xlfn.XLOOKUP($C30,Assumptions!$B$36:$B$41,Assumptions!$B$36:$H$41),,-1)))*$D30</f>
        <v>221625</v>
      </c>
      <c r="BG30" s="64">
        <f t="array" ref="BG30">(1+(_xlfn.XLOOKUP(BG$11,Assumptions!$B$35:$H$35,_xlfn.XLOOKUP($C30,Assumptions!$B$36:$B$41,Assumptions!$B$36:$H$41),,-1)))*$D30</f>
        <v>221625</v>
      </c>
      <c r="BH30" s="64">
        <f t="array" ref="BH30">(1+(_xlfn.XLOOKUP(BH$11,Assumptions!$B$35:$H$35,_xlfn.XLOOKUP($C30,Assumptions!$B$36:$B$41,Assumptions!$B$36:$H$41),,-1)))*$D30</f>
        <v>221625</v>
      </c>
      <c r="BI30" s="64">
        <f t="array" ref="BI30">(1+(_xlfn.XLOOKUP(BI$11,Assumptions!$B$35:$H$35,_xlfn.XLOOKUP($C30,Assumptions!$B$36:$B$41,Assumptions!$B$36:$H$41),,-1)))*$D30</f>
        <v>221625</v>
      </c>
      <c r="BJ30" s="64">
        <f t="array" ref="BJ30">(1+(_xlfn.XLOOKUP(BJ$11,Assumptions!$B$35:$H$35,_xlfn.XLOOKUP($C30,Assumptions!$B$36:$B$41,Assumptions!$B$36:$H$41),,-1)))*$D30</f>
        <v>221625</v>
      </c>
      <c r="BK30" s="64">
        <f t="array" ref="BK30">(1+(_xlfn.XLOOKUP(BK$11,Assumptions!$B$35:$H$35,_xlfn.XLOOKUP($C30,Assumptions!$B$36:$B$41,Assumptions!$B$36:$H$41),,-1)))*$D30</f>
        <v>221625</v>
      </c>
      <c r="BL30" s="64">
        <f t="array" ref="BL30">(1+(_xlfn.XLOOKUP(BL$11,Assumptions!$B$35:$H$35,_xlfn.XLOOKUP($C30,Assumptions!$B$36:$B$41,Assumptions!$B$36:$H$41),,-1)))*$D30</f>
        <v>221625</v>
      </c>
      <c r="BM30" s="64">
        <f t="array" ref="BM30">(1+(_xlfn.XLOOKUP(BM$11,Assumptions!$B$35:$H$35,_xlfn.XLOOKUP($C30,Assumptions!$B$36:$B$41,Assumptions!$B$36:$H$41),,-1)))*$D30</f>
        <v>221625</v>
      </c>
    </row>
    <row r="31" spans="2:16384">
      <c r="C31" t="str">
        <v>Joseph Retail Group</v>
      </c>
      <c r="D31" s="43">
        <f>Assumptions!E28</f>
        <v>300000</v>
      </c>
      <c r="E31" s="64">
        <f t="array" ref="E31">(1+(_xlfn.XLOOKUP(E$11,Assumptions!$B$35:$H$35,_xlfn.XLOOKUP($C31,Assumptions!$B$36:$B$41,Assumptions!$B$36:$H$41),,-1)))*$D31</f>
        <v>276000</v>
      </c>
      <c r="F31" s="64">
        <f t="array" ref="F31">(1+(_xlfn.XLOOKUP(F$11,Assumptions!$B$35:$H$35,_xlfn.XLOOKUP($C31,Assumptions!$B$36:$B$41,Assumptions!$B$36:$H$41),,-1)))*$D31</f>
        <v>276000</v>
      </c>
      <c r="G31" s="64">
        <f t="array" ref="G31">(1+(_xlfn.XLOOKUP(G$11,Assumptions!$B$35:$H$35,_xlfn.XLOOKUP($C31,Assumptions!$B$36:$B$41,Assumptions!$B$36:$H$41),,-1)))*$D31</f>
        <v>276000</v>
      </c>
      <c r="H31" s="64">
        <f t="array" ref="H31">(1+(_xlfn.XLOOKUP(H$11,Assumptions!$B$35:$H$35,_xlfn.XLOOKUP($C31,Assumptions!$B$36:$B$41,Assumptions!$B$36:$H$41),,-1)))*$D31</f>
        <v>276000</v>
      </c>
      <c r="I31" s="64">
        <f t="array" ref="I31">(1+(_xlfn.XLOOKUP(I$11,Assumptions!$B$35:$H$35,_xlfn.XLOOKUP($C31,Assumptions!$B$36:$B$41,Assumptions!$B$36:$H$41),,-1)))*$D31</f>
        <v>276000</v>
      </c>
      <c r="J31" s="64">
        <f t="array" ref="J31">(1+(_xlfn.XLOOKUP(J$11,Assumptions!$B$35:$H$35,_xlfn.XLOOKUP($C31,Assumptions!$B$36:$B$41,Assumptions!$B$36:$H$41),,-1)))*$D31</f>
        <v>276000</v>
      </c>
      <c r="K31" s="64">
        <f t="array" ref="K31">(1+(_xlfn.XLOOKUP(K$11,Assumptions!$B$35:$H$35,_xlfn.XLOOKUP($C31,Assumptions!$B$36:$B$41,Assumptions!$B$36:$H$41),,-1)))*$D31</f>
        <v>276000</v>
      </c>
      <c r="L31" s="64">
        <f t="array" ref="L31">(1+(_xlfn.XLOOKUP(L$11,Assumptions!$B$35:$H$35,_xlfn.XLOOKUP($C31,Assumptions!$B$36:$B$41,Assumptions!$B$36:$H$41),,-1)))*$D31</f>
        <v>276000</v>
      </c>
      <c r="M31" s="64">
        <f t="array" ref="M31">(1+(_xlfn.XLOOKUP(M$11,Assumptions!$B$35:$H$35,_xlfn.XLOOKUP($C31,Assumptions!$B$36:$B$41,Assumptions!$B$36:$H$41),,-1)))*$D31</f>
        <v>276000</v>
      </c>
      <c r="N31" s="64">
        <f t="array" ref="N31">(1+(_xlfn.XLOOKUP(N$11,Assumptions!$B$35:$H$35,_xlfn.XLOOKUP($C31,Assumptions!$B$36:$B$41,Assumptions!$B$36:$H$41),,-1)))*$D31</f>
        <v>276000</v>
      </c>
      <c r="O31" s="64">
        <f t="array" ref="O31">(1+(_xlfn.XLOOKUP(O$11,Assumptions!$B$35:$H$35,_xlfn.XLOOKUP($C31,Assumptions!$B$36:$B$41,Assumptions!$B$36:$H$41),,-1)))*$D31</f>
        <v>276000</v>
      </c>
      <c r="P31" s="64">
        <f t="array" ref="P31">(1+(_xlfn.XLOOKUP(P$11,Assumptions!$B$35:$H$35,_xlfn.XLOOKUP($C31,Assumptions!$B$36:$B$41,Assumptions!$B$36:$H$41),,-1)))*$D31</f>
        <v>276000</v>
      </c>
      <c r="Q31" s="64">
        <f t="array" ref="Q31">(1+(_xlfn.XLOOKUP(Q$11,Assumptions!$B$35:$H$35,_xlfn.XLOOKUP($C31,Assumptions!$B$36:$B$41,Assumptions!$B$36:$H$41),,-1)))*$D31</f>
        <v>288000</v>
      </c>
      <c r="R31" s="64">
        <f t="array" ref="R31">(1+(_xlfn.XLOOKUP(R$11,Assumptions!$B$35:$H$35,_xlfn.XLOOKUP($C31,Assumptions!$B$36:$B$41,Assumptions!$B$36:$H$41),,-1)))*$D31</f>
        <v>288000</v>
      </c>
      <c r="S31" s="64">
        <f t="array" ref="S31">(1+(_xlfn.XLOOKUP(S$11,Assumptions!$B$35:$H$35,_xlfn.XLOOKUP($C31,Assumptions!$B$36:$B$41,Assumptions!$B$36:$H$41),,-1)))*$D31</f>
        <v>288000</v>
      </c>
      <c r="T31" s="64">
        <f t="array" ref="T31">(1+(_xlfn.XLOOKUP(T$11,Assumptions!$B$35:$H$35,_xlfn.XLOOKUP($C31,Assumptions!$B$36:$B$41,Assumptions!$B$36:$H$41),,-1)))*$D31</f>
        <v>288000</v>
      </c>
      <c r="U31" s="64">
        <f t="array" ref="U31">(1+(_xlfn.XLOOKUP(U$11,Assumptions!$B$35:$H$35,_xlfn.XLOOKUP($C31,Assumptions!$B$36:$B$41,Assumptions!$B$36:$H$41),,-1)))*$D31</f>
        <v>288000</v>
      </c>
      <c r="V31" s="64">
        <f t="array" ref="V31">(1+(_xlfn.XLOOKUP(V$11,Assumptions!$B$35:$H$35,_xlfn.XLOOKUP($C31,Assumptions!$B$36:$B$41,Assumptions!$B$36:$H$41),,-1)))*$D31</f>
        <v>288000</v>
      </c>
      <c r="W31" s="64">
        <f t="array" ref="W31">(1+(_xlfn.XLOOKUP(W$11,Assumptions!$B$35:$H$35,_xlfn.XLOOKUP($C31,Assumptions!$B$36:$B$41,Assumptions!$B$36:$H$41),,-1)))*$D31</f>
        <v>288000</v>
      </c>
      <c r="X31" s="64">
        <f t="array" ref="X31">(1+(_xlfn.XLOOKUP(X$11,Assumptions!$B$35:$H$35,_xlfn.XLOOKUP($C31,Assumptions!$B$36:$B$41,Assumptions!$B$36:$H$41),,-1)))*$D31</f>
        <v>288000</v>
      </c>
      <c r="Y31" s="64">
        <f t="array" ref="Y31">(1+(_xlfn.XLOOKUP(Y$11,Assumptions!$B$35:$H$35,_xlfn.XLOOKUP($C31,Assumptions!$B$36:$B$41,Assumptions!$B$36:$H$41),,-1)))*$D31</f>
        <v>288000</v>
      </c>
      <c r="Z31" s="64">
        <f t="array" ref="Z31">(1+(_xlfn.XLOOKUP(Z$11,Assumptions!$B$35:$H$35,_xlfn.XLOOKUP($C31,Assumptions!$B$36:$B$41,Assumptions!$B$36:$H$41),,-1)))*$D31</f>
        <v>288000</v>
      </c>
      <c r="AA31" s="64">
        <f t="array" ref="AA31">(1+(_xlfn.XLOOKUP(AA$11,Assumptions!$B$35:$H$35,_xlfn.XLOOKUP($C31,Assumptions!$B$36:$B$41,Assumptions!$B$36:$H$41),,-1)))*$D31</f>
        <v>288000</v>
      </c>
      <c r="AB31" s="64">
        <f t="array" ref="AB31">(1+(_xlfn.XLOOKUP(AB$11,Assumptions!$B$35:$H$35,_xlfn.XLOOKUP($C31,Assumptions!$B$36:$B$41,Assumptions!$B$36:$H$41),,-1)))*$D31</f>
        <v>288000</v>
      </c>
      <c r="AC31" s="64">
        <f t="array" ref="AC31">(1+(_xlfn.XLOOKUP(AC$11,Assumptions!$B$35:$H$35,_xlfn.XLOOKUP($C31,Assumptions!$B$36:$B$41,Assumptions!$B$36:$H$41),,-1)))*$D31</f>
        <v>282000</v>
      </c>
      <c r="AD31" s="64">
        <f t="array" ref="AD31">(1+(_xlfn.XLOOKUP(AD$11,Assumptions!$B$35:$H$35,_xlfn.XLOOKUP($C31,Assumptions!$B$36:$B$41,Assumptions!$B$36:$H$41),,-1)))*$D31</f>
        <v>282000</v>
      </c>
      <c r="AE31" s="64">
        <f t="array" ref="AE31">(1+(_xlfn.XLOOKUP(AE$11,Assumptions!$B$35:$H$35,_xlfn.XLOOKUP($C31,Assumptions!$B$36:$B$41,Assumptions!$B$36:$H$41),,-1)))*$D31</f>
        <v>282000</v>
      </c>
      <c r="AF31" s="64">
        <f t="array" ref="AF31">(1+(_xlfn.XLOOKUP(AF$11,Assumptions!$B$35:$H$35,_xlfn.XLOOKUP($C31,Assumptions!$B$36:$B$41,Assumptions!$B$36:$H$41),,-1)))*$D31</f>
        <v>282000</v>
      </c>
      <c r="AG31" s="64">
        <f t="array" ref="AG31">(1+(_xlfn.XLOOKUP(AG$11,Assumptions!$B$35:$H$35,_xlfn.XLOOKUP($C31,Assumptions!$B$36:$B$41,Assumptions!$B$36:$H$41),,-1)))*$D31</f>
        <v>282000</v>
      </c>
      <c r="AH31" s="64">
        <f t="array" ref="AH31">(1+(_xlfn.XLOOKUP(AH$11,Assumptions!$B$35:$H$35,_xlfn.XLOOKUP($C31,Assumptions!$B$36:$B$41,Assumptions!$B$36:$H$41),,-1)))*$D31</f>
        <v>282000</v>
      </c>
      <c r="AI31" s="64">
        <f t="array" ref="AI31">(1+(_xlfn.XLOOKUP(AI$11,Assumptions!$B$35:$H$35,_xlfn.XLOOKUP($C31,Assumptions!$B$36:$B$41,Assumptions!$B$36:$H$41),,-1)))*$D31</f>
        <v>282000</v>
      </c>
      <c r="AJ31" s="64">
        <f t="array" ref="AJ31">(1+(_xlfn.XLOOKUP(AJ$11,Assumptions!$B$35:$H$35,_xlfn.XLOOKUP($C31,Assumptions!$B$36:$B$41,Assumptions!$B$36:$H$41),,-1)))*$D31</f>
        <v>282000</v>
      </c>
      <c r="AK31" s="64">
        <f t="array" ref="AK31">(1+(_xlfn.XLOOKUP(AK$11,Assumptions!$B$35:$H$35,_xlfn.XLOOKUP($C31,Assumptions!$B$36:$B$41,Assumptions!$B$36:$H$41),,-1)))*$D31</f>
        <v>282000</v>
      </c>
      <c r="AL31" s="64">
        <f t="array" ref="AL31">(1+(_xlfn.XLOOKUP(AL$11,Assumptions!$B$35:$H$35,_xlfn.XLOOKUP($C31,Assumptions!$B$36:$B$41,Assumptions!$B$36:$H$41),,-1)))*$D31</f>
        <v>282000</v>
      </c>
      <c r="AM31" s="64">
        <f t="array" ref="AM31">(1+(_xlfn.XLOOKUP(AM$11,Assumptions!$B$35:$H$35,_xlfn.XLOOKUP($C31,Assumptions!$B$36:$B$41,Assumptions!$B$36:$H$41),,-1)))*$D31</f>
        <v>282000</v>
      </c>
      <c r="AN31" s="64">
        <f t="array" ref="AN31">(1+(_xlfn.XLOOKUP(AN$11,Assumptions!$B$35:$H$35,_xlfn.XLOOKUP($C31,Assumptions!$B$36:$B$41,Assumptions!$B$36:$H$41),,-1)))*$D31</f>
        <v>282000</v>
      </c>
      <c r="AO31" s="64">
        <f t="array" ref="AO31">(1+(_xlfn.XLOOKUP(AO$11,Assumptions!$B$35:$H$35,_xlfn.XLOOKUP($C31,Assumptions!$B$36:$B$41,Assumptions!$B$36:$H$41),,-1)))*$D31</f>
        <v>276000</v>
      </c>
      <c r="AP31" s="64">
        <f t="array" ref="AP31">(1+(_xlfn.XLOOKUP(AP$11,Assumptions!$B$35:$H$35,_xlfn.XLOOKUP($C31,Assumptions!$B$36:$B$41,Assumptions!$B$36:$H$41),,-1)))*$D31</f>
        <v>276000</v>
      </c>
      <c r="AQ31" s="64">
        <f t="array" ref="AQ31">(1+(_xlfn.XLOOKUP(AQ$11,Assumptions!$B$35:$H$35,_xlfn.XLOOKUP($C31,Assumptions!$B$36:$B$41,Assumptions!$B$36:$H$41),,-1)))*$D31</f>
        <v>276000</v>
      </c>
      <c r="AR31" s="64">
        <f t="array" ref="AR31">(1+(_xlfn.XLOOKUP(AR$11,Assumptions!$B$35:$H$35,_xlfn.XLOOKUP($C31,Assumptions!$B$36:$B$41,Assumptions!$B$36:$H$41),,-1)))*$D31</f>
        <v>276000</v>
      </c>
      <c r="AS31" s="64">
        <f t="array" ref="AS31">(1+(_xlfn.XLOOKUP(AS$11,Assumptions!$B$35:$H$35,_xlfn.XLOOKUP($C31,Assumptions!$B$36:$B$41,Assumptions!$B$36:$H$41),,-1)))*$D31</f>
        <v>276000</v>
      </c>
      <c r="AT31" s="64">
        <f t="array" ref="AT31">(1+(_xlfn.XLOOKUP(AT$11,Assumptions!$B$35:$H$35,_xlfn.XLOOKUP($C31,Assumptions!$B$36:$B$41,Assumptions!$B$36:$H$41),,-1)))*$D31</f>
        <v>276000</v>
      </c>
      <c r="AU31" s="64">
        <f t="array" ref="AU31">(1+(_xlfn.XLOOKUP(AU$11,Assumptions!$B$35:$H$35,_xlfn.XLOOKUP($C31,Assumptions!$B$36:$B$41,Assumptions!$B$36:$H$41),,-1)))*$D31</f>
        <v>276000</v>
      </c>
      <c r="AV31" s="64">
        <f t="array" ref="AV31">(1+(_xlfn.XLOOKUP(AV$11,Assumptions!$B$35:$H$35,_xlfn.XLOOKUP($C31,Assumptions!$B$36:$B$41,Assumptions!$B$36:$H$41),,-1)))*$D31</f>
        <v>276000</v>
      </c>
      <c r="AW31" s="64">
        <f t="array" ref="AW31">(1+(_xlfn.XLOOKUP(AW$11,Assumptions!$B$35:$H$35,_xlfn.XLOOKUP($C31,Assumptions!$B$36:$B$41,Assumptions!$B$36:$H$41),,-1)))*$D31</f>
        <v>276000</v>
      </c>
      <c r="AX31" s="64">
        <f t="array" ref="AX31">(1+(_xlfn.XLOOKUP(AX$11,Assumptions!$B$35:$H$35,_xlfn.XLOOKUP($C31,Assumptions!$B$36:$B$41,Assumptions!$B$36:$H$41),,-1)))*$D31</f>
        <v>276000</v>
      </c>
      <c r="AY31" s="64">
        <f t="array" ref="AY31">(1+(_xlfn.XLOOKUP(AY$11,Assumptions!$B$35:$H$35,_xlfn.XLOOKUP($C31,Assumptions!$B$36:$B$41,Assumptions!$B$36:$H$41),,-1)))*$D31</f>
        <v>276000</v>
      </c>
      <c r="AZ31" s="64">
        <f t="array" ref="AZ31">(1+(_xlfn.XLOOKUP(AZ$11,Assumptions!$B$35:$H$35,_xlfn.XLOOKUP($C31,Assumptions!$B$36:$B$41,Assumptions!$B$36:$H$41),,-1)))*$D31</f>
        <v>276000</v>
      </c>
      <c r="BA31" s="64">
        <f t="array" ref="BA31">(1+(_xlfn.XLOOKUP(BA$11,Assumptions!$B$35:$H$35,_xlfn.XLOOKUP($C31,Assumptions!$B$36:$B$41,Assumptions!$B$36:$H$41),,-1)))*$D31</f>
        <v>279000</v>
      </c>
      <c r="BB31" s="64">
        <f t="array" ref="BB31">(1+(_xlfn.XLOOKUP(BB$11,Assumptions!$B$35:$H$35,_xlfn.XLOOKUP($C31,Assumptions!$B$36:$B$41,Assumptions!$B$36:$H$41),,-1)))*$D31</f>
        <v>279000</v>
      </c>
      <c r="BC31" s="64">
        <f t="array" ref="BC31">(1+(_xlfn.XLOOKUP(BC$11,Assumptions!$B$35:$H$35,_xlfn.XLOOKUP($C31,Assumptions!$B$36:$B$41,Assumptions!$B$36:$H$41),,-1)))*$D31</f>
        <v>279000</v>
      </c>
      <c r="BD31" s="64">
        <f t="array" ref="BD31">(1+(_xlfn.XLOOKUP(BD$11,Assumptions!$B$35:$H$35,_xlfn.XLOOKUP($C31,Assumptions!$B$36:$B$41,Assumptions!$B$36:$H$41),,-1)))*$D31</f>
        <v>279000</v>
      </c>
      <c r="BE31" s="64">
        <f t="array" ref="BE31">(1+(_xlfn.XLOOKUP(BE$11,Assumptions!$B$35:$H$35,_xlfn.XLOOKUP($C31,Assumptions!$B$36:$B$41,Assumptions!$B$36:$H$41),,-1)))*$D31</f>
        <v>279000</v>
      </c>
      <c r="BF31" s="64">
        <f t="array" ref="BF31">(1+(_xlfn.XLOOKUP(BF$11,Assumptions!$B$35:$H$35,_xlfn.XLOOKUP($C31,Assumptions!$B$36:$B$41,Assumptions!$B$36:$H$41),,-1)))*$D31</f>
        <v>279000</v>
      </c>
      <c r="BG31" s="64">
        <f t="array" ref="BG31">(1+(_xlfn.XLOOKUP(BG$11,Assumptions!$B$35:$H$35,_xlfn.XLOOKUP($C31,Assumptions!$B$36:$B$41,Assumptions!$B$36:$H$41),,-1)))*$D31</f>
        <v>279000</v>
      </c>
      <c r="BH31" s="64">
        <f t="array" ref="BH31">(1+(_xlfn.XLOOKUP(BH$11,Assumptions!$B$35:$H$35,_xlfn.XLOOKUP($C31,Assumptions!$B$36:$B$41,Assumptions!$B$36:$H$41),,-1)))*$D31</f>
        <v>279000</v>
      </c>
      <c r="BI31" s="64">
        <f t="array" ref="BI31">(1+(_xlfn.XLOOKUP(BI$11,Assumptions!$B$35:$H$35,_xlfn.XLOOKUP($C31,Assumptions!$B$36:$B$41,Assumptions!$B$36:$H$41),,-1)))*$D31</f>
        <v>279000</v>
      </c>
      <c r="BJ31" s="64">
        <f t="array" ref="BJ31">(1+(_xlfn.XLOOKUP(BJ$11,Assumptions!$B$35:$H$35,_xlfn.XLOOKUP($C31,Assumptions!$B$36:$B$41,Assumptions!$B$36:$H$41),,-1)))*$D31</f>
        <v>279000</v>
      </c>
      <c r="BK31" s="64">
        <f t="array" ref="BK31">(1+(_xlfn.XLOOKUP(BK$11,Assumptions!$B$35:$H$35,_xlfn.XLOOKUP($C31,Assumptions!$B$36:$B$41,Assumptions!$B$36:$H$41),,-1)))*$D31</f>
        <v>279000</v>
      </c>
      <c r="BL31" s="64">
        <f t="array" ref="BL31">(1+(_xlfn.XLOOKUP(BL$11,Assumptions!$B$35:$H$35,_xlfn.XLOOKUP($C31,Assumptions!$B$36:$B$41,Assumptions!$B$36:$H$41),,-1)))*$D31</f>
        <v>279000</v>
      </c>
      <c r="BM31" s="64">
        <f t="array" ref="BM31">(1+(_xlfn.XLOOKUP(BM$11,Assumptions!$B$35:$H$35,_xlfn.XLOOKUP($C31,Assumptions!$B$36:$B$41,Assumptions!$B$36:$H$41),,-1)))*$D31</f>
        <v>279000</v>
      </c>
    </row>
    <row r="32" spans="2:16384">
      <c r="C32" t="str">
        <v>Dim Collective</v>
      </c>
      <c r="D32" s="43">
        <f>Assumptions!E29</f>
        <v>125000</v>
      </c>
      <c r="E32" s="64">
        <f t="array" ref="E32">(1+(_xlfn.XLOOKUP(E$11,Assumptions!$B$35:$H$35,_xlfn.XLOOKUP($C32,Assumptions!$B$36:$B$41,Assumptions!$B$36:$H$41),,-1)))*$D32</f>
        <v>162500</v>
      </c>
      <c r="F32" s="64">
        <f t="array" ref="F32">(1+(_xlfn.XLOOKUP(F$11,Assumptions!$B$35:$H$35,_xlfn.XLOOKUP($C32,Assumptions!$B$36:$B$41,Assumptions!$B$36:$H$41),,-1)))*$D32</f>
        <v>162500</v>
      </c>
      <c r="G32" s="64">
        <f t="array" ref="G32">(1+(_xlfn.XLOOKUP(G$11,Assumptions!$B$35:$H$35,_xlfn.XLOOKUP($C32,Assumptions!$B$36:$B$41,Assumptions!$B$36:$H$41),,-1)))*$D32</f>
        <v>162500</v>
      </c>
      <c r="H32" s="64">
        <f t="array" ref="H32">(1+(_xlfn.XLOOKUP(H$11,Assumptions!$B$35:$H$35,_xlfn.XLOOKUP($C32,Assumptions!$B$36:$B$41,Assumptions!$B$36:$H$41),,-1)))*$D32</f>
        <v>162500</v>
      </c>
      <c r="I32" s="64">
        <f t="array" ref="I32">(1+(_xlfn.XLOOKUP(I$11,Assumptions!$B$35:$H$35,_xlfn.XLOOKUP($C32,Assumptions!$B$36:$B$41,Assumptions!$B$36:$H$41),,-1)))*$D32</f>
        <v>162500</v>
      </c>
      <c r="J32" s="64">
        <f t="array" ref="J32">(1+(_xlfn.XLOOKUP(J$11,Assumptions!$B$35:$H$35,_xlfn.XLOOKUP($C32,Assumptions!$B$36:$B$41,Assumptions!$B$36:$H$41),,-1)))*$D32</f>
        <v>162500</v>
      </c>
      <c r="K32" s="64">
        <f t="array" ref="K32">(1+(_xlfn.XLOOKUP(K$11,Assumptions!$B$35:$H$35,_xlfn.XLOOKUP($C32,Assumptions!$B$36:$B$41,Assumptions!$B$36:$H$41),,-1)))*$D32</f>
        <v>162500</v>
      </c>
      <c r="L32" s="64">
        <f t="array" ref="L32">(1+(_xlfn.XLOOKUP(L$11,Assumptions!$B$35:$H$35,_xlfn.XLOOKUP($C32,Assumptions!$B$36:$B$41,Assumptions!$B$36:$H$41),,-1)))*$D32</f>
        <v>162500</v>
      </c>
      <c r="M32" s="64">
        <f t="array" ref="M32">(1+(_xlfn.XLOOKUP(M$11,Assumptions!$B$35:$H$35,_xlfn.XLOOKUP($C32,Assumptions!$B$36:$B$41,Assumptions!$B$36:$H$41),,-1)))*$D32</f>
        <v>162500</v>
      </c>
      <c r="N32" s="64">
        <f t="array" ref="N32">(1+(_xlfn.XLOOKUP(N$11,Assumptions!$B$35:$H$35,_xlfn.XLOOKUP($C32,Assumptions!$B$36:$B$41,Assumptions!$B$36:$H$41),,-1)))*$D32</f>
        <v>162500</v>
      </c>
      <c r="O32" s="64">
        <f t="array" ref="O32">(1+(_xlfn.XLOOKUP(O$11,Assumptions!$B$35:$H$35,_xlfn.XLOOKUP($C32,Assumptions!$B$36:$B$41,Assumptions!$B$36:$H$41),,-1)))*$D32</f>
        <v>162500</v>
      </c>
      <c r="P32" s="64">
        <f t="array" ref="P32">(1+(_xlfn.XLOOKUP(P$11,Assumptions!$B$35:$H$35,_xlfn.XLOOKUP($C32,Assumptions!$B$36:$B$41,Assumptions!$B$36:$H$41),,-1)))*$D32</f>
        <v>162500</v>
      </c>
      <c r="Q32" s="64">
        <f t="array" ref="Q32">(1+(_xlfn.XLOOKUP(Q$11,Assumptions!$B$35:$H$35,_xlfn.XLOOKUP($C32,Assumptions!$B$36:$B$41,Assumptions!$B$36:$H$41),,-1)))*$D32</f>
        <v>143750</v>
      </c>
      <c r="R32" s="64">
        <f t="array" ref="R32">(1+(_xlfn.XLOOKUP(R$11,Assumptions!$B$35:$H$35,_xlfn.XLOOKUP($C32,Assumptions!$B$36:$B$41,Assumptions!$B$36:$H$41),,-1)))*$D32</f>
        <v>143750</v>
      </c>
      <c r="S32" s="64">
        <f t="array" ref="S32">(1+(_xlfn.XLOOKUP(S$11,Assumptions!$B$35:$H$35,_xlfn.XLOOKUP($C32,Assumptions!$B$36:$B$41,Assumptions!$B$36:$H$41),,-1)))*$D32</f>
        <v>143750</v>
      </c>
      <c r="T32" s="64">
        <f t="array" ref="T32">(1+(_xlfn.XLOOKUP(T$11,Assumptions!$B$35:$H$35,_xlfn.XLOOKUP($C32,Assumptions!$B$36:$B$41,Assumptions!$B$36:$H$41),,-1)))*$D32</f>
        <v>143750</v>
      </c>
      <c r="U32" s="64">
        <f t="array" ref="U32">(1+(_xlfn.XLOOKUP(U$11,Assumptions!$B$35:$H$35,_xlfn.XLOOKUP($C32,Assumptions!$B$36:$B$41,Assumptions!$B$36:$H$41),,-1)))*$D32</f>
        <v>143750</v>
      </c>
      <c r="V32" s="64">
        <f t="array" ref="V32">(1+(_xlfn.XLOOKUP(V$11,Assumptions!$B$35:$H$35,_xlfn.XLOOKUP($C32,Assumptions!$B$36:$B$41,Assumptions!$B$36:$H$41),,-1)))*$D32</f>
        <v>143750</v>
      </c>
      <c r="W32" s="64">
        <f t="array" ref="W32">(1+(_xlfn.XLOOKUP(W$11,Assumptions!$B$35:$H$35,_xlfn.XLOOKUP($C32,Assumptions!$B$36:$B$41,Assumptions!$B$36:$H$41),,-1)))*$D32</f>
        <v>143750</v>
      </c>
      <c r="X32" s="64">
        <f t="array" ref="X32">(1+(_xlfn.XLOOKUP(X$11,Assumptions!$B$35:$H$35,_xlfn.XLOOKUP($C32,Assumptions!$B$36:$B$41,Assumptions!$B$36:$H$41),,-1)))*$D32</f>
        <v>143750</v>
      </c>
      <c r="Y32" s="64">
        <f t="array" ref="Y32">(1+(_xlfn.XLOOKUP(Y$11,Assumptions!$B$35:$H$35,_xlfn.XLOOKUP($C32,Assumptions!$B$36:$B$41,Assumptions!$B$36:$H$41),,-1)))*$D32</f>
        <v>143750</v>
      </c>
      <c r="Z32" s="64">
        <f t="array" ref="Z32">(1+(_xlfn.XLOOKUP(Z$11,Assumptions!$B$35:$H$35,_xlfn.XLOOKUP($C32,Assumptions!$B$36:$B$41,Assumptions!$B$36:$H$41),,-1)))*$D32</f>
        <v>143750</v>
      </c>
      <c r="AA32" s="64">
        <f t="array" ref="AA32">(1+(_xlfn.XLOOKUP(AA$11,Assumptions!$B$35:$H$35,_xlfn.XLOOKUP($C32,Assumptions!$B$36:$B$41,Assumptions!$B$36:$H$41),,-1)))*$D32</f>
        <v>143750</v>
      </c>
      <c r="AB32" s="64">
        <f t="array" ref="AB32">(1+(_xlfn.XLOOKUP(AB$11,Assumptions!$B$35:$H$35,_xlfn.XLOOKUP($C32,Assumptions!$B$36:$B$41,Assumptions!$B$36:$H$41),,-1)))*$D32</f>
        <v>143750</v>
      </c>
      <c r="AC32" s="64">
        <f t="array" ref="AC32">(1+(_xlfn.XLOOKUP(AC$11,Assumptions!$B$35:$H$35,_xlfn.XLOOKUP($C32,Assumptions!$B$36:$B$41,Assumptions!$B$36:$H$41),,-1)))*$D32</f>
        <v>137500</v>
      </c>
      <c r="AD32" s="64">
        <f t="array" ref="AD32">(1+(_xlfn.XLOOKUP(AD$11,Assumptions!$B$35:$H$35,_xlfn.XLOOKUP($C32,Assumptions!$B$36:$B$41,Assumptions!$B$36:$H$41),,-1)))*$D32</f>
        <v>137500</v>
      </c>
      <c r="AE32" s="64">
        <f t="array" ref="AE32">(1+(_xlfn.XLOOKUP(AE$11,Assumptions!$B$35:$H$35,_xlfn.XLOOKUP($C32,Assumptions!$B$36:$B$41,Assumptions!$B$36:$H$41),,-1)))*$D32</f>
        <v>137500</v>
      </c>
      <c r="AF32" s="64">
        <f t="array" ref="AF32">(1+(_xlfn.XLOOKUP(AF$11,Assumptions!$B$35:$H$35,_xlfn.XLOOKUP($C32,Assumptions!$B$36:$B$41,Assumptions!$B$36:$H$41),,-1)))*$D32</f>
        <v>137500</v>
      </c>
      <c r="AG32" s="64">
        <f t="array" ref="AG32">(1+(_xlfn.XLOOKUP(AG$11,Assumptions!$B$35:$H$35,_xlfn.XLOOKUP($C32,Assumptions!$B$36:$B$41,Assumptions!$B$36:$H$41),,-1)))*$D32</f>
        <v>137500</v>
      </c>
      <c r="AH32" s="64">
        <f t="array" ref="AH32">(1+(_xlfn.XLOOKUP(AH$11,Assumptions!$B$35:$H$35,_xlfn.XLOOKUP($C32,Assumptions!$B$36:$B$41,Assumptions!$B$36:$H$41),,-1)))*$D32</f>
        <v>137500</v>
      </c>
      <c r="AI32" s="64">
        <f t="array" ref="AI32">(1+(_xlfn.XLOOKUP(AI$11,Assumptions!$B$35:$H$35,_xlfn.XLOOKUP($C32,Assumptions!$B$36:$B$41,Assumptions!$B$36:$H$41),,-1)))*$D32</f>
        <v>137500</v>
      </c>
      <c r="AJ32" s="64">
        <f t="array" ref="AJ32">(1+(_xlfn.XLOOKUP(AJ$11,Assumptions!$B$35:$H$35,_xlfn.XLOOKUP($C32,Assumptions!$B$36:$B$41,Assumptions!$B$36:$H$41),,-1)))*$D32</f>
        <v>137500</v>
      </c>
      <c r="AK32" s="64">
        <f t="array" ref="AK32">(1+(_xlfn.XLOOKUP(AK$11,Assumptions!$B$35:$H$35,_xlfn.XLOOKUP($C32,Assumptions!$B$36:$B$41,Assumptions!$B$36:$H$41),,-1)))*$D32</f>
        <v>137500</v>
      </c>
      <c r="AL32" s="64">
        <f t="array" ref="AL32">(1+(_xlfn.XLOOKUP(AL$11,Assumptions!$B$35:$H$35,_xlfn.XLOOKUP($C32,Assumptions!$B$36:$B$41,Assumptions!$B$36:$H$41),,-1)))*$D32</f>
        <v>137500</v>
      </c>
      <c r="AM32" s="64">
        <f t="array" ref="AM32">(1+(_xlfn.XLOOKUP(AM$11,Assumptions!$B$35:$H$35,_xlfn.XLOOKUP($C32,Assumptions!$B$36:$B$41,Assumptions!$B$36:$H$41),,-1)))*$D32</f>
        <v>137500</v>
      </c>
      <c r="AN32" s="64">
        <f t="array" ref="AN32">(1+(_xlfn.XLOOKUP(AN$11,Assumptions!$B$35:$H$35,_xlfn.XLOOKUP($C32,Assumptions!$B$36:$B$41,Assumptions!$B$36:$H$41),,-1)))*$D32</f>
        <v>137500</v>
      </c>
      <c r="AO32" s="64">
        <f t="array" ref="AO32">(1+(_xlfn.XLOOKUP(AO$11,Assumptions!$B$35:$H$35,_xlfn.XLOOKUP($C32,Assumptions!$B$36:$B$41,Assumptions!$B$36:$H$41),,-1)))*$D32</f>
        <v>132500</v>
      </c>
      <c r="AP32" s="64">
        <f t="array" ref="AP32">(1+(_xlfn.XLOOKUP(AP$11,Assumptions!$B$35:$H$35,_xlfn.XLOOKUP($C32,Assumptions!$B$36:$B$41,Assumptions!$B$36:$H$41),,-1)))*$D32</f>
        <v>132500</v>
      </c>
      <c r="AQ32" s="64">
        <f t="array" ref="AQ32">(1+(_xlfn.XLOOKUP(AQ$11,Assumptions!$B$35:$H$35,_xlfn.XLOOKUP($C32,Assumptions!$B$36:$B$41,Assumptions!$B$36:$H$41),,-1)))*$D32</f>
        <v>132500</v>
      </c>
      <c r="AR32" s="64">
        <f t="array" ref="AR32">(1+(_xlfn.XLOOKUP(AR$11,Assumptions!$B$35:$H$35,_xlfn.XLOOKUP($C32,Assumptions!$B$36:$B$41,Assumptions!$B$36:$H$41),,-1)))*$D32</f>
        <v>132500</v>
      </c>
      <c r="AS32" s="64">
        <f t="array" ref="AS32">(1+(_xlfn.XLOOKUP(AS$11,Assumptions!$B$35:$H$35,_xlfn.XLOOKUP($C32,Assumptions!$B$36:$B$41,Assumptions!$B$36:$H$41),,-1)))*$D32</f>
        <v>132500</v>
      </c>
      <c r="AT32" s="64">
        <f t="array" ref="AT32">(1+(_xlfn.XLOOKUP(AT$11,Assumptions!$B$35:$H$35,_xlfn.XLOOKUP($C32,Assumptions!$B$36:$B$41,Assumptions!$B$36:$H$41),,-1)))*$D32</f>
        <v>132500</v>
      </c>
      <c r="AU32" s="64">
        <f t="array" ref="AU32">(1+(_xlfn.XLOOKUP(AU$11,Assumptions!$B$35:$H$35,_xlfn.XLOOKUP($C32,Assumptions!$B$36:$B$41,Assumptions!$B$36:$H$41),,-1)))*$D32</f>
        <v>132500</v>
      </c>
      <c r="AV32" s="64">
        <f t="array" ref="AV32">(1+(_xlfn.XLOOKUP(AV$11,Assumptions!$B$35:$H$35,_xlfn.XLOOKUP($C32,Assumptions!$B$36:$B$41,Assumptions!$B$36:$H$41),,-1)))*$D32</f>
        <v>132500</v>
      </c>
      <c r="AW32" s="64">
        <f t="array" ref="AW32">(1+(_xlfn.XLOOKUP(AW$11,Assumptions!$B$35:$H$35,_xlfn.XLOOKUP($C32,Assumptions!$B$36:$B$41,Assumptions!$B$36:$H$41),,-1)))*$D32</f>
        <v>132500</v>
      </c>
      <c r="AX32" s="64">
        <f t="array" ref="AX32">(1+(_xlfn.XLOOKUP(AX$11,Assumptions!$B$35:$H$35,_xlfn.XLOOKUP($C32,Assumptions!$B$36:$B$41,Assumptions!$B$36:$H$41),,-1)))*$D32</f>
        <v>132500</v>
      </c>
      <c r="AY32" s="64">
        <f t="array" ref="AY32">(1+(_xlfn.XLOOKUP(AY$11,Assumptions!$B$35:$H$35,_xlfn.XLOOKUP($C32,Assumptions!$B$36:$B$41,Assumptions!$B$36:$H$41),,-1)))*$D32</f>
        <v>132500</v>
      </c>
      <c r="AZ32" s="64">
        <f t="array" ref="AZ32">(1+(_xlfn.XLOOKUP(AZ$11,Assumptions!$B$35:$H$35,_xlfn.XLOOKUP($C32,Assumptions!$B$36:$B$41,Assumptions!$B$36:$H$41),,-1)))*$D32</f>
        <v>132500</v>
      </c>
      <c r="BA32" s="64">
        <f t="array" ref="BA32">(1+(_xlfn.XLOOKUP(BA$11,Assumptions!$B$35:$H$35,_xlfn.XLOOKUP($C32,Assumptions!$B$36:$B$41,Assumptions!$B$36:$H$41),,-1)))*$D32</f>
        <v>130000</v>
      </c>
      <c r="BB32" s="64">
        <f t="array" ref="BB32">(1+(_xlfn.XLOOKUP(BB$11,Assumptions!$B$35:$H$35,_xlfn.XLOOKUP($C32,Assumptions!$B$36:$B$41,Assumptions!$B$36:$H$41),,-1)))*$D32</f>
        <v>130000</v>
      </c>
      <c r="BC32" s="64">
        <f t="array" ref="BC32">(1+(_xlfn.XLOOKUP(BC$11,Assumptions!$B$35:$H$35,_xlfn.XLOOKUP($C32,Assumptions!$B$36:$B$41,Assumptions!$B$36:$H$41),,-1)))*$D32</f>
        <v>130000</v>
      </c>
      <c r="BD32" s="64">
        <f t="array" ref="BD32">(1+(_xlfn.XLOOKUP(BD$11,Assumptions!$B$35:$H$35,_xlfn.XLOOKUP($C32,Assumptions!$B$36:$B$41,Assumptions!$B$36:$H$41),,-1)))*$D32</f>
        <v>130000</v>
      </c>
      <c r="BE32" s="64">
        <f t="array" ref="BE32">(1+(_xlfn.XLOOKUP(BE$11,Assumptions!$B$35:$H$35,_xlfn.XLOOKUP($C32,Assumptions!$B$36:$B$41,Assumptions!$B$36:$H$41),,-1)))*$D32</f>
        <v>130000</v>
      </c>
      <c r="BF32" s="64">
        <f t="array" ref="BF32">(1+(_xlfn.XLOOKUP(BF$11,Assumptions!$B$35:$H$35,_xlfn.XLOOKUP($C32,Assumptions!$B$36:$B$41,Assumptions!$B$36:$H$41),,-1)))*$D32</f>
        <v>130000</v>
      </c>
      <c r="BG32" s="64">
        <f t="array" ref="BG32">(1+(_xlfn.XLOOKUP(BG$11,Assumptions!$B$35:$H$35,_xlfn.XLOOKUP($C32,Assumptions!$B$36:$B$41,Assumptions!$B$36:$H$41),,-1)))*$D32</f>
        <v>130000</v>
      </c>
      <c r="BH32" s="64">
        <f t="array" ref="BH32">(1+(_xlfn.XLOOKUP(BH$11,Assumptions!$B$35:$H$35,_xlfn.XLOOKUP($C32,Assumptions!$B$36:$B$41,Assumptions!$B$36:$H$41),,-1)))*$D32</f>
        <v>130000</v>
      </c>
      <c r="BI32" s="64">
        <f t="array" ref="BI32">(1+(_xlfn.XLOOKUP(BI$11,Assumptions!$B$35:$H$35,_xlfn.XLOOKUP($C32,Assumptions!$B$36:$B$41,Assumptions!$B$36:$H$41),,-1)))*$D32</f>
        <v>130000</v>
      </c>
      <c r="BJ32" s="64">
        <f t="array" ref="BJ32">(1+(_xlfn.XLOOKUP(BJ$11,Assumptions!$B$35:$H$35,_xlfn.XLOOKUP($C32,Assumptions!$B$36:$B$41,Assumptions!$B$36:$H$41),,-1)))*$D32</f>
        <v>130000</v>
      </c>
      <c r="BK32" s="64">
        <f t="array" ref="BK32">(1+(_xlfn.XLOOKUP(BK$11,Assumptions!$B$35:$H$35,_xlfn.XLOOKUP($C32,Assumptions!$B$36:$B$41,Assumptions!$B$36:$H$41),,-1)))*$D32</f>
        <v>130000</v>
      </c>
      <c r="BL32" s="64">
        <f t="array" ref="BL32">(1+(_xlfn.XLOOKUP(BL$11,Assumptions!$B$35:$H$35,_xlfn.XLOOKUP($C32,Assumptions!$B$36:$B$41,Assumptions!$B$36:$H$41),,-1)))*$D32</f>
        <v>130000</v>
      </c>
      <c r="BM32" s="64">
        <f t="array" ref="BM32">(1+(_xlfn.XLOOKUP(BM$11,Assumptions!$B$35:$H$35,_xlfn.XLOOKUP($C32,Assumptions!$B$36:$B$41,Assumptions!$B$36:$H$41),,-1)))*$D32</f>
        <v>130000</v>
      </c>
    </row>
    <row r="33" spans="3:65">
      <c r="C33" t="str">
        <v>Tim Forward Brands</v>
      </c>
      <c r="D33" s="43">
        <f>Assumptions!E30</f>
        <v>250000</v>
      </c>
      <c r="E33" s="64">
        <f t="array" ref="E33">(1+(_xlfn.XLOOKUP(E$11,Assumptions!$B$35:$H$35,_xlfn.XLOOKUP($C33,Assumptions!$B$36:$B$41,Assumptions!$B$36:$H$41),,-1)))*$D33</f>
        <v>250000</v>
      </c>
      <c r="F33" s="64">
        <f t="array" ref="F33">(1+(_xlfn.XLOOKUP(F$11,Assumptions!$B$35:$H$35,_xlfn.XLOOKUP($C33,Assumptions!$B$36:$B$41,Assumptions!$B$36:$H$41),,-1)))*$D33</f>
        <v>250000</v>
      </c>
      <c r="G33" s="64">
        <f t="array" ref="G33">(1+(_xlfn.XLOOKUP(G$11,Assumptions!$B$35:$H$35,_xlfn.XLOOKUP($C33,Assumptions!$B$36:$B$41,Assumptions!$B$36:$H$41),,-1)))*$D33</f>
        <v>250000</v>
      </c>
      <c r="H33" s="64">
        <f t="array" ref="H33">(1+(_xlfn.XLOOKUP(H$11,Assumptions!$B$35:$H$35,_xlfn.XLOOKUP($C33,Assumptions!$B$36:$B$41,Assumptions!$B$36:$H$41),,-1)))*$D33</f>
        <v>250000</v>
      </c>
      <c r="I33" s="64">
        <f t="array" ref="I33">(1+(_xlfn.XLOOKUP(I$11,Assumptions!$B$35:$H$35,_xlfn.XLOOKUP($C33,Assumptions!$B$36:$B$41,Assumptions!$B$36:$H$41),,-1)))*$D33</f>
        <v>250000</v>
      </c>
      <c r="J33" s="64">
        <f t="array" ref="J33">(1+(_xlfn.XLOOKUP(J$11,Assumptions!$B$35:$H$35,_xlfn.XLOOKUP($C33,Assumptions!$B$36:$B$41,Assumptions!$B$36:$H$41),,-1)))*$D33</f>
        <v>250000</v>
      </c>
      <c r="K33" s="64">
        <f t="array" ref="K33">(1+(_xlfn.XLOOKUP(K$11,Assumptions!$B$35:$H$35,_xlfn.XLOOKUP($C33,Assumptions!$B$36:$B$41,Assumptions!$B$36:$H$41),,-1)))*$D33</f>
        <v>250000</v>
      </c>
      <c r="L33" s="64">
        <f t="array" ref="L33">(1+(_xlfn.XLOOKUP(L$11,Assumptions!$B$35:$H$35,_xlfn.XLOOKUP($C33,Assumptions!$B$36:$B$41,Assumptions!$B$36:$H$41),,-1)))*$D33</f>
        <v>250000</v>
      </c>
      <c r="M33" s="64">
        <f t="array" ref="M33">(1+(_xlfn.XLOOKUP(M$11,Assumptions!$B$35:$H$35,_xlfn.XLOOKUP($C33,Assumptions!$B$36:$B$41,Assumptions!$B$36:$H$41),,-1)))*$D33</f>
        <v>250000</v>
      </c>
      <c r="N33" s="64">
        <f t="array" ref="N33">(1+(_xlfn.XLOOKUP(N$11,Assumptions!$B$35:$H$35,_xlfn.XLOOKUP($C33,Assumptions!$B$36:$B$41,Assumptions!$B$36:$H$41),,-1)))*$D33</f>
        <v>250000</v>
      </c>
      <c r="O33" s="64">
        <f t="array" ref="O33">(1+(_xlfn.XLOOKUP(O$11,Assumptions!$B$35:$H$35,_xlfn.XLOOKUP($C33,Assumptions!$B$36:$B$41,Assumptions!$B$36:$H$41),,-1)))*$D33</f>
        <v>250000</v>
      </c>
      <c r="P33" s="64">
        <f t="array" ref="P33">(1+(_xlfn.XLOOKUP(P$11,Assumptions!$B$35:$H$35,_xlfn.XLOOKUP($C33,Assumptions!$B$36:$B$41,Assumptions!$B$36:$H$41),,-1)))*$D33</f>
        <v>250000</v>
      </c>
      <c r="Q33" s="64">
        <f t="array" ref="Q33">(1+(_xlfn.XLOOKUP(Q$11,Assumptions!$B$35:$H$35,_xlfn.XLOOKUP($C33,Assumptions!$B$36:$B$41,Assumptions!$B$36:$H$41),,-1)))*$D33</f>
        <v>250000</v>
      </c>
      <c r="R33" s="64">
        <f t="array" ref="R33">(1+(_xlfn.XLOOKUP(R$11,Assumptions!$B$35:$H$35,_xlfn.XLOOKUP($C33,Assumptions!$B$36:$B$41,Assumptions!$B$36:$H$41),,-1)))*$D33</f>
        <v>250000</v>
      </c>
      <c r="S33" s="64">
        <f t="array" ref="S33">(1+(_xlfn.XLOOKUP(S$11,Assumptions!$B$35:$H$35,_xlfn.XLOOKUP($C33,Assumptions!$B$36:$B$41,Assumptions!$B$36:$H$41),,-1)))*$D33</f>
        <v>250000</v>
      </c>
      <c r="T33" s="64">
        <f t="array" ref="T33">(1+(_xlfn.XLOOKUP(T$11,Assumptions!$B$35:$H$35,_xlfn.XLOOKUP($C33,Assumptions!$B$36:$B$41,Assumptions!$B$36:$H$41),,-1)))*$D33</f>
        <v>250000</v>
      </c>
      <c r="U33" s="64">
        <f t="array" ref="U33">(1+(_xlfn.XLOOKUP(U$11,Assumptions!$B$35:$H$35,_xlfn.XLOOKUP($C33,Assumptions!$B$36:$B$41,Assumptions!$B$36:$H$41),,-1)))*$D33</f>
        <v>250000</v>
      </c>
      <c r="V33" s="64">
        <f t="array" ref="V33">(1+(_xlfn.XLOOKUP(V$11,Assumptions!$B$35:$H$35,_xlfn.XLOOKUP($C33,Assumptions!$B$36:$B$41,Assumptions!$B$36:$H$41),,-1)))*$D33</f>
        <v>250000</v>
      </c>
      <c r="W33" s="64">
        <f t="array" ref="W33">(1+(_xlfn.XLOOKUP(W$11,Assumptions!$B$35:$H$35,_xlfn.XLOOKUP($C33,Assumptions!$B$36:$B$41,Assumptions!$B$36:$H$41),,-1)))*$D33</f>
        <v>250000</v>
      </c>
      <c r="X33" s="64">
        <f t="array" ref="X33">(1+(_xlfn.XLOOKUP(X$11,Assumptions!$B$35:$H$35,_xlfn.XLOOKUP($C33,Assumptions!$B$36:$B$41,Assumptions!$B$36:$H$41),,-1)))*$D33</f>
        <v>250000</v>
      </c>
      <c r="Y33" s="64">
        <f t="array" ref="Y33">(1+(_xlfn.XLOOKUP(Y$11,Assumptions!$B$35:$H$35,_xlfn.XLOOKUP($C33,Assumptions!$B$36:$B$41,Assumptions!$B$36:$H$41),,-1)))*$D33</f>
        <v>250000</v>
      </c>
      <c r="Z33" s="64">
        <f t="array" ref="Z33">(1+(_xlfn.XLOOKUP(Z$11,Assumptions!$B$35:$H$35,_xlfn.XLOOKUP($C33,Assumptions!$B$36:$B$41,Assumptions!$B$36:$H$41),,-1)))*$D33</f>
        <v>250000</v>
      </c>
      <c r="AA33" s="64">
        <f t="array" ref="AA33">(1+(_xlfn.XLOOKUP(AA$11,Assumptions!$B$35:$H$35,_xlfn.XLOOKUP($C33,Assumptions!$B$36:$B$41,Assumptions!$B$36:$H$41),,-1)))*$D33</f>
        <v>250000</v>
      </c>
      <c r="AB33" s="64">
        <f t="array" ref="AB33">(1+(_xlfn.XLOOKUP(AB$11,Assumptions!$B$35:$H$35,_xlfn.XLOOKUP($C33,Assumptions!$B$36:$B$41,Assumptions!$B$36:$H$41),,-1)))*$D33</f>
        <v>250000</v>
      </c>
      <c r="AC33" s="64">
        <f t="array" ref="AC33">(1+(_xlfn.XLOOKUP(AC$11,Assumptions!$B$35:$H$35,_xlfn.XLOOKUP($C33,Assumptions!$B$36:$B$41,Assumptions!$B$36:$H$41),,-1)))*$D33</f>
        <v>250000</v>
      </c>
      <c r="AD33" s="64">
        <f t="array" ref="AD33">(1+(_xlfn.XLOOKUP(AD$11,Assumptions!$B$35:$H$35,_xlfn.XLOOKUP($C33,Assumptions!$B$36:$B$41,Assumptions!$B$36:$H$41),,-1)))*$D33</f>
        <v>250000</v>
      </c>
      <c r="AE33" s="64">
        <f t="array" ref="AE33">(1+(_xlfn.XLOOKUP(AE$11,Assumptions!$B$35:$H$35,_xlfn.XLOOKUP($C33,Assumptions!$B$36:$B$41,Assumptions!$B$36:$H$41),,-1)))*$D33</f>
        <v>250000</v>
      </c>
      <c r="AF33" s="64">
        <f t="array" ref="AF33">(1+(_xlfn.XLOOKUP(AF$11,Assumptions!$B$35:$H$35,_xlfn.XLOOKUP($C33,Assumptions!$B$36:$B$41,Assumptions!$B$36:$H$41),,-1)))*$D33</f>
        <v>250000</v>
      </c>
      <c r="AG33" s="64">
        <f t="array" ref="AG33">(1+(_xlfn.XLOOKUP(AG$11,Assumptions!$B$35:$H$35,_xlfn.XLOOKUP($C33,Assumptions!$B$36:$B$41,Assumptions!$B$36:$H$41),,-1)))*$D33</f>
        <v>250000</v>
      </c>
      <c r="AH33" s="64">
        <f t="array" ref="AH33">(1+(_xlfn.XLOOKUP(AH$11,Assumptions!$B$35:$H$35,_xlfn.XLOOKUP($C33,Assumptions!$B$36:$B$41,Assumptions!$B$36:$H$41),,-1)))*$D33</f>
        <v>250000</v>
      </c>
      <c r="AI33" s="64">
        <f t="array" ref="AI33">(1+(_xlfn.XLOOKUP(AI$11,Assumptions!$B$35:$H$35,_xlfn.XLOOKUP($C33,Assumptions!$B$36:$B$41,Assumptions!$B$36:$H$41),,-1)))*$D33</f>
        <v>250000</v>
      </c>
      <c r="AJ33" s="64">
        <f t="array" ref="AJ33">(1+(_xlfn.XLOOKUP(AJ$11,Assumptions!$B$35:$H$35,_xlfn.XLOOKUP($C33,Assumptions!$B$36:$B$41,Assumptions!$B$36:$H$41),,-1)))*$D33</f>
        <v>250000</v>
      </c>
      <c r="AK33" s="64">
        <f t="array" ref="AK33">(1+(_xlfn.XLOOKUP(AK$11,Assumptions!$B$35:$H$35,_xlfn.XLOOKUP($C33,Assumptions!$B$36:$B$41,Assumptions!$B$36:$H$41),,-1)))*$D33</f>
        <v>250000</v>
      </c>
      <c r="AL33" s="64">
        <f t="array" ref="AL33">(1+(_xlfn.XLOOKUP(AL$11,Assumptions!$B$35:$H$35,_xlfn.XLOOKUP($C33,Assumptions!$B$36:$B$41,Assumptions!$B$36:$H$41),,-1)))*$D33</f>
        <v>250000</v>
      </c>
      <c r="AM33" s="64">
        <f t="array" ref="AM33">(1+(_xlfn.XLOOKUP(AM$11,Assumptions!$B$35:$H$35,_xlfn.XLOOKUP($C33,Assumptions!$B$36:$B$41,Assumptions!$B$36:$H$41),,-1)))*$D33</f>
        <v>250000</v>
      </c>
      <c r="AN33" s="64">
        <f t="array" ref="AN33">(1+(_xlfn.XLOOKUP(AN$11,Assumptions!$B$35:$H$35,_xlfn.XLOOKUP($C33,Assumptions!$B$36:$B$41,Assumptions!$B$36:$H$41),,-1)))*$D33</f>
        <v>250000</v>
      </c>
      <c r="AO33" s="64">
        <f t="array" ref="AO33">(1+(_xlfn.XLOOKUP(AO$11,Assumptions!$B$35:$H$35,_xlfn.XLOOKUP($C33,Assumptions!$B$36:$B$41,Assumptions!$B$36:$H$41),,-1)))*$D33</f>
        <v>286200</v>
      </c>
      <c r="AP33" s="64">
        <f t="array" ref="AP33">(1+(_xlfn.XLOOKUP(AP$11,Assumptions!$B$35:$H$35,_xlfn.XLOOKUP($C33,Assumptions!$B$36:$B$41,Assumptions!$B$36:$H$41),,-1)))*$D33</f>
        <v>286200</v>
      </c>
      <c r="AQ33" s="64">
        <f t="array" ref="AQ33">(1+(_xlfn.XLOOKUP(AQ$11,Assumptions!$B$35:$H$35,_xlfn.XLOOKUP($C33,Assumptions!$B$36:$B$41,Assumptions!$B$36:$H$41),,-1)))*$D33</f>
        <v>286200</v>
      </c>
      <c r="AR33" s="64">
        <f t="array" ref="AR33">(1+(_xlfn.XLOOKUP(AR$11,Assumptions!$B$35:$H$35,_xlfn.XLOOKUP($C33,Assumptions!$B$36:$B$41,Assumptions!$B$36:$H$41),,-1)))*$D33</f>
        <v>286200</v>
      </c>
      <c r="AS33" s="64">
        <f t="array" ref="AS33">(1+(_xlfn.XLOOKUP(AS$11,Assumptions!$B$35:$H$35,_xlfn.XLOOKUP($C33,Assumptions!$B$36:$B$41,Assumptions!$B$36:$H$41),,-1)))*$D33</f>
        <v>286200</v>
      </c>
      <c r="AT33" s="64">
        <f t="array" ref="AT33">(1+(_xlfn.XLOOKUP(AT$11,Assumptions!$B$35:$H$35,_xlfn.XLOOKUP($C33,Assumptions!$B$36:$B$41,Assumptions!$B$36:$H$41),,-1)))*$D33</f>
        <v>286200</v>
      </c>
      <c r="AU33" s="64">
        <f t="array" ref="AU33">(1+(_xlfn.XLOOKUP(AU$11,Assumptions!$B$35:$H$35,_xlfn.XLOOKUP($C33,Assumptions!$B$36:$B$41,Assumptions!$B$36:$H$41),,-1)))*$D33</f>
        <v>286200</v>
      </c>
      <c r="AV33" s="64">
        <f t="array" ref="AV33">(1+(_xlfn.XLOOKUP(AV$11,Assumptions!$B$35:$H$35,_xlfn.XLOOKUP($C33,Assumptions!$B$36:$B$41,Assumptions!$B$36:$H$41),,-1)))*$D33</f>
        <v>286200</v>
      </c>
      <c r="AW33" s="64">
        <f t="array" ref="AW33">(1+(_xlfn.XLOOKUP(AW$11,Assumptions!$B$35:$H$35,_xlfn.XLOOKUP($C33,Assumptions!$B$36:$B$41,Assumptions!$B$36:$H$41),,-1)))*$D33</f>
        <v>286200</v>
      </c>
      <c r="AX33" s="64">
        <f t="array" ref="AX33">(1+(_xlfn.XLOOKUP(AX$11,Assumptions!$B$35:$H$35,_xlfn.XLOOKUP($C33,Assumptions!$B$36:$B$41,Assumptions!$B$36:$H$41),,-1)))*$D33</f>
        <v>286200</v>
      </c>
      <c r="AY33" s="64">
        <f t="array" ref="AY33">(1+(_xlfn.XLOOKUP(AY$11,Assumptions!$B$35:$H$35,_xlfn.XLOOKUP($C33,Assumptions!$B$36:$B$41,Assumptions!$B$36:$H$41),,-1)))*$D33</f>
        <v>286200</v>
      </c>
      <c r="AZ33" s="64">
        <f t="array" ref="AZ33">(1+(_xlfn.XLOOKUP(AZ$11,Assumptions!$B$35:$H$35,_xlfn.XLOOKUP($C33,Assumptions!$B$36:$B$41,Assumptions!$B$36:$H$41),,-1)))*$D33</f>
        <v>286200</v>
      </c>
      <c r="BA33" s="64">
        <f t="array" ref="BA33">(1+(_xlfn.XLOOKUP(BA$11,Assumptions!$B$35:$H$35,_xlfn.XLOOKUP($C33,Assumptions!$B$36:$B$41,Assumptions!$B$36:$H$41),,-1)))*$D33</f>
        <v>260000</v>
      </c>
      <c r="BB33" s="64">
        <f t="array" ref="BB33">(1+(_xlfn.XLOOKUP(BB$11,Assumptions!$B$35:$H$35,_xlfn.XLOOKUP($C33,Assumptions!$B$36:$B$41,Assumptions!$B$36:$H$41),,-1)))*$D33</f>
        <v>260000</v>
      </c>
      <c r="BC33" s="64">
        <f t="array" ref="BC33">(1+(_xlfn.XLOOKUP(BC$11,Assumptions!$B$35:$H$35,_xlfn.XLOOKUP($C33,Assumptions!$B$36:$B$41,Assumptions!$B$36:$H$41),,-1)))*$D33</f>
        <v>260000</v>
      </c>
      <c r="BD33" s="64">
        <f t="array" ref="BD33">(1+(_xlfn.XLOOKUP(BD$11,Assumptions!$B$35:$H$35,_xlfn.XLOOKUP($C33,Assumptions!$B$36:$B$41,Assumptions!$B$36:$H$41),,-1)))*$D33</f>
        <v>260000</v>
      </c>
      <c r="BE33" s="64">
        <f t="array" ref="BE33">(1+(_xlfn.XLOOKUP(BE$11,Assumptions!$B$35:$H$35,_xlfn.XLOOKUP($C33,Assumptions!$B$36:$B$41,Assumptions!$B$36:$H$41),,-1)))*$D33</f>
        <v>260000</v>
      </c>
      <c r="BF33" s="64">
        <f t="array" ref="BF33">(1+(_xlfn.XLOOKUP(BF$11,Assumptions!$B$35:$H$35,_xlfn.XLOOKUP($C33,Assumptions!$B$36:$B$41,Assumptions!$B$36:$H$41),,-1)))*$D33</f>
        <v>260000</v>
      </c>
      <c r="BG33" s="64">
        <f t="array" ref="BG33">(1+(_xlfn.XLOOKUP(BG$11,Assumptions!$B$35:$H$35,_xlfn.XLOOKUP($C33,Assumptions!$B$36:$B$41,Assumptions!$B$36:$H$41),,-1)))*$D33</f>
        <v>260000</v>
      </c>
      <c r="BH33" s="64">
        <f t="array" ref="BH33">(1+(_xlfn.XLOOKUP(BH$11,Assumptions!$B$35:$H$35,_xlfn.XLOOKUP($C33,Assumptions!$B$36:$B$41,Assumptions!$B$36:$H$41),,-1)))*$D33</f>
        <v>260000</v>
      </c>
      <c r="BI33" s="64">
        <f t="array" ref="BI33">(1+(_xlfn.XLOOKUP(BI$11,Assumptions!$B$35:$H$35,_xlfn.XLOOKUP($C33,Assumptions!$B$36:$B$41,Assumptions!$B$36:$H$41),,-1)))*$D33</f>
        <v>260000</v>
      </c>
      <c r="BJ33" s="64">
        <f t="array" ref="BJ33">(1+(_xlfn.XLOOKUP(BJ$11,Assumptions!$B$35:$H$35,_xlfn.XLOOKUP($C33,Assumptions!$B$36:$B$41,Assumptions!$B$36:$H$41),,-1)))*$D33</f>
        <v>260000</v>
      </c>
      <c r="BK33" s="64">
        <f t="array" ref="BK33">(1+(_xlfn.XLOOKUP(BK$11,Assumptions!$B$35:$H$35,_xlfn.XLOOKUP($C33,Assumptions!$B$36:$B$41,Assumptions!$B$36:$H$41),,-1)))*$D33</f>
        <v>260000</v>
      </c>
      <c r="BL33" s="64">
        <f t="array" ref="BL33">(1+(_xlfn.XLOOKUP(BL$11,Assumptions!$B$35:$H$35,_xlfn.XLOOKUP($C33,Assumptions!$B$36:$B$41,Assumptions!$B$36:$H$41),,-1)))*$D33</f>
        <v>260000</v>
      </c>
      <c r="BM33" s="64">
        <f t="array" ref="BM33">(1+(_xlfn.XLOOKUP(BM$11,Assumptions!$B$35:$H$35,_xlfn.XLOOKUP($C33,Assumptions!$B$36:$B$41,Assumptions!$B$36:$H$41),,-1)))*$D33</f>
        <v>260000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08BB7"/>
  </sheetPr>
  <dimension ref="A1:BT384"/>
  <sheetViews>
    <sheetView showGridLines="0" zoomScale="64" zoomScaleNormal="64" workbookViewId="0">
      <pane xSplit="6" ySplit="8" topLeftCell="BH47" activePane="bottomRight" state="frozen"/>
      <selection pane="topRight"/>
      <selection pane="bottomLeft" activeCell="A12" sqref="A12"/>
      <selection pane="bottomRight" activeCell="C28" sqref="C28"/>
    </sheetView>
  </sheetViews>
  <sheetFormatPr defaultColWidth="12.59765625" defaultRowHeight="11.5" outlineLevelRow="1"/>
  <cols>
    <col min="1" max="1" width="2.69921875" style="101" customWidth="1"/>
    <col min="2" max="2" width="29.69921875" style="101" customWidth="1"/>
    <col min="3" max="3" width="57.5" style="101" bestFit="1" customWidth="1"/>
    <col min="4" max="4" width="24.09765625" style="101" customWidth="1"/>
    <col min="5" max="5" width="33.69921875" style="108" bestFit="1" customWidth="1"/>
    <col min="6" max="6" width="10.8984375" style="109" bestFit="1" customWidth="1"/>
    <col min="7" max="7" width="14.59765625" style="101" bestFit="1" customWidth="1"/>
    <col min="8" max="9" width="15.09765625" style="101" bestFit="1" customWidth="1"/>
    <col min="10" max="10" width="15.3984375" style="101" bestFit="1" customWidth="1"/>
    <col min="11" max="11" width="15.09765625" style="101" bestFit="1" customWidth="1"/>
    <col min="12" max="12" width="15.59765625" style="101" bestFit="1" customWidth="1"/>
    <col min="13" max="14" width="15.3984375" style="101" bestFit="1" customWidth="1"/>
    <col min="15" max="15" width="14.59765625" style="101" bestFit="1" customWidth="1"/>
    <col min="16" max="19" width="15.3984375" style="101" bestFit="1" customWidth="1"/>
    <col min="20" max="20" width="14.8984375" style="101" bestFit="1" customWidth="1"/>
    <col min="21" max="21" width="15.59765625" style="101" bestFit="1" customWidth="1"/>
    <col min="22" max="25" width="15.3984375" style="101" bestFit="1" customWidth="1"/>
    <col min="26" max="26" width="15.69921875" style="101" bestFit="1" customWidth="1"/>
    <col min="27" max="28" width="15.3984375" style="101" bestFit="1" customWidth="1"/>
    <col min="29" max="29" width="15.09765625" style="101" bestFit="1" customWidth="1"/>
    <col min="30" max="31" width="15.59765625" style="101" bestFit="1" customWidth="1"/>
    <col min="32" max="32" width="15.09765625" style="101" bestFit="1" customWidth="1"/>
    <col min="33" max="33" width="15.69921875" style="101" bestFit="1" customWidth="1"/>
    <col min="34" max="34" width="15.09765625" style="101" bestFit="1" customWidth="1"/>
    <col min="35" max="35" width="15.3984375" style="101" bestFit="1" customWidth="1"/>
    <col min="36" max="36" width="15.69921875" style="101" bestFit="1" customWidth="1"/>
    <col min="37" max="40" width="15.59765625" style="101" bestFit="1" customWidth="1"/>
    <col min="41" max="41" width="15.09765625" style="101" bestFit="1" customWidth="1"/>
    <col min="42" max="42" width="15.69921875" style="101" bestFit="1" customWidth="1"/>
    <col min="43" max="44" width="15.3984375" style="101" bestFit="1" customWidth="1"/>
    <col min="45" max="45" width="14.59765625" style="101" bestFit="1" customWidth="1"/>
    <col min="46" max="48" width="15.69921875" style="101" bestFit="1" customWidth="1"/>
    <col min="49" max="49" width="15.59765625" style="101" bestFit="1" customWidth="1"/>
    <col min="50" max="50" width="15.3984375" style="101" bestFit="1" customWidth="1"/>
    <col min="51" max="51" width="15.69921875" style="101" bestFit="1" customWidth="1"/>
    <col min="52" max="52" width="15.59765625" style="101" bestFit="1" customWidth="1"/>
    <col min="53" max="53" width="15.3984375" style="101" bestFit="1" customWidth="1"/>
    <col min="54" max="55" width="15.59765625" style="101" bestFit="1" customWidth="1"/>
    <col min="56" max="56" width="15.3984375" style="101" bestFit="1" customWidth="1"/>
    <col min="57" max="57" width="15.69921875" style="101" bestFit="1" customWidth="1"/>
    <col min="58" max="58" width="15.3984375" style="101" bestFit="1" customWidth="1"/>
    <col min="59" max="59" width="15.59765625" style="101" bestFit="1" customWidth="1"/>
    <col min="60" max="60" width="15.69921875" style="101" bestFit="1" customWidth="1"/>
    <col min="61" max="63" width="15.59765625" style="101" bestFit="1" customWidth="1"/>
    <col min="64" max="65" width="15.69921875" style="101" bestFit="1" customWidth="1"/>
    <col min="66" max="67" width="15.59765625" style="101" bestFit="1" customWidth="1"/>
    <col min="68" max="68" width="15.3984375" style="101" bestFit="1" customWidth="1"/>
    <col min="69" max="69" width="7.8984375" style="101" bestFit="1" customWidth="1"/>
    <col min="70" max="16384" width="12.59765625" style="101"/>
  </cols>
  <sheetData>
    <row r="1" spans="2:69" ht="12" thickBot="1"/>
    <row r="2" spans="2:69" ht="12" thickBot="1">
      <c r="B2" s="310" t="s">
        <v>299</v>
      </c>
      <c r="C2" s="309" t="str">
        <f>'Dashboard Summary'!D4</f>
        <v>Off</v>
      </c>
    </row>
    <row r="4" spans="2:69" ht="19.75" customHeight="1" thickBot="1">
      <c r="B4" s="104" t="s">
        <v>0</v>
      </c>
      <c r="C4" s="105"/>
      <c r="D4" s="105"/>
      <c r="E4" s="106"/>
      <c r="F4" s="107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105"/>
      <c r="BL4" s="105"/>
      <c r="BM4" s="105"/>
      <c r="BN4" s="105"/>
      <c r="BO4" s="105"/>
      <c r="BP4" s="105"/>
    </row>
    <row r="5" spans="2:69" ht="13.5" customHeight="1" thickTop="1"/>
    <row r="6" spans="2:69">
      <c r="D6" s="110"/>
    </row>
    <row r="7" spans="2:69" s="111" customFormat="1" ht="12" customHeight="1">
      <c r="C7" s="111" t="s">
        <v>1</v>
      </c>
      <c r="E7" s="112"/>
      <c r="F7" s="113"/>
      <c r="G7" s="114">
        <f t="array" ref="G7:BP7">_xlfn.SEQUENCE(,62,0)</f>
        <v>0</v>
      </c>
      <c r="H7" s="111">
        <v>1</v>
      </c>
      <c r="I7" s="111">
        <v>2</v>
      </c>
      <c r="J7" s="111">
        <v>3</v>
      </c>
      <c r="K7" s="111">
        <v>4</v>
      </c>
      <c r="L7" s="111">
        <v>5</v>
      </c>
      <c r="M7" s="111">
        <v>6</v>
      </c>
      <c r="N7" s="111">
        <v>7</v>
      </c>
      <c r="O7" s="111">
        <v>8</v>
      </c>
      <c r="P7" s="111">
        <v>9</v>
      </c>
      <c r="Q7" s="111">
        <v>10</v>
      </c>
      <c r="R7" s="111">
        <v>11</v>
      </c>
      <c r="S7" s="111">
        <v>12</v>
      </c>
      <c r="T7" s="111">
        <v>13</v>
      </c>
      <c r="U7" s="111">
        <v>14</v>
      </c>
      <c r="V7" s="111">
        <v>15</v>
      </c>
      <c r="W7" s="111">
        <v>16</v>
      </c>
      <c r="X7" s="111">
        <v>17</v>
      </c>
      <c r="Y7" s="111">
        <v>18</v>
      </c>
      <c r="Z7" s="111">
        <v>19</v>
      </c>
      <c r="AA7" s="111">
        <v>20</v>
      </c>
      <c r="AB7" s="111">
        <v>21</v>
      </c>
      <c r="AC7" s="111">
        <v>22</v>
      </c>
      <c r="AD7" s="111">
        <v>23</v>
      </c>
      <c r="AE7" s="111">
        <v>24</v>
      </c>
      <c r="AF7" s="111">
        <v>25</v>
      </c>
      <c r="AG7" s="111">
        <v>26</v>
      </c>
      <c r="AH7" s="111">
        <v>27</v>
      </c>
      <c r="AI7" s="111">
        <v>28</v>
      </c>
      <c r="AJ7" s="111">
        <v>29</v>
      </c>
      <c r="AK7" s="111">
        <v>30</v>
      </c>
      <c r="AL7" s="111">
        <v>31</v>
      </c>
      <c r="AM7" s="111">
        <v>32</v>
      </c>
      <c r="AN7" s="111">
        <v>33</v>
      </c>
      <c r="AO7" s="111">
        <v>34</v>
      </c>
      <c r="AP7" s="111">
        <v>35</v>
      </c>
      <c r="AQ7" s="111">
        <v>36</v>
      </c>
      <c r="AR7" s="111">
        <v>37</v>
      </c>
      <c r="AS7" s="111">
        <v>38</v>
      </c>
      <c r="AT7" s="111">
        <v>39</v>
      </c>
      <c r="AU7" s="111">
        <v>40</v>
      </c>
      <c r="AV7" s="111">
        <v>41</v>
      </c>
      <c r="AW7" s="111">
        <v>42</v>
      </c>
      <c r="AX7" s="111">
        <v>43</v>
      </c>
      <c r="AY7" s="111">
        <v>44</v>
      </c>
      <c r="AZ7" s="111">
        <v>45</v>
      </c>
      <c r="BA7" s="111">
        <v>46</v>
      </c>
      <c r="BB7" s="111">
        <v>47</v>
      </c>
      <c r="BC7" s="111">
        <v>48</v>
      </c>
      <c r="BD7" s="111">
        <v>49</v>
      </c>
      <c r="BE7" s="111">
        <v>50</v>
      </c>
      <c r="BF7" s="111">
        <v>51</v>
      </c>
      <c r="BG7" s="111">
        <v>52</v>
      </c>
      <c r="BH7" s="111">
        <v>53</v>
      </c>
      <c r="BI7" s="111">
        <v>54</v>
      </c>
      <c r="BJ7" s="111">
        <v>55</v>
      </c>
      <c r="BK7" s="111">
        <v>56</v>
      </c>
      <c r="BL7" s="111">
        <v>57</v>
      </c>
      <c r="BM7" s="111">
        <v>58</v>
      </c>
      <c r="BN7" s="111">
        <v>59</v>
      </c>
      <c r="BO7" s="111">
        <v>60</v>
      </c>
      <c r="BP7" s="114">
        <v>61</v>
      </c>
    </row>
    <row r="8" spans="2:69" s="111" customFormat="1" ht="12" customHeight="1">
      <c r="C8" s="111" t="s">
        <v>2</v>
      </c>
      <c r="E8" s="112"/>
      <c r="F8" s="113"/>
      <c r="G8" s="115">
        <f t="shared" ref="G8:AL8" si="0">EOMONTH(DATE(2025,12,1),G7)</f>
        <v>46022</v>
      </c>
      <c r="H8" s="116">
        <f t="shared" si="0"/>
        <v>46053</v>
      </c>
      <c r="I8" s="116">
        <f t="shared" si="0"/>
        <v>46081</v>
      </c>
      <c r="J8" s="116">
        <f t="shared" si="0"/>
        <v>46112</v>
      </c>
      <c r="K8" s="116">
        <f t="shared" si="0"/>
        <v>46142</v>
      </c>
      <c r="L8" s="116">
        <f t="shared" si="0"/>
        <v>46173</v>
      </c>
      <c r="M8" s="116">
        <f t="shared" si="0"/>
        <v>46203</v>
      </c>
      <c r="N8" s="116">
        <f t="shared" si="0"/>
        <v>46234</v>
      </c>
      <c r="O8" s="116">
        <f t="shared" si="0"/>
        <v>46265</v>
      </c>
      <c r="P8" s="116">
        <f t="shared" si="0"/>
        <v>46295</v>
      </c>
      <c r="Q8" s="116">
        <f t="shared" si="0"/>
        <v>46326</v>
      </c>
      <c r="R8" s="116">
        <f t="shared" si="0"/>
        <v>46356</v>
      </c>
      <c r="S8" s="116">
        <f t="shared" si="0"/>
        <v>46387</v>
      </c>
      <c r="T8" s="116">
        <f t="shared" si="0"/>
        <v>46418</v>
      </c>
      <c r="U8" s="116">
        <f t="shared" si="0"/>
        <v>46446</v>
      </c>
      <c r="V8" s="116">
        <f t="shared" si="0"/>
        <v>46477</v>
      </c>
      <c r="W8" s="116">
        <f t="shared" si="0"/>
        <v>46507</v>
      </c>
      <c r="X8" s="116">
        <f t="shared" si="0"/>
        <v>46538</v>
      </c>
      <c r="Y8" s="116">
        <f t="shared" si="0"/>
        <v>46568</v>
      </c>
      <c r="Z8" s="116">
        <f t="shared" si="0"/>
        <v>46599</v>
      </c>
      <c r="AA8" s="116">
        <f t="shared" si="0"/>
        <v>46630</v>
      </c>
      <c r="AB8" s="116">
        <f t="shared" si="0"/>
        <v>46660</v>
      </c>
      <c r="AC8" s="116">
        <f t="shared" si="0"/>
        <v>46691</v>
      </c>
      <c r="AD8" s="116">
        <f t="shared" si="0"/>
        <v>46721</v>
      </c>
      <c r="AE8" s="116">
        <f t="shared" si="0"/>
        <v>46752</v>
      </c>
      <c r="AF8" s="116">
        <f t="shared" si="0"/>
        <v>46783</v>
      </c>
      <c r="AG8" s="116">
        <f t="shared" si="0"/>
        <v>46812</v>
      </c>
      <c r="AH8" s="116">
        <f t="shared" si="0"/>
        <v>46843</v>
      </c>
      <c r="AI8" s="116">
        <f t="shared" si="0"/>
        <v>46873</v>
      </c>
      <c r="AJ8" s="116">
        <f t="shared" si="0"/>
        <v>46904</v>
      </c>
      <c r="AK8" s="116">
        <f t="shared" si="0"/>
        <v>46934</v>
      </c>
      <c r="AL8" s="116">
        <f t="shared" si="0"/>
        <v>46965</v>
      </c>
      <c r="AM8" s="116">
        <f t="shared" ref="AM8:BR8" si="1">EOMONTH(DATE(2025,12,1),AM7)</f>
        <v>46996</v>
      </c>
      <c r="AN8" s="116">
        <f t="shared" si="1"/>
        <v>47026</v>
      </c>
      <c r="AO8" s="116">
        <f t="shared" si="1"/>
        <v>47057</v>
      </c>
      <c r="AP8" s="116">
        <f t="shared" si="1"/>
        <v>47087</v>
      </c>
      <c r="AQ8" s="116">
        <f t="shared" si="1"/>
        <v>47118</v>
      </c>
      <c r="AR8" s="116">
        <f t="shared" si="1"/>
        <v>47149</v>
      </c>
      <c r="AS8" s="116">
        <f t="shared" si="1"/>
        <v>47177</v>
      </c>
      <c r="AT8" s="116">
        <f t="shared" si="1"/>
        <v>47208</v>
      </c>
      <c r="AU8" s="116">
        <f t="shared" si="1"/>
        <v>47238</v>
      </c>
      <c r="AV8" s="116">
        <f t="shared" si="1"/>
        <v>47269</v>
      </c>
      <c r="AW8" s="116">
        <f t="shared" si="1"/>
        <v>47299</v>
      </c>
      <c r="AX8" s="116">
        <f t="shared" si="1"/>
        <v>47330</v>
      </c>
      <c r="AY8" s="116">
        <f t="shared" si="1"/>
        <v>47361</v>
      </c>
      <c r="AZ8" s="116">
        <f t="shared" si="1"/>
        <v>47391</v>
      </c>
      <c r="BA8" s="116">
        <f t="shared" si="1"/>
        <v>47422</v>
      </c>
      <c r="BB8" s="116">
        <f t="shared" si="1"/>
        <v>47452</v>
      </c>
      <c r="BC8" s="116">
        <f t="shared" si="1"/>
        <v>47483</v>
      </c>
      <c r="BD8" s="116">
        <f t="shared" si="1"/>
        <v>47514</v>
      </c>
      <c r="BE8" s="116">
        <f t="shared" si="1"/>
        <v>47542</v>
      </c>
      <c r="BF8" s="116">
        <f t="shared" si="1"/>
        <v>47573</v>
      </c>
      <c r="BG8" s="116">
        <f t="shared" si="1"/>
        <v>47603</v>
      </c>
      <c r="BH8" s="116">
        <f t="shared" si="1"/>
        <v>47634</v>
      </c>
      <c r="BI8" s="116">
        <f t="shared" si="1"/>
        <v>47664</v>
      </c>
      <c r="BJ8" s="116">
        <f t="shared" si="1"/>
        <v>47695</v>
      </c>
      <c r="BK8" s="116">
        <f t="shared" si="1"/>
        <v>47726</v>
      </c>
      <c r="BL8" s="116">
        <f t="shared" si="1"/>
        <v>47756</v>
      </c>
      <c r="BM8" s="116">
        <f t="shared" si="1"/>
        <v>47787</v>
      </c>
      <c r="BN8" s="116">
        <f t="shared" si="1"/>
        <v>47817</v>
      </c>
      <c r="BO8" s="116">
        <f t="shared" si="1"/>
        <v>47848</v>
      </c>
      <c r="BP8" s="115">
        <f t="shared" si="1"/>
        <v>47879</v>
      </c>
      <c r="BQ8" s="116"/>
    </row>
    <row r="9" spans="2:69" s="111" customFormat="1" ht="12" customHeight="1">
      <c r="C9" s="111" t="s">
        <v>3</v>
      </c>
      <c r="E9" s="112"/>
      <c r="F9" s="113"/>
      <c r="G9" s="114">
        <f t="array" ref="G9:BP9">MONTH(G8:BP8)</f>
        <v>12</v>
      </c>
      <c r="H9" s="111">
        <v>1</v>
      </c>
      <c r="I9" s="111">
        <v>2</v>
      </c>
      <c r="J9" s="111">
        <v>3</v>
      </c>
      <c r="K9" s="111">
        <v>4</v>
      </c>
      <c r="L9" s="111">
        <v>5</v>
      </c>
      <c r="M9" s="111">
        <v>6</v>
      </c>
      <c r="N9" s="111">
        <v>7</v>
      </c>
      <c r="O9" s="111">
        <v>8</v>
      </c>
      <c r="P9" s="111">
        <v>9</v>
      </c>
      <c r="Q9" s="111">
        <v>10</v>
      </c>
      <c r="R9" s="111">
        <v>11</v>
      </c>
      <c r="S9" s="111">
        <v>12</v>
      </c>
      <c r="T9" s="111">
        <v>1</v>
      </c>
      <c r="U9" s="111">
        <v>2</v>
      </c>
      <c r="V9" s="111">
        <v>3</v>
      </c>
      <c r="W9" s="111">
        <v>4</v>
      </c>
      <c r="X9" s="111">
        <v>5</v>
      </c>
      <c r="Y9" s="111">
        <v>6</v>
      </c>
      <c r="Z9" s="111">
        <v>7</v>
      </c>
      <c r="AA9" s="111">
        <v>8</v>
      </c>
      <c r="AB9" s="111">
        <v>9</v>
      </c>
      <c r="AC9" s="111">
        <v>10</v>
      </c>
      <c r="AD9" s="111">
        <v>11</v>
      </c>
      <c r="AE9" s="111">
        <v>12</v>
      </c>
      <c r="AF9" s="111">
        <v>1</v>
      </c>
      <c r="AG9" s="111">
        <v>2</v>
      </c>
      <c r="AH9" s="111">
        <v>3</v>
      </c>
      <c r="AI9" s="111">
        <v>4</v>
      </c>
      <c r="AJ9" s="111">
        <v>5</v>
      </c>
      <c r="AK9" s="111">
        <v>6</v>
      </c>
      <c r="AL9" s="111">
        <v>7</v>
      </c>
      <c r="AM9" s="111">
        <v>8</v>
      </c>
      <c r="AN9" s="111">
        <v>9</v>
      </c>
      <c r="AO9" s="111">
        <v>10</v>
      </c>
      <c r="AP9" s="111">
        <v>11</v>
      </c>
      <c r="AQ9" s="111">
        <v>12</v>
      </c>
      <c r="AR9" s="111">
        <v>1</v>
      </c>
      <c r="AS9" s="111">
        <v>2</v>
      </c>
      <c r="AT9" s="111">
        <v>3</v>
      </c>
      <c r="AU9" s="111">
        <v>4</v>
      </c>
      <c r="AV9" s="111">
        <v>5</v>
      </c>
      <c r="AW9" s="111">
        <v>6</v>
      </c>
      <c r="AX9" s="111">
        <v>7</v>
      </c>
      <c r="AY9" s="111">
        <v>8</v>
      </c>
      <c r="AZ9" s="111">
        <v>9</v>
      </c>
      <c r="BA9" s="111">
        <v>10</v>
      </c>
      <c r="BB9" s="111">
        <v>11</v>
      </c>
      <c r="BC9" s="111">
        <v>12</v>
      </c>
      <c r="BD9" s="111">
        <v>1</v>
      </c>
      <c r="BE9" s="111">
        <v>2</v>
      </c>
      <c r="BF9" s="111">
        <v>3</v>
      </c>
      <c r="BG9" s="111">
        <v>4</v>
      </c>
      <c r="BH9" s="111">
        <v>5</v>
      </c>
      <c r="BI9" s="111">
        <v>6</v>
      </c>
      <c r="BJ9" s="111">
        <v>7</v>
      </c>
      <c r="BK9" s="111">
        <v>8</v>
      </c>
      <c r="BL9" s="111">
        <v>9</v>
      </c>
      <c r="BM9" s="111">
        <v>10</v>
      </c>
      <c r="BN9" s="111">
        <v>11</v>
      </c>
      <c r="BO9" s="111">
        <v>12</v>
      </c>
      <c r="BP9" s="114">
        <v>1</v>
      </c>
    </row>
    <row r="10" spans="2:69" s="111" customFormat="1" ht="12" customHeight="1">
      <c r="C10" s="111" t="s">
        <v>4</v>
      </c>
      <c r="E10" s="112"/>
      <c r="F10" s="113"/>
      <c r="G10" s="114">
        <f t="array" ref="G10:BP10">YEAR(G8:BP8)</f>
        <v>2025</v>
      </c>
      <c r="H10" s="111">
        <v>2026</v>
      </c>
      <c r="I10" s="111">
        <v>2026</v>
      </c>
      <c r="J10" s="111">
        <v>2026</v>
      </c>
      <c r="K10" s="111">
        <v>2026</v>
      </c>
      <c r="L10" s="111">
        <v>2026</v>
      </c>
      <c r="M10" s="111">
        <v>2026</v>
      </c>
      <c r="N10" s="111">
        <v>2026</v>
      </c>
      <c r="O10" s="111">
        <v>2026</v>
      </c>
      <c r="P10" s="111">
        <v>2026</v>
      </c>
      <c r="Q10" s="111">
        <v>2026</v>
      </c>
      <c r="R10" s="111">
        <v>2026</v>
      </c>
      <c r="S10" s="111">
        <v>2026</v>
      </c>
      <c r="T10" s="111">
        <v>2027</v>
      </c>
      <c r="U10" s="111">
        <v>2027</v>
      </c>
      <c r="V10" s="111">
        <v>2027</v>
      </c>
      <c r="W10" s="111">
        <v>2027</v>
      </c>
      <c r="X10" s="111">
        <v>2027</v>
      </c>
      <c r="Y10" s="111">
        <v>2027</v>
      </c>
      <c r="Z10" s="111">
        <v>2027</v>
      </c>
      <c r="AA10" s="111">
        <v>2027</v>
      </c>
      <c r="AB10" s="111">
        <v>2027</v>
      </c>
      <c r="AC10" s="111">
        <v>2027</v>
      </c>
      <c r="AD10" s="111">
        <v>2027</v>
      </c>
      <c r="AE10" s="111">
        <v>2027</v>
      </c>
      <c r="AF10" s="111">
        <v>2028</v>
      </c>
      <c r="AG10" s="111">
        <v>2028</v>
      </c>
      <c r="AH10" s="111">
        <v>2028</v>
      </c>
      <c r="AI10" s="111">
        <v>2028</v>
      </c>
      <c r="AJ10" s="111">
        <v>2028</v>
      </c>
      <c r="AK10" s="111">
        <v>2028</v>
      </c>
      <c r="AL10" s="111">
        <v>2028</v>
      </c>
      <c r="AM10" s="111">
        <v>2028</v>
      </c>
      <c r="AN10" s="111">
        <v>2028</v>
      </c>
      <c r="AO10" s="111">
        <v>2028</v>
      </c>
      <c r="AP10" s="111">
        <v>2028</v>
      </c>
      <c r="AQ10" s="111">
        <v>2028</v>
      </c>
      <c r="AR10" s="111">
        <v>2029</v>
      </c>
      <c r="AS10" s="111">
        <v>2029</v>
      </c>
      <c r="AT10" s="111">
        <v>2029</v>
      </c>
      <c r="AU10" s="111">
        <v>2029</v>
      </c>
      <c r="AV10" s="111">
        <v>2029</v>
      </c>
      <c r="AW10" s="111">
        <v>2029</v>
      </c>
      <c r="AX10" s="111">
        <v>2029</v>
      </c>
      <c r="AY10" s="111">
        <v>2029</v>
      </c>
      <c r="AZ10" s="111">
        <v>2029</v>
      </c>
      <c r="BA10" s="111">
        <v>2029</v>
      </c>
      <c r="BB10" s="111">
        <v>2029</v>
      </c>
      <c r="BC10" s="111">
        <v>2029</v>
      </c>
      <c r="BD10" s="111">
        <v>2030</v>
      </c>
      <c r="BE10" s="111">
        <v>2030</v>
      </c>
      <c r="BF10" s="111">
        <v>2030</v>
      </c>
      <c r="BG10" s="111">
        <v>2030</v>
      </c>
      <c r="BH10" s="111">
        <v>2030</v>
      </c>
      <c r="BI10" s="111">
        <v>2030</v>
      </c>
      <c r="BJ10" s="111">
        <v>2030</v>
      </c>
      <c r="BK10" s="111">
        <v>2030</v>
      </c>
      <c r="BL10" s="111">
        <v>2030</v>
      </c>
      <c r="BM10" s="111">
        <v>2030</v>
      </c>
      <c r="BN10" s="111">
        <v>2030</v>
      </c>
      <c r="BO10" s="111">
        <v>2030</v>
      </c>
      <c r="BP10" s="114">
        <v>2031</v>
      </c>
    </row>
    <row r="12" spans="2:69" s="111" customFormat="1" ht="12" customHeight="1">
      <c r="E12" s="112"/>
      <c r="F12" s="113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117"/>
      <c r="BI12" s="117"/>
      <c r="BJ12" s="117"/>
      <c r="BK12" s="117"/>
      <c r="BL12" s="117"/>
      <c r="BM12" s="117"/>
      <c r="BN12" s="117"/>
      <c r="BO12" s="117"/>
      <c r="BP12" s="117"/>
      <c r="BQ12" s="117"/>
    </row>
    <row r="13" spans="2:69" s="102" customFormat="1" ht="13.75" customHeight="1" thickBot="1">
      <c r="B13" s="118" t="s">
        <v>277</v>
      </c>
      <c r="C13" s="119"/>
      <c r="D13" s="119"/>
      <c r="E13" s="120"/>
      <c r="F13" s="107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</row>
    <row r="14" spans="2:69" ht="12" customHeight="1" thickTop="1"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</row>
    <row r="15" spans="2:69" ht="12" customHeight="1">
      <c r="C15" s="304"/>
      <c r="D15" s="304"/>
      <c r="E15" s="305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</row>
    <row r="16" spans="2:69" ht="12">
      <c r="C16" s="306"/>
      <c r="D16" s="307"/>
      <c r="E16" s="308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</row>
    <row r="17" spans="2:69" ht="12">
      <c r="C17" s="306"/>
      <c r="D17" s="307"/>
      <c r="E17" s="308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</row>
    <row r="18" spans="2:69"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</row>
    <row r="19" spans="2:69">
      <c r="D19" s="122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</row>
    <row r="20" spans="2:69" s="111" customFormat="1" ht="12" customHeight="1">
      <c r="C20" s="123" t="s">
        <v>8</v>
      </c>
      <c r="D20" s="124">
        <f>SUM(H20:BO20)</f>
        <v>124155810.13333492</v>
      </c>
      <c r="E20" s="125"/>
      <c r="F20" s="126" t="s">
        <v>9</v>
      </c>
      <c r="G20" s="127"/>
      <c r="H20" s="123">
        <f t="array" ref="H20:BP20">_xlfn.ANCHORARRAY(H197)</f>
        <v>1061089.0397727271</v>
      </c>
      <c r="I20" s="123">
        <v>1110288.2649621214</v>
      </c>
      <c r="J20" s="123">
        <v>1221309.1350378788</v>
      </c>
      <c r="K20" s="123">
        <v>1354238.8678030302</v>
      </c>
      <c r="L20" s="123">
        <v>1483298.2984848486</v>
      </c>
      <c r="M20" s="123">
        <v>1409043.1272727272</v>
      </c>
      <c r="N20" s="123">
        <v>1256633.1505681816</v>
      </c>
      <c r="O20" s="123">
        <v>1415401.7924242425</v>
      </c>
      <c r="P20" s="123">
        <v>1606767.0907196971</v>
      </c>
      <c r="Q20" s="123">
        <v>1840443.3806818179</v>
      </c>
      <c r="R20" s="123">
        <v>2240213.9312500004</v>
      </c>
      <c r="S20" s="123">
        <v>1924048.3342159092</v>
      </c>
      <c r="T20" s="123">
        <v>1318859.7977176704</v>
      </c>
      <c r="U20" s="123">
        <v>1371272.9053936934</v>
      </c>
      <c r="V20" s="123">
        <v>1490747.0308121024</v>
      </c>
      <c r="W20" s="123">
        <v>1633608.9771421591</v>
      </c>
      <c r="X20" s="123">
        <v>1772207.4113190912</v>
      </c>
      <c r="Y20" s="123">
        <v>1693530.1115551707</v>
      </c>
      <c r="Z20" s="123">
        <v>1531874.982347216</v>
      </c>
      <c r="AA20" s="123">
        <v>1703155.7445301139</v>
      </c>
      <c r="AB20" s="123">
        <v>1908451.2866402841</v>
      </c>
      <c r="AC20" s="123">
        <v>2162319.0585785797</v>
      </c>
      <c r="AD20" s="123">
        <v>2596936.137752898</v>
      </c>
      <c r="AE20" s="123">
        <v>2245744.552945117</v>
      </c>
      <c r="AF20" s="123">
        <v>1581562.3333832067</v>
      </c>
      <c r="AG20" s="123">
        <v>1637222.6094192013</v>
      </c>
      <c r="AH20" s="123">
        <v>1763589.7957032777</v>
      </c>
      <c r="AI20" s="123">
        <v>1915171.5486377934</v>
      </c>
      <c r="AJ20" s="123">
        <v>2062321.9215064719</v>
      </c>
      <c r="AK20" s="123">
        <v>1979402.3144848403</v>
      </c>
      <c r="AL20" s="123">
        <v>1808806.8336808397</v>
      </c>
      <c r="AM20" s="123">
        <v>1989059.8798644135</v>
      </c>
      <c r="AN20" s="123">
        <v>2205348.2525760587</v>
      </c>
      <c r="AO20" s="123">
        <v>2473557.9679643619</v>
      </c>
      <c r="AP20" s="123">
        <v>2932311.2013310809</v>
      </c>
      <c r="AQ20" s="123">
        <v>2549563.049096927</v>
      </c>
      <c r="AR20" s="123">
        <v>1840000.8783382026</v>
      </c>
      <c r="AS20" s="123">
        <v>1897975.4388785544</v>
      </c>
      <c r="AT20" s="123">
        <v>2029022.5183075287</v>
      </c>
      <c r="AU20" s="123">
        <v>2186585.3992488002</v>
      </c>
      <c r="AV20" s="123">
        <v>2339620.1622755625</v>
      </c>
      <c r="AW20" s="123">
        <v>2253839.9879096383</v>
      </c>
      <c r="AX20" s="123">
        <v>2077247.9353760881</v>
      </c>
      <c r="AY20" s="123">
        <v>2263443.0715137203</v>
      </c>
      <c r="AZ20" s="123">
        <v>2487085.7689755429</v>
      </c>
      <c r="BA20" s="123">
        <v>2764705.6587733338</v>
      </c>
      <c r="BB20" s="123">
        <v>3239126.4940270009</v>
      </c>
      <c r="BC20" s="123">
        <v>2840849.8406056599</v>
      </c>
      <c r="BD20" s="123">
        <v>2111597.0251532248</v>
      </c>
      <c r="BE20" s="123">
        <v>2171564.5715715126</v>
      </c>
      <c r="BF20" s="123">
        <v>2306914.9232983161</v>
      </c>
      <c r="BG20" s="123">
        <v>2469906.5237731431</v>
      </c>
      <c r="BH20" s="123">
        <v>2628248.6375799738</v>
      </c>
      <c r="BI20" s="123">
        <v>2539906.2543044873</v>
      </c>
      <c r="BJ20" s="123">
        <v>2358005.411748264</v>
      </c>
      <c r="BK20" s="123">
        <v>2549839.3918491793</v>
      </c>
      <c r="BL20" s="123">
        <v>2780255.5637530154</v>
      </c>
      <c r="BM20" s="123">
        <v>3066997.7370577762</v>
      </c>
      <c r="BN20" s="123">
        <v>3556761.0040966109</v>
      </c>
      <c r="BO20" s="123">
        <v>3146909.8173440238</v>
      </c>
      <c r="BP20" s="127">
        <v>0</v>
      </c>
      <c r="BQ20" s="117"/>
    </row>
    <row r="21" spans="2:69">
      <c r="C21" s="128" t="s">
        <v>10</v>
      </c>
      <c r="D21" s="129">
        <f ca="1">SUM(H21:BO21)</f>
        <v>-64552280.480072096</v>
      </c>
      <c r="E21" s="130"/>
      <c r="F21" s="131" t="s">
        <v>9</v>
      </c>
      <c r="G21" s="132"/>
      <c r="H21" s="128">
        <f t="array" ref="H21:BO21">-_xlfn.ANCHORARRAY(H352)</f>
        <v>-801649.17946704547</v>
      </c>
      <c r="I21" s="128">
        <v>-802195.51070318185</v>
      </c>
      <c r="J21" s="128">
        <v>-821967.11669410183</v>
      </c>
      <c r="K21" s="128">
        <v>-897137.90260650089</v>
      </c>
      <c r="L21" s="128">
        <v>-970470.0654674602</v>
      </c>
      <c r="M21" s="128">
        <v>-926125.73339735926</v>
      </c>
      <c r="N21" s="128">
        <v>-814733.38956567808</v>
      </c>
      <c r="O21" s="128">
        <v>-898439.02219930035</v>
      </c>
      <c r="P21" s="128">
        <v>-1014312.1567529185</v>
      </c>
      <c r="Q21" s="128">
        <v>-1142816.0855187012</v>
      </c>
      <c r="R21" s="128">
        <v>-1378488.0014637881</v>
      </c>
      <c r="S21" s="128">
        <v>-1198947.1568638578</v>
      </c>
      <c r="T21" s="128">
        <f ca="1"/>
        <v>-834927.38019380451</v>
      </c>
      <c r="U21" s="128">
        <f ca="1"/>
        <v>-835504.49959612556</v>
      </c>
      <c r="V21" s="128">
        <f ca="1"/>
        <v>-879418.04233337136</v>
      </c>
      <c r="W21" s="128">
        <f ca="1"/>
        <v>-959966.86213135056</v>
      </c>
      <c r="X21" s="128">
        <f ca="1"/>
        <v>-1038405.9691976378</v>
      </c>
      <c r="Y21" s="128">
        <f ca="1"/>
        <v>-991100.92540730105</v>
      </c>
      <c r="Z21" s="128">
        <f ca="1"/>
        <v>-872512.54436544003</v>
      </c>
      <c r="AA21" s="128">
        <f ca="1"/>
        <v>-962746.76235185959</v>
      </c>
      <c r="AB21" s="128">
        <f ca="1"/>
        <v>-1086653.9988868767</v>
      </c>
      <c r="AC21" s="128">
        <f ca="1"/>
        <v>-1226058.1326126205</v>
      </c>
      <c r="AD21" s="128">
        <f ca="1"/>
        <v>-1482046.8797962752</v>
      </c>
      <c r="AE21" s="128">
        <f ca="1"/>
        <v>-1282310.3268072163</v>
      </c>
      <c r="AF21" s="128">
        <f ca="1"/>
        <v>-891261.67155565356</v>
      </c>
      <c r="AG21" s="128">
        <f ca="1"/>
        <v>-891871.53841348132</v>
      </c>
      <c r="AH21" s="128">
        <f ca="1"/>
        <v>-919672.2179547667</v>
      </c>
      <c r="AI21" s="128">
        <f ca="1"/>
        <v>-1004968.4856468193</v>
      </c>
      <c r="AJ21" s="128">
        <f ca="1"/>
        <v>-1088061.1171228951</v>
      </c>
      <c r="AK21" s="128">
        <f ca="1"/>
        <v>-1037969.2498468324</v>
      </c>
      <c r="AL21" s="128">
        <f ca="1"/>
        <v>-912613.72223908699</v>
      </c>
      <c r="AM21" s="128">
        <f ca="1"/>
        <v>-1007384.3305838894</v>
      </c>
      <c r="AN21" s="128">
        <f ca="1"/>
        <v>-1137649.1720864093</v>
      </c>
      <c r="AO21" s="128">
        <f ca="1"/>
        <v>-1284734.7733726716</v>
      </c>
      <c r="AP21" s="128">
        <f ca="1"/>
        <v>-1554705.0847943893</v>
      </c>
      <c r="AQ21" s="128">
        <f ca="1"/>
        <v>-1336740.9064333322</v>
      </c>
      <c r="AR21" s="128">
        <f ca="1"/>
        <v>-931679.15152632492</v>
      </c>
      <c r="AS21" s="128">
        <f ca="1"/>
        <v>-932311.81863202085</v>
      </c>
      <c r="AT21" s="128">
        <f ca="1"/>
        <v>-946630.75853128347</v>
      </c>
      <c r="AU21" s="128">
        <f ca="1"/>
        <v>-1035139.1504318125</v>
      </c>
      <c r="AV21" s="128">
        <f ca="1"/>
        <v>-1121387.3399180411</v>
      </c>
      <c r="AW21" s="128">
        <f ca="1"/>
        <v>-1069354.9382213275</v>
      </c>
      <c r="AX21" s="128">
        <f ca="1"/>
        <v>-939404.31110399484</v>
      </c>
      <c r="AY21" s="128">
        <f ca="1"/>
        <v>-1037120.5084688771</v>
      </c>
      <c r="AZ21" s="128">
        <f ca="1"/>
        <v>-1171588.5319336578</v>
      </c>
      <c r="BA21" s="128">
        <f ca="1"/>
        <v>-1323654.0206102296</v>
      </c>
      <c r="BB21" s="128">
        <f ca="1"/>
        <v>-1602623.6847302942</v>
      </c>
      <c r="BC21" s="128">
        <f ca="1"/>
        <v>-1375582.3067430393</v>
      </c>
      <c r="BD21" s="128">
        <f ca="1"/>
        <v>-964278.57885485538</v>
      </c>
      <c r="BE21" s="128">
        <f ca="1"/>
        <v>-964930.79862426373</v>
      </c>
      <c r="BF21" s="128">
        <f ca="1"/>
        <v>-972503.31776497327</v>
      </c>
      <c r="BG21" s="128">
        <f ca="1"/>
        <v>-1063938.6778881873</v>
      </c>
      <c r="BH21" s="128">
        <f ca="1"/>
        <v>-1153039.1747118607</v>
      </c>
      <c r="BI21" s="128">
        <f ca="1"/>
        <v>-1099280.9256582642</v>
      </c>
      <c r="BJ21" s="128">
        <f ca="1"/>
        <v>-966296.62890337419</v>
      </c>
      <c r="BK21" s="128">
        <f ca="1"/>
        <v>-1065794.5857586744</v>
      </c>
      <c r="BL21" s="128">
        <f ca="1"/>
        <v>-1204136.2449118611</v>
      </c>
      <c r="BM21" s="128">
        <f ca="1"/>
        <v>-1361062.3595016254</v>
      </c>
      <c r="BN21" s="128">
        <f ca="1"/>
        <v>-1648892.280971616</v>
      </c>
      <c r="BO21" s="128">
        <f ca="1"/>
        <v>-1415084.4712416641</v>
      </c>
      <c r="BP21" s="132"/>
      <c r="BQ21" s="121"/>
    </row>
    <row r="22" spans="2:69" s="111" customFormat="1" ht="12" customHeight="1">
      <c r="C22" s="133" t="s">
        <v>11</v>
      </c>
      <c r="D22" s="134">
        <f ca="1">D20+D21</f>
        <v>59603529.653262824</v>
      </c>
      <c r="E22" s="135"/>
      <c r="F22" s="136"/>
      <c r="G22" s="137"/>
      <c r="H22" s="133">
        <f t="array" ref="H22:BO22">+H20:BO20+H21:BO21</f>
        <v>259439.86030568159</v>
      </c>
      <c r="I22" s="133">
        <v>308092.75425893953</v>
      </c>
      <c r="J22" s="133">
        <v>399342.01834377693</v>
      </c>
      <c r="K22" s="133">
        <v>457100.96519652929</v>
      </c>
      <c r="L22" s="133">
        <v>512828.23301738838</v>
      </c>
      <c r="M22" s="133">
        <v>482917.39387536794</v>
      </c>
      <c r="N22" s="133">
        <v>441899.76100250357</v>
      </c>
      <c r="O22" s="133">
        <v>516962.77022494213</v>
      </c>
      <c r="P22" s="133">
        <v>592454.93396677857</v>
      </c>
      <c r="Q22" s="133">
        <v>697627.29516311665</v>
      </c>
      <c r="R22" s="133">
        <v>861725.92978621228</v>
      </c>
      <c r="S22" s="133">
        <v>725101.17735205148</v>
      </c>
      <c r="T22" s="133">
        <f ca="1"/>
        <v>483932.41752386594</v>
      </c>
      <c r="U22" s="133">
        <f ca="1"/>
        <v>535768.4057975678</v>
      </c>
      <c r="V22" s="133">
        <f ca="1"/>
        <v>611328.98847873101</v>
      </c>
      <c r="W22" s="133">
        <f ca="1"/>
        <v>673642.11501080857</v>
      </c>
      <c r="X22" s="133">
        <f ca="1"/>
        <v>733801.44212145347</v>
      </c>
      <c r="Y22" s="133">
        <f ca="1"/>
        <v>702429.18614786968</v>
      </c>
      <c r="Z22" s="133">
        <f ca="1"/>
        <v>659362.43798177596</v>
      </c>
      <c r="AA22" s="133">
        <f ca="1"/>
        <v>740408.98217825429</v>
      </c>
      <c r="AB22" s="133">
        <f ca="1"/>
        <v>821797.28775340738</v>
      </c>
      <c r="AC22" s="133">
        <f ca="1"/>
        <v>936260.92596595921</v>
      </c>
      <c r="AD22" s="133">
        <f ca="1"/>
        <v>1114889.2579566229</v>
      </c>
      <c r="AE22" s="133">
        <f ca="1"/>
        <v>963434.22613790073</v>
      </c>
      <c r="AF22" s="133">
        <f ca="1"/>
        <v>690300.66182755318</v>
      </c>
      <c r="AG22" s="133">
        <f ca="1"/>
        <v>745351.07100571995</v>
      </c>
      <c r="AH22" s="133">
        <f ca="1"/>
        <v>843917.57774851099</v>
      </c>
      <c r="AI22" s="133">
        <f ca="1"/>
        <v>910203.06299097405</v>
      </c>
      <c r="AJ22" s="133">
        <f ca="1"/>
        <v>974260.80438357685</v>
      </c>
      <c r="AK22" s="133">
        <f ca="1"/>
        <v>941433.0646380079</v>
      </c>
      <c r="AL22" s="133">
        <f ca="1"/>
        <v>896193.11144175276</v>
      </c>
      <c r="AM22" s="133">
        <f ca="1"/>
        <v>981675.54928052414</v>
      </c>
      <c r="AN22" s="133">
        <f ca="1"/>
        <v>1067699.0804896494</v>
      </c>
      <c r="AO22" s="133">
        <f ca="1"/>
        <v>1188823.1945916903</v>
      </c>
      <c r="AP22" s="133">
        <f ca="1"/>
        <v>1377606.1165366916</v>
      </c>
      <c r="AQ22" s="133">
        <f ca="1"/>
        <v>1212822.1426635948</v>
      </c>
      <c r="AR22" s="133">
        <f ca="1"/>
        <v>908321.72681187768</v>
      </c>
      <c r="AS22" s="133">
        <f ca="1"/>
        <v>965663.62024653354</v>
      </c>
      <c r="AT22" s="133">
        <f ca="1"/>
        <v>1082391.7597762453</v>
      </c>
      <c r="AU22" s="133">
        <f ca="1"/>
        <v>1151446.2488169877</v>
      </c>
      <c r="AV22" s="133">
        <f ca="1"/>
        <v>1218232.8223575214</v>
      </c>
      <c r="AW22" s="133">
        <f ca="1"/>
        <v>1184485.0496883108</v>
      </c>
      <c r="AX22" s="133">
        <f ca="1"/>
        <v>1137843.6242720932</v>
      </c>
      <c r="AY22" s="133">
        <f ca="1"/>
        <v>1226322.5630448433</v>
      </c>
      <c r="AZ22" s="133">
        <f ca="1"/>
        <v>1315497.237041885</v>
      </c>
      <c r="BA22" s="133">
        <f ca="1"/>
        <v>1441051.6381631042</v>
      </c>
      <c r="BB22" s="133">
        <f ca="1"/>
        <v>1636502.8092967067</v>
      </c>
      <c r="BC22" s="133">
        <f ca="1"/>
        <v>1465267.5338626206</v>
      </c>
      <c r="BD22" s="133">
        <f ca="1"/>
        <v>1147318.4462983694</v>
      </c>
      <c r="BE22" s="133">
        <f ca="1"/>
        <v>1206633.772947249</v>
      </c>
      <c r="BF22" s="133">
        <f ca="1"/>
        <v>1334411.6055333428</v>
      </c>
      <c r="BG22" s="133">
        <f ca="1"/>
        <v>1405967.8458849557</v>
      </c>
      <c r="BH22" s="133">
        <f ca="1"/>
        <v>1475209.4628681131</v>
      </c>
      <c r="BI22" s="133">
        <f ca="1"/>
        <v>1440625.3286462231</v>
      </c>
      <c r="BJ22" s="133">
        <f ca="1"/>
        <v>1391708.7828448899</v>
      </c>
      <c r="BK22" s="133">
        <f ca="1"/>
        <v>1484044.8060905049</v>
      </c>
      <c r="BL22" s="133">
        <f ca="1"/>
        <v>1576119.3188411542</v>
      </c>
      <c r="BM22" s="133">
        <f ca="1"/>
        <v>1705935.3775561508</v>
      </c>
      <c r="BN22" s="133">
        <f ca="1"/>
        <v>1907868.7231249949</v>
      </c>
      <c r="BO22" s="133">
        <f ca="1"/>
        <v>1731825.3461023597</v>
      </c>
      <c r="BP22" s="137"/>
      <c r="BQ22" s="117"/>
    </row>
    <row r="23" spans="2:69">
      <c r="C23" s="128"/>
      <c r="D23" s="129"/>
      <c r="E23" s="130"/>
      <c r="F23" s="131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1"/>
    </row>
    <row r="24" spans="2:69">
      <c r="C24" s="128" t="s">
        <v>12</v>
      </c>
      <c r="D24" s="129">
        <f>SUM(H24:BO24)</f>
        <v>-3981851.8575000018</v>
      </c>
      <c r="E24" s="130"/>
      <c r="F24" s="131" t="s">
        <v>9</v>
      </c>
      <c r="G24" s="132"/>
      <c r="H24" s="128">
        <f t="array" ref="H24:BO24">-_xlfn.ANCHORARRAY(H354)</f>
        <v>-62500</v>
      </c>
      <c r="I24" s="128">
        <v>-62500</v>
      </c>
      <c r="J24" s="128">
        <v>-62500</v>
      </c>
      <c r="K24" s="128">
        <v>-62500</v>
      </c>
      <c r="L24" s="128">
        <v>-62500</v>
      </c>
      <c r="M24" s="128">
        <v>-62500</v>
      </c>
      <c r="N24" s="128">
        <v>-62500</v>
      </c>
      <c r="O24" s="128">
        <v>-62500</v>
      </c>
      <c r="P24" s="128">
        <v>-62500</v>
      </c>
      <c r="Q24" s="128">
        <v>-62500</v>
      </c>
      <c r="R24" s="128">
        <v>-62500</v>
      </c>
      <c r="S24" s="128">
        <v>-62500</v>
      </c>
      <c r="T24" s="128">
        <v>-64375</v>
      </c>
      <c r="U24" s="128">
        <v>-64375</v>
      </c>
      <c r="V24" s="128">
        <v>-64375</v>
      </c>
      <c r="W24" s="128">
        <v>-64375</v>
      </c>
      <c r="X24" s="128">
        <v>-64375</v>
      </c>
      <c r="Y24" s="128">
        <v>-64375</v>
      </c>
      <c r="Z24" s="128">
        <v>-64375</v>
      </c>
      <c r="AA24" s="128">
        <v>-64375</v>
      </c>
      <c r="AB24" s="128">
        <v>-64375</v>
      </c>
      <c r="AC24" s="128">
        <v>-64375</v>
      </c>
      <c r="AD24" s="128">
        <v>-64375</v>
      </c>
      <c r="AE24" s="128">
        <v>-64375</v>
      </c>
      <c r="AF24" s="128">
        <v>-66306.25</v>
      </c>
      <c r="AG24" s="128">
        <v>-66306.25</v>
      </c>
      <c r="AH24" s="128">
        <v>-66306.25</v>
      </c>
      <c r="AI24" s="128">
        <v>-66306.25</v>
      </c>
      <c r="AJ24" s="128">
        <v>-66306.25</v>
      </c>
      <c r="AK24" s="128">
        <v>-66306.25</v>
      </c>
      <c r="AL24" s="128">
        <v>-66306.25</v>
      </c>
      <c r="AM24" s="128">
        <v>-66306.25</v>
      </c>
      <c r="AN24" s="128">
        <v>-66306.25</v>
      </c>
      <c r="AO24" s="128">
        <v>-66306.25</v>
      </c>
      <c r="AP24" s="128">
        <v>-66306.25</v>
      </c>
      <c r="AQ24" s="128">
        <v>-66306.25</v>
      </c>
      <c r="AR24" s="128">
        <v>-68295.4375</v>
      </c>
      <c r="AS24" s="128">
        <v>-68295.4375</v>
      </c>
      <c r="AT24" s="128">
        <v>-68295.4375</v>
      </c>
      <c r="AU24" s="128">
        <v>-68295.4375</v>
      </c>
      <c r="AV24" s="128">
        <v>-68295.4375</v>
      </c>
      <c r="AW24" s="128">
        <v>-68295.4375</v>
      </c>
      <c r="AX24" s="128">
        <v>-68295.4375</v>
      </c>
      <c r="AY24" s="128">
        <v>-68295.4375</v>
      </c>
      <c r="AZ24" s="128">
        <v>-68295.4375</v>
      </c>
      <c r="BA24" s="128">
        <v>-68295.4375</v>
      </c>
      <c r="BB24" s="128">
        <v>-68295.4375</v>
      </c>
      <c r="BC24" s="128">
        <v>-68295.4375</v>
      </c>
      <c r="BD24" s="128">
        <v>-70344.300624999989</v>
      </c>
      <c r="BE24" s="128">
        <v>-70344.300624999989</v>
      </c>
      <c r="BF24" s="128">
        <v>-70344.300624999989</v>
      </c>
      <c r="BG24" s="128">
        <v>-70344.300624999989</v>
      </c>
      <c r="BH24" s="128">
        <v>-70344.300624999989</v>
      </c>
      <c r="BI24" s="128">
        <v>-70344.300624999989</v>
      </c>
      <c r="BJ24" s="128">
        <v>-70344.300624999989</v>
      </c>
      <c r="BK24" s="128">
        <v>-70344.300624999989</v>
      </c>
      <c r="BL24" s="128">
        <v>-70344.300624999989</v>
      </c>
      <c r="BM24" s="128">
        <v>-70344.300624999989</v>
      </c>
      <c r="BN24" s="128">
        <v>-70344.300624999989</v>
      </c>
      <c r="BO24" s="128">
        <v>-70344.300624999989</v>
      </c>
      <c r="BP24" s="132"/>
      <c r="BQ24" s="121"/>
    </row>
    <row r="25" spans="2:69">
      <c r="C25" s="128"/>
      <c r="D25" s="129"/>
      <c r="E25" s="130"/>
      <c r="F25" s="131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1"/>
    </row>
    <row r="26" spans="2:69" s="111" customFormat="1" ht="12" customHeight="1">
      <c r="C26" s="133" t="s">
        <v>13</v>
      </c>
      <c r="D26" s="134">
        <f ca="1">SUM(H26:BO26)</f>
        <v>55621677.795762785</v>
      </c>
      <c r="E26" s="135"/>
      <c r="F26" s="136"/>
      <c r="G26" s="137"/>
      <c r="H26" s="133">
        <f t="array" ref="H26:BO26">+H22:BO22+H24:BO24</f>
        <v>196939.86030568159</v>
      </c>
      <c r="I26" s="133">
        <v>245592.75425893953</v>
      </c>
      <c r="J26" s="133">
        <v>336842.01834377693</v>
      </c>
      <c r="K26" s="133">
        <v>394600.96519652929</v>
      </c>
      <c r="L26" s="133">
        <v>450328.23301738838</v>
      </c>
      <c r="M26" s="133">
        <v>420417.39387536794</v>
      </c>
      <c r="N26" s="133">
        <v>379399.76100250357</v>
      </c>
      <c r="O26" s="133">
        <v>454462.77022494213</v>
      </c>
      <c r="P26" s="133">
        <v>529954.93396677857</v>
      </c>
      <c r="Q26" s="133">
        <v>635127.29516311665</v>
      </c>
      <c r="R26" s="133">
        <v>799225.92978621228</v>
      </c>
      <c r="S26" s="133">
        <v>662601.17735205148</v>
      </c>
      <c r="T26" s="133">
        <f ca="1"/>
        <v>419557.41752386594</v>
      </c>
      <c r="U26" s="133">
        <f ca="1"/>
        <v>471393.4057975678</v>
      </c>
      <c r="V26" s="133">
        <f ca="1"/>
        <v>546953.98847873101</v>
      </c>
      <c r="W26" s="133">
        <f ca="1"/>
        <v>609267.11501080857</v>
      </c>
      <c r="X26" s="133">
        <f ca="1"/>
        <v>669426.44212145347</v>
      </c>
      <c r="Y26" s="133">
        <f ca="1"/>
        <v>638054.18614786968</v>
      </c>
      <c r="Z26" s="133">
        <f ca="1"/>
        <v>594987.43798177596</v>
      </c>
      <c r="AA26" s="133">
        <f ca="1"/>
        <v>676033.98217825429</v>
      </c>
      <c r="AB26" s="133">
        <f ca="1"/>
        <v>757422.28775340738</v>
      </c>
      <c r="AC26" s="133">
        <f ca="1"/>
        <v>871885.92596595921</v>
      </c>
      <c r="AD26" s="133">
        <f ca="1"/>
        <v>1050514.2579566229</v>
      </c>
      <c r="AE26" s="133">
        <f ca="1"/>
        <v>899059.22613790073</v>
      </c>
      <c r="AF26" s="133">
        <f ca="1"/>
        <v>623994.41182755318</v>
      </c>
      <c r="AG26" s="133">
        <f ca="1"/>
        <v>679044.82100571995</v>
      </c>
      <c r="AH26" s="133">
        <f ca="1"/>
        <v>777611.32774851099</v>
      </c>
      <c r="AI26" s="133">
        <f ca="1"/>
        <v>843896.81299097405</v>
      </c>
      <c r="AJ26" s="133">
        <f ca="1"/>
        <v>907954.55438357685</v>
      </c>
      <c r="AK26" s="133">
        <f ca="1"/>
        <v>875126.8146380079</v>
      </c>
      <c r="AL26" s="133">
        <f ca="1"/>
        <v>829886.86144175276</v>
      </c>
      <c r="AM26" s="133">
        <f ca="1"/>
        <v>915369.29928052414</v>
      </c>
      <c r="AN26" s="133">
        <f ca="1"/>
        <v>1001392.8304896494</v>
      </c>
      <c r="AO26" s="133">
        <f ca="1"/>
        <v>1122516.9445916903</v>
      </c>
      <c r="AP26" s="133">
        <f ca="1"/>
        <v>1311299.8665366916</v>
      </c>
      <c r="AQ26" s="133">
        <f ca="1"/>
        <v>1146515.8926635948</v>
      </c>
      <c r="AR26" s="133">
        <f ca="1"/>
        <v>840026.28931187768</v>
      </c>
      <c r="AS26" s="133">
        <f ca="1"/>
        <v>897368.18274653354</v>
      </c>
      <c r="AT26" s="133">
        <f ca="1"/>
        <v>1014096.3222762453</v>
      </c>
      <c r="AU26" s="133">
        <f ca="1"/>
        <v>1083150.8113169877</v>
      </c>
      <c r="AV26" s="133">
        <f ca="1"/>
        <v>1149937.3848575214</v>
      </c>
      <c r="AW26" s="133">
        <f ca="1"/>
        <v>1116189.6121883108</v>
      </c>
      <c r="AX26" s="133">
        <f ca="1"/>
        <v>1069548.1867720932</v>
      </c>
      <c r="AY26" s="133">
        <f ca="1"/>
        <v>1158027.1255448433</v>
      </c>
      <c r="AZ26" s="133">
        <f ca="1"/>
        <v>1247201.799541885</v>
      </c>
      <c r="BA26" s="133">
        <f ca="1"/>
        <v>1372756.2006631042</v>
      </c>
      <c r="BB26" s="133">
        <f ca="1"/>
        <v>1568207.3717967067</v>
      </c>
      <c r="BC26" s="133">
        <f ca="1"/>
        <v>1396972.0963626206</v>
      </c>
      <c r="BD26" s="133">
        <f ca="1"/>
        <v>1076974.1456733695</v>
      </c>
      <c r="BE26" s="133">
        <f ca="1"/>
        <v>1136289.4723222491</v>
      </c>
      <c r="BF26" s="133">
        <f ca="1"/>
        <v>1264067.3049083429</v>
      </c>
      <c r="BG26" s="133">
        <f ca="1"/>
        <v>1335623.5452599558</v>
      </c>
      <c r="BH26" s="133">
        <f ca="1"/>
        <v>1404865.1622431132</v>
      </c>
      <c r="BI26" s="133">
        <f ca="1"/>
        <v>1370281.0280212231</v>
      </c>
      <c r="BJ26" s="133">
        <f ca="1"/>
        <v>1321364.48221989</v>
      </c>
      <c r="BK26" s="133">
        <f ca="1"/>
        <v>1413700.5054655049</v>
      </c>
      <c r="BL26" s="133">
        <f ca="1"/>
        <v>1505775.0182161543</v>
      </c>
      <c r="BM26" s="133">
        <f ca="1"/>
        <v>1635591.0769311509</v>
      </c>
      <c r="BN26" s="133">
        <f ca="1"/>
        <v>1837524.422499995</v>
      </c>
      <c r="BO26" s="133">
        <f ca="1"/>
        <v>1661481.0454773598</v>
      </c>
      <c r="BP26" s="137"/>
      <c r="BQ26" s="117"/>
    </row>
    <row r="27" spans="2:69"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</row>
    <row r="28" spans="2:69" s="102" customFormat="1" ht="13.75" customHeight="1" thickBot="1">
      <c r="B28" s="118" t="s">
        <v>278</v>
      </c>
      <c r="C28" s="119"/>
      <c r="D28" s="119"/>
      <c r="E28" s="120"/>
      <c r="F28" s="107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19"/>
      <c r="BP28" s="119"/>
    </row>
    <row r="29" spans="2:69" s="102" customFormat="1" ht="14.4" customHeight="1" thickTop="1" thickBot="1">
      <c r="B29" s="138" t="s">
        <v>14</v>
      </c>
      <c r="C29" s="139"/>
      <c r="D29" s="139"/>
      <c r="E29" s="140"/>
      <c r="F29" s="141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</row>
    <row r="30" spans="2:69" ht="12" customHeight="1" outlineLevel="1" thickTop="1">
      <c r="D30" s="142"/>
    </row>
    <row r="31" spans="2:69" outlineLevel="1">
      <c r="C31" s="101" t="s">
        <v>15</v>
      </c>
      <c r="D31" s="143">
        <v>0.03</v>
      </c>
      <c r="F31" s="109" t="s">
        <v>16</v>
      </c>
      <c r="G31" s="144"/>
      <c r="H31" s="121">
        <f t="array" ref="H31:BO31">(1+Assumptions!D10)^(H10:BO10-$H$10)</f>
        <v>1</v>
      </c>
      <c r="I31" s="121">
        <v>1</v>
      </c>
      <c r="J31" s="121">
        <v>1</v>
      </c>
      <c r="K31" s="121">
        <v>1</v>
      </c>
      <c r="L31" s="121">
        <v>1</v>
      </c>
      <c r="M31" s="121">
        <v>1</v>
      </c>
      <c r="N31" s="121">
        <v>1</v>
      </c>
      <c r="O31" s="121">
        <v>1</v>
      </c>
      <c r="P31" s="121">
        <v>1</v>
      </c>
      <c r="Q31" s="121">
        <v>1</v>
      </c>
      <c r="R31" s="121">
        <v>1</v>
      </c>
      <c r="S31" s="121">
        <v>1</v>
      </c>
      <c r="T31" s="121">
        <v>1.03</v>
      </c>
      <c r="U31" s="121">
        <v>1.03</v>
      </c>
      <c r="V31" s="121">
        <v>1.03</v>
      </c>
      <c r="W31" s="121">
        <v>1.03</v>
      </c>
      <c r="X31" s="121">
        <v>1.03</v>
      </c>
      <c r="Y31" s="121">
        <v>1.03</v>
      </c>
      <c r="Z31" s="121">
        <v>1.03</v>
      </c>
      <c r="AA31" s="121">
        <v>1.03</v>
      </c>
      <c r="AB31" s="121">
        <v>1.03</v>
      </c>
      <c r="AC31" s="121">
        <v>1.03</v>
      </c>
      <c r="AD31" s="121">
        <v>1.03</v>
      </c>
      <c r="AE31" s="121">
        <v>1.03</v>
      </c>
      <c r="AF31" s="121">
        <v>1.0609</v>
      </c>
      <c r="AG31" s="121">
        <v>1.0609</v>
      </c>
      <c r="AH31" s="121">
        <v>1.0609</v>
      </c>
      <c r="AI31" s="121">
        <v>1.0609</v>
      </c>
      <c r="AJ31" s="121">
        <v>1.0609</v>
      </c>
      <c r="AK31" s="121">
        <v>1.0609</v>
      </c>
      <c r="AL31" s="121">
        <v>1.0609</v>
      </c>
      <c r="AM31" s="121">
        <v>1.0609</v>
      </c>
      <c r="AN31" s="121">
        <v>1.0609</v>
      </c>
      <c r="AO31" s="121">
        <v>1.0609</v>
      </c>
      <c r="AP31" s="121">
        <v>1.0609</v>
      </c>
      <c r="AQ31" s="121">
        <v>1.0609</v>
      </c>
      <c r="AR31" s="121">
        <v>1.092727</v>
      </c>
      <c r="AS31" s="121">
        <v>1.092727</v>
      </c>
      <c r="AT31" s="121">
        <v>1.092727</v>
      </c>
      <c r="AU31" s="121">
        <v>1.092727</v>
      </c>
      <c r="AV31" s="121">
        <v>1.092727</v>
      </c>
      <c r="AW31" s="121">
        <v>1.092727</v>
      </c>
      <c r="AX31" s="121">
        <v>1.092727</v>
      </c>
      <c r="AY31" s="121">
        <v>1.092727</v>
      </c>
      <c r="AZ31" s="121">
        <v>1.092727</v>
      </c>
      <c r="BA31" s="121">
        <v>1.092727</v>
      </c>
      <c r="BB31" s="121">
        <v>1.092727</v>
      </c>
      <c r="BC31" s="121">
        <v>1.092727</v>
      </c>
      <c r="BD31" s="121">
        <v>1.1255088099999999</v>
      </c>
      <c r="BE31" s="121">
        <v>1.1255088099999999</v>
      </c>
      <c r="BF31" s="121">
        <v>1.1255088099999999</v>
      </c>
      <c r="BG31" s="121">
        <v>1.1255088099999999</v>
      </c>
      <c r="BH31" s="121">
        <v>1.1255088099999999</v>
      </c>
      <c r="BI31" s="121">
        <v>1.1255088099999999</v>
      </c>
      <c r="BJ31" s="121">
        <v>1.1255088099999999</v>
      </c>
      <c r="BK31" s="121">
        <v>1.1255088099999999</v>
      </c>
      <c r="BL31" s="121">
        <v>1.1255088099999999</v>
      </c>
      <c r="BM31" s="121">
        <v>1.1255088099999999</v>
      </c>
      <c r="BN31" s="121">
        <v>1.1255088099999999</v>
      </c>
      <c r="BO31" s="121">
        <v>1.1255088099999999</v>
      </c>
      <c r="BP31" s="144"/>
      <c r="BQ31" s="121"/>
    </row>
    <row r="32" spans="2:69" outlineLevel="1"/>
    <row r="33" spans="2:69" ht="12.75" customHeight="1" outlineLevel="1"/>
    <row r="34" spans="2:69" s="111" customFormat="1" ht="12" customHeight="1" outlineLevel="1">
      <c r="B34" s="145" t="s">
        <v>17</v>
      </c>
      <c r="D34" s="112" t="str">
        <f>Assumptions!I24</f>
        <v>Contract Active</v>
      </c>
      <c r="E34" s="112" t="str">
        <f>Assumptions!D24</f>
        <v>Starting Month</v>
      </c>
      <c r="F34" s="113"/>
    </row>
    <row r="35" spans="2:69" outlineLevel="1">
      <c r="C35" s="146" t="str">
        <f t="array" ref="C35:C40">cust</f>
        <v>Michael’s Market Goods</v>
      </c>
      <c r="D35" s="147">
        <f t="array" ref="D35:D40">active</f>
        <v>1</v>
      </c>
      <c r="E35" s="148">
        <f t="array" ref="E35:E40">month</f>
        <v>1</v>
      </c>
      <c r="F35" s="109" t="s">
        <v>18</v>
      </c>
      <c r="G35" s="149">
        <f t="array" ref="G35:BP40">IF(_xlfn.ANCHORARRAY(D35)=1,IF(_xlfn.ANCHORARRAY(G7)&gt;=_xlfn.ANCHORARRAY(E35),1,0),0)</f>
        <v>0</v>
      </c>
      <c r="H35" s="101">
        <v>1</v>
      </c>
      <c r="I35" s="101">
        <v>1</v>
      </c>
      <c r="J35" s="101">
        <v>1</v>
      </c>
      <c r="K35" s="101">
        <v>1</v>
      </c>
      <c r="L35" s="101">
        <v>1</v>
      </c>
      <c r="M35" s="101">
        <v>1</v>
      </c>
      <c r="N35" s="101">
        <v>1</v>
      </c>
      <c r="O35" s="101">
        <v>1</v>
      </c>
      <c r="P35" s="101">
        <v>1</v>
      </c>
      <c r="Q35" s="101">
        <v>1</v>
      </c>
      <c r="R35" s="101">
        <v>1</v>
      </c>
      <c r="S35" s="101">
        <v>1</v>
      </c>
      <c r="T35" s="101">
        <v>1</v>
      </c>
      <c r="U35" s="101">
        <v>1</v>
      </c>
      <c r="V35" s="101">
        <v>1</v>
      </c>
      <c r="W35" s="101">
        <v>1</v>
      </c>
      <c r="X35" s="101">
        <v>1</v>
      </c>
      <c r="Y35" s="101">
        <v>1</v>
      </c>
      <c r="Z35" s="101">
        <v>1</v>
      </c>
      <c r="AA35" s="101">
        <v>1</v>
      </c>
      <c r="AB35" s="101">
        <v>1</v>
      </c>
      <c r="AC35" s="101">
        <v>1</v>
      </c>
      <c r="AD35" s="101">
        <v>1</v>
      </c>
      <c r="AE35" s="101">
        <v>1</v>
      </c>
      <c r="AF35" s="101">
        <v>1</v>
      </c>
      <c r="AG35" s="101">
        <v>1</v>
      </c>
      <c r="AH35" s="101">
        <v>1</v>
      </c>
      <c r="AI35" s="101">
        <v>1</v>
      </c>
      <c r="AJ35" s="101">
        <v>1</v>
      </c>
      <c r="AK35" s="101">
        <v>1</v>
      </c>
      <c r="AL35" s="101">
        <v>1</v>
      </c>
      <c r="AM35" s="101">
        <v>1</v>
      </c>
      <c r="AN35" s="101">
        <v>1</v>
      </c>
      <c r="AO35" s="101">
        <v>1</v>
      </c>
      <c r="AP35" s="101">
        <v>1</v>
      </c>
      <c r="AQ35" s="101">
        <v>1</v>
      </c>
      <c r="AR35" s="101">
        <v>1</v>
      </c>
      <c r="AS35" s="101">
        <v>1</v>
      </c>
      <c r="AT35" s="101">
        <v>1</v>
      </c>
      <c r="AU35" s="101">
        <v>1</v>
      </c>
      <c r="AV35" s="101">
        <v>1</v>
      </c>
      <c r="AW35" s="101">
        <v>1</v>
      </c>
      <c r="AX35" s="101">
        <v>1</v>
      </c>
      <c r="AY35" s="101">
        <v>1</v>
      </c>
      <c r="AZ35" s="101">
        <v>1</v>
      </c>
      <c r="BA35" s="101">
        <v>1</v>
      </c>
      <c r="BB35" s="101">
        <v>1</v>
      </c>
      <c r="BC35" s="101">
        <v>1</v>
      </c>
      <c r="BD35" s="101">
        <v>1</v>
      </c>
      <c r="BE35" s="101">
        <v>1</v>
      </c>
      <c r="BF35" s="101">
        <v>1</v>
      </c>
      <c r="BG35" s="101">
        <v>1</v>
      </c>
      <c r="BH35" s="101">
        <v>1</v>
      </c>
      <c r="BI35" s="101">
        <v>1</v>
      </c>
      <c r="BJ35" s="101">
        <v>1</v>
      </c>
      <c r="BK35" s="101">
        <v>1</v>
      </c>
      <c r="BL35" s="101">
        <v>1</v>
      </c>
      <c r="BM35" s="101">
        <v>1</v>
      </c>
      <c r="BN35" s="101">
        <v>1</v>
      </c>
      <c r="BO35" s="101">
        <v>1</v>
      </c>
      <c r="BP35" s="149">
        <v>1</v>
      </c>
    </row>
    <row r="36" spans="2:69" outlineLevel="1">
      <c r="C36" s="146" t="str">
        <v>Andrew Digital Commerce</v>
      </c>
      <c r="D36" s="150">
        <v>1</v>
      </c>
      <c r="E36" s="151">
        <v>1</v>
      </c>
      <c r="F36" s="109" t="s">
        <v>18</v>
      </c>
      <c r="G36" s="149">
        <v>0</v>
      </c>
      <c r="H36" s="101">
        <v>1</v>
      </c>
      <c r="I36" s="101">
        <v>1</v>
      </c>
      <c r="J36" s="101">
        <v>1</v>
      </c>
      <c r="K36" s="101">
        <v>1</v>
      </c>
      <c r="L36" s="101">
        <v>1</v>
      </c>
      <c r="M36" s="101">
        <v>1</v>
      </c>
      <c r="N36" s="101">
        <v>1</v>
      </c>
      <c r="O36" s="101">
        <v>1</v>
      </c>
      <c r="P36" s="101">
        <v>1</v>
      </c>
      <c r="Q36" s="101">
        <v>1</v>
      </c>
      <c r="R36" s="101">
        <v>1</v>
      </c>
      <c r="S36" s="101">
        <v>1</v>
      </c>
      <c r="T36" s="101">
        <v>1</v>
      </c>
      <c r="U36" s="101">
        <v>1</v>
      </c>
      <c r="V36" s="101">
        <v>1</v>
      </c>
      <c r="W36" s="101">
        <v>1</v>
      </c>
      <c r="X36" s="101">
        <v>1</v>
      </c>
      <c r="Y36" s="101">
        <v>1</v>
      </c>
      <c r="Z36" s="101">
        <v>1</v>
      </c>
      <c r="AA36" s="101">
        <v>1</v>
      </c>
      <c r="AB36" s="101">
        <v>1</v>
      </c>
      <c r="AC36" s="101">
        <v>1</v>
      </c>
      <c r="AD36" s="101">
        <v>1</v>
      </c>
      <c r="AE36" s="101">
        <v>1</v>
      </c>
      <c r="AF36" s="101">
        <v>1</v>
      </c>
      <c r="AG36" s="101">
        <v>1</v>
      </c>
      <c r="AH36" s="101">
        <v>1</v>
      </c>
      <c r="AI36" s="101">
        <v>1</v>
      </c>
      <c r="AJ36" s="101">
        <v>1</v>
      </c>
      <c r="AK36" s="101">
        <v>1</v>
      </c>
      <c r="AL36" s="101">
        <v>1</v>
      </c>
      <c r="AM36" s="101">
        <v>1</v>
      </c>
      <c r="AN36" s="101">
        <v>1</v>
      </c>
      <c r="AO36" s="101">
        <v>1</v>
      </c>
      <c r="AP36" s="101">
        <v>1</v>
      </c>
      <c r="AQ36" s="101">
        <v>1</v>
      </c>
      <c r="AR36" s="101">
        <v>1</v>
      </c>
      <c r="AS36" s="101">
        <v>1</v>
      </c>
      <c r="AT36" s="101">
        <v>1</v>
      </c>
      <c r="AU36" s="101">
        <v>1</v>
      </c>
      <c r="AV36" s="101">
        <v>1</v>
      </c>
      <c r="AW36" s="101">
        <v>1</v>
      </c>
      <c r="AX36" s="101">
        <v>1</v>
      </c>
      <c r="AY36" s="101">
        <v>1</v>
      </c>
      <c r="AZ36" s="101">
        <v>1</v>
      </c>
      <c r="BA36" s="101">
        <v>1</v>
      </c>
      <c r="BB36" s="101">
        <v>1</v>
      </c>
      <c r="BC36" s="101">
        <v>1</v>
      </c>
      <c r="BD36" s="101">
        <v>1</v>
      </c>
      <c r="BE36" s="101">
        <v>1</v>
      </c>
      <c r="BF36" s="101">
        <v>1</v>
      </c>
      <c r="BG36" s="101">
        <v>1</v>
      </c>
      <c r="BH36" s="101">
        <v>1</v>
      </c>
      <c r="BI36" s="101">
        <v>1</v>
      </c>
      <c r="BJ36" s="101">
        <v>1</v>
      </c>
      <c r="BK36" s="101">
        <v>1</v>
      </c>
      <c r="BL36" s="101">
        <v>1</v>
      </c>
      <c r="BM36" s="101">
        <v>1</v>
      </c>
      <c r="BN36" s="101">
        <v>1</v>
      </c>
      <c r="BO36" s="101">
        <v>1</v>
      </c>
      <c r="BP36" s="149">
        <v>1</v>
      </c>
    </row>
    <row r="37" spans="2:69" outlineLevel="1">
      <c r="C37" s="146" t="str">
        <v>Anup Industrial Systems</v>
      </c>
      <c r="D37" s="150">
        <v>1</v>
      </c>
      <c r="E37" s="151">
        <v>1</v>
      </c>
      <c r="F37" s="109" t="s">
        <v>18</v>
      </c>
      <c r="G37" s="149">
        <v>0</v>
      </c>
      <c r="H37" s="101">
        <v>1</v>
      </c>
      <c r="I37" s="101">
        <v>1</v>
      </c>
      <c r="J37" s="101">
        <v>1</v>
      </c>
      <c r="K37" s="101">
        <v>1</v>
      </c>
      <c r="L37" s="101">
        <v>1</v>
      </c>
      <c r="M37" s="101">
        <v>1</v>
      </c>
      <c r="N37" s="101">
        <v>1</v>
      </c>
      <c r="O37" s="101">
        <v>1</v>
      </c>
      <c r="P37" s="101">
        <v>1</v>
      </c>
      <c r="Q37" s="101">
        <v>1</v>
      </c>
      <c r="R37" s="101">
        <v>1</v>
      </c>
      <c r="S37" s="101">
        <v>1</v>
      </c>
      <c r="T37" s="101">
        <v>1</v>
      </c>
      <c r="U37" s="101">
        <v>1</v>
      </c>
      <c r="V37" s="101">
        <v>1</v>
      </c>
      <c r="W37" s="101">
        <v>1</v>
      </c>
      <c r="X37" s="101">
        <v>1</v>
      </c>
      <c r="Y37" s="101">
        <v>1</v>
      </c>
      <c r="Z37" s="101">
        <v>1</v>
      </c>
      <c r="AA37" s="101">
        <v>1</v>
      </c>
      <c r="AB37" s="101">
        <v>1</v>
      </c>
      <c r="AC37" s="101">
        <v>1</v>
      </c>
      <c r="AD37" s="101">
        <v>1</v>
      </c>
      <c r="AE37" s="101">
        <v>1</v>
      </c>
      <c r="AF37" s="101">
        <v>1</v>
      </c>
      <c r="AG37" s="101">
        <v>1</v>
      </c>
      <c r="AH37" s="101">
        <v>1</v>
      </c>
      <c r="AI37" s="101">
        <v>1</v>
      </c>
      <c r="AJ37" s="101">
        <v>1</v>
      </c>
      <c r="AK37" s="101">
        <v>1</v>
      </c>
      <c r="AL37" s="101">
        <v>1</v>
      </c>
      <c r="AM37" s="101">
        <v>1</v>
      </c>
      <c r="AN37" s="101">
        <v>1</v>
      </c>
      <c r="AO37" s="101">
        <v>1</v>
      </c>
      <c r="AP37" s="101">
        <v>1</v>
      </c>
      <c r="AQ37" s="101">
        <v>1</v>
      </c>
      <c r="AR37" s="101">
        <v>1</v>
      </c>
      <c r="AS37" s="101">
        <v>1</v>
      </c>
      <c r="AT37" s="101">
        <v>1</v>
      </c>
      <c r="AU37" s="101">
        <v>1</v>
      </c>
      <c r="AV37" s="101">
        <v>1</v>
      </c>
      <c r="AW37" s="101">
        <v>1</v>
      </c>
      <c r="AX37" s="101">
        <v>1</v>
      </c>
      <c r="AY37" s="101">
        <v>1</v>
      </c>
      <c r="AZ37" s="101">
        <v>1</v>
      </c>
      <c r="BA37" s="101">
        <v>1</v>
      </c>
      <c r="BB37" s="101">
        <v>1</v>
      </c>
      <c r="BC37" s="101">
        <v>1</v>
      </c>
      <c r="BD37" s="101">
        <v>1</v>
      </c>
      <c r="BE37" s="101">
        <v>1</v>
      </c>
      <c r="BF37" s="101">
        <v>1</v>
      </c>
      <c r="BG37" s="101">
        <v>1</v>
      </c>
      <c r="BH37" s="101">
        <v>1</v>
      </c>
      <c r="BI37" s="101">
        <v>1</v>
      </c>
      <c r="BJ37" s="101">
        <v>1</v>
      </c>
      <c r="BK37" s="101">
        <v>1</v>
      </c>
      <c r="BL37" s="101">
        <v>1</v>
      </c>
      <c r="BM37" s="101">
        <v>1</v>
      </c>
      <c r="BN37" s="101">
        <v>1</v>
      </c>
      <c r="BO37" s="101">
        <v>1</v>
      </c>
      <c r="BP37" s="149">
        <v>1</v>
      </c>
    </row>
    <row r="38" spans="2:69" outlineLevel="1">
      <c r="C38" s="146" t="str">
        <v>Joseph Retail Group</v>
      </c>
      <c r="D38" s="150">
        <v>1</v>
      </c>
      <c r="E38" s="151">
        <v>1</v>
      </c>
      <c r="F38" s="109" t="s">
        <v>18</v>
      </c>
      <c r="G38" s="149">
        <v>0</v>
      </c>
      <c r="H38" s="101">
        <v>1</v>
      </c>
      <c r="I38" s="101">
        <v>1</v>
      </c>
      <c r="J38" s="101">
        <v>1</v>
      </c>
      <c r="K38" s="101">
        <v>1</v>
      </c>
      <c r="L38" s="101">
        <v>1</v>
      </c>
      <c r="M38" s="101">
        <v>1</v>
      </c>
      <c r="N38" s="101">
        <v>1</v>
      </c>
      <c r="O38" s="101">
        <v>1</v>
      </c>
      <c r="P38" s="101">
        <v>1</v>
      </c>
      <c r="Q38" s="101">
        <v>1</v>
      </c>
      <c r="R38" s="101">
        <v>1</v>
      </c>
      <c r="S38" s="101">
        <v>1</v>
      </c>
      <c r="T38" s="101">
        <v>1</v>
      </c>
      <c r="U38" s="101">
        <v>1</v>
      </c>
      <c r="V38" s="101">
        <v>1</v>
      </c>
      <c r="W38" s="101">
        <v>1</v>
      </c>
      <c r="X38" s="101">
        <v>1</v>
      </c>
      <c r="Y38" s="101">
        <v>1</v>
      </c>
      <c r="Z38" s="101">
        <v>1</v>
      </c>
      <c r="AA38" s="101">
        <v>1</v>
      </c>
      <c r="AB38" s="101">
        <v>1</v>
      </c>
      <c r="AC38" s="101">
        <v>1</v>
      </c>
      <c r="AD38" s="101">
        <v>1</v>
      </c>
      <c r="AE38" s="101">
        <v>1</v>
      </c>
      <c r="AF38" s="101">
        <v>1</v>
      </c>
      <c r="AG38" s="101">
        <v>1</v>
      </c>
      <c r="AH38" s="101">
        <v>1</v>
      </c>
      <c r="AI38" s="101">
        <v>1</v>
      </c>
      <c r="AJ38" s="101">
        <v>1</v>
      </c>
      <c r="AK38" s="101">
        <v>1</v>
      </c>
      <c r="AL38" s="101">
        <v>1</v>
      </c>
      <c r="AM38" s="101">
        <v>1</v>
      </c>
      <c r="AN38" s="101">
        <v>1</v>
      </c>
      <c r="AO38" s="101">
        <v>1</v>
      </c>
      <c r="AP38" s="101">
        <v>1</v>
      </c>
      <c r="AQ38" s="101">
        <v>1</v>
      </c>
      <c r="AR38" s="101">
        <v>1</v>
      </c>
      <c r="AS38" s="101">
        <v>1</v>
      </c>
      <c r="AT38" s="101">
        <v>1</v>
      </c>
      <c r="AU38" s="101">
        <v>1</v>
      </c>
      <c r="AV38" s="101">
        <v>1</v>
      </c>
      <c r="AW38" s="101">
        <v>1</v>
      </c>
      <c r="AX38" s="101">
        <v>1</v>
      </c>
      <c r="AY38" s="101">
        <v>1</v>
      </c>
      <c r="AZ38" s="101">
        <v>1</v>
      </c>
      <c r="BA38" s="101">
        <v>1</v>
      </c>
      <c r="BB38" s="101">
        <v>1</v>
      </c>
      <c r="BC38" s="101">
        <v>1</v>
      </c>
      <c r="BD38" s="101">
        <v>1</v>
      </c>
      <c r="BE38" s="101">
        <v>1</v>
      </c>
      <c r="BF38" s="101">
        <v>1</v>
      </c>
      <c r="BG38" s="101">
        <v>1</v>
      </c>
      <c r="BH38" s="101">
        <v>1</v>
      </c>
      <c r="BI38" s="101">
        <v>1</v>
      </c>
      <c r="BJ38" s="101">
        <v>1</v>
      </c>
      <c r="BK38" s="101">
        <v>1</v>
      </c>
      <c r="BL38" s="101">
        <v>1</v>
      </c>
      <c r="BM38" s="101">
        <v>1</v>
      </c>
      <c r="BN38" s="101">
        <v>1</v>
      </c>
      <c r="BO38" s="101">
        <v>1</v>
      </c>
      <c r="BP38" s="149">
        <v>1</v>
      </c>
    </row>
    <row r="39" spans="2:69" outlineLevel="1">
      <c r="C39" s="146" t="str">
        <v>Dim Collective</v>
      </c>
      <c r="D39" s="150">
        <v>1</v>
      </c>
      <c r="E39" s="151">
        <v>1</v>
      </c>
      <c r="F39" s="109" t="s">
        <v>18</v>
      </c>
      <c r="G39" s="149">
        <v>0</v>
      </c>
      <c r="H39" s="101">
        <v>1</v>
      </c>
      <c r="I39" s="101">
        <v>1</v>
      </c>
      <c r="J39" s="101">
        <v>1</v>
      </c>
      <c r="K39" s="101">
        <v>1</v>
      </c>
      <c r="L39" s="101">
        <v>1</v>
      </c>
      <c r="M39" s="101">
        <v>1</v>
      </c>
      <c r="N39" s="101">
        <v>1</v>
      </c>
      <c r="O39" s="101">
        <v>1</v>
      </c>
      <c r="P39" s="101">
        <v>1</v>
      </c>
      <c r="Q39" s="101">
        <v>1</v>
      </c>
      <c r="R39" s="101">
        <v>1</v>
      </c>
      <c r="S39" s="101">
        <v>1</v>
      </c>
      <c r="T39" s="101">
        <v>1</v>
      </c>
      <c r="U39" s="101">
        <v>1</v>
      </c>
      <c r="V39" s="101">
        <v>1</v>
      </c>
      <c r="W39" s="101">
        <v>1</v>
      </c>
      <c r="X39" s="101">
        <v>1</v>
      </c>
      <c r="Y39" s="101">
        <v>1</v>
      </c>
      <c r="Z39" s="101">
        <v>1</v>
      </c>
      <c r="AA39" s="101">
        <v>1</v>
      </c>
      <c r="AB39" s="101">
        <v>1</v>
      </c>
      <c r="AC39" s="101">
        <v>1</v>
      </c>
      <c r="AD39" s="101">
        <v>1</v>
      </c>
      <c r="AE39" s="101">
        <v>1</v>
      </c>
      <c r="AF39" s="101">
        <v>1</v>
      </c>
      <c r="AG39" s="101">
        <v>1</v>
      </c>
      <c r="AH39" s="101">
        <v>1</v>
      </c>
      <c r="AI39" s="101">
        <v>1</v>
      </c>
      <c r="AJ39" s="101">
        <v>1</v>
      </c>
      <c r="AK39" s="101">
        <v>1</v>
      </c>
      <c r="AL39" s="101">
        <v>1</v>
      </c>
      <c r="AM39" s="101">
        <v>1</v>
      </c>
      <c r="AN39" s="101">
        <v>1</v>
      </c>
      <c r="AO39" s="101">
        <v>1</v>
      </c>
      <c r="AP39" s="101">
        <v>1</v>
      </c>
      <c r="AQ39" s="101">
        <v>1</v>
      </c>
      <c r="AR39" s="101">
        <v>1</v>
      </c>
      <c r="AS39" s="101">
        <v>1</v>
      </c>
      <c r="AT39" s="101">
        <v>1</v>
      </c>
      <c r="AU39" s="101">
        <v>1</v>
      </c>
      <c r="AV39" s="101">
        <v>1</v>
      </c>
      <c r="AW39" s="101">
        <v>1</v>
      </c>
      <c r="AX39" s="101">
        <v>1</v>
      </c>
      <c r="AY39" s="101">
        <v>1</v>
      </c>
      <c r="AZ39" s="101">
        <v>1</v>
      </c>
      <c r="BA39" s="101">
        <v>1</v>
      </c>
      <c r="BB39" s="101">
        <v>1</v>
      </c>
      <c r="BC39" s="101">
        <v>1</v>
      </c>
      <c r="BD39" s="101">
        <v>1</v>
      </c>
      <c r="BE39" s="101">
        <v>1</v>
      </c>
      <c r="BF39" s="101">
        <v>1</v>
      </c>
      <c r="BG39" s="101">
        <v>1</v>
      </c>
      <c r="BH39" s="101">
        <v>1</v>
      </c>
      <c r="BI39" s="101">
        <v>1</v>
      </c>
      <c r="BJ39" s="101">
        <v>1</v>
      </c>
      <c r="BK39" s="101">
        <v>1</v>
      </c>
      <c r="BL39" s="101">
        <v>1</v>
      </c>
      <c r="BM39" s="101">
        <v>1</v>
      </c>
      <c r="BN39" s="101">
        <v>1</v>
      </c>
      <c r="BO39" s="101">
        <v>1</v>
      </c>
      <c r="BP39" s="149">
        <v>1</v>
      </c>
    </row>
    <row r="40" spans="2:69" outlineLevel="1">
      <c r="C40" s="146" t="str">
        <v>Tim Forward Brands</v>
      </c>
      <c r="D40" s="152">
        <v>0</v>
      </c>
      <c r="E40" s="153">
        <v>37</v>
      </c>
      <c r="F40" s="109" t="s">
        <v>18</v>
      </c>
      <c r="G40" s="149">
        <v>0</v>
      </c>
      <c r="H40" s="101">
        <v>0</v>
      </c>
      <c r="I40" s="101">
        <v>0</v>
      </c>
      <c r="J40" s="101">
        <v>0</v>
      </c>
      <c r="K40" s="101">
        <v>0</v>
      </c>
      <c r="L40" s="101">
        <v>0</v>
      </c>
      <c r="M40" s="101">
        <v>0</v>
      </c>
      <c r="N40" s="101">
        <v>0</v>
      </c>
      <c r="O40" s="101">
        <v>0</v>
      </c>
      <c r="P40" s="101">
        <v>0</v>
      </c>
      <c r="Q40" s="101">
        <v>0</v>
      </c>
      <c r="R40" s="101">
        <v>0</v>
      </c>
      <c r="S40" s="101">
        <v>0</v>
      </c>
      <c r="T40" s="101">
        <v>0</v>
      </c>
      <c r="U40" s="101">
        <v>0</v>
      </c>
      <c r="V40" s="101">
        <v>0</v>
      </c>
      <c r="W40" s="101">
        <v>0</v>
      </c>
      <c r="X40" s="101">
        <v>0</v>
      </c>
      <c r="Y40" s="101">
        <v>0</v>
      </c>
      <c r="Z40" s="101">
        <v>0</v>
      </c>
      <c r="AA40" s="101">
        <v>0</v>
      </c>
      <c r="AB40" s="101">
        <v>0</v>
      </c>
      <c r="AC40" s="101">
        <v>0</v>
      </c>
      <c r="AD40" s="101">
        <v>0</v>
      </c>
      <c r="AE40" s="101">
        <v>0</v>
      </c>
      <c r="AF40" s="101">
        <v>0</v>
      </c>
      <c r="AG40" s="101">
        <v>0</v>
      </c>
      <c r="AH40" s="101">
        <v>0</v>
      </c>
      <c r="AI40" s="101">
        <v>0</v>
      </c>
      <c r="AJ40" s="101">
        <v>0</v>
      </c>
      <c r="AK40" s="101">
        <v>0</v>
      </c>
      <c r="AL40" s="101">
        <v>0</v>
      </c>
      <c r="AM40" s="101">
        <v>0</v>
      </c>
      <c r="AN40" s="101">
        <v>0</v>
      </c>
      <c r="AO40" s="101">
        <v>0</v>
      </c>
      <c r="AP40" s="101">
        <v>0</v>
      </c>
      <c r="AQ40" s="101">
        <v>0</v>
      </c>
      <c r="AR40" s="101">
        <v>0</v>
      </c>
      <c r="AS40" s="101">
        <v>0</v>
      </c>
      <c r="AT40" s="101">
        <v>0</v>
      </c>
      <c r="AU40" s="101">
        <v>0</v>
      </c>
      <c r="AV40" s="101">
        <v>0</v>
      </c>
      <c r="AW40" s="101">
        <v>0</v>
      </c>
      <c r="AX40" s="101">
        <v>0</v>
      </c>
      <c r="AY40" s="101">
        <v>0</v>
      </c>
      <c r="AZ40" s="101">
        <v>0</v>
      </c>
      <c r="BA40" s="101">
        <v>0</v>
      </c>
      <c r="BB40" s="101">
        <v>0</v>
      </c>
      <c r="BC40" s="101">
        <v>0</v>
      </c>
      <c r="BD40" s="101">
        <v>0</v>
      </c>
      <c r="BE40" s="101">
        <v>0</v>
      </c>
      <c r="BF40" s="101">
        <v>0</v>
      </c>
      <c r="BG40" s="101">
        <v>0</v>
      </c>
      <c r="BH40" s="101">
        <v>0</v>
      </c>
      <c r="BI40" s="101">
        <v>0</v>
      </c>
      <c r="BJ40" s="101">
        <v>0</v>
      </c>
      <c r="BK40" s="101">
        <v>0</v>
      </c>
      <c r="BL40" s="101">
        <v>0</v>
      </c>
      <c r="BM40" s="101">
        <v>0</v>
      </c>
      <c r="BN40" s="101">
        <v>0</v>
      </c>
      <c r="BO40" s="101">
        <v>0</v>
      </c>
      <c r="BP40" s="149">
        <v>0</v>
      </c>
    </row>
    <row r="41" spans="2:69" outlineLevel="1"/>
    <row r="42" spans="2:69" s="102" customFormat="1" ht="13.75" customHeight="1" thickBot="1">
      <c r="B42" s="138" t="s">
        <v>19</v>
      </c>
      <c r="C42" s="139"/>
      <c r="D42" s="139"/>
      <c r="E42" s="140"/>
      <c r="F42" s="141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39"/>
      <c r="BE42" s="139"/>
      <c r="BF42" s="139"/>
      <c r="BG42" s="139"/>
      <c r="BH42" s="139"/>
      <c r="BI42" s="139"/>
      <c r="BJ42" s="139"/>
      <c r="BK42" s="139"/>
      <c r="BL42" s="139"/>
      <c r="BM42" s="139"/>
      <c r="BN42" s="139"/>
      <c r="BO42" s="139"/>
      <c r="BP42" s="139"/>
    </row>
    <row r="43" spans="2:69" ht="12" customHeight="1" outlineLevel="1" thickTop="1"/>
    <row r="44" spans="2:69" s="111" customFormat="1" ht="12" customHeight="1" outlineLevel="1">
      <c r="B44" s="154" t="s">
        <v>20</v>
      </c>
      <c r="D44" s="112" t="str">
        <f>Assumptions!C24</f>
        <v>Segment</v>
      </c>
      <c r="E44" s="112"/>
      <c r="F44" s="113"/>
    </row>
    <row r="45" spans="2:69" outlineLevel="1">
      <c r="C45" s="101" t="str">
        <f t="array" ref="C45:C50">cust</f>
        <v>Michael’s Market Goods</v>
      </c>
      <c r="D45" s="155" t="str">
        <f t="array" ref="D45:D50">seg</f>
        <v>Retail</v>
      </c>
      <c r="F45" s="109" t="s">
        <v>21</v>
      </c>
      <c r="G45" s="156"/>
      <c r="H45" s="157">
        <f t="array" ref="H45:BP50">INDEX(Assumptions!$D$47:$F$58,Model!H9:BP9,_xlfn.XMATCH(_xlfn.ANCHORARRAY(D45),Assumptions!D46:F46))</f>
        <v>0.75</v>
      </c>
      <c r="I45" s="157">
        <v>0.8</v>
      </c>
      <c r="J45" s="157">
        <v>0.85</v>
      </c>
      <c r="K45" s="157">
        <v>0.95</v>
      </c>
      <c r="L45" s="157">
        <v>1.1000000000000001</v>
      </c>
      <c r="M45" s="157">
        <v>1.2</v>
      </c>
      <c r="N45" s="157">
        <v>0.9</v>
      </c>
      <c r="O45" s="157">
        <v>0.85</v>
      </c>
      <c r="P45" s="157">
        <v>1</v>
      </c>
      <c r="Q45" s="157">
        <v>1.05</v>
      </c>
      <c r="R45" s="157">
        <v>1.2</v>
      </c>
      <c r="S45" s="157">
        <v>1.35</v>
      </c>
      <c r="T45" s="157">
        <v>0.75</v>
      </c>
      <c r="U45" s="157">
        <v>0.8</v>
      </c>
      <c r="V45" s="157">
        <v>0.85</v>
      </c>
      <c r="W45" s="157">
        <v>0.95</v>
      </c>
      <c r="X45" s="157">
        <v>1.1000000000000001</v>
      </c>
      <c r="Y45" s="157">
        <v>1.2</v>
      </c>
      <c r="Z45" s="157">
        <v>0.9</v>
      </c>
      <c r="AA45" s="157">
        <v>0.85</v>
      </c>
      <c r="AB45" s="157">
        <v>1</v>
      </c>
      <c r="AC45" s="157">
        <v>1.05</v>
      </c>
      <c r="AD45" s="157">
        <v>1.2</v>
      </c>
      <c r="AE45" s="157">
        <v>1.35</v>
      </c>
      <c r="AF45" s="157">
        <v>0.75</v>
      </c>
      <c r="AG45" s="157">
        <v>0.8</v>
      </c>
      <c r="AH45" s="157">
        <v>0.85</v>
      </c>
      <c r="AI45" s="157">
        <v>0.95</v>
      </c>
      <c r="AJ45" s="157">
        <v>1.1000000000000001</v>
      </c>
      <c r="AK45" s="157">
        <v>1.2</v>
      </c>
      <c r="AL45" s="157">
        <v>0.9</v>
      </c>
      <c r="AM45" s="157">
        <v>0.85</v>
      </c>
      <c r="AN45" s="157">
        <v>1</v>
      </c>
      <c r="AO45" s="157">
        <v>1.05</v>
      </c>
      <c r="AP45" s="157">
        <v>1.2</v>
      </c>
      <c r="AQ45" s="157">
        <v>1.35</v>
      </c>
      <c r="AR45" s="157">
        <v>0.75</v>
      </c>
      <c r="AS45" s="157">
        <v>0.8</v>
      </c>
      <c r="AT45" s="157">
        <v>0.85</v>
      </c>
      <c r="AU45" s="157">
        <v>0.95</v>
      </c>
      <c r="AV45" s="157">
        <v>1.1000000000000001</v>
      </c>
      <c r="AW45" s="157">
        <v>1.2</v>
      </c>
      <c r="AX45" s="157">
        <v>0.9</v>
      </c>
      <c r="AY45" s="157">
        <v>0.85</v>
      </c>
      <c r="AZ45" s="157">
        <v>1</v>
      </c>
      <c r="BA45" s="157">
        <v>1.05</v>
      </c>
      <c r="BB45" s="157">
        <v>1.2</v>
      </c>
      <c r="BC45" s="157">
        <v>1.35</v>
      </c>
      <c r="BD45" s="157">
        <v>0.75</v>
      </c>
      <c r="BE45" s="157">
        <v>0.8</v>
      </c>
      <c r="BF45" s="157">
        <v>0.85</v>
      </c>
      <c r="BG45" s="157">
        <v>0.95</v>
      </c>
      <c r="BH45" s="157">
        <v>1.1000000000000001</v>
      </c>
      <c r="BI45" s="157">
        <v>1.2</v>
      </c>
      <c r="BJ45" s="157">
        <v>0.9</v>
      </c>
      <c r="BK45" s="157">
        <v>0.85</v>
      </c>
      <c r="BL45" s="157">
        <v>1</v>
      </c>
      <c r="BM45" s="157">
        <v>1.05</v>
      </c>
      <c r="BN45" s="157">
        <v>1.2</v>
      </c>
      <c r="BO45" s="157">
        <v>1.35</v>
      </c>
      <c r="BP45" s="156">
        <v>0.75</v>
      </c>
      <c r="BQ45" s="121"/>
    </row>
    <row r="46" spans="2:69" outlineLevel="1">
      <c r="C46" s="101" t="str">
        <v>Andrew Digital Commerce</v>
      </c>
      <c r="D46" s="158" t="str">
        <v>E-commerce</v>
      </c>
      <c r="F46" s="109" t="s">
        <v>21</v>
      </c>
      <c r="G46" s="156"/>
      <c r="H46" s="157">
        <v>0.75</v>
      </c>
      <c r="I46" s="157">
        <v>0.65</v>
      </c>
      <c r="J46" s="157">
        <v>0.7</v>
      </c>
      <c r="K46" s="157">
        <v>0.75</v>
      </c>
      <c r="L46" s="157">
        <v>0.70000000000000007</v>
      </c>
      <c r="M46" s="157">
        <v>0.75</v>
      </c>
      <c r="N46" s="157">
        <v>0.70000000000000007</v>
      </c>
      <c r="O46" s="157">
        <v>0.9</v>
      </c>
      <c r="P46" s="157">
        <v>1.05</v>
      </c>
      <c r="Q46" s="157">
        <v>1.1000000000000001</v>
      </c>
      <c r="R46" s="157">
        <v>1.75</v>
      </c>
      <c r="S46" s="157">
        <v>2.2000000000000002</v>
      </c>
      <c r="T46" s="157">
        <v>0.75</v>
      </c>
      <c r="U46" s="157">
        <v>0.65</v>
      </c>
      <c r="V46" s="157">
        <v>0.7</v>
      </c>
      <c r="W46" s="157">
        <v>0.75</v>
      </c>
      <c r="X46" s="157">
        <v>0.70000000000000007</v>
      </c>
      <c r="Y46" s="157">
        <v>0.75</v>
      </c>
      <c r="Z46" s="157">
        <v>0.70000000000000007</v>
      </c>
      <c r="AA46" s="157">
        <v>0.9</v>
      </c>
      <c r="AB46" s="157">
        <v>1.05</v>
      </c>
      <c r="AC46" s="157">
        <v>1.1000000000000001</v>
      </c>
      <c r="AD46" s="157">
        <v>1.75</v>
      </c>
      <c r="AE46" s="157">
        <v>2.2000000000000002</v>
      </c>
      <c r="AF46" s="157">
        <v>0.75</v>
      </c>
      <c r="AG46" s="157">
        <v>0.65</v>
      </c>
      <c r="AH46" s="157">
        <v>0.7</v>
      </c>
      <c r="AI46" s="157">
        <v>0.75</v>
      </c>
      <c r="AJ46" s="157">
        <v>0.70000000000000007</v>
      </c>
      <c r="AK46" s="157">
        <v>0.75</v>
      </c>
      <c r="AL46" s="157">
        <v>0.70000000000000007</v>
      </c>
      <c r="AM46" s="157">
        <v>0.9</v>
      </c>
      <c r="AN46" s="157">
        <v>1.05</v>
      </c>
      <c r="AO46" s="157">
        <v>1.1000000000000001</v>
      </c>
      <c r="AP46" s="157">
        <v>1.75</v>
      </c>
      <c r="AQ46" s="157">
        <v>2.2000000000000002</v>
      </c>
      <c r="AR46" s="157">
        <v>0.75</v>
      </c>
      <c r="AS46" s="157">
        <v>0.65</v>
      </c>
      <c r="AT46" s="157">
        <v>0.7</v>
      </c>
      <c r="AU46" s="157">
        <v>0.75</v>
      </c>
      <c r="AV46" s="157">
        <v>0.70000000000000007</v>
      </c>
      <c r="AW46" s="157">
        <v>0.75</v>
      </c>
      <c r="AX46" s="157">
        <v>0.70000000000000007</v>
      </c>
      <c r="AY46" s="157">
        <v>0.9</v>
      </c>
      <c r="AZ46" s="157">
        <v>1.05</v>
      </c>
      <c r="BA46" s="157">
        <v>1.1000000000000001</v>
      </c>
      <c r="BB46" s="157">
        <v>1.75</v>
      </c>
      <c r="BC46" s="157">
        <v>2.2000000000000002</v>
      </c>
      <c r="BD46" s="157">
        <v>0.75</v>
      </c>
      <c r="BE46" s="157">
        <v>0.65</v>
      </c>
      <c r="BF46" s="157">
        <v>0.7</v>
      </c>
      <c r="BG46" s="157">
        <v>0.75</v>
      </c>
      <c r="BH46" s="157">
        <v>0.70000000000000007</v>
      </c>
      <c r="BI46" s="157">
        <v>0.75</v>
      </c>
      <c r="BJ46" s="157">
        <v>0.70000000000000007</v>
      </c>
      <c r="BK46" s="157">
        <v>0.9</v>
      </c>
      <c r="BL46" s="157">
        <v>1.05</v>
      </c>
      <c r="BM46" s="157">
        <v>1.1000000000000001</v>
      </c>
      <c r="BN46" s="157">
        <v>1.75</v>
      </c>
      <c r="BO46" s="157">
        <v>2.2000000000000002</v>
      </c>
      <c r="BP46" s="156">
        <v>0.75</v>
      </c>
      <c r="BQ46" s="121"/>
    </row>
    <row r="47" spans="2:69" outlineLevel="1">
      <c r="C47" s="101" t="str">
        <v>Anup Industrial Systems</v>
      </c>
      <c r="D47" s="158" t="str">
        <v>Industrial</v>
      </c>
      <c r="F47" s="109" t="s">
        <v>21</v>
      </c>
      <c r="G47" s="156"/>
      <c r="H47" s="157">
        <v>0.95</v>
      </c>
      <c r="I47" s="157">
        <v>0.95</v>
      </c>
      <c r="J47" s="157">
        <v>1</v>
      </c>
      <c r="K47" s="157">
        <v>1</v>
      </c>
      <c r="L47" s="157">
        <v>1</v>
      </c>
      <c r="M47" s="157">
        <v>1</v>
      </c>
      <c r="N47" s="157">
        <v>0.95</v>
      </c>
      <c r="O47" s="157">
        <v>0.9</v>
      </c>
      <c r="P47" s="157">
        <v>1.1000000000000001</v>
      </c>
      <c r="Q47" s="157">
        <v>1.1000000000000001</v>
      </c>
      <c r="R47" s="157">
        <v>1.05</v>
      </c>
      <c r="S47" s="157">
        <v>1</v>
      </c>
      <c r="T47" s="157">
        <v>0.95</v>
      </c>
      <c r="U47" s="157">
        <v>0.95</v>
      </c>
      <c r="V47" s="157">
        <v>1</v>
      </c>
      <c r="W47" s="157">
        <v>1</v>
      </c>
      <c r="X47" s="157">
        <v>1</v>
      </c>
      <c r="Y47" s="157">
        <v>1</v>
      </c>
      <c r="Z47" s="157">
        <v>0.95</v>
      </c>
      <c r="AA47" s="157">
        <v>0.9</v>
      </c>
      <c r="AB47" s="157">
        <v>1.1000000000000001</v>
      </c>
      <c r="AC47" s="157">
        <v>1.1000000000000001</v>
      </c>
      <c r="AD47" s="157">
        <v>1.05</v>
      </c>
      <c r="AE47" s="157">
        <v>1</v>
      </c>
      <c r="AF47" s="157">
        <v>0.95</v>
      </c>
      <c r="AG47" s="157">
        <v>0.95</v>
      </c>
      <c r="AH47" s="157">
        <v>1</v>
      </c>
      <c r="AI47" s="157">
        <v>1</v>
      </c>
      <c r="AJ47" s="157">
        <v>1</v>
      </c>
      <c r="AK47" s="157">
        <v>1</v>
      </c>
      <c r="AL47" s="157">
        <v>0.95</v>
      </c>
      <c r="AM47" s="157">
        <v>0.9</v>
      </c>
      <c r="AN47" s="157">
        <v>1.1000000000000001</v>
      </c>
      <c r="AO47" s="157">
        <v>1.1000000000000001</v>
      </c>
      <c r="AP47" s="157">
        <v>1.05</v>
      </c>
      <c r="AQ47" s="157">
        <v>1</v>
      </c>
      <c r="AR47" s="157">
        <v>0.95</v>
      </c>
      <c r="AS47" s="157">
        <v>0.95</v>
      </c>
      <c r="AT47" s="157">
        <v>1</v>
      </c>
      <c r="AU47" s="157">
        <v>1</v>
      </c>
      <c r="AV47" s="157">
        <v>1</v>
      </c>
      <c r="AW47" s="157">
        <v>1</v>
      </c>
      <c r="AX47" s="157">
        <v>0.95</v>
      </c>
      <c r="AY47" s="157">
        <v>0.9</v>
      </c>
      <c r="AZ47" s="157">
        <v>1.1000000000000001</v>
      </c>
      <c r="BA47" s="157">
        <v>1.1000000000000001</v>
      </c>
      <c r="BB47" s="157">
        <v>1.05</v>
      </c>
      <c r="BC47" s="157">
        <v>1</v>
      </c>
      <c r="BD47" s="157">
        <v>0.95</v>
      </c>
      <c r="BE47" s="157">
        <v>0.95</v>
      </c>
      <c r="BF47" s="157">
        <v>1</v>
      </c>
      <c r="BG47" s="157">
        <v>1</v>
      </c>
      <c r="BH47" s="157">
        <v>1</v>
      </c>
      <c r="BI47" s="157">
        <v>1</v>
      </c>
      <c r="BJ47" s="157">
        <v>0.95</v>
      </c>
      <c r="BK47" s="157">
        <v>0.9</v>
      </c>
      <c r="BL47" s="157">
        <v>1.1000000000000001</v>
      </c>
      <c r="BM47" s="157">
        <v>1.1000000000000001</v>
      </c>
      <c r="BN47" s="157">
        <v>1.05</v>
      </c>
      <c r="BO47" s="157">
        <v>1</v>
      </c>
      <c r="BP47" s="156">
        <v>0.95</v>
      </c>
      <c r="BQ47" s="121"/>
    </row>
    <row r="48" spans="2:69" outlineLevel="1">
      <c r="C48" s="101" t="str">
        <v>Joseph Retail Group</v>
      </c>
      <c r="D48" s="158" t="str">
        <v>Retail</v>
      </c>
      <c r="F48" s="109" t="s">
        <v>21</v>
      </c>
      <c r="G48" s="156"/>
      <c r="H48" s="157">
        <v>0.75</v>
      </c>
      <c r="I48" s="157">
        <v>0.8</v>
      </c>
      <c r="J48" s="157">
        <v>0.85</v>
      </c>
      <c r="K48" s="157">
        <v>0.95</v>
      </c>
      <c r="L48" s="157">
        <v>1.1000000000000001</v>
      </c>
      <c r="M48" s="157">
        <v>1.2</v>
      </c>
      <c r="N48" s="157">
        <v>0.9</v>
      </c>
      <c r="O48" s="157">
        <v>0.85</v>
      </c>
      <c r="P48" s="157">
        <v>1</v>
      </c>
      <c r="Q48" s="157">
        <v>1.05</v>
      </c>
      <c r="R48" s="157">
        <v>1.2</v>
      </c>
      <c r="S48" s="157">
        <v>1.35</v>
      </c>
      <c r="T48" s="157">
        <v>0.75</v>
      </c>
      <c r="U48" s="157">
        <v>0.8</v>
      </c>
      <c r="V48" s="157">
        <v>0.85</v>
      </c>
      <c r="W48" s="157">
        <v>0.95</v>
      </c>
      <c r="X48" s="157">
        <v>1.1000000000000001</v>
      </c>
      <c r="Y48" s="157">
        <v>1.2</v>
      </c>
      <c r="Z48" s="157">
        <v>0.9</v>
      </c>
      <c r="AA48" s="157">
        <v>0.85</v>
      </c>
      <c r="AB48" s="157">
        <v>1</v>
      </c>
      <c r="AC48" s="157">
        <v>1.05</v>
      </c>
      <c r="AD48" s="157">
        <v>1.2</v>
      </c>
      <c r="AE48" s="157">
        <v>1.35</v>
      </c>
      <c r="AF48" s="157">
        <v>0.75</v>
      </c>
      <c r="AG48" s="157">
        <v>0.8</v>
      </c>
      <c r="AH48" s="157">
        <v>0.85</v>
      </c>
      <c r="AI48" s="157">
        <v>0.95</v>
      </c>
      <c r="AJ48" s="157">
        <v>1.1000000000000001</v>
      </c>
      <c r="AK48" s="157">
        <v>1.2</v>
      </c>
      <c r="AL48" s="157">
        <v>0.9</v>
      </c>
      <c r="AM48" s="157">
        <v>0.85</v>
      </c>
      <c r="AN48" s="157">
        <v>1</v>
      </c>
      <c r="AO48" s="157">
        <v>1.05</v>
      </c>
      <c r="AP48" s="157">
        <v>1.2</v>
      </c>
      <c r="AQ48" s="157">
        <v>1.35</v>
      </c>
      <c r="AR48" s="157">
        <v>0.75</v>
      </c>
      <c r="AS48" s="157">
        <v>0.8</v>
      </c>
      <c r="AT48" s="157">
        <v>0.85</v>
      </c>
      <c r="AU48" s="157">
        <v>0.95</v>
      </c>
      <c r="AV48" s="157">
        <v>1.1000000000000001</v>
      </c>
      <c r="AW48" s="157">
        <v>1.2</v>
      </c>
      <c r="AX48" s="157">
        <v>0.9</v>
      </c>
      <c r="AY48" s="157">
        <v>0.85</v>
      </c>
      <c r="AZ48" s="157">
        <v>1</v>
      </c>
      <c r="BA48" s="157">
        <v>1.05</v>
      </c>
      <c r="BB48" s="157">
        <v>1.2</v>
      </c>
      <c r="BC48" s="157">
        <v>1.35</v>
      </c>
      <c r="BD48" s="157">
        <v>0.75</v>
      </c>
      <c r="BE48" s="157">
        <v>0.8</v>
      </c>
      <c r="BF48" s="157">
        <v>0.85</v>
      </c>
      <c r="BG48" s="157">
        <v>0.95</v>
      </c>
      <c r="BH48" s="157">
        <v>1.1000000000000001</v>
      </c>
      <c r="BI48" s="157">
        <v>1.2</v>
      </c>
      <c r="BJ48" s="157">
        <v>0.9</v>
      </c>
      <c r="BK48" s="157">
        <v>0.85</v>
      </c>
      <c r="BL48" s="157">
        <v>1</v>
      </c>
      <c r="BM48" s="157">
        <v>1.05</v>
      </c>
      <c r="BN48" s="157">
        <v>1.2</v>
      </c>
      <c r="BO48" s="157">
        <v>1.35</v>
      </c>
      <c r="BP48" s="156">
        <v>0.75</v>
      </c>
      <c r="BQ48" s="121"/>
    </row>
    <row r="49" spans="2:69" outlineLevel="1">
      <c r="C49" s="101" t="str">
        <v>Dim Collective</v>
      </c>
      <c r="D49" s="158" t="str">
        <v>Retail</v>
      </c>
      <c r="F49" s="109" t="s">
        <v>21</v>
      </c>
      <c r="G49" s="156"/>
      <c r="H49" s="157">
        <v>0.75</v>
      </c>
      <c r="I49" s="157">
        <v>0.8</v>
      </c>
      <c r="J49" s="157">
        <v>0.85</v>
      </c>
      <c r="K49" s="157">
        <v>0.95</v>
      </c>
      <c r="L49" s="157">
        <v>1.1000000000000001</v>
      </c>
      <c r="M49" s="157">
        <v>1.2</v>
      </c>
      <c r="N49" s="157">
        <v>0.9</v>
      </c>
      <c r="O49" s="157">
        <v>0.85</v>
      </c>
      <c r="P49" s="157">
        <v>1</v>
      </c>
      <c r="Q49" s="157">
        <v>1.05</v>
      </c>
      <c r="R49" s="157">
        <v>1.2</v>
      </c>
      <c r="S49" s="157">
        <v>1.35</v>
      </c>
      <c r="T49" s="157">
        <v>0.75</v>
      </c>
      <c r="U49" s="157">
        <v>0.8</v>
      </c>
      <c r="V49" s="157">
        <v>0.85</v>
      </c>
      <c r="W49" s="157">
        <v>0.95</v>
      </c>
      <c r="X49" s="157">
        <v>1.1000000000000001</v>
      </c>
      <c r="Y49" s="157">
        <v>1.2</v>
      </c>
      <c r="Z49" s="157">
        <v>0.9</v>
      </c>
      <c r="AA49" s="157">
        <v>0.85</v>
      </c>
      <c r="AB49" s="157">
        <v>1</v>
      </c>
      <c r="AC49" s="157">
        <v>1.05</v>
      </c>
      <c r="AD49" s="157">
        <v>1.2</v>
      </c>
      <c r="AE49" s="157">
        <v>1.35</v>
      </c>
      <c r="AF49" s="157">
        <v>0.75</v>
      </c>
      <c r="AG49" s="157">
        <v>0.8</v>
      </c>
      <c r="AH49" s="157">
        <v>0.85</v>
      </c>
      <c r="AI49" s="157">
        <v>0.95</v>
      </c>
      <c r="AJ49" s="157">
        <v>1.1000000000000001</v>
      </c>
      <c r="AK49" s="157">
        <v>1.2</v>
      </c>
      <c r="AL49" s="157">
        <v>0.9</v>
      </c>
      <c r="AM49" s="157">
        <v>0.85</v>
      </c>
      <c r="AN49" s="157">
        <v>1</v>
      </c>
      <c r="AO49" s="157">
        <v>1.05</v>
      </c>
      <c r="AP49" s="157">
        <v>1.2</v>
      </c>
      <c r="AQ49" s="157">
        <v>1.35</v>
      </c>
      <c r="AR49" s="157">
        <v>0.75</v>
      </c>
      <c r="AS49" s="157">
        <v>0.8</v>
      </c>
      <c r="AT49" s="157">
        <v>0.85</v>
      </c>
      <c r="AU49" s="157">
        <v>0.95</v>
      </c>
      <c r="AV49" s="157">
        <v>1.1000000000000001</v>
      </c>
      <c r="AW49" s="157">
        <v>1.2</v>
      </c>
      <c r="AX49" s="157">
        <v>0.9</v>
      </c>
      <c r="AY49" s="157">
        <v>0.85</v>
      </c>
      <c r="AZ49" s="157">
        <v>1</v>
      </c>
      <c r="BA49" s="157">
        <v>1.05</v>
      </c>
      <c r="BB49" s="157">
        <v>1.2</v>
      </c>
      <c r="BC49" s="157">
        <v>1.35</v>
      </c>
      <c r="BD49" s="157">
        <v>0.75</v>
      </c>
      <c r="BE49" s="157">
        <v>0.8</v>
      </c>
      <c r="BF49" s="157">
        <v>0.85</v>
      </c>
      <c r="BG49" s="157">
        <v>0.95</v>
      </c>
      <c r="BH49" s="157">
        <v>1.1000000000000001</v>
      </c>
      <c r="BI49" s="157">
        <v>1.2</v>
      </c>
      <c r="BJ49" s="157">
        <v>0.9</v>
      </c>
      <c r="BK49" s="157">
        <v>0.85</v>
      </c>
      <c r="BL49" s="157">
        <v>1</v>
      </c>
      <c r="BM49" s="157">
        <v>1.05</v>
      </c>
      <c r="BN49" s="157">
        <v>1.2</v>
      </c>
      <c r="BO49" s="157">
        <v>1.35</v>
      </c>
      <c r="BP49" s="156">
        <v>0.75</v>
      </c>
      <c r="BQ49" s="121"/>
    </row>
    <row r="50" spans="2:69" outlineLevel="1">
      <c r="C50" s="101" t="str">
        <v>Tim Forward Brands</v>
      </c>
      <c r="D50" s="159" t="str">
        <v>Retail</v>
      </c>
      <c r="F50" s="109" t="s">
        <v>21</v>
      </c>
      <c r="G50" s="156"/>
      <c r="H50" s="157">
        <v>0.75</v>
      </c>
      <c r="I50" s="157">
        <v>0.8</v>
      </c>
      <c r="J50" s="157">
        <v>0.85</v>
      </c>
      <c r="K50" s="157">
        <v>0.95</v>
      </c>
      <c r="L50" s="157">
        <v>1.1000000000000001</v>
      </c>
      <c r="M50" s="157">
        <v>1.2</v>
      </c>
      <c r="N50" s="157">
        <v>0.9</v>
      </c>
      <c r="O50" s="157">
        <v>0.85</v>
      </c>
      <c r="P50" s="157">
        <v>1</v>
      </c>
      <c r="Q50" s="157">
        <v>1.05</v>
      </c>
      <c r="R50" s="157">
        <v>1.2</v>
      </c>
      <c r="S50" s="157">
        <v>1.35</v>
      </c>
      <c r="T50" s="157">
        <v>0.75</v>
      </c>
      <c r="U50" s="157">
        <v>0.8</v>
      </c>
      <c r="V50" s="157">
        <v>0.85</v>
      </c>
      <c r="W50" s="157">
        <v>0.95</v>
      </c>
      <c r="X50" s="157">
        <v>1.1000000000000001</v>
      </c>
      <c r="Y50" s="157">
        <v>1.2</v>
      </c>
      <c r="Z50" s="157">
        <v>0.9</v>
      </c>
      <c r="AA50" s="157">
        <v>0.85</v>
      </c>
      <c r="AB50" s="157">
        <v>1</v>
      </c>
      <c r="AC50" s="157">
        <v>1.05</v>
      </c>
      <c r="AD50" s="157">
        <v>1.2</v>
      </c>
      <c r="AE50" s="157">
        <v>1.35</v>
      </c>
      <c r="AF50" s="157">
        <v>0.75</v>
      </c>
      <c r="AG50" s="157">
        <v>0.8</v>
      </c>
      <c r="AH50" s="157">
        <v>0.85</v>
      </c>
      <c r="AI50" s="157">
        <v>0.95</v>
      </c>
      <c r="AJ50" s="157">
        <v>1.1000000000000001</v>
      </c>
      <c r="AK50" s="157">
        <v>1.2</v>
      </c>
      <c r="AL50" s="157">
        <v>0.9</v>
      </c>
      <c r="AM50" s="157">
        <v>0.85</v>
      </c>
      <c r="AN50" s="157">
        <v>1</v>
      </c>
      <c r="AO50" s="157">
        <v>1.05</v>
      </c>
      <c r="AP50" s="157">
        <v>1.2</v>
      </c>
      <c r="AQ50" s="157">
        <v>1.35</v>
      </c>
      <c r="AR50" s="157">
        <v>0.75</v>
      </c>
      <c r="AS50" s="157">
        <v>0.8</v>
      </c>
      <c r="AT50" s="157">
        <v>0.85</v>
      </c>
      <c r="AU50" s="157">
        <v>0.95</v>
      </c>
      <c r="AV50" s="157">
        <v>1.1000000000000001</v>
      </c>
      <c r="AW50" s="157">
        <v>1.2</v>
      </c>
      <c r="AX50" s="157">
        <v>0.9</v>
      </c>
      <c r="AY50" s="157">
        <v>0.85</v>
      </c>
      <c r="AZ50" s="157">
        <v>1</v>
      </c>
      <c r="BA50" s="157">
        <v>1.05</v>
      </c>
      <c r="BB50" s="157">
        <v>1.2</v>
      </c>
      <c r="BC50" s="157">
        <v>1.35</v>
      </c>
      <c r="BD50" s="157">
        <v>0.75</v>
      </c>
      <c r="BE50" s="157">
        <v>0.8</v>
      </c>
      <c r="BF50" s="157">
        <v>0.85</v>
      </c>
      <c r="BG50" s="157">
        <v>0.95</v>
      </c>
      <c r="BH50" s="157">
        <v>1.1000000000000001</v>
      </c>
      <c r="BI50" s="157">
        <v>1.2</v>
      </c>
      <c r="BJ50" s="157">
        <v>0.9</v>
      </c>
      <c r="BK50" s="157">
        <v>0.85</v>
      </c>
      <c r="BL50" s="157">
        <v>1</v>
      </c>
      <c r="BM50" s="157">
        <v>1.05</v>
      </c>
      <c r="BN50" s="157">
        <v>1.2</v>
      </c>
      <c r="BO50" s="157">
        <v>1.35</v>
      </c>
      <c r="BP50" s="156">
        <v>0.75</v>
      </c>
      <c r="BQ50" s="121"/>
    </row>
    <row r="51" spans="2:69" outlineLevel="1"/>
    <row r="52" spans="2:69" ht="12" customHeight="1" outlineLevel="1">
      <c r="B52" s="154" t="s">
        <v>22</v>
      </c>
    </row>
    <row r="53" spans="2:69" outlineLevel="1">
      <c r="C53" s="101" t="str">
        <f t="array" ref="C53:C58">cust</f>
        <v>Michael’s Market Goods</v>
      </c>
      <c r="F53" s="109" t="s">
        <v>21</v>
      </c>
      <c r="G53" s="156"/>
      <c r="H53" s="157">
        <f t="array" ref="H53:BP58">INDEX(Assumptions!D36:H41,_xlfn.XMATCH(_xlfn.ANCHORARRAY(Model!C53),Assumptions!B36:B41),_xlfn.XMATCH(Model!H10:BP10-Model!G10,Assumptions!D35:H35,-1))</f>
        <v>7.0000000000000007E-2</v>
      </c>
      <c r="I53" s="157">
        <v>7.0000000000000007E-2</v>
      </c>
      <c r="J53" s="157">
        <v>7.0000000000000007E-2</v>
      </c>
      <c r="K53" s="157">
        <v>7.0000000000000007E-2</v>
      </c>
      <c r="L53" s="157">
        <v>7.0000000000000007E-2</v>
      </c>
      <c r="M53" s="157">
        <v>7.0000000000000007E-2</v>
      </c>
      <c r="N53" s="157">
        <v>7.0000000000000007E-2</v>
      </c>
      <c r="O53" s="157">
        <v>7.0000000000000007E-2</v>
      </c>
      <c r="P53" s="157">
        <v>7.0000000000000007E-2</v>
      </c>
      <c r="Q53" s="157">
        <v>7.0000000000000007E-2</v>
      </c>
      <c r="R53" s="157">
        <v>7.0000000000000007E-2</v>
      </c>
      <c r="S53" s="157">
        <v>7.0000000000000007E-2</v>
      </c>
      <c r="T53" s="157">
        <v>0.05</v>
      </c>
      <c r="U53" s="157">
        <v>0.05</v>
      </c>
      <c r="V53" s="157">
        <v>0.05</v>
      </c>
      <c r="W53" s="157">
        <v>0.05</v>
      </c>
      <c r="X53" s="157">
        <v>0.05</v>
      </c>
      <c r="Y53" s="157">
        <v>0.05</v>
      </c>
      <c r="Z53" s="157">
        <v>0.05</v>
      </c>
      <c r="AA53" s="157">
        <v>0.05</v>
      </c>
      <c r="AB53" s="157">
        <v>0.05</v>
      </c>
      <c r="AC53" s="157">
        <v>0.05</v>
      </c>
      <c r="AD53" s="157">
        <v>0.05</v>
      </c>
      <c r="AE53" s="157">
        <v>0.05</v>
      </c>
      <c r="AF53" s="157">
        <v>0.05</v>
      </c>
      <c r="AG53" s="157">
        <v>0.05</v>
      </c>
      <c r="AH53" s="157">
        <v>0.05</v>
      </c>
      <c r="AI53" s="157">
        <v>0.05</v>
      </c>
      <c r="AJ53" s="157">
        <v>0.05</v>
      </c>
      <c r="AK53" s="157">
        <v>0.05</v>
      </c>
      <c r="AL53" s="157">
        <v>0.05</v>
      </c>
      <c r="AM53" s="157">
        <v>0.05</v>
      </c>
      <c r="AN53" s="157">
        <v>0.05</v>
      </c>
      <c r="AO53" s="157">
        <v>0.05</v>
      </c>
      <c r="AP53" s="157">
        <v>0.05</v>
      </c>
      <c r="AQ53" s="157">
        <v>0.05</v>
      </c>
      <c r="AR53" s="157">
        <v>0.03</v>
      </c>
      <c r="AS53" s="157">
        <v>0.03</v>
      </c>
      <c r="AT53" s="157">
        <v>0.03</v>
      </c>
      <c r="AU53" s="157">
        <v>0.03</v>
      </c>
      <c r="AV53" s="157">
        <v>0.03</v>
      </c>
      <c r="AW53" s="157">
        <v>0.03</v>
      </c>
      <c r="AX53" s="157">
        <v>0.03</v>
      </c>
      <c r="AY53" s="157">
        <v>0.03</v>
      </c>
      <c r="AZ53" s="157">
        <v>0.03</v>
      </c>
      <c r="BA53" s="157">
        <v>0.03</v>
      </c>
      <c r="BB53" s="157">
        <v>0.03</v>
      </c>
      <c r="BC53" s="157">
        <v>0.03</v>
      </c>
      <c r="BD53" s="157">
        <v>0.02</v>
      </c>
      <c r="BE53" s="157">
        <v>0.02</v>
      </c>
      <c r="BF53" s="157">
        <v>0.02</v>
      </c>
      <c r="BG53" s="157">
        <v>0.02</v>
      </c>
      <c r="BH53" s="157">
        <v>0.02</v>
      </c>
      <c r="BI53" s="157">
        <v>0.02</v>
      </c>
      <c r="BJ53" s="157">
        <v>0.02</v>
      </c>
      <c r="BK53" s="157">
        <v>0.02</v>
      </c>
      <c r="BL53" s="157">
        <v>0.02</v>
      </c>
      <c r="BM53" s="157">
        <v>0.02</v>
      </c>
      <c r="BN53" s="157">
        <v>0.02</v>
      </c>
      <c r="BO53" s="157">
        <v>0.02</v>
      </c>
      <c r="BP53" s="156">
        <v>0.02</v>
      </c>
    </row>
    <row r="54" spans="2:69" outlineLevel="1">
      <c r="C54" s="101" t="str">
        <v>Andrew Digital Commerce</v>
      </c>
      <c r="F54" s="109" t="s">
        <v>21</v>
      </c>
      <c r="G54" s="156"/>
      <c r="H54" s="157">
        <v>0.12</v>
      </c>
      <c r="I54" s="157">
        <v>0.12</v>
      </c>
      <c r="J54" s="157">
        <v>0.12</v>
      </c>
      <c r="K54" s="157">
        <v>0.12</v>
      </c>
      <c r="L54" s="157">
        <v>0.12</v>
      </c>
      <c r="M54" s="157">
        <v>0.12</v>
      </c>
      <c r="N54" s="157">
        <v>0.12</v>
      </c>
      <c r="O54" s="157">
        <v>0.12</v>
      </c>
      <c r="P54" s="157">
        <v>0.12</v>
      </c>
      <c r="Q54" s="157">
        <v>0.12</v>
      </c>
      <c r="R54" s="157">
        <v>0.12</v>
      </c>
      <c r="S54" s="157">
        <v>0.12</v>
      </c>
      <c r="T54" s="157">
        <v>0.06</v>
      </c>
      <c r="U54" s="157">
        <v>0.06</v>
      </c>
      <c r="V54" s="157">
        <v>0.06</v>
      </c>
      <c r="W54" s="157">
        <v>0.06</v>
      </c>
      <c r="X54" s="157">
        <v>0.06</v>
      </c>
      <c r="Y54" s="157">
        <v>0.06</v>
      </c>
      <c r="Z54" s="157">
        <v>0.06</v>
      </c>
      <c r="AA54" s="157">
        <v>0.06</v>
      </c>
      <c r="AB54" s="157">
        <v>0.06</v>
      </c>
      <c r="AC54" s="157">
        <v>0.06</v>
      </c>
      <c r="AD54" s="157">
        <v>0.06</v>
      </c>
      <c r="AE54" s="157">
        <v>0.06</v>
      </c>
      <c r="AF54" s="157">
        <v>0.02</v>
      </c>
      <c r="AG54" s="157">
        <v>0.02</v>
      </c>
      <c r="AH54" s="157">
        <v>0.02</v>
      </c>
      <c r="AI54" s="157">
        <v>0.02</v>
      </c>
      <c r="AJ54" s="157">
        <v>0.02</v>
      </c>
      <c r="AK54" s="157">
        <v>0.02</v>
      </c>
      <c r="AL54" s="157">
        <v>0.02</v>
      </c>
      <c r="AM54" s="157">
        <v>0.02</v>
      </c>
      <c r="AN54" s="157">
        <v>0.02</v>
      </c>
      <c r="AO54" s="157">
        <v>0.02</v>
      </c>
      <c r="AP54" s="157">
        <v>0.02</v>
      </c>
      <c r="AQ54" s="157">
        <v>0.02</v>
      </c>
      <c r="AR54" s="157">
        <v>0</v>
      </c>
      <c r="AS54" s="157">
        <v>0</v>
      </c>
      <c r="AT54" s="157">
        <v>0</v>
      </c>
      <c r="AU54" s="157">
        <v>0</v>
      </c>
      <c r="AV54" s="157">
        <v>0</v>
      </c>
      <c r="AW54" s="157">
        <v>0</v>
      </c>
      <c r="AX54" s="157">
        <v>0</v>
      </c>
      <c r="AY54" s="157">
        <v>0</v>
      </c>
      <c r="AZ54" s="157">
        <v>0</v>
      </c>
      <c r="BA54" s="157">
        <v>0</v>
      </c>
      <c r="BB54" s="157">
        <v>0</v>
      </c>
      <c r="BC54" s="157">
        <v>0</v>
      </c>
      <c r="BD54" s="157">
        <v>0</v>
      </c>
      <c r="BE54" s="157">
        <v>0</v>
      </c>
      <c r="BF54" s="157">
        <v>0</v>
      </c>
      <c r="BG54" s="157">
        <v>0</v>
      </c>
      <c r="BH54" s="157">
        <v>0</v>
      </c>
      <c r="BI54" s="157">
        <v>0</v>
      </c>
      <c r="BJ54" s="157">
        <v>0</v>
      </c>
      <c r="BK54" s="157">
        <v>0</v>
      </c>
      <c r="BL54" s="157">
        <v>0</v>
      </c>
      <c r="BM54" s="157">
        <v>0</v>
      </c>
      <c r="BN54" s="157">
        <v>0</v>
      </c>
      <c r="BO54" s="157">
        <v>0</v>
      </c>
      <c r="BP54" s="156">
        <v>0</v>
      </c>
    </row>
    <row r="55" spans="2:69" outlineLevel="1">
      <c r="C55" s="101" t="str">
        <v>Anup Industrial Systems</v>
      </c>
      <c r="F55" s="109" t="s">
        <v>21</v>
      </c>
      <c r="G55" s="156"/>
      <c r="H55" s="157">
        <v>0.01</v>
      </c>
      <c r="I55" s="157">
        <v>0.01</v>
      </c>
      <c r="J55" s="157">
        <v>0.01</v>
      </c>
      <c r="K55" s="157">
        <v>0.01</v>
      </c>
      <c r="L55" s="157">
        <v>0.01</v>
      </c>
      <c r="M55" s="157">
        <v>0.01</v>
      </c>
      <c r="N55" s="157">
        <v>0.01</v>
      </c>
      <c r="O55" s="157">
        <v>0.01</v>
      </c>
      <c r="P55" s="157">
        <v>0.01</v>
      </c>
      <c r="Q55" s="157">
        <v>0.01</v>
      </c>
      <c r="R55" s="157">
        <v>0.01</v>
      </c>
      <c r="S55" s="157">
        <v>0.01</v>
      </c>
      <c r="T55" s="157">
        <v>5.0000000000000001E-3</v>
      </c>
      <c r="U55" s="157">
        <v>5.0000000000000001E-3</v>
      </c>
      <c r="V55" s="157">
        <v>5.0000000000000001E-3</v>
      </c>
      <c r="W55" s="157">
        <v>5.0000000000000001E-3</v>
      </c>
      <c r="X55" s="157">
        <v>5.0000000000000001E-3</v>
      </c>
      <c r="Y55" s="157">
        <v>5.0000000000000001E-3</v>
      </c>
      <c r="Z55" s="157">
        <v>5.0000000000000001E-3</v>
      </c>
      <c r="AA55" s="157">
        <v>5.0000000000000001E-3</v>
      </c>
      <c r="AB55" s="157">
        <v>5.0000000000000001E-3</v>
      </c>
      <c r="AC55" s="157">
        <v>5.0000000000000001E-3</v>
      </c>
      <c r="AD55" s="157">
        <v>5.0000000000000001E-3</v>
      </c>
      <c r="AE55" s="157">
        <v>5.0000000000000001E-3</v>
      </c>
      <c r="AF55" s="157">
        <v>0</v>
      </c>
      <c r="AG55" s="157">
        <v>0</v>
      </c>
      <c r="AH55" s="157">
        <v>0</v>
      </c>
      <c r="AI55" s="157">
        <v>0</v>
      </c>
      <c r="AJ55" s="157">
        <v>0</v>
      </c>
      <c r="AK55" s="157">
        <v>0</v>
      </c>
      <c r="AL55" s="157">
        <v>0</v>
      </c>
      <c r="AM55" s="157">
        <v>0</v>
      </c>
      <c r="AN55" s="157">
        <v>0</v>
      </c>
      <c r="AO55" s="157">
        <v>0</v>
      </c>
      <c r="AP55" s="157">
        <v>0</v>
      </c>
      <c r="AQ55" s="157">
        <v>0</v>
      </c>
      <c r="AR55" s="157">
        <v>-0.01</v>
      </c>
      <c r="AS55" s="157">
        <v>-0.01</v>
      </c>
      <c r="AT55" s="157">
        <v>-0.01</v>
      </c>
      <c r="AU55" s="157">
        <v>-0.01</v>
      </c>
      <c r="AV55" s="157">
        <v>-0.01</v>
      </c>
      <c r="AW55" s="157">
        <v>-0.01</v>
      </c>
      <c r="AX55" s="157">
        <v>-0.01</v>
      </c>
      <c r="AY55" s="157">
        <v>-0.01</v>
      </c>
      <c r="AZ55" s="157">
        <v>-0.01</v>
      </c>
      <c r="BA55" s="157">
        <v>-0.01</v>
      </c>
      <c r="BB55" s="157">
        <v>-0.01</v>
      </c>
      <c r="BC55" s="157">
        <v>-0.01</v>
      </c>
      <c r="BD55" s="157">
        <v>-1.4999999999999999E-2</v>
      </c>
      <c r="BE55" s="157">
        <v>-1.4999999999999999E-2</v>
      </c>
      <c r="BF55" s="157">
        <v>-1.4999999999999999E-2</v>
      </c>
      <c r="BG55" s="157">
        <v>-1.4999999999999999E-2</v>
      </c>
      <c r="BH55" s="157">
        <v>-1.4999999999999999E-2</v>
      </c>
      <c r="BI55" s="157">
        <v>-1.4999999999999999E-2</v>
      </c>
      <c r="BJ55" s="157">
        <v>-1.4999999999999999E-2</v>
      </c>
      <c r="BK55" s="157">
        <v>-1.4999999999999999E-2</v>
      </c>
      <c r="BL55" s="157">
        <v>-1.4999999999999999E-2</v>
      </c>
      <c r="BM55" s="157">
        <v>-1.4999999999999999E-2</v>
      </c>
      <c r="BN55" s="157">
        <v>-1.4999999999999999E-2</v>
      </c>
      <c r="BO55" s="157">
        <v>-1.4999999999999999E-2</v>
      </c>
      <c r="BP55" s="156">
        <v>-1.4999999999999999E-2</v>
      </c>
    </row>
    <row r="56" spans="2:69" outlineLevel="1">
      <c r="C56" s="101" t="str">
        <v>Joseph Retail Group</v>
      </c>
      <c r="F56" s="109" t="s">
        <v>21</v>
      </c>
      <c r="G56" s="156"/>
      <c r="H56" s="157">
        <v>-0.08</v>
      </c>
      <c r="I56" s="157">
        <v>-0.08</v>
      </c>
      <c r="J56" s="157">
        <v>-0.08</v>
      </c>
      <c r="K56" s="157">
        <v>-0.08</v>
      </c>
      <c r="L56" s="157">
        <v>-0.08</v>
      </c>
      <c r="M56" s="157">
        <v>-0.08</v>
      </c>
      <c r="N56" s="157">
        <v>-0.08</v>
      </c>
      <c r="O56" s="157">
        <v>-0.08</v>
      </c>
      <c r="P56" s="157">
        <v>-0.08</v>
      </c>
      <c r="Q56" s="157">
        <v>-0.08</v>
      </c>
      <c r="R56" s="157">
        <v>-0.08</v>
      </c>
      <c r="S56" s="157">
        <v>-0.08</v>
      </c>
      <c r="T56" s="157">
        <v>-0.04</v>
      </c>
      <c r="U56" s="157">
        <v>-0.04</v>
      </c>
      <c r="V56" s="157">
        <v>-0.04</v>
      </c>
      <c r="W56" s="157">
        <v>-0.04</v>
      </c>
      <c r="X56" s="157">
        <v>-0.04</v>
      </c>
      <c r="Y56" s="157">
        <v>-0.04</v>
      </c>
      <c r="Z56" s="157">
        <v>-0.04</v>
      </c>
      <c r="AA56" s="157">
        <v>-0.04</v>
      </c>
      <c r="AB56" s="157">
        <v>-0.04</v>
      </c>
      <c r="AC56" s="157">
        <v>-0.04</v>
      </c>
      <c r="AD56" s="157">
        <v>-0.04</v>
      </c>
      <c r="AE56" s="157">
        <v>-0.04</v>
      </c>
      <c r="AF56" s="157">
        <v>-0.06</v>
      </c>
      <c r="AG56" s="157">
        <v>-0.06</v>
      </c>
      <c r="AH56" s="157">
        <v>-0.06</v>
      </c>
      <c r="AI56" s="157">
        <v>-0.06</v>
      </c>
      <c r="AJ56" s="157">
        <v>-0.06</v>
      </c>
      <c r="AK56" s="157">
        <v>-0.06</v>
      </c>
      <c r="AL56" s="157">
        <v>-0.06</v>
      </c>
      <c r="AM56" s="157">
        <v>-0.06</v>
      </c>
      <c r="AN56" s="157">
        <v>-0.06</v>
      </c>
      <c r="AO56" s="157">
        <v>-0.06</v>
      </c>
      <c r="AP56" s="157">
        <v>-0.06</v>
      </c>
      <c r="AQ56" s="157">
        <v>-0.06</v>
      </c>
      <c r="AR56" s="157">
        <v>-0.08</v>
      </c>
      <c r="AS56" s="157">
        <v>-0.08</v>
      </c>
      <c r="AT56" s="157">
        <v>-0.08</v>
      </c>
      <c r="AU56" s="157">
        <v>-0.08</v>
      </c>
      <c r="AV56" s="157">
        <v>-0.08</v>
      </c>
      <c r="AW56" s="157">
        <v>-0.08</v>
      </c>
      <c r="AX56" s="157">
        <v>-0.08</v>
      </c>
      <c r="AY56" s="157">
        <v>-0.08</v>
      </c>
      <c r="AZ56" s="157">
        <v>-0.08</v>
      </c>
      <c r="BA56" s="157">
        <v>-0.08</v>
      </c>
      <c r="BB56" s="157">
        <v>-0.08</v>
      </c>
      <c r="BC56" s="157">
        <v>-0.08</v>
      </c>
      <c r="BD56" s="157">
        <v>-7.0000000000000007E-2</v>
      </c>
      <c r="BE56" s="157">
        <v>-7.0000000000000007E-2</v>
      </c>
      <c r="BF56" s="157">
        <v>-7.0000000000000007E-2</v>
      </c>
      <c r="BG56" s="157">
        <v>-7.0000000000000007E-2</v>
      </c>
      <c r="BH56" s="157">
        <v>-7.0000000000000007E-2</v>
      </c>
      <c r="BI56" s="157">
        <v>-7.0000000000000007E-2</v>
      </c>
      <c r="BJ56" s="157">
        <v>-7.0000000000000007E-2</v>
      </c>
      <c r="BK56" s="157">
        <v>-7.0000000000000007E-2</v>
      </c>
      <c r="BL56" s="157">
        <v>-7.0000000000000007E-2</v>
      </c>
      <c r="BM56" s="157">
        <v>-7.0000000000000007E-2</v>
      </c>
      <c r="BN56" s="157">
        <v>-7.0000000000000007E-2</v>
      </c>
      <c r="BO56" s="157">
        <v>-7.0000000000000007E-2</v>
      </c>
      <c r="BP56" s="156">
        <v>-7.0000000000000007E-2</v>
      </c>
    </row>
    <row r="57" spans="2:69" outlineLevel="1">
      <c r="C57" s="101" t="str">
        <v>Dim Collective</v>
      </c>
      <c r="F57" s="109" t="s">
        <v>21</v>
      </c>
      <c r="G57" s="156"/>
      <c r="H57" s="157">
        <v>0.3</v>
      </c>
      <c r="I57" s="157">
        <v>0.3</v>
      </c>
      <c r="J57" s="157">
        <v>0.3</v>
      </c>
      <c r="K57" s="157">
        <v>0.3</v>
      </c>
      <c r="L57" s="157">
        <v>0.3</v>
      </c>
      <c r="M57" s="157">
        <v>0.3</v>
      </c>
      <c r="N57" s="157">
        <v>0.3</v>
      </c>
      <c r="O57" s="157">
        <v>0.3</v>
      </c>
      <c r="P57" s="157">
        <v>0.3</v>
      </c>
      <c r="Q57" s="157">
        <v>0.3</v>
      </c>
      <c r="R57" s="157">
        <v>0.3</v>
      </c>
      <c r="S57" s="157">
        <v>0.3</v>
      </c>
      <c r="T57" s="157">
        <v>0.15</v>
      </c>
      <c r="U57" s="157">
        <v>0.15</v>
      </c>
      <c r="V57" s="157">
        <v>0.15</v>
      </c>
      <c r="W57" s="157">
        <v>0.15</v>
      </c>
      <c r="X57" s="157">
        <v>0.15</v>
      </c>
      <c r="Y57" s="157">
        <v>0.15</v>
      </c>
      <c r="Z57" s="157">
        <v>0.15</v>
      </c>
      <c r="AA57" s="157">
        <v>0.15</v>
      </c>
      <c r="AB57" s="157">
        <v>0.15</v>
      </c>
      <c r="AC57" s="157">
        <v>0.15</v>
      </c>
      <c r="AD57" s="157">
        <v>0.15</v>
      </c>
      <c r="AE57" s="157">
        <v>0.15</v>
      </c>
      <c r="AF57" s="157">
        <v>0.1</v>
      </c>
      <c r="AG57" s="157">
        <v>0.1</v>
      </c>
      <c r="AH57" s="157">
        <v>0.1</v>
      </c>
      <c r="AI57" s="157">
        <v>0.1</v>
      </c>
      <c r="AJ57" s="157">
        <v>0.1</v>
      </c>
      <c r="AK57" s="157">
        <v>0.1</v>
      </c>
      <c r="AL57" s="157">
        <v>0.1</v>
      </c>
      <c r="AM57" s="157">
        <v>0.1</v>
      </c>
      <c r="AN57" s="157">
        <v>0.1</v>
      </c>
      <c r="AO57" s="157">
        <v>0.1</v>
      </c>
      <c r="AP57" s="157">
        <v>0.1</v>
      </c>
      <c r="AQ57" s="157">
        <v>0.1</v>
      </c>
      <c r="AR57" s="157">
        <v>0.06</v>
      </c>
      <c r="AS57" s="157">
        <v>0.06</v>
      </c>
      <c r="AT57" s="157">
        <v>0.06</v>
      </c>
      <c r="AU57" s="157">
        <v>0.06</v>
      </c>
      <c r="AV57" s="157">
        <v>0.06</v>
      </c>
      <c r="AW57" s="157">
        <v>0.06</v>
      </c>
      <c r="AX57" s="157">
        <v>0.06</v>
      </c>
      <c r="AY57" s="157">
        <v>0.06</v>
      </c>
      <c r="AZ57" s="157">
        <v>0.06</v>
      </c>
      <c r="BA57" s="157">
        <v>0.06</v>
      </c>
      <c r="BB57" s="157">
        <v>0.06</v>
      </c>
      <c r="BC57" s="157">
        <v>0.06</v>
      </c>
      <c r="BD57" s="157">
        <v>0.04</v>
      </c>
      <c r="BE57" s="157">
        <v>0.04</v>
      </c>
      <c r="BF57" s="157">
        <v>0.04</v>
      </c>
      <c r="BG57" s="157">
        <v>0.04</v>
      </c>
      <c r="BH57" s="157">
        <v>0.04</v>
      </c>
      <c r="BI57" s="157">
        <v>0.04</v>
      </c>
      <c r="BJ57" s="157">
        <v>0.04</v>
      </c>
      <c r="BK57" s="157">
        <v>0.04</v>
      </c>
      <c r="BL57" s="157">
        <v>0.04</v>
      </c>
      <c r="BM57" s="157">
        <v>0.04</v>
      </c>
      <c r="BN57" s="157">
        <v>0.04</v>
      </c>
      <c r="BO57" s="157">
        <v>0.04</v>
      </c>
      <c r="BP57" s="156">
        <v>0.04</v>
      </c>
    </row>
    <row r="58" spans="2:69" outlineLevel="1">
      <c r="C58" s="101" t="str">
        <v>Tim Forward Brands</v>
      </c>
      <c r="F58" s="109" t="s">
        <v>21</v>
      </c>
      <c r="G58" s="156"/>
      <c r="H58" s="157">
        <v>0</v>
      </c>
      <c r="I58" s="157">
        <v>0</v>
      </c>
      <c r="J58" s="157">
        <v>0</v>
      </c>
      <c r="K58" s="157">
        <v>0</v>
      </c>
      <c r="L58" s="157">
        <v>0</v>
      </c>
      <c r="M58" s="157">
        <v>0</v>
      </c>
      <c r="N58" s="157">
        <v>0</v>
      </c>
      <c r="O58" s="157">
        <v>0</v>
      </c>
      <c r="P58" s="157">
        <v>0</v>
      </c>
      <c r="Q58" s="157">
        <v>0</v>
      </c>
      <c r="R58" s="157">
        <v>0</v>
      </c>
      <c r="S58" s="157">
        <v>0</v>
      </c>
      <c r="T58" s="157">
        <v>0</v>
      </c>
      <c r="U58" s="157">
        <v>0</v>
      </c>
      <c r="V58" s="157">
        <v>0</v>
      </c>
      <c r="W58" s="157">
        <v>0</v>
      </c>
      <c r="X58" s="157">
        <v>0</v>
      </c>
      <c r="Y58" s="157">
        <v>0</v>
      </c>
      <c r="Z58" s="157">
        <v>0</v>
      </c>
      <c r="AA58" s="157">
        <v>0</v>
      </c>
      <c r="AB58" s="157">
        <v>0</v>
      </c>
      <c r="AC58" s="157">
        <v>0</v>
      </c>
      <c r="AD58" s="157">
        <v>0</v>
      </c>
      <c r="AE58" s="157">
        <v>0</v>
      </c>
      <c r="AF58" s="157">
        <v>0</v>
      </c>
      <c r="AG58" s="157">
        <v>0</v>
      </c>
      <c r="AH58" s="157">
        <v>0</v>
      </c>
      <c r="AI58" s="157">
        <v>0</v>
      </c>
      <c r="AJ58" s="157">
        <v>0</v>
      </c>
      <c r="AK58" s="157">
        <v>0</v>
      </c>
      <c r="AL58" s="157">
        <v>0</v>
      </c>
      <c r="AM58" s="157">
        <v>0</v>
      </c>
      <c r="AN58" s="157">
        <v>0</v>
      </c>
      <c r="AO58" s="157">
        <v>0</v>
      </c>
      <c r="AP58" s="157">
        <v>0</v>
      </c>
      <c r="AQ58" s="157">
        <v>0</v>
      </c>
      <c r="AR58" s="157">
        <v>0.14480000000000001</v>
      </c>
      <c r="AS58" s="157">
        <v>0.14480000000000001</v>
      </c>
      <c r="AT58" s="157">
        <v>0.14480000000000001</v>
      </c>
      <c r="AU58" s="157">
        <v>0.14480000000000001</v>
      </c>
      <c r="AV58" s="157">
        <v>0.14480000000000001</v>
      </c>
      <c r="AW58" s="157">
        <v>0.14480000000000001</v>
      </c>
      <c r="AX58" s="157">
        <v>0.14480000000000001</v>
      </c>
      <c r="AY58" s="157">
        <v>0.14480000000000001</v>
      </c>
      <c r="AZ58" s="157">
        <v>0.14480000000000001</v>
      </c>
      <c r="BA58" s="157">
        <v>0.14480000000000001</v>
      </c>
      <c r="BB58" s="157">
        <v>0.14480000000000001</v>
      </c>
      <c r="BC58" s="157">
        <v>0.14480000000000001</v>
      </c>
      <c r="BD58" s="157">
        <v>0.04</v>
      </c>
      <c r="BE58" s="157">
        <v>0.04</v>
      </c>
      <c r="BF58" s="157">
        <v>0.04</v>
      </c>
      <c r="BG58" s="157">
        <v>0.04</v>
      </c>
      <c r="BH58" s="157">
        <v>0.04</v>
      </c>
      <c r="BI58" s="157">
        <v>0.04</v>
      </c>
      <c r="BJ58" s="157">
        <v>0.04</v>
      </c>
      <c r="BK58" s="157">
        <v>0.04</v>
      </c>
      <c r="BL58" s="157">
        <v>0.04</v>
      </c>
      <c r="BM58" s="157">
        <v>0.04</v>
      </c>
      <c r="BN58" s="157">
        <v>0.04</v>
      </c>
      <c r="BO58" s="157">
        <v>0.04</v>
      </c>
      <c r="BP58" s="156">
        <v>0.04</v>
      </c>
    </row>
    <row r="59" spans="2:69" outlineLevel="1"/>
    <row r="60" spans="2:69" s="102" customFormat="1" ht="13.75" customHeight="1" thickBot="1">
      <c r="B60" s="138" t="s">
        <v>23</v>
      </c>
      <c r="C60" s="139"/>
      <c r="D60" s="139"/>
      <c r="E60" s="140"/>
      <c r="F60" s="141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  <c r="AJ60" s="139"/>
      <c r="AK60" s="139"/>
      <c r="AL60" s="139"/>
      <c r="AM60" s="139"/>
      <c r="AN60" s="139"/>
      <c r="AO60" s="139"/>
      <c r="AP60" s="139"/>
      <c r="AQ60" s="139"/>
      <c r="AR60" s="139"/>
      <c r="AS60" s="139"/>
      <c r="AT60" s="139"/>
      <c r="AU60" s="139"/>
      <c r="AV60" s="139"/>
      <c r="AW60" s="139"/>
      <c r="AX60" s="139"/>
      <c r="AY60" s="139"/>
      <c r="AZ60" s="139"/>
      <c r="BA60" s="139"/>
      <c r="BB60" s="139"/>
      <c r="BC60" s="139"/>
      <c r="BD60" s="139"/>
      <c r="BE60" s="139"/>
      <c r="BF60" s="139"/>
      <c r="BG60" s="139"/>
      <c r="BH60" s="139"/>
      <c r="BI60" s="139"/>
      <c r="BJ60" s="139"/>
      <c r="BK60" s="139"/>
      <c r="BL60" s="139"/>
      <c r="BM60" s="139"/>
      <c r="BN60" s="139"/>
      <c r="BO60" s="139"/>
      <c r="BP60" s="139"/>
    </row>
    <row r="61" spans="2:69" ht="12" customHeight="1" outlineLevel="1" thickTop="1">
      <c r="D61" s="142"/>
    </row>
    <row r="62" spans="2:69" s="111" customFormat="1" ht="12" customHeight="1" outlineLevel="1">
      <c r="B62" s="160" t="s">
        <v>24</v>
      </c>
      <c r="D62" s="112"/>
      <c r="E62" s="112"/>
      <c r="F62" s="113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7"/>
      <c r="AO62" s="117"/>
      <c r="AP62" s="117"/>
      <c r="AQ62" s="117"/>
      <c r="AR62" s="117"/>
      <c r="AS62" s="117"/>
      <c r="AT62" s="117"/>
      <c r="AU62" s="117"/>
      <c r="AV62" s="117"/>
      <c r="AW62" s="117"/>
      <c r="AX62" s="117"/>
      <c r="AY62" s="117"/>
      <c r="AZ62" s="117"/>
      <c r="BA62" s="117"/>
      <c r="BB62" s="117"/>
      <c r="BC62" s="117"/>
      <c r="BD62" s="117"/>
      <c r="BE62" s="117"/>
      <c r="BF62" s="117"/>
      <c r="BG62" s="117"/>
      <c r="BH62" s="117"/>
      <c r="BI62" s="117"/>
      <c r="BJ62" s="117"/>
      <c r="BK62" s="117"/>
      <c r="BL62" s="117"/>
      <c r="BM62" s="117"/>
      <c r="BN62" s="117"/>
      <c r="BO62" s="117"/>
      <c r="BP62" s="117"/>
      <c r="BQ62" s="117"/>
    </row>
    <row r="63" spans="2:69" outlineLevel="1">
      <c r="C63" s="101" t="str">
        <f t="array" ref="C63:C68">cust</f>
        <v>Michael’s Market Goods</v>
      </c>
      <c r="D63" s="161">
        <f t="array" ref="D63:D68">starting_parc</f>
        <v>375000</v>
      </c>
      <c r="E63" s="155" t="str">
        <f>"Starting " &amp; Assumptions!E24</f>
        <v>Starting Monthly Outbound Parcels</v>
      </c>
      <c r="F63" s="109" t="s">
        <v>25</v>
      </c>
      <c r="G63" s="132">
        <f t="array" ref="G63:G68">starting_parc</f>
        <v>375000</v>
      </c>
      <c r="H63" s="128">
        <f t="array" ref="H63:BP68">INDEX(Assumptions!$K$36:$P$41,_xlfn.XMATCH(_xlfn.ANCHORARRAY(Model!C63),Assumptions!$B$36:$B$41),$H$10:$BP$10-$G$10)*H35:BP40</f>
        <v>401250</v>
      </c>
      <c r="I63" s="128">
        <v>401250</v>
      </c>
      <c r="J63" s="128">
        <v>401250</v>
      </c>
      <c r="K63" s="128">
        <v>401250</v>
      </c>
      <c r="L63" s="128">
        <v>401250</v>
      </c>
      <c r="M63" s="128">
        <v>401250</v>
      </c>
      <c r="N63" s="128">
        <v>401250</v>
      </c>
      <c r="O63" s="128">
        <v>401250</v>
      </c>
      <c r="P63" s="128">
        <v>401250</v>
      </c>
      <c r="Q63" s="128">
        <v>401250</v>
      </c>
      <c r="R63" s="128">
        <v>401250</v>
      </c>
      <c r="S63" s="128">
        <v>401250</v>
      </c>
      <c r="T63" s="128">
        <v>421312.5</v>
      </c>
      <c r="U63" s="128">
        <v>421312.5</v>
      </c>
      <c r="V63" s="128">
        <v>421312.5</v>
      </c>
      <c r="W63" s="128">
        <v>421312.5</v>
      </c>
      <c r="X63" s="128">
        <v>421312.5</v>
      </c>
      <c r="Y63" s="128">
        <v>421312.5</v>
      </c>
      <c r="Z63" s="128">
        <v>421312.5</v>
      </c>
      <c r="AA63" s="128">
        <v>421312.5</v>
      </c>
      <c r="AB63" s="128">
        <v>421312.5</v>
      </c>
      <c r="AC63" s="128">
        <v>421312.5</v>
      </c>
      <c r="AD63" s="128">
        <v>421312.5</v>
      </c>
      <c r="AE63" s="128">
        <v>421312.5</v>
      </c>
      <c r="AF63" s="128">
        <v>442378.125</v>
      </c>
      <c r="AG63" s="128">
        <v>442378.125</v>
      </c>
      <c r="AH63" s="128">
        <v>442378.125</v>
      </c>
      <c r="AI63" s="128">
        <v>442378.125</v>
      </c>
      <c r="AJ63" s="128">
        <v>442378.125</v>
      </c>
      <c r="AK63" s="128">
        <v>442378.125</v>
      </c>
      <c r="AL63" s="128">
        <v>442378.125</v>
      </c>
      <c r="AM63" s="128">
        <v>442378.125</v>
      </c>
      <c r="AN63" s="128">
        <v>442378.125</v>
      </c>
      <c r="AO63" s="128">
        <v>442378.125</v>
      </c>
      <c r="AP63" s="128">
        <v>442378.125</v>
      </c>
      <c r="AQ63" s="128">
        <v>442378.125</v>
      </c>
      <c r="AR63" s="128">
        <v>455649.46875</v>
      </c>
      <c r="AS63" s="128">
        <v>455649.46875</v>
      </c>
      <c r="AT63" s="128">
        <v>455649.46875</v>
      </c>
      <c r="AU63" s="128">
        <v>455649.46875</v>
      </c>
      <c r="AV63" s="128">
        <v>455649.46875</v>
      </c>
      <c r="AW63" s="128">
        <v>455649.46875</v>
      </c>
      <c r="AX63" s="128">
        <v>455649.46875</v>
      </c>
      <c r="AY63" s="128">
        <v>455649.46875</v>
      </c>
      <c r="AZ63" s="128">
        <v>455649.46875</v>
      </c>
      <c r="BA63" s="128">
        <v>455649.46875</v>
      </c>
      <c r="BB63" s="128">
        <v>455649.46875</v>
      </c>
      <c r="BC63" s="128">
        <v>455649.46875</v>
      </c>
      <c r="BD63" s="128">
        <v>464762.458125</v>
      </c>
      <c r="BE63" s="128">
        <v>464762.458125</v>
      </c>
      <c r="BF63" s="128">
        <v>464762.458125</v>
      </c>
      <c r="BG63" s="128">
        <v>464762.458125</v>
      </c>
      <c r="BH63" s="128">
        <v>464762.458125</v>
      </c>
      <c r="BI63" s="128">
        <v>464762.458125</v>
      </c>
      <c r="BJ63" s="128">
        <v>464762.458125</v>
      </c>
      <c r="BK63" s="128">
        <v>464762.458125</v>
      </c>
      <c r="BL63" s="128">
        <v>464762.458125</v>
      </c>
      <c r="BM63" s="128">
        <v>464762.458125</v>
      </c>
      <c r="BN63" s="128">
        <v>464762.458125</v>
      </c>
      <c r="BO63" s="128">
        <v>464762.458125</v>
      </c>
      <c r="BP63" s="132">
        <v>474057.70728750003</v>
      </c>
      <c r="BQ63" s="128"/>
    </row>
    <row r="64" spans="2:69" outlineLevel="1">
      <c r="C64" s="101" t="str">
        <v>Andrew Digital Commerce</v>
      </c>
      <c r="D64" s="162">
        <v>450000</v>
      </c>
      <c r="E64" s="158" t="str">
        <f>"Starting " &amp; Assumptions!E24</f>
        <v>Starting Monthly Outbound Parcels</v>
      </c>
      <c r="F64" s="109" t="s">
        <v>25</v>
      </c>
      <c r="G64" s="132">
        <v>450000</v>
      </c>
      <c r="H64" s="128">
        <v>504000.00000000006</v>
      </c>
      <c r="I64" s="128">
        <v>504000.00000000006</v>
      </c>
      <c r="J64" s="128">
        <v>504000.00000000006</v>
      </c>
      <c r="K64" s="128">
        <v>504000.00000000006</v>
      </c>
      <c r="L64" s="128">
        <v>504000.00000000006</v>
      </c>
      <c r="M64" s="128">
        <v>504000.00000000006</v>
      </c>
      <c r="N64" s="128">
        <v>504000.00000000006</v>
      </c>
      <c r="O64" s="128">
        <v>504000.00000000006</v>
      </c>
      <c r="P64" s="128">
        <v>504000.00000000006</v>
      </c>
      <c r="Q64" s="128">
        <v>504000.00000000006</v>
      </c>
      <c r="R64" s="128">
        <v>504000.00000000006</v>
      </c>
      <c r="S64" s="128">
        <v>504000.00000000006</v>
      </c>
      <c r="T64" s="128">
        <v>534240.00000000012</v>
      </c>
      <c r="U64" s="128">
        <v>534240.00000000012</v>
      </c>
      <c r="V64" s="128">
        <v>534240.00000000012</v>
      </c>
      <c r="W64" s="128">
        <v>534240.00000000012</v>
      </c>
      <c r="X64" s="128">
        <v>534240.00000000012</v>
      </c>
      <c r="Y64" s="128">
        <v>534240.00000000012</v>
      </c>
      <c r="Z64" s="128">
        <v>534240.00000000012</v>
      </c>
      <c r="AA64" s="128">
        <v>534240.00000000012</v>
      </c>
      <c r="AB64" s="128">
        <v>534240.00000000012</v>
      </c>
      <c r="AC64" s="128">
        <v>534240.00000000012</v>
      </c>
      <c r="AD64" s="128">
        <v>534240.00000000012</v>
      </c>
      <c r="AE64" s="128">
        <v>534240.00000000012</v>
      </c>
      <c r="AF64" s="128">
        <v>544924.80000000016</v>
      </c>
      <c r="AG64" s="128">
        <v>544924.80000000016</v>
      </c>
      <c r="AH64" s="128">
        <v>544924.80000000016</v>
      </c>
      <c r="AI64" s="128">
        <v>544924.80000000016</v>
      </c>
      <c r="AJ64" s="128">
        <v>544924.80000000016</v>
      </c>
      <c r="AK64" s="128">
        <v>544924.80000000016</v>
      </c>
      <c r="AL64" s="128">
        <v>544924.80000000016</v>
      </c>
      <c r="AM64" s="128">
        <v>544924.80000000016</v>
      </c>
      <c r="AN64" s="128">
        <v>544924.80000000016</v>
      </c>
      <c r="AO64" s="128">
        <v>544924.80000000016</v>
      </c>
      <c r="AP64" s="128">
        <v>544924.80000000016</v>
      </c>
      <c r="AQ64" s="128">
        <v>544924.80000000016</v>
      </c>
      <c r="AR64" s="128">
        <v>544924.80000000016</v>
      </c>
      <c r="AS64" s="128">
        <v>544924.80000000016</v>
      </c>
      <c r="AT64" s="128">
        <v>544924.80000000016</v>
      </c>
      <c r="AU64" s="128">
        <v>544924.80000000016</v>
      </c>
      <c r="AV64" s="128">
        <v>544924.80000000016</v>
      </c>
      <c r="AW64" s="128">
        <v>544924.80000000016</v>
      </c>
      <c r="AX64" s="128">
        <v>544924.80000000016</v>
      </c>
      <c r="AY64" s="128">
        <v>544924.80000000016</v>
      </c>
      <c r="AZ64" s="128">
        <v>544924.80000000016</v>
      </c>
      <c r="BA64" s="128">
        <v>544924.80000000016</v>
      </c>
      <c r="BB64" s="128">
        <v>544924.80000000016</v>
      </c>
      <c r="BC64" s="128">
        <v>544924.80000000016</v>
      </c>
      <c r="BD64" s="128">
        <v>544924.80000000016</v>
      </c>
      <c r="BE64" s="128">
        <v>544924.80000000016</v>
      </c>
      <c r="BF64" s="128">
        <v>544924.80000000016</v>
      </c>
      <c r="BG64" s="128">
        <v>544924.80000000016</v>
      </c>
      <c r="BH64" s="128">
        <v>544924.80000000016</v>
      </c>
      <c r="BI64" s="128">
        <v>544924.80000000016</v>
      </c>
      <c r="BJ64" s="128">
        <v>544924.80000000016</v>
      </c>
      <c r="BK64" s="128">
        <v>544924.80000000016</v>
      </c>
      <c r="BL64" s="128">
        <v>544924.80000000016</v>
      </c>
      <c r="BM64" s="128">
        <v>544924.80000000016</v>
      </c>
      <c r="BN64" s="128">
        <v>544924.80000000016</v>
      </c>
      <c r="BO64" s="128">
        <v>544924.80000000016</v>
      </c>
      <c r="BP64" s="132">
        <v>544924.80000000016</v>
      </c>
      <c r="BQ64" s="128"/>
    </row>
    <row r="65" spans="2:69" outlineLevel="1">
      <c r="C65" s="101" t="str">
        <v>Anup Industrial Systems</v>
      </c>
      <c r="D65" s="162">
        <v>225000</v>
      </c>
      <c r="E65" s="158" t="str">
        <f>"Starting " &amp; Assumptions!E24</f>
        <v>Starting Monthly Outbound Parcels</v>
      </c>
      <c r="F65" s="109" t="s">
        <v>25</v>
      </c>
      <c r="G65" s="132">
        <v>225000</v>
      </c>
      <c r="H65" s="128">
        <v>227250</v>
      </c>
      <c r="I65" s="128">
        <v>227250</v>
      </c>
      <c r="J65" s="128">
        <v>227250</v>
      </c>
      <c r="K65" s="128">
        <v>227250</v>
      </c>
      <c r="L65" s="128">
        <v>227250</v>
      </c>
      <c r="M65" s="128">
        <v>227250</v>
      </c>
      <c r="N65" s="128">
        <v>227250</v>
      </c>
      <c r="O65" s="128">
        <v>227250</v>
      </c>
      <c r="P65" s="128">
        <v>227250</v>
      </c>
      <c r="Q65" s="128">
        <v>227250</v>
      </c>
      <c r="R65" s="128">
        <v>227250</v>
      </c>
      <c r="S65" s="128">
        <v>227250</v>
      </c>
      <c r="T65" s="128">
        <v>228386.24999999997</v>
      </c>
      <c r="U65" s="128">
        <v>228386.24999999997</v>
      </c>
      <c r="V65" s="128">
        <v>228386.24999999997</v>
      </c>
      <c r="W65" s="128">
        <v>228386.24999999997</v>
      </c>
      <c r="X65" s="128">
        <v>228386.24999999997</v>
      </c>
      <c r="Y65" s="128">
        <v>228386.24999999997</v>
      </c>
      <c r="Z65" s="128">
        <v>228386.24999999997</v>
      </c>
      <c r="AA65" s="128">
        <v>228386.24999999997</v>
      </c>
      <c r="AB65" s="128">
        <v>228386.24999999997</v>
      </c>
      <c r="AC65" s="128">
        <v>228386.24999999997</v>
      </c>
      <c r="AD65" s="128">
        <v>228386.24999999997</v>
      </c>
      <c r="AE65" s="128">
        <v>228386.24999999997</v>
      </c>
      <c r="AF65" s="128">
        <v>228386.24999999997</v>
      </c>
      <c r="AG65" s="128">
        <v>228386.24999999997</v>
      </c>
      <c r="AH65" s="128">
        <v>228386.24999999997</v>
      </c>
      <c r="AI65" s="128">
        <v>228386.24999999997</v>
      </c>
      <c r="AJ65" s="128">
        <v>228386.24999999997</v>
      </c>
      <c r="AK65" s="128">
        <v>228386.24999999997</v>
      </c>
      <c r="AL65" s="128">
        <v>228386.24999999997</v>
      </c>
      <c r="AM65" s="128">
        <v>228386.24999999997</v>
      </c>
      <c r="AN65" s="128">
        <v>228386.24999999997</v>
      </c>
      <c r="AO65" s="128">
        <v>228386.24999999997</v>
      </c>
      <c r="AP65" s="128">
        <v>228386.24999999997</v>
      </c>
      <c r="AQ65" s="128">
        <v>228386.24999999997</v>
      </c>
      <c r="AR65" s="128">
        <v>226102.38749999998</v>
      </c>
      <c r="AS65" s="128">
        <v>226102.38749999998</v>
      </c>
      <c r="AT65" s="128">
        <v>226102.38749999998</v>
      </c>
      <c r="AU65" s="128">
        <v>226102.38749999998</v>
      </c>
      <c r="AV65" s="128">
        <v>226102.38749999998</v>
      </c>
      <c r="AW65" s="128">
        <v>226102.38749999998</v>
      </c>
      <c r="AX65" s="128">
        <v>226102.38749999998</v>
      </c>
      <c r="AY65" s="128">
        <v>226102.38749999998</v>
      </c>
      <c r="AZ65" s="128">
        <v>226102.38749999998</v>
      </c>
      <c r="BA65" s="128">
        <v>226102.38749999998</v>
      </c>
      <c r="BB65" s="128">
        <v>226102.38749999998</v>
      </c>
      <c r="BC65" s="128">
        <v>226102.38749999998</v>
      </c>
      <c r="BD65" s="128">
        <v>222710.85168749999</v>
      </c>
      <c r="BE65" s="128">
        <v>222710.85168749999</v>
      </c>
      <c r="BF65" s="128">
        <v>222710.85168749999</v>
      </c>
      <c r="BG65" s="128">
        <v>222710.85168749999</v>
      </c>
      <c r="BH65" s="128">
        <v>222710.85168749999</v>
      </c>
      <c r="BI65" s="128">
        <v>222710.85168749999</v>
      </c>
      <c r="BJ65" s="128">
        <v>222710.85168749999</v>
      </c>
      <c r="BK65" s="128">
        <v>222710.85168749999</v>
      </c>
      <c r="BL65" s="128">
        <v>222710.85168749999</v>
      </c>
      <c r="BM65" s="128">
        <v>222710.85168749999</v>
      </c>
      <c r="BN65" s="128">
        <v>222710.85168749999</v>
      </c>
      <c r="BO65" s="128">
        <v>222710.85168749999</v>
      </c>
      <c r="BP65" s="132">
        <v>219370.1889121875</v>
      </c>
      <c r="BQ65" s="128"/>
    </row>
    <row r="66" spans="2:69" outlineLevel="1">
      <c r="C66" s="101" t="str">
        <v>Joseph Retail Group</v>
      </c>
      <c r="D66" s="162">
        <v>300000</v>
      </c>
      <c r="E66" s="158" t="str">
        <f>"Starting " &amp; Assumptions!E24</f>
        <v>Starting Monthly Outbound Parcels</v>
      </c>
      <c r="F66" s="109" t="s">
        <v>25</v>
      </c>
      <c r="G66" s="132">
        <v>300000</v>
      </c>
      <c r="H66" s="128">
        <v>276000</v>
      </c>
      <c r="I66" s="128">
        <v>276000</v>
      </c>
      <c r="J66" s="128">
        <v>276000</v>
      </c>
      <c r="K66" s="128">
        <v>276000</v>
      </c>
      <c r="L66" s="128">
        <v>276000</v>
      </c>
      <c r="M66" s="128">
        <v>276000</v>
      </c>
      <c r="N66" s="128">
        <v>276000</v>
      </c>
      <c r="O66" s="128">
        <v>276000</v>
      </c>
      <c r="P66" s="128">
        <v>276000</v>
      </c>
      <c r="Q66" s="128">
        <v>276000</v>
      </c>
      <c r="R66" s="128">
        <v>276000</v>
      </c>
      <c r="S66" s="128">
        <v>276000</v>
      </c>
      <c r="T66" s="128">
        <v>264960</v>
      </c>
      <c r="U66" s="128">
        <v>264960</v>
      </c>
      <c r="V66" s="128">
        <v>264960</v>
      </c>
      <c r="W66" s="128">
        <v>264960</v>
      </c>
      <c r="X66" s="128">
        <v>264960</v>
      </c>
      <c r="Y66" s="128">
        <v>264960</v>
      </c>
      <c r="Z66" s="128">
        <v>264960</v>
      </c>
      <c r="AA66" s="128">
        <v>264960</v>
      </c>
      <c r="AB66" s="128">
        <v>264960</v>
      </c>
      <c r="AC66" s="128">
        <v>264960</v>
      </c>
      <c r="AD66" s="128">
        <v>264960</v>
      </c>
      <c r="AE66" s="128">
        <v>264960</v>
      </c>
      <c r="AF66" s="128">
        <v>249062.39999999999</v>
      </c>
      <c r="AG66" s="128">
        <v>249062.39999999999</v>
      </c>
      <c r="AH66" s="128">
        <v>249062.39999999999</v>
      </c>
      <c r="AI66" s="128">
        <v>249062.39999999999</v>
      </c>
      <c r="AJ66" s="128">
        <v>249062.39999999999</v>
      </c>
      <c r="AK66" s="128">
        <v>249062.39999999999</v>
      </c>
      <c r="AL66" s="128">
        <v>249062.39999999999</v>
      </c>
      <c r="AM66" s="128">
        <v>249062.39999999999</v>
      </c>
      <c r="AN66" s="128">
        <v>249062.39999999999</v>
      </c>
      <c r="AO66" s="128">
        <v>249062.39999999999</v>
      </c>
      <c r="AP66" s="128">
        <v>249062.39999999999</v>
      </c>
      <c r="AQ66" s="128">
        <v>249062.39999999999</v>
      </c>
      <c r="AR66" s="128">
        <v>229137.408</v>
      </c>
      <c r="AS66" s="128">
        <v>229137.408</v>
      </c>
      <c r="AT66" s="128">
        <v>229137.408</v>
      </c>
      <c r="AU66" s="128">
        <v>229137.408</v>
      </c>
      <c r="AV66" s="128">
        <v>229137.408</v>
      </c>
      <c r="AW66" s="128">
        <v>229137.408</v>
      </c>
      <c r="AX66" s="128">
        <v>229137.408</v>
      </c>
      <c r="AY66" s="128">
        <v>229137.408</v>
      </c>
      <c r="AZ66" s="128">
        <v>229137.408</v>
      </c>
      <c r="BA66" s="128">
        <v>229137.408</v>
      </c>
      <c r="BB66" s="128">
        <v>229137.408</v>
      </c>
      <c r="BC66" s="128">
        <v>229137.408</v>
      </c>
      <c r="BD66" s="128">
        <v>213097.78943999999</v>
      </c>
      <c r="BE66" s="128">
        <v>213097.78943999999</v>
      </c>
      <c r="BF66" s="128">
        <v>213097.78943999999</v>
      </c>
      <c r="BG66" s="128">
        <v>213097.78943999999</v>
      </c>
      <c r="BH66" s="128">
        <v>213097.78943999999</v>
      </c>
      <c r="BI66" s="128">
        <v>213097.78943999999</v>
      </c>
      <c r="BJ66" s="128">
        <v>213097.78943999999</v>
      </c>
      <c r="BK66" s="128">
        <v>213097.78943999999</v>
      </c>
      <c r="BL66" s="128">
        <v>213097.78943999999</v>
      </c>
      <c r="BM66" s="128">
        <v>213097.78943999999</v>
      </c>
      <c r="BN66" s="128">
        <v>213097.78943999999</v>
      </c>
      <c r="BO66" s="128">
        <v>213097.78943999999</v>
      </c>
      <c r="BP66" s="132">
        <v>198180.94417919999</v>
      </c>
      <c r="BQ66" s="128"/>
    </row>
    <row r="67" spans="2:69" outlineLevel="1">
      <c r="C67" s="101" t="str">
        <v>Dim Collective</v>
      </c>
      <c r="D67" s="162">
        <v>125000</v>
      </c>
      <c r="E67" s="158" t="str">
        <f>"Starting " &amp; Assumptions!E24</f>
        <v>Starting Monthly Outbound Parcels</v>
      </c>
      <c r="F67" s="109" t="s">
        <v>25</v>
      </c>
      <c r="G67" s="132">
        <v>125000</v>
      </c>
      <c r="H67" s="128">
        <v>162500</v>
      </c>
      <c r="I67" s="128">
        <v>162500</v>
      </c>
      <c r="J67" s="128">
        <v>162500</v>
      </c>
      <c r="K67" s="128">
        <v>162500</v>
      </c>
      <c r="L67" s="128">
        <v>162500</v>
      </c>
      <c r="M67" s="128">
        <v>162500</v>
      </c>
      <c r="N67" s="128">
        <v>162500</v>
      </c>
      <c r="O67" s="128">
        <v>162500</v>
      </c>
      <c r="P67" s="128">
        <v>162500</v>
      </c>
      <c r="Q67" s="128">
        <v>162500</v>
      </c>
      <c r="R67" s="128">
        <v>162500</v>
      </c>
      <c r="S67" s="128">
        <v>162500</v>
      </c>
      <c r="T67" s="128">
        <v>186875</v>
      </c>
      <c r="U67" s="128">
        <v>186875</v>
      </c>
      <c r="V67" s="128">
        <v>186875</v>
      </c>
      <c r="W67" s="128">
        <v>186875</v>
      </c>
      <c r="X67" s="128">
        <v>186875</v>
      </c>
      <c r="Y67" s="128">
        <v>186875</v>
      </c>
      <c r="Z67" s="128">
        <v>186875</v>
      </c>
      <c r="AA67" s="128">
        <v>186875</v>
      </c>
      <c r="AB67" s="128">
        <v>186875</v>
      </c>
      <c r="AC67" s="128">
        <v>186875</v>
      </c>
      <c r="AD67" s="128">
        <v>186875</v>
      </c>
      <c r="AE67" s="128">
        <v>186875</v>
      </c>
      <c r="AF67" s="128">
        <v>205562.50000000003</v>
      </c>
      <c r="AG67" s="128">
        <v>205562.50000000003</v>
      </c>
      <c r="AH67" s="128">
        <v>205562.50000000003</v>
      </c>
      <c r="AI67" s="128">
        <v>205562.50000000003</v>
      </c>
      <c r="AJ67" s="128">
        <v>205562.50000000003</v>
      </c>
      <c r="AK67" s="128">
        <v>205562.50000000003</v>
      </c>
      <c r="AL67" s="128">
        <v>205562.50000000003</v>
      </c>
      <c r="AM67" s="128">
        <v>205562.50000000003</v>
      </c>
      <c r="AN67" s="128">
        <v>205562.50000000003</v>
      </c>
      <c r="AO67" s="128">
        <v>205562.50000000003</v>
      </c>
      <c r="AP67" s="128">
        <v>205562.50000000003</v>
      </c>
      <c r="AQ67" s="128">
        <v>205562.50000000003</v>
      </c>
      <c r="AR67" s="128">
        <v>217896.25000000003</v>
      </c>
      <c r="AS67" s="128">
        <v>217896.25000000003</v>
      </c>
      <c r="AT67" s="128">
        <v>217896.25000000003</v>
      </c>
      <c r="AU67" s="128">
        <v>217896.25000000003</v>
      </c>
      <c r="AV67" s="128">
        <v>217896.25000000003</v>
      </c>
      <c r="AW67" s="128">
        <v>217896.25000000003</v>
      </c>
      <c r="AX67" s="128">
        <v>217896.25000000003</v>
      </c>
      <c r="AY67" s="128">
        <v>217896.25000000003</v>
      </c>
      <c r="AZ67" s="128">
        <v>217896.25000000003</v>
      </c>
      <c r="BA67" s="128">
        <v>217896.25000000003</v>
      </c>
      <c r="BB67" s="128">
        <v>217896.25000000003</v>
      </c>
      <c r="BC67" s="128">
        <v>217896.25000000003</v>
      </c>
      <c r="BD67" s="128">
        <v>226612.10000000003</v>
      </c>
      <c r="BE67" s="128">
        <v>226612.10000000003</v>
      </c>
      <c r="BF67" s="128">
        <v>226612.10000000003</v>
      </c>
      <c r="BG67" s="128">
        <v>226612.10000000003</v>
      </c>
      <c r="BH67" s="128">
        <v>226612.10000000003</v>
      </c>
      <c r="BI67" s="128">
        <v>226612.10000000003</v>
      </c>
      <c r="BJ67" s="128">
        <v>226612.10000000003</v>
      </c>
      <c r="BK67" s="128">
        <v>226612.10000000003</v>
      </c>
      <c r="BL67" s="128">
        <v>226612.10000000003</v>
      </c>
      <c r="BM67" s="128">
        <v>226612.10000000003</v>
      </c>
      <c r="BN67" s="128">
        <v>226612.10000000003</v>
      </c>
      <c r="BO67" s="128">
        <v>226612.10000000003</v>
      </c>
      <c r="BP67" s="132">
        <v>235676.58400000003</v>
      </c>
      <c r="BQ67" s="128"/>
    </row>
    <row r="68" spans="2:69" outlineLevel="1">
      <c r="C68" s="101" t="str">
        <v>Tim Forward Brands</v>
      </c>
      <c r="D68" s="163">
        <v>250000</v>
      </c>
      <c r="E68" s="159" t="str">
        <f>"Starting " &amp; Assumptions!E24</f>
        <v>Starting Monthly Outbound Parcels</v>
      </c>
      <c r="F68" s="109" t="s">
        <v>25</v>
      </c>
      <c r="G68" s="132">
        <v>250000</v>
      </c>
      <c r="H68" s="128">
        <v>0</v>
      </c>
      <c r="I68" s="128">
        <v>0</v>
      </c>
      <c r="J68" s="128">
        <v>0</v>
      </c>
      <c r="K68" s="128">
        <v>0</v>
      </c>
      <c r="L68" s="128">
        <v>0</v>
      </c>
      <c r="M68" s="128">
        <v>0</v>
      </c>
      <c r="N68" s="128">
        <v>0</v>
      </c>
      <c r="O68" s="128">
        <v>0</v>
      </c>
      <c r="P68" s="128">
        <v>0</v>
      </c>
      <c r="Q68" s="128">
        <v>0</v>
      </c>
      <c r="R68" s="128">
        <v>0</v>
      </c>
      <c r="S68" s="128">
        <v>0</v>
      </c>
      <c r="T68" s="128">
        <v>0</v>
      </c>
      <c r="U68" s="128">
        <v>0</v>
      </c>
      <c r="V68" s="128">
        <v>0</v>
      </c>
      <c r="W68" s="128">
        <v>0</v>
      </c>
      <c r="X68" s="128">
        <v>0</v>
      </c>
      <c r="Y68" s="128">
        <v>0</v>
      </c>
      <c r="Z68" s="128">
        <v>0</v>
      </c>
      <c r="AA68" s="128">
        <v>0</v>
      </c>
      <c r="AB68" s="128">
        <v>0</v>
      </c>
      <c r="AC68" s="128">
        <v>0</v>
      </c>
      <c r="AD68" s="128">
        <v>0</v>
      </c>
      <c r="AE68" s="128">
        <v>0</v>
      </c>
      <c r="AF68" s="128">
        <v>0</v>
      </c>
      <c r="AG68" s="128">
        <v>0</v>
      </c>
      <c r="AH68" s="128">
        <v>0</v>
      </c>
      <c r="AI68" s="128">
        <v>0</v>
      </c>
      <c r="AJ68" s="128">
        <v>0</v>
      </c>
      <c r="AK68" s="128">
        <v>0</v>
      </c>
      <c r="AL68" s="128">
        <v>0</v>
      </c>
      <c r="AM68" s="128">
        <v>0</v>
      </c>
      <c r="AN68" s="128">
        <v>0</v>
      </c>
      <c r="AO68" s="128">
        <v>0</v>
      </c>
      <c r="AP68" s="128">
        <v>0</v>
      </c>
      <c r="AQ68" s="128">
        <v>0</v>
      </c>
      <c r="AR68" s="128">
        <v>0</v>
      </c>
      <c r="AS68" s="128">
        <v>0</v>
      </c>
      <c r="AT68" s="128">
        <v>0</v>
      </c>
      <c r="AU68" s="128">
        <v>0</v>
      </c>
      <c r="AV68" s="128">
        <v>0</v>
      </c>
      <c r="AW68" s="128">
        <v>0</v>
      </c>
      <c r="AX68" s="128">
        <v>0</v>
      </c>
      <c r="AY68" s="128">
        <v>0</v>
      </c>
      <c r="AZ68" s="128">
        <v>0</v>
      </c>
      <c r="BA68" s="128">
        <v>0</v>
      </c>
      <c r="BB68" s="128">
        <v>0</v>
      </c>
      <c r="BC68" s="128">
        <v>0</v>
      </c>
      <c r="BD68" s="128">
        <v>0</v>
      </c>
      <c r="BE68" s="128">
        <v>0</v>
      </c>
      <c r="BF68" s="128">
        <v>0</v>
      </c>
      <c r="BG68" s="128">
        <v>0</v>
      </c>
      <c r="BH68" s="128">
        <v>0</v>
      </c>
      <c r="BI68" s="128">
        <v>0</v>
      </c>
      <c r="BJ68" s="128">
        <v>0</v>
      </c>
      <c r="BK68" s="128">
        <v>0</v>
      </c>
      <c r="BL68" s="128">
        <v>0</v>
      </c>
      <c r="BM68" s="128">
        <v>0</v>
      </c>
      <c r="BN68" s="128">
        <v>0</v>
      </c>
      <c r="BO68" s="128">
        <v>0</v>
      </c>
      <c r="BP68" s="132">
        <v>0</v>
      </c>
      <c r="BQ68" s="128"/>
    </row>
    <row r="69" spans="2:69" outlineLevel="1"/>
    <row r="70" spans="2:69" s="111" customFormat="1" ht="12" customHeight="1" outlineLevel="1">
      <c r="B70" s="160" t="s">
        <v>26</v>
      </c>
      <c r="E70" s="112"/>
      <c r="F70" s="113"/>
    </row>
    <row r="71" spans="2:69" outlineLevel="1">
      <c r="C71" s="101" t="str">
        <f t="array" ref="C71:C76">cust</f>
        <v>Michael’s Market Goods</v>
      </c>
      <c r="F71" s="109" t="s">
        <v>25</v>
      </c>
      <c r="G71" s="132">
        <f t="array" ref="G71:G76">_xlfn.ANCHORARRAY(G63)*G35:G40</f>
        <v>0</v>
      </c>
      <c r="H71" s="121">
        <f t="array" ref="H71:BP76">H63:BP68*H45:BP50*H35:BP40</f>
        <v>300937.5</v>
      </c>
      <c r="I71" s="128">
        <v>321000</v>
      </c>
      <c r="J71" s="128">
        <v>341062.5</v>
      </c>
      <c r="K71" s="128">
        <v>381187.5</v>
      </c>
      <c r="L71" s="128">
        <v>441375.00000000006</v>
      </c>
      <c r="M71" s="128">
        <v>481500</v>
      </c>
      <c r="N71" s="128">
        <v>361125</v>
      </c>
      <c r="O71" s="128">
        <v>341062.5</v>
      </c>
      <c r="P71" s="128">
        <v>401250</v>
      </c>
      <c r="Q71" s="128">
        <v>421312.5</v>
      </c>
      <c r="R71" s="128">
        <v>481500</v>
      </c>
      <c r="S71" s="128">
        <v>541687.5</v>
      </c>
      <c r="T71" s="128">
        <v>315984.375</v>
      </c>
      <c r="U71" s="128">
        <v>337050</v>
      </c>
      <c r="V71" s="128">
        <v>358115.625</v>
      </c>
      <c r="W71" s="128">
        <v>400246.875</v>
      </c>
      <c r="X71" s="128">
        <v>463443.75000000006</v>
      </c>
      <c r="Y71" s="128">
        <v>505575</v>
      </c>
      <c r="Z71" s="128">
        <v>379181.25</v>
      </c>
      <c r="AA71" s="128">
        <v>358115.625</v>
      </c>
      <c r="AB71" s="128">
        <v>421312.5</v>
      </c>
      <c r="AC71" s="128">
        <v>442378.125</v>
      </c>
      <c r="AD71" s="128">
        <v>505575</v>
      </c>
      <c r="AE71" s="128">
        <v>568771.875</v>
      </c>
      <c r="AF71" s="128">
        <v>331783.59375</v>
      </c>
      <c r="AG71" s="128">
        <v>353902.5</v>
      </c>
      <c r="AH71" s="128">
        <v>376021.40625</v>
      </c>
      <c r="AI71" s="128">
        <v>420259.21875</v>
      </c>
      <c r="AJ71" s="128">
        <v>486615.93750000006</v>
      </c>
      <c r="AK71" s="128">
        <v>530853.75</v>
      </c>
      <c r="AL71" s="128">
        <v>398140.3125</v>
      </c>
      <c r="AM71" s="128">
        <v>376021.40625</v>
      </c>
      <c r="AN71" s="128">
        <v>442378.125</v>
      </c>
      <c r="AO71" s="128">
        <v>464497.03125</v>
      </c>
      <c r="AP71" s="128">
        <v>530853.75</v>
      </c>
      <c r="AQ71" s="128">
        <v>597210.46875</v>
      </c>
      <c r="AR71" s="128">
        <v>341737.1015625</v>
      </c>
      <c r="AS71" s="128">
        <v>364519.57500000001</v>
      </c>
      <c r="AT71" s="128">
        <v>387302.04843749997</v>
      </c>
      <c r="AU71" s="128">
        <v>432866.99531249999</v>
      </c>
      <c r="AV71" s="128">
        <v>501214.41562500002</v>
      </c>
      <c r="AW71" s="128">
        <v>546779.36249999993</v>
      </c>
      <c r="AX71" s="128">
        <v>410084.52187500003</v>
      </c>
      <c r="AY71" s="128">
        <v>387302.04843749997</v>
      </c>
      <c r="AZ71" s="128">
        <v>455649.46875</v>
      </c>
      <c r="BA71" s="128">
        <v>478431.94218750001</v>
      </c>
      <c r="BB71" s="128">
        <v>546779.36249999993</v>
      </c>
      <c r="BC71" s="128">
        <v>615126.78281250002</v>
      </c>
      <c r="BD71" s="128">
        <v>348571.84359375003</v>
      </c>
      <c r="BE71" s="128">
        <v>371809.96650000004</v>
      </c>
      <c r="BF71" s="128">
        <v>395048.08940624999</v>
      </c>
      <c r="BG71" s="128">
        <v>441524.33521875</v>
      </c>
      <c r="BH71" s="128">
        <v>511238.70393750007</v>
      </c>
      <c r="BI71" s="128">
        <v>557714.94975000003</v>
      </c>
      <c r="BJ71" s="128">
        <v>418286.21231249999</v>
      </c>
      <c r="BK71" s="128">
        <v>395048.08940624999</v>
      </c>
      <c r="BL71" s="128">
        <v>464762.458125</v>
      </c>
      <c r="BM71" s="128">
        <v>488000.58103125001</v>
      </c>
      <c r="BN71" s="128">
        <v>557714.94975000003</v>
      </c>
      <c r="BO71" s="128">
        <v>627429.31846875011</v>
      </c>
      <c r="BP71" s="132">
        <v>355543.28046562499</v>
      </c>
      <c r="BQ71" s="128"/>
    </row>
    <row r="72" spans="2:69" outlineLevel="1">
      <c r="C72" s="101" t="str">
        <v>Andrew Digital Commerce</v>
      </c>
      <c r="F72" s="109" t="s">
        <v>25</v>
      </c>
      <c r="G72" s="132">
        <v>0</v>
      </c>
      <c r="H72" s="128">
        <v>378000.00000000006</v>
      </c>
      <c r="I72" s="128">
        <v>327600.00000000006</v>
      </c>
      <c r="J72" s="128">
        <v>352800</v>
      </c>
      <c r="K72" s="128">
        <v>378000.00000000006</v>
      </c>
      <c r="L72" s="128">
        <v>352800.00000000006</v>
      </c>
      <c r="M72" s="128">
        <v>378000.00000000006</v>
      </c>
      <c r="N72" s="128">
        <v>352800.00000000006</v>
      </c>
      <c r="O72" s="128">
        <v>453600.00000000006</v>
      </c>
      <c r="P72" s="128">
        <v>529200.00000000012</v>
      </c>
      <c r="Q72" s="128">
        <v>554400.00000000012</v>
      </c>
      <c r="R72" s="128">
        <v>882000.00000000012</v>
      </c>
      <c r="S72" s="128">
        <v>1108800.0000000002</v>
      </c>
      <c r="T72" s="128">
        <v>400680.00000000012</v>
      </c>
      <c r="U72" s="128">
        <v>347256.00000000012</v>
      </c>
      <c r="V72" s="128">
        <v>373968.00000000006</v>
      </c>
      <c r="W72" s="128">
        <v>400680.00000000012</v>
      </c>
      <c r="X72" s="128">
        <v>373968.00000000012</v>
      </c>
      <c r="Y72" s="128">
        <v>400680.00000000012</v>
      </c>
      <c r="Z72" s="128">
        <v>373968.00000000012</v>
      </c>
      <c r="AA72" s="128">
        <v>480816.00000000012</v>
      </c>
      <c r="AB72" s="128">
        <v>560952.00000000012</v>
      </c>
      <c r="AC72" s="128">
        <v>587664.00000000023</v>
      </c>
      <c r="AD72" s="128">
        <v>934920.00000000023</v>
      </c>
      <c r="AE72" s="128">
        <v>1175328.0000000005</v>
      </c>
      <c r="AF72" s="128">
        <v>408693.60000000009</v>
      </c>
      <c r="AG72" s="128">
        <v>354201.12000000011</v>
      </c>
      <c r="AH72" s="128">
        <v>381447.3600000001</v>
      </c>
      <c r="AI72" s="128">
        <v>408693.60000000009</v>
      </c>
      <c r="AJ72" s="128">
        <v>381447.36000000016</v>
      </c>
      <c r="AK72" s="128">
        <v>408693.60000000009</v>
      </c>
      <c r="AL72" s="128">
        <v>381447.36000000016</v>
      </c>
      <c r="AM72" s="128">
        <v>490432.32000000018</v>
      </c>
      <c r="AN72" s="128">
        <v>572171.04000000015</v>
      </c>
      <c r="AO72" s="128">
        <v>599417.28000000026</v>
      </c>
      <c r="AP72" s="128">
        <v>953618.40000000026</v>
      </c>
      <c r="AQ72" s="128">
        <v>1198834.5600000005</v>
      </c>
      <c r="AR72" s="128">
        <v>408693.60000000009</v>
      </c>
      <c r="AS72" s="128">
        <v>354201.12000000011</v>
      </c>
      <c r="AT72" s="128">
        <v>381447.3600000001</v>
      </c>
      <c r="AU72" s="128">
        <v>408693.60000000009</v>
      </c>
      <c r="AV72" s="128">
        <v>381447.36000000016</v>
      </c>
      <c r="AW72" s="128">
        <v>408693.60000000009</v>
      </c>
      <c r="AX72" s="128">
        <v>381447.36000000016</v>
      </c>
      <c r="AY72" s="128">
        <v>490432.32000000018</v>
      </c>
      <c r="AZ72" s="128">
        <v>572171.04000000015</v>
      </c>
      <c r="BA72" s="128">
        <v>599417.28000000026</v>
      </c>
      <c r="BB72" s="128">
        <v>953618.40000000026</v>
      </c>
      <c r="BC72" s="128">
        <v>1198834.5600000005</v>
      </c>
      <c r="BD72" s="128">
        <v>408693.60000000009</v>
      </c>
      <c r="BE72" s="128">
        <v>354201.12000000011</v>
      </c>
      <c r="BF72" s="128">
        <v>381447.3600000001</v>
      </c>
      <c r="BG72" s="128">
        <v>408693.60000000009</v>
      </c>
      <c r="BH72" s="128">
        <v>381447.36000000016</v>
      </c>
      <c r="BI72" s="128">
        <v>408693.60000000009</v>
      </c>
      <c r="BJ72" s="128">
        <v>381447.36000000016</v>
      </c>
      <c r="BK72" s="128">
        <v>490432.32000000018</v>
      </c>
      <c r="BL72" s="128">
        <v>572171.04000000015</v>
      </c>
      <c r="BM72" s="128">
        <v>599417.28000000026</v>
      </c>
      <c r="BN72" s="128">
        <v>953618.40000000026</v>
      </c>
      <c r="BO72" s="128">
        <v>1198834.5600000005</v>
      </c>
      <c r="BP72" s="132">
        <v>408693.60000000009</v>
      </c>
      <c r="BQ72" s="128"/>
    </row>
    <row r="73" spans="2:69" outlineLevel="1">
      <c r="C73" s="101" t="str">
        <v>Anup Industrial Systems</v>
      </c>
      <c r="F73" s="109" t="s">
        <v>25</v>
      </c>
      <c r="G73" s="132">
        <v>0</v>
      </c>
      <c r="H73" s="128">
        <v>215887.5</v>
      </c>
      <c r="I73" s="128">
        <v>215887.5</v>
      </c>
      <c r="J73" s="128">
        <v>227250</v>
      </c>
      <c r="K73" s="128">
        <v>227250</v>
      </c>
      <c r="L73" s="128">
        <v>227250</v>
      </c>
      <c r="M73" s="128">
        <v>227250</v>
      </c>
      <c r="N73" s="128">
        <v>215887.5</v>
      </c>
      <c r="O73" s="128">
        <v>204525</v>
      </c>
      <c r="P73" s="128">
        <v>249975.00000000003</v>
      </c>
      <c r="Q73" s="128">
        <v>249975.00000000003</v>
      </c>
      <c r="R73" s="128">
        <v>238612.5</v>
      </c>
      <c r="S73" s="128">
        <v>227250</v>
      </c>
      <c r="T73" s="128">
        <v>216966.93749999997</v>
      </c>
      <c r="U73" s="128">
        <v>216966.93749999997</v>
      </c>
      <c r="V73" s="128">
        <v>228386.24999999997</v>
      </c>
      <c r="W73" s="128">
        <v>228386.24999999997</v>
      </c>
      <c r="X73" s="128">
        <v>228386.24999999997</v>
      </c>
      <c r="Y73" s="128">
        <v>228386.24999999997</v>
      </c>
      <c r="Z73" s="128">
        <v>216966.93749999997</v>
      </c>
      <c r="AA73" s="128">
        <v>205547.62499999997</v>
      </c>
      <c r="AB73" s="128">
        <v>251224.875</v>
      </c>
      <c r="AC73" s="128">
        <v>251224.875</v>
      </c>
      <c r="AD73" s="128">
        <v>239805.56249999997</v>
      </c>
      <c r="AE73" s="128">
        <v>228386.24999999997</v>
      </c>
      <c r="AF73" s="128">
        <v>216966.93749999997</v>
      </c>
      <c r="AG73" s="128">
        <v>216966.93749999997</v>
      </c>
      <c r="AH73" s="128">
        <v>228386.24999999997</v>
      </c>
      <c r="AI73" s="128">
        <v>228386.24999999997</v>
      </c>
      <c r="AJ73" s="128">
        <v>228386.24999999997</v>
      </c>
      <c r="AK73" s="128">
        <v>228386.24999999997</v>
      </c>
      <c r="AL73" s="128">
        <v>216966.93749999997</v>
      </c>
      <c r="AM73" s="128">
        <v>205547.62499999997</v>
      </c>
      <c r="AN73" s="128">
        <v>251224.875</v>
      </c>
      <c r="AO73" s="128">
        <v>251224.875</v>
      </c>
      <c r="AP73" s="128">
        <v>239805.56249999997</v>
      </c>
      <c r="AQ73" s="128">
        <v>228386.24999999997</v>
      </c>
      <c r="AR73" s="128">
        <v>214797.26812499997</v>
      </c>
      <c r="AS73" s="128">
        <v>214797.26812499997</v>
      </c>
      <c r="AT73" s="128">
        <v>226102.38749999998</v>
      </c>
      <c r="AU73" s="128">
        <v>226102.38749999998</v>
      </c>
      <c r="AV73" s="128">
        <v>226102.38749999998</v>
      </c>
      <c r="AW73" s="128">
        <v>226102.38749999998</v>
      </c>
      <c r="AX73" s="128">
        <v>214797.26812499997</v>
      </c>
      <c r="AY73" s="128">
        <v>203492.14874999999</v>
      </c>
      <c r="AZ73" s="128">
        <v>248712.62625</v>
      </c>
      <c r="BA73" s="128">
        <v>248712.62625</v>
      </c>
      <c r="BB73" s="128">
        <v>237407.50687499999</v>
      </c>
      <c r="BC73" s="128">
        <v>226102.38749999998</v>
      </c>
      <c r="BD73" s="128">
        <v>211575.30910312498</v>
      </c>
      <c r="BE73" s="128">
        <v>211575.30910312498</v>
      </c>
      <c r="BF73" s="128">
        <v>222710.85168749999</v>
      </c>
      <c r="BG73" s="128">
        <v>222710.85168749999</v>
      </c>
      <c r="BH73" s="128">
        <v>222710.85168749999</v>
      </c>
      <c r="BI73" s="128">
        <v>222710.85168749999</v>
      </c>
      <c r="BJ73" s="128">
        <v>211575.30910312498</v>
      </c>
      <c r="BK73" s="128">
        <v>200439.76651875</v>
      </c>
      <c r="BL73" s="128">
        <v>244981.93685625002</v>
      </c>
      <c r="BM73" s="128">
        <v>244981.93685625002</v>
      </c>
      <c r="BN73" s="128">
        <v>233846.394271875</v>
      </c>
      <c r="BO73" s="128">
        <v>222710.85168749999</v>
      </c>
      <c r="BP73" s="132">
        <v>208401.67946657812</v>
      </c>
      <c r="BQ73" s="128"/>
    </row>
    <row r="74" spans="2:69" outlineLevel="1">
      <c r="C74" s="101" t="str">
        <v>Joseph Retail Group</v>
      </c>
      <c r="F74" s="109" t="s">
        <v>25</v>
      </c>
      <c r="G74" s="132">
        <v>0</v>
      </c>
      <c r="H74" s="128">
        <v>207000</v>
      </c>
      <c r="I74" s="128">
        <v>220800</v>
      </c>
      <c r="J74" s="128">
        <v>234600</v>
      </c>
      <c r="K74" s="128">
        <v>262200</v>
      </c>
      <c r="L74" s="128">
        <v>303600</v>
      </c>
      <c r="M74" s="128">
        <v>331200</v>
      </c>
      <c r="N74" s="128">
        <v>248400</v>
      </c>
      <c r="O74" s="128">
        <v>234600</v>
      </c>
      <c r="P74" s="128">
        <v>276000</v>
      </c>
      <c r="Q74" s="128">
        <v>289800</v>
      </c>
      <c r="R74" s="128">
        <v>331200</v>
      </c>
      <c r="S74" s="128">
        <v>372600</v>
      </c>
      <c r="T74" s="128">
        <v>198720</v>
      </c>
      <c r="U74" s="128">
        <v>211968</v>
      </c>
      <c r="V74" s="128">
        <v>225216</v>
      </c>
      <c r="W74" s="128">
        <v>251712</v>
      </c>
      <c r="X74" s="128">
        <v>291456</v>
      </c>
      <c r="Y74" s="128">
        <v>317952</v>
      </c>
      <c r="Z74" s="128">
        <v>238464</v>
      </c>
      <c r="AA74" s="128">
        <v>225216</v>
      </c>
      <c r="AB74" s="128">
        <v>264960</v>
      </c>
      <c r="AC74" s="128">
        <v>278208</v>
      </c>
      <c r="AD74" s="128">
        <v>317952</v>
      </c>
      <c r="AE74" s="128">
        <v>357696</v>
      </c>
      <c r="AF74" s="128">
        <v>186796.79999999999</v>
      </c>
      <c r="AG74" s="128">
        <v>199249.92000000001</v>
      </c>
      <c r="AH74" s="128">
        <v>211703.03999999998</v>
      </c>
      <c r="AI74" s="128">
        <v>236609.27999999997</v>
      </c>
      <c r="AJ74" s="128">
        <v>273968.64000000001</v>
      </c>
      <c r="AK74" s="128">
        <v>298874.88</v>
      </c>
      <c r="AL74" s="128">
        <v>224156.16</v>
      </c>
      <c r="AM74" s="128">
        <v>211703.03999999998</v>
      </c>
      <c r="AN74" s="128">
        <v>249062.39999999999</v>
      </c>
      <c r="AO74" s="128">
        <v>261515.52000000002</v>
      </c>
      <c r="AP74" s="128">
        <v>298874.88</v>
      </c>
      <c r="AQ74" s="128">
        <v>336234.23999999999</v>
      </c>
      <c r="AR74" s="128">
        <v>171853.05599999998</v>
      </c>
      <c r="AS74" s="128">
        <v>183309.9264</v>
      </c>
      <c r="AT74" s="128">
        <v>194766.79679999998</v>
      </c>
      <c r="AU74" s="128">
        <v>217680.53759999998</v>
      </c>
      <c r="AV74" s="128">
        <v>252051.14880000002</v>
      </c>
      <c r="AW74" s="128">
        <v>274964.88959999999</v>
      </c>
      <c r="AX74" s="128">
        <v>206223.6672</v>
      </c>
      <c r="AY74" s="128">
        <v>194766.79679999998</v>
      </c>
      <c r="AZ74" s="128">
        <v>229137.408</v>
      </c>
      <c r="BA74" s="128">
        <v>240594.27840000001</v>
      </c>
      <c r="BB74" s="128">
        <v>274964.88959999999</v>
      </c>
      <c r="BC74" s="128">
        <v>309335.50080000004</v>
      </c>
      <c r="BD74" s="128">
        <v>159823.34208</v>
      </c>
      <c r="BE74" s="128">
        <v>170478.23155200001</v>
      </c>
      <c r="BF74" s="128">
        <v>181133.12102399999</v>
      </c>
      <c r="BG74" s="128">
        <v>202442.89996799998</v>
      </c>
      <c r="BH74" s="128">
        <v>234407.56838400001</v>
      </c>
      <c r="BI74" s="128">
        <v>255717.34732799997</v>
      </c>
      <c r="BJ74" s="128">
        <v>191788.010496</v>
      </c>
      <c r="BK74" s="128">
        <v>181133.12102399999</v>
      </c>
      <c r="BL74" s="128">
        <v>213097.78943999999</v>
      </c>
      <c r="BM74" s="128">
        <v>223752.678912</v>
      </c>
      <c r="BN74" s="128">
        <v>255717.34732799997</v>
      </c>
      <c r="BO74" s="128">
        <v>287682.01574400003</v>
      </c>
      <c r="BP74" s="132">
        <v>148635.70813439999</v>
      </c>
      <c r="BQ74" s="128"/>
    </row>
    <row r="75" spans="2:69" outlineLevel="1">
      <c r="C75" s="101" t="str">
        <v>Dim Collective</v>
      </c>
      <c r="F75" s="109" t="s">
        <v>25</v>
      </c>
      <c r="G75" s="132">
        <v>0</v>
      </c>
      <c r="H75" s="128">
        <v>121875</v>
      </c>
      <c r="I75" s="128">
        <v>130000</v>
      </c>
      <c r="J75" s="128">
        <v>138125</v>
      </c>
      <c r="K75" s="128">
        <v>154375</v>
      </c>
      <c r="L75" s="128">
        <v>178750</v>
      </c>
      <c r="M75" s="128">
        <v>195000</v>
      </c>
      <c r="N75" s="128">
        <v>146250</v>
      </c>
      <c r="O75" s="128">
        <v>138125</v>
      </c>
      <c r="P75" s="128">
        <v>162500</v>
      </c>
      <c r="Q75" s="128">
        <v>170625</v>
      </c>
      <c r="R75" s="128">
        <v>195000</v>
      </c>
      <c r="S75" s="128">
        <v>219375</v>
      </c>
      <c r="T75" s="128">
        <v>140156.25</v>
      </c>
      <c r="U75" s="128">
        <v>149500</v>
      </c>
      <c r="V75" s="128">
        <v>158843.75</v>
      </c>
      <c r="W75" s="128">
        <v>177531.25</v>
      </c>
      <c r="X75" s="128">
        <v>205562.50000000003</v>
      </c>
      <c r="Y75" s="128">
        <v>224250</v>
      </c>
      <c r="Z75" s="128">
        <v>168187.5</v>
      </c>
      <c r="AA75" s="128">
        <v>158843.75</v>
      </c>
      <c r="AB75" s="128">
        <v>186875</v>
      </c>
      <c r="AC75" s="128">
        <v>196218.75</v>
      </c>
      <c r="AD75" s="128">
        <v>224250</v>
      </c>
      <c r="AE75" s="128">
        <v>252281.25000000003</v>
      </c>
      <c r="AF75" s="128">
        <v>154171.87500000003</v>
      </c>
      <c r="AG75" s="128">
        <v>164450.00000000003</v>
      </c>
      <c r="AH75" s="128">
        <v>174728.12500000003</v>
      </c>
      <c r="AI75" s="128">
        <v>195284.37500000003</v>
      </c>
      <c r="AJ75" s="128">
        <v>226118.75000000006</v>
      </c>
      <c r="AK75" s="128">
        <v>246675.00000000003</v>
      </c>
      <c r="AL75" s="128">
        <v>185006.25000000003</v>
      </c>
      <c r="AM75" s="128">
        <v>174728.12500000003</v>
      </c>
      <c r="AN75" s="128">
        <v>205562.50000000003</v>
      </c>
      <c r="AO75" s="128">
        <v>215840.62500000003</v>
      </c>
      <c r="AP75" s="128">
        <v>246675.00000000003</v>
      </c>
      <c r="AQ75" s="128">
        <v>277509.37500000006</v>
      </c>
      <c r="AR75" s="128">
        <v>163422.18750000003</v>
      </c>
      <c r="AS75" s="128">
        <v>174317.00000000003</v>
      </c>
      <c r="AT75" s="128">
        <v>185211.81250000003</v>
      </c>
      <c r="AU75" s="128">
        <v>207001.43750000003</v>
      </c>
      <c r="AV75" s="128">
        <v>239685.87500000006</v>
      </c>
      <c r="AW75" s="128">
        <v>261475.50000000003</v>
      </c>
      <c r="AX75" s="128">
        <v>196106.62500000003</v>
      </c>
      <c r="AY75" s="128">
        <v>185211.81250000003</v>
      </c>
      <c r="AZ75" s="128">
        <v>217896.25000000003</v>
      </c>
      <c r="BA75" s="128">
        <v>228791.06250000003</v>
      </c>
      <c r="BB75" s="128">
        <v>261475.50000000003</v>
      </c>
      <c r="BC75" s="128">
        <v>294159.93750000006</v>
      </c>
      <c r="BD75" s="128">
        <v>169959.07500000001</v>
      </c>
      <c r="BE75" s="128">
        <v>181289.68000000005</v>
      </c>
      <c r="BF75" s="128">
        <v>192620.28500000003</v>
      </c>
      <c r="BG75" s="128">
        <v>215281.49500000002</v>
      </c>
      <c r="BH75" s="128">
        <v>249273.31000000006</v>
      </c>
      <c r="BI75" s="128">
        <v>271934.52</v>
      </c>
      <c r="BJ75" s="128">
        <v>203950.89000000004</v>
      </c>
      <c r="BK75" s="128">
        <v>192620.28500000003</v>
      </c>
      <c r="BL75" s="128">
        <v>226612.10000000003</v>
      </c>
      <c r="BM75" s="128">
        <v>237942.70500000005</v>
      </c>
      <c r="BN75" s="128">
        <v>271934.52</v>
      </c>
      <c r="BO75" s="128">
        <v>305926.33500000008</v>
      </c>
      <c r="BP75" s="132">
        <v>176757.43800000002</v>
      </c>
      <c r="BQ75" s="128"/>
    </row>
    <row r="76" spans="2:69" outlineLevel="1">
      <c r="C76" s="101" t="str">
        <v>Tim Forward Brands</v>
      </c>
      <c r="F76" s="109" t="s">
        <v>25</v>
      </c>
      <c r="G76" s="132">
        <v>0</v>
      </c>
      <c r="H76" s="128">
        <v>0</v>
      </c>
      <c r="I76" s="128">
        <v>0</v>
      </c>
      <c r="J76" s="128">
        <v>0</v>
      </c>
      <c r="K76" s="128">
        <v>0</v>
      </c>
      <c r="L76" s="128">
        <v>0</v>
      </c>
      <c r="M76" s="128">
        <v>0</v>
      </c>
      <c r="N76" s="128">
        <v>0</v>
      </c>
      <c r="O76" s="128">
        <v>0</v>
      </c>
      <c r="P76" s="128">
        <v>0</v>
      </c>
      <c r="Q76" s="128">
        <v>0</v>
      </c>
      <c r="R76" s="128">
        <v>0</v>
      </c>
      <c r="S76" s="128">
        <v>0</v>
      </c>
      <c r="T76" s="128">
        <v>0</v>
      </c>
      <c r="U76" s="128">
        <v>0</v>
      </c>
      <c r="V76" s="128">
        <v>0</v>
      </c>
      <c r="W76" s="128">
        <v>0</v>
      </c>
      <c r="X76" s="128">
        <v>0</v>
      </c>
      <c r="Y76" s="128">
        <v>0</v>
      </c>
      <c r="Z76" s="128">
        <v>0</v>
      </c>
      <c r="AA76" s="128">
        <v>0</v>
      </c>
      <c r="AB76" s="128">
        <v>0</v>
      </c>
      <c r="AC76" s="128">
        <v>0</v>
      </c>
      <c r="AD76" s="128">
        <v>0</v>
      </c>
      <c r="AE76" s="128">
        <v>0</v>
      </c>
      <c r="AF76" s="128">
        <v>0</v>
      </c>
      <c r="AG76" s="128">
        <v>0</v>
      </c>
      <c r="AH76" s="128">
        <v>0</v>
      </c>
      <c r="AI76" s="128">
        <v>0</v>
      </c>
      <c r="AJ76" s="128">
        <v>0</v>
      </c>
      <c r="AK76" s="128">
        <v>0</v>
      </c>
      <c r="AL76" s="128">
        <v>0</v>
      </c>
      <c r="AM76" s="128">
        <v>0</v>
      </c>
      <c r="AN76" s="128">
        <v>0</v>
      </c>
      <c r="AO76" s="128">
        <v>0</v>
      </c>
      <c r="AP76" s="128">
        <v>0</v>
      </c>
      <c r="AQ76" s="128">
        <v>0</v>
      </c>
      <c r="AR76" s="128">
        <v>0</v>
      </c>
      <c r="AS76" s="128">
        <v>0</v>
      </c>
      <c r="AT76" s="128">
        <v>0</v>
      </c>
      <c r="AU76" s="128">
        <v>0</v>
      </c>
      <c r="AV76" s="128">
        <v>0</v>
      </c>
      <c r="AW76" s="128">
        <v>0</v>
      </c>
      <c r="AX76" s="128">
        <v>0</v>
      </c>
      <c r="AY76" s="128">
        <v>0</v>
      </c>
      <c r="AZ76" s="128">
        <v>0</v>
      </c>
      <c r="BA76" s="128">
        <v>0</v>
      </c>
      <c r="BB76" s="128">
        <v>0</v>
      </c>
      <c r="BC76" s="128">
        <v>0</v>
      </c>
      <c r="BD76" s="128">
        <v>0</v>
      </c>
      <c r="BE76" s="128">
        <v>0</v>
      </c>
      <c r="BF76" s="128">
        <v>0</v>
      </c>
      <c r="BG76" s="128">
        <v>0</v>
      </c>
      <c r="BH76" s="128">
        <v>0</v>
      </c>
      <c r="BI76" s="128">
        <v>0</v>
      </c>
      <c r="BJ76" s="128">
        <v>0</v>
      </c>
      <c r="BK76" s="128">
        <v>0</v>
      </c>
      <c r="BL76" s="128">
        <v>0</v>
      </c>
      <c r="BM76" s="128">
        <v>0</v>
      </c>
      <c r="BN76" s="128">
        <v>0</v>
      </c>
      <c r="BO76" s="128">
        <v>0</v>
      </c>
      <c r="BP76" s="132">
        <v>0</v>
      </c>
      <c r="BQ76" s="128"/>
    </row>
    <row r="77" spans="2:69" s="111" customFormat="1" ht="12" customHeight="1" outlineLevel="1">
      <c r="B77" s="145"/>
      <c r="C77" s="164" t="s">
        <v>27</v>
      </c>
      <c r="D77" s="165"/>
      <c r="E77" s="166"/>
      <c r="F77" s="167" t="s">
        <v>25</v>
      </c>
      <c r="G77" s="168">
        <f>SUM(_xlfn.ANCHORARRAY(G71))</f>
        <v>0</v>
      </c>
      <c r="H77" s="169">
        <f t="shared" ref="H77:AM77" si="2">SUM(H71:H76)</f>
        <v>1223700</v>
      </c>
      <c r="I77" s="169">
        <f t="shared" si="2"/>
        <v>1215287.5</v>
      </c>
      <c r="J77" s="169">
        <f t="shared" si="2"/>
        <v>1293837.5</v>
      </c>
      <c r="K77" s="169">
        <f t="shared" si="2"/>
        <v>1403012.5</v>
      </c>
      <c r="L77" s="169">
        <f t="shared" si="2"/>
        <v>1503775</v>
      </c>
      <c r="M77" s="169">
        <f t="shared" si="2"/>
        <v>1612950</v>
      </c>
      <c r="N77" s="169">
        <f t="shared" si="2"/>
        <v>1324462.5</v>
      </c>
      <c r="O77" s="169">
        <f t="shared" si="2"/>
        <v>1371912.5</v>
      </c>
      <c r="P77" s="169">
        <f t="shared" si="2"/>
        <v>1618925.0000000002</v>
      </c>
      <c r="Q77" s="169">
        <f t="shared" si="2"/>
        <v>1686112.5000000002</v>
      </c>
      <c r="R77" s="169">
        <f t="shared" si="2"/>
        <v>2128312.5</v>
      </c>
      <c r="S77" s="169">
        <f t="shared" si="2"/>
        <v>2469712.5</v>
      </c>
      <c r="T77" s="169">
        <f t="shared" si="2"/>
        <v>1272507.5625</v>
      </c>
      <c r="U77" s="169">
        <f t="shared" si="2"/>
        <v>1262740.9375</v>
      </c>
      <c r="V77" s="169">
        <f t="shared" si="2"/>
        <v>1344529.625</v>
      </c>
      <c r="W77" s="169">
        <f t="shared" si="2"/>
        <v>1458556.375</v>
      </c>
      <c r="X77" s="169">
        <f t="shared" si="2"/>
        <v>1562816.5000000002</v>
      </c>
      <c r="Y77" s="169">
        <f t="shared" si="2"/>
        <v>1676843.25</v>
      </c>
      <c r="Z77" s="169">
        <f t="shared" si="2"/>
        <v>1376767.6875</v>
      </c>
      <c r="AA77" s="169">
        <f t="shared" si="2"/>
        <v>1428539</v>
      </c>
      <c r="AB77" s="169">
        <f t="shared" si="2"/>
        <v>1685324.375</v>
      </c>
      <c r="AC77" s="169">
        <f t="shared" si="2"/>
        <v>1755693.7500000002</v>
      </c>
      <c r="AD77" s="169">
        <f t="shared" si="2"/>
        <v>2222502.5625</v>
      </c>
      <c r="AE77" s="169">
        <f t="shared" si="2"/>
        <v>2582463.3750000005</v>
      </c>
      <c r="AF77" s="169">
        <f t="shared" si="2"/>
        <v>1298412.8062500001</v>
      </c>
      <c r="AG77" s="169">
        <f t="shared" si="2"/>
        <v>1288770.4775</v>
      </c>
      <c r="AH77" s="169">
        <f t="shared" si="2"/>
        <v>1372286.1812500001</v>
      </c>
      <c r="AI77" s="169">
        <f t="shared" si="2"/>
        <v>1489232.7237500001</v>
      </c>
      <c r="AJ77" s="169">
        <f t="shared" si="2"/>
        <v>1596536.9375</v>
      </c>
      <c r="AK77" s="169">
        <f t="shared" si="2"/>
        <v>1713483.48</v>
      </c>
      <c r="AL77" s="169">
        <f t="shared" si="2"/>
        <v>1405717.02</v>
      </c>
      <c r="AM77" s="169">
        <f t="shared" si="2"/>
        <v>1458432.5162500001</v>
      </c>
      <c r="AN77" s="169">
        <f t="shared" ref="AN77:BS77" si="3">SUM(AN71:AN76)</f>
        <v>1720398.94</v>
      </c>
      <c r="AO77" s="169">
        <f t="shared" si="3"/>
        <v>1792495.3312500003</v>
      </c>
      <c r="AP77" s="169">
        <f t="shared" si="3"/>
        <v>2269827.5925000003</v>
      </c>
      <c r="AQ77" s="169">
        <f t="shared" si="3"/>
        <v>2638174.8937500007</v>
      </c>
      <c r="AR77" s="169">
        <f t="shared" si="3"/>
        <v>1300503.2131874999</v>
      </c>
      <c r="AS77" s="169">
        <f t="shared" si="3"/>
        <v>1291144.889525</v>
      </c>
      <c r="AT77" s="169">
        <f t="shared" si="3"/>
        <v>1374830.4052374999</v>
      </c>
      <c r="AU77" s="169">
        <f t="shared" si="3"/>
        <v>1492344.9579125</v>
      </c>
      <c r="AV77" s="169">
        <f t="shared" si="3"/>
        <v>1600501.1869250003</v>
      </c>
      <c r="AW77" s="169">
        <f t="shared" si="3"/>
        <v>1718015.7396</v>
      </c>
      <c r="AX77" s="169">
        <f t="shared" si="3"/>
        <v>1408659.4422000002</v>
      </c>
      <c r="AY77" s="169">
        <f t="shared" si="3"/>
        <v>1461205.1264875</v>
      </c>
      <c r="AZ77" s="169">
        <f t="shared" si="3"/>
        <v>1723566.7930000003</v>
      </c>
      <c r="BA77" s="169">
        <f t="shared" si="3"/>
        <v>1795947.1893375001</v>
      </c>
      <c r="BB77" s="169">
        <f t="shared" si="3"/>
        <v>2274245.658975</v>
      </c>
      <c r="BC77" s="169">
        <f t="shared" si="3"/>
        <v>2643559.1686125007</v>
      </c>
      <c r="BD77" s="169">
        <f t="shared" si="3"/>
        <v>1298623.1697768751</v>
      </c>
      <c r="BE77" s="169">
        <f t="shared" si="3"/>
        <v>1289354.3071551253</v>
      </c>
      <c r="BF77" s="169">
        <f t="shared" si="3"/>
        <v>1372959.7071177503</v>
      </c>
      <c r="BG77" s="169">
        <f t="shared" si="3"/>
        <v>1490653.1818742501</v>
      </c>
      <c r="BH77" s="169">
        <f t="shared" si="3"/>
        <v>1599077.7940090003</v>
      </c>
      <c r="BI77" s="169">
        <f t="shared" si="3"/>
        <v>1716771.2687655</v>
      </c>
      <c r="BJ77" s="169">
        <f t="shared" si="3"/>
        <v>1407047.7819116253</v>
      </c>
      <c r="BK77" s="169">
        <f t="shared" si="3"/>
        <v>1459673.5819490002</v>
      </c>
      <c r="BL77" s="169">
        <f t="shared" si="3"/>
        <v>1721625.3244212503</v>
      </c>
      <c r="BM77" s="169">
        <f t="shared" si="3"/>
        <v>1794095.1817995005</v>
      </c>
      <c r="BN77" s="169">
        <f t="shared" si="3"/>
        <v>2272831.6113498751</v>
      </c>
      <c r="BO77" s="169">
        <f t="shared" si="3"/>
        <v>2642583.0809002505</v>
      </c>
      <c r="BP77" s="168">
        <f t="shared" si="3"/>
        <v>1298031.7060666033</v>
      </c>
      <c r="BQ77" s="123"/>
    </row>
    <row r="78" spans="2:69" outlineLevel="1"/>
    <row r="79" spans="2:69" ht="12" customHeight="1" outlineLevel="1">
      <c r="B79" s="160" t="s">
        <v>28</v>
      </c>
      <c r="D79" s="108"/>
    </row>
    <row r="80" spans="2:69" outlineLevel="1">
      <c r="C80" s="101" t="str">
        <f t="array" ref="C80:C85">cust</f>
        <v>Michael’s Market Goods</v>
      </c>
      <c r="D80" s="147">
        <f t="array" ref="D80:D85">PPP</f>
        <v>18</v>
      </c>
      <c r="E80" s="155" t="s">
        <v>29</v>
      </c>
      <c r="F80" s="109" t="s">
        <v>30</v>
      </c>
      <c r="G80" s="132">
        <f t="array" ref="G80:G85">_xlfn.ANCHORARRAY(G63)*G35:G40</f>
        <v>0</v>
      </c>
      <c r="H80" s="121">
        <f t="array" ref="H80:BP85">H71:BP76/_xlfn.ANCHORARRAY(D80)</f>
        <v>16718.75</v>
      </c>
      <c r="I80" s="128">
        <v>17833.333333333332</v>
      </c>
      <c r="J80" s="128">
        <v>18947.916666666668</v>
      </c>
      <c r="K80" s="128">
        <v>21177.083333333332</v>
      </c>
      <c r="L80" s="128">
        <v>24520.833333333336</v>
      </c>
      <c r="M80" s="128">
        <v>26750</v>
      </c>
      <c r="N80" s="128">
        <v>20062.5</v>
      </c>
      <c r="O80" s="128">
        <v>18947.916666666668</v>
      </c>
      <c r="P80" s="128">
        <v>22291.666666666668</v>
      </c>
      <c r="Q80" s="128">
        <v>23406.25</v>
      </c>
      <c r="R80" s="128">
        <v>26750</v>
      </c>
      <c r="S80" s="128">
        <v>30093.75</v>
      </c>
      <c r="T80" s="128">
        <v>17554.6875</v>
      </c>
      <c r="U80" s="128">
        <v>18725</v>
      </c>
      <c r="V80" s="128">
        <v>19895.3125</v>
      </c>
      <c r="W80" s="128">
        <v>22235.9375</v>
      </c>
      <c r="X80" s="128">
        <v>25746.875000000004</v>
      </c>
      <c r="Y80" s="128">
        <v>28087.5</v>
      </c>
      <c r="Z80" s="128">
        <v>21065.625</v>
      </c>
      <c r="AA80" s="128">
        <v>19895.3125</v>
      </c>
      <c r="AB80" s="128">
        <v>23406.25</v>
      </c>
      <c r="AC80" s="128">
        <v>24576.5625</v>
      </c>
      <c r="AD80" s="128">
        <v>28087.5</v>
      </c>
      <c r="AE80" s="128">
        <v>31598.4375</v>
      </c>
      <c r="AF80" s="128">
        <v>18432.421875</v>
      </c>
      <c r="AG80" s="128">
        <v>19661.25</v>
      </c>
      <c r="AH80" s="128">
        <v>20890.078125</v>
      </c>
      <c r="AI80" s="128">
        <v>23347.734375</v>
      </c>
      <c r="AJ80" s="128">
        <v>27034.218750000004</v>
      </c>
      <c r="AK80" s="128">
        <v>29491.875</v>
      </c>
      <c r="AL80" s="128">
        <v>22118.90625</v>
      </c>
      <c r="AM80" s="128">
        <v>20890.078125</v>
      </c>
      <c r="AN80" s="128">
        <v>24576.5625</v>
      </c>
      <c r="AO80" s="128">
        <v>25805.390625</v>
      </c>
      <c r="AP80" s="128">
        <v>29491.875</v>
      </c>
      <c r="AQ80" s="128">
        <v>33178.359375</v>
      </c>
      <c r="AR80" s="128">
        <v>18985.39453125</v>
      </c>
      <c r="AS80" s="128">
        <v>20251.087500000001</v>
      </c>
      <c r="AT80" s="128">
        <v>21516.780468749999</v>
      </c>
      <c r="AU80" s="128">
        <v>24048.166406249999</v>
      </c>
      <c r="AV80" s="128">
        <v>27845.245312500003</v>
      </c>
      <c r="AW80" s="128">
        <v>30376.631249999995</v>
      </c>
      <c r="AX80" s="128">
        <v>22782.473437500001</v>
      </c>
      <c r="AY80" s="128">
        <v>21516.780468749999</v>
      </c>
      <c r="AZ80" s="128">
        <v>25313.859375</v>
      </c>
      <c r="BA80" s="128">
        <v>26579.552343750001</v>
      </c>
      <c r="BB80" s="128">
        <v>30376.631249999995</v>
      </c>
      <c r="BC80" s="128">
        <v>34173.710156250003</v>
      </c>
      <c r="BD80" s="128">
        <v>19365.102421875003</v>
      </c>
      <c r="BE80" s="128">
        <v>20656.109250000001</v>
      </c>
      <c r="BF80" s="128">
        <v>21947.116078125</v>
      </c>
      <c r="BG80" s="128">
        <v>24529.129734375001</v>
      </c>
      <c r="BH80" s="128">
        <v>28402.150218750005</v>
      </c>
      <c r="BI80" s="128">
        <v>30984.163875000002</v>
      </c>
      <c r="BJ80" s="128">
        <v>23238.122906249999</v>
      </c>
      <c r="BK80" s="128">
        <v>21947.116078125</v>
      </c>
      <c r="BL80" s="128">
        <v>25820.1365625</v>
      </c>
      <c r="BM80" s="128">
        <v>27111.143390625002</v>
      </c>
      <c r="BN80" s="128">
        <v>30984.163875000002</v>
      </c>
      <c r="BO80" s="128">
        <v>34857.184359375009</v>
      </c>
      <c r="BP80" s="132">
        <v>19752.4044703125</v>
      </c>
    </row>
    <row r="81" spans="2:69" outlineLevel="1">
      <c r="C81" s="101" t="str">
        <v>Andrew Digital Commerce</v>
      </c>
      <c r="D81" s="150">
        <v>30</v>
      </c>
      <c r="E81" s="158" t="s">
        <v>29</v>
      </c>
      <c r="F81" s="109" t="s">
        <v>30</v>
      </c>
      <c r="G81" s="132">
        <v>0</v>
      </c>
      <c r="H81" s="128">
        <v>12600.000000000002</v>
      </c>
      <c r="I81" s="128">
        <v>10920.000000000002</v>
      </c>
      <c r="J81" s="128">
        <v>11760</v>
      </c>
      <c r="K81" s="128">
        <v>12600.000000000002</v>
      </c>
      <c r="L81" s="128">
        <v>11760.000000000002</v>
      </c>
      <c r="M81" s="128">
        <v>12600.000000000002</v>
      </c>
      <c r="N81" s="128">
        <v>11760.000000000002</v>
      </c>
      <c r="O81" s="128">
        <v>15120.000000000002</v>
      </c>
      <c r="P81" s="128">
        <v>17640.000000000004</v>
      </c>
      <c r="Q81" s="128">
        <v>18480.000000000004</v>
      </c>
      <c r="R81" s="128">
        <v>29400.000000000004</v>
      </c>
      <c r="S81" s="128">
        <v>36960.000000000007</v>
      </c>
      <c r="T81" s="128">
        <v>13356.000000000004</v>
      </c>
      <c r="U81" s="128">
        <v>11575.200000000004</v>
      </c>
      <c r="V81" s="128">
        <v>12465.600000000002</v>
      </c>
      <c r="W81" s="128">
        <v>13356.000000000004</v>
      </c>
      <c r="X81" s="128">
        <v>12465.600000000004</v>
      </c>
      <c r="Y81" s="128">
        <v>13356.000000000004</v>
      </c>
      <c r="Z81" s="128">
        <v>12465.600000000004</v>
      </c>
      <c r="AA81" s="128">
        <v>16027.200000000004</v>
      </c>
      <c r="AB81" s="128">
        <v>18698.400000000005</v>
      </c>
      <c r="AC81" s="128">
        <v>19588.800000000007</v>
      </c>
      <c r="AD81" s="128">
        <v>31164.000000000007</v>
      </c>
      <c r="AE81" s="128">
        <v>39177.600000000013</v>
      </c>
      <c r="AF81" s="128">
        <v>13623.120000000003</v>
      </c>
      <c r="AG81" s="128">
        <v>11806.704000000003</v>
      </c>
      <c r="AH81" s="128">
        <v>12714.912000000004</v>
      </c>
      <c r="AI81" s="128">
        <v>13623.120000000003</v>
      </c>
      <c r="AJ81" s="128">
        <v>12714.912000000006</v>
      </c>
      <c r="AK81" s="128">
        <v>13623.120000000003</v>
      </c>
      <c r="AL81" s="128">
        <v>12714.912000000006</v>
      </c>
      <c r="AM81" s="128">
        <v>16347.744000000006</v>
      </c>
      <c r="AN81" s="128">
        <v>19072.368000000006</v>
      </c>
      <c r="AO81" s="128">
        <v>19980.576000000008</v>
      </c>
      <c r="AP81" s="128">
        <v>31787.28000000001</v>
      </c>
      <c r="AQ81" s="128">
        <v>39961.152000000016</v>
      </c>
      <c r="AR81" s="128">
        <v>13623.120000000003</v>
      </c>
      <c r="AS81" s="128">
        <v>11806.704000000003</v>
      </c>
      <c r="AT81" s="128">
        <v>12714.912000000004</v>
      </c>
      <c r="AU81" s="128">
        <v>13623.120000000003</v>
      </c>
      <c r="AV81" s="128">
        <v>12714.912000000006</v>
      </c>
      <c r="AW81" s="128">
        <v>13623.120000000003</v>
      </c>
      <c r="AX81" s="128">
        <v>12714.912000000006</v>
      </c>
      <c r="AY81" s="128">
        <v>16347.744000000006</v>
      </c>
      <c r="AZ81" s="128">
        <v>19072.368000000006</v>
      </c>
      <c r="BA81" s="128">
        <v>19980.576000000008</v>
      </c>
      <c r="BB81" s="128">
        <v>31787.28000000001</v>
      </c>
      <c r="BC81" s="128">
        <v>39961.152000000016</v>
      </c>
      <c r="BD81" s="128">
        <v>13623.120000000003</v>
      </c>
      <c r="BE81" s="128">
        <v>11806.704000000003</v>
      </c>
      <c r="BF81" s="128">
        <v>12714.912000000004</v>
      </c>
      <c r="BG81" s="128">
        <v>13623.120000000003</v>
      </c>
      <c r="BH81" s="128">
        <v>12714.912000000006</v>
      </c>
      <c r="BI81" s="128">
        <v>13623.120000000003</v>
      </c>
      <c r="BJ81" s="128">
        <v>12714.912000000006</v>
      </c>
      <c r="BK81" s="128">
        <v>16347.744000000006</v>
      </c>
      <c r="BL81" s="128">
        <v>19072.368000000006</v>
      </c>
      <c r="BM81" s="128">
        <v>19980.576000000008</v>
      </c>
      <c r="BN81" s="128">
        <v>31787.28000000001</v>
      </c>
      <c r="BO81" s="128">
        <v>39961.152000000016</v>
      </c>
      <c r="BP81" s="132">
        <v>13623.120000000003</v>
      </c>
    </row>
    <row r="82" spans="2:69" outlineLevel="1">
      <c r="C82" s="101" t="str">
        <v>Anup Industrial Systems</v>
      </c>
      <c r="D82" s="150">
        <v>15</v>
      </c>
      <c r="E82" s="158" t="s">
        <v>29</v>
      </c>
      <c r="F82" s="109" t="s">
        <v>30</v>
      </c>
      <c r="G82" s="132">
        <v>0</v>
      </c>
      <c r="H82" s="128">
        <v>14392.5</v>
      </c>
      <c r="I82" s="128">
        <v>14392.5</v>
      </c>
      <c r="J82" s="128">
        <v>15150</v>
      </c>
      <c r="K82" s="128">
        <v>15150</v>
      </c>
      <c r="L82" s="128">
        <v>15150</v>
      </c>
      <c r="M82" s="128">
        <v>15150</v>
      </c>
      <c r="N82" s="128">
        <v>14392.5</v>
      </c>
      <c r="O82" s="128">
        <v>13635</v>
      </c>
      <c r="P82" s="128">
        <v>16665.000000000004</v>
      </c>
      <c r="Q82" s="128">
        <v>16665.000000000004</v>
      </c>
      <c r="R82" s="128">
        <v>15907.5</v>
      </c>
      <c r="S82" s="128">
        <v>15150</v>
      </c>
      <c r="T82" s="128">
        <v>14464.462499999998</v>
      </c>
      <c r="U82" s="128">
        <v>14464.462499999998</v>
      </c>
      <c r="V82" s="128">
        <v>15225.749999999998</v>
      </c>
      <c r="W82" s="128">
        <v>15225.749999999998</v>
      </c>
      <c r="X82" s="128">
        <v>15225.749999999998</v>
      </c>
      <c r="Y82" s="128">
        <v>15225.749999999998</v>
      </c>
      <c r="Z82" s="128">
        <v>14464.462499999998</v>
      </c>
      <c r="AA82" s="128">
        <v>13703.174999999997</v>
      </c>
      <c r="AB82" s="128">
        <v>16748.325000000001</v>
      </c>
      <c r="AC82" s="128">
        <v>16748.325000000001</v>
      </c>
      <c r="AD82" s="128">
        <v>15987.037499999999</v>
      </c>
      <c r="AE82" s="128">
        <v>15225.749999999998</v>
      </c>
      <c r="AF82" s="128">
        <v>14464.462499999998</v>
      </c>
      <c r="AG82" s="128">
        <v>14464.462499999998</v>
      </c>
      <c r="AH82" s="128">
        <v>15225.749999999998</v>
      </c>
      <c r="AI82" s="128">
        <v>15225.749999999998</v>
      </c>
      <c r="AJ82" s="128">
        <v>15225.749999999998</v>
      </c>
      <c r="AK82" s="128">
        <v>15225.749999999998</v>
      </c>
      <c r="AL82" s="128">
        <v>14464.462499999998</v>
      </c>
      <c r="AM82" s="128">
        <v>13703.174999999997</v>
      </c>
      <c r="AN82" s="128">
        <v>16748.325000000001</v>
      </c>
      <c r="AO82" s="128">
        <v>16748.325000000001</v>
      </c>
      <c r="AP82" s="128">
        <v>15987.037499999999</v>
      </c>
      <c r="AQ82" s="128">
        <v>15225.749999999998</v>
      </c>
      <c r="AR82" s="128">
        <v>14319.817874999999</v>
      </c>
      <c r="AS82" s="128">
        <v>14319.817874999999</v>
      </c>
      <c r="AT82" s="128">
        <v>15073.492499999998</v>
      </c>
      <c r="AU82" s="128">
        <v>15073.492499999998</v>
      </c>
      <c r="AV82" s="128">
        <v>15073.492499999998</v>
      </c>
      <c r="AW82" s="128">
        <v>15073.492499999998</v>
      </c>
      <c r="AX82" s="128">
        <v>14319.817874999999</v>
      </c>
      <c r="AY82" s="128">
        <v>13566.143249999999</v>
      </c>
      <c r="AZ82" s="128">
        <v>16580.84175</v>
      </c>
      <c r="BA82" s="128">
        <v>16580.84175</v>
      </c>
      <c r="BB82" s="128">
        <v>15827.167125</v>
      </c>
      <c r="BC82" s="128">
        <v>15073.492499999998</v>
      </c>
      <c r="BD82" s="128">
        <v>14105.020606874999</v>
      </c>
      <c r="BE82" s="128">
        <v>14105.020606874999</v>
      </c>
      <c r="BF82" s="128">
        <v>14847.390112499999</v>
      </c>
      <c r="BG82" s="128">
        <v>14847.390112499999</v>
      </c>
      <c r="BH82" s="128">
        <v>14847.390112499999</v>
      </c>
      <c r="BI82" s="128">
        <v>14847.390112499999</v>
      </c>
      <c r="BJ82" s="128">
        <v>14105.020606874999</v>
      </c>
      <c r="BK82" s="128">
        <v>13362.65110125</v>
      </c>
      <c r="BL82" s="128">
        <v>16332.129123750001</v>
      </c>
      <c r="BM82" s="128">
        <v>16332.129123750001</v>
      </c>
      <c r="BN82" s="128">
        <v>15589.759618125001</v>
      </c>
      <c r="BO82" s="128">
        <v>14847.390112499999</v>
      </c>
      <c r="BP82" s="132">
        <v>13893.445297771874</v>
      </c>
    </row>
    <row r="83" spans="2:69" outlineLevel="1">
      <c r="C83" s="101" t="str">
        <v>Joseph Retail Group</v>
      </c>
      <c r="D83" s="150">
        <v>22</v>
      </c>
      <c r="E83" s="158" t="s">
        <v>29</v>
      </c>
      <c r="F83" s="109" t="s">
        <v>30</v>
      </c>
      <c r="G83" s="132">
        <v>0</v>
      </c>
      <c r="H83" s="128">
        <v>9409.0909090909099</v>
      </c>
      <c r="I83" s="128">
        <v>10036.363636363636</v>
      </c>
      <c r="J83" s="128">
        <v>10663.636363636364</v>
      </c>
      <c r="K83" s="128">
        <v>11918.181818181818</v>
      </c>
      <c r="L83" s="128">
        <v>13800</v>
      </c>
      <c r="M83" s="128">
        <v>15054.545454545454</v>
      </c>
      <c r="N83" s="128">
        <v>11290.90909090909</v>
      </c>
      <c r="O83" s="128">
        <v>10663.636363636364</v>
      </c>
      <c r="P83" s="128">
        <v>12545.454545454546</v>
      </c>
      <c r="Q83" s="128">
        <v>13172.727272727272</v>
      </c>
      <c r="R83" s="128">
        <v>15054.545454545454</v>
      </c>
      <c r="S83" s="128">
        <v>16936.363636363636</v>
      </c>
      <c r="T83" s="128">
        <v>9032.7272727272721</v>
      </c>
      <c r="U83" s="128">
        <v>9634.9090909090901</v>
      </c>
      <c r="V83" s="128">
        <v>10237.09090909091</v>
      </c>
      <c r="W83" s="128">
        <v>11441.454545454546</v>
      </c>
      <c r="X83" s="128">
        <v>13248</v>
      </c>
      <c r="Y83" s="128">
        <v>14452.363636363636</v>
      </c>
      <c r="Z83" s="128">
        <v>10839.272727272728</v>
      </c>
      <c r="AA83" s="128">
        <v>10237.09090909091</v>
      </c>
      <c r="AB83" s="128">
        <v>12043.636363636364</v>
      </c>
      <c r="AC83" s="128">
        <v>12645.818181818182</v>
      </c>
      <c r="AD83" s="128">
        <v>14452.363636363636</v>
      </c>
      <c r="AE83" s="128">
        <v>16258.90909090909</v>
      </c>
      <c r="AF83" s="128">
        <v>8490.7636363636357</v>
      </c>
      <c r="AG83" s="128">
        <v>9056.8145454545465</v>
      </c>
      <c r="AH83" s="128">
        <v>9622.8654545454538</v>
      </c>
      <c r="AI83" s="128">
        <v>10754.967272727272</v>
      </c>
      <c r="AJ83" s="128">
        <v>12453.12</v>
      </c>
      <c r="AK83" s="128">
        <v>13585.221818181819</v>
      </c>
      <c r="AL83" s="128">
        <v>10188.916363636365</v>
      </c>
      <c r="AM83" s="128">
        <v>9622.8654545454538</v>
      </c>
      <c r="AN83" s="128">
        <v>11321.018181818181</v>
      </c>
      <c r="AO83" s="128">
        <v>11887.069090909092</v>
      </c>
      <c r="AP83" s="128">
        <v>13585.221818181819</v>
      </c>
      <c r="AQ83" s="128">
        <v>15283.374545454544</v>
      </c>
      <c r="AR83" s="128">
        <v>7811.5025454545448</v>
      </c>
      <c r="AS83" s="128">
        <v>8332.2693818181815</v>
      </c>
      <c r="AT83" s="128">
        <v>8853.0362181818182</v>
      </c>
      <c r="AU83" s="128">
        <v>9894.5698909090897</v>
      </c>
      <c r="AV83" s="128">
        <v>11456.870400000002</v>
      </c>
      <c r="AW83" s="128">
        <v>12498.404072727273</v>
      </c>
      <c r="AX83" s="128">
        <v>9373.8030545454549</v>
      </c>
      <c r="AY83" s="128">
        <v>8853.0362181818182</v>
      </c>
      <c r="AZ83" s="128">
        <v>10415.336727272726</v>
      </c>
      <c r="BA83" s="128">
        <v>10936.103563636365</v>
      </c>
      <c r="BB83" s="128">
        <v>12498.404072727273</v>
      </c>
      <c r="BC83" s="128">
        <v>14060.704581818183</v>
      </c>
      <c r="BD83" s="128">
        <v>7264.6973672727272</v>
      </c>
      <c r="BE83" s="128">
        <v>7749.0105250909101</v>
      </c>
      <c r="BF83" s="128">
        <v>8233.3236829090911</v>
      </c>
      <c r="BG83" s="128">
        <v>9201.9499985454531</v>
      </c>
      <c r="BH83" s="128">
        <v>10654.889472000001</v>
      </c>
      <c r="BI83" s="128">
        <v>11623.515787636363</v>
      </c>
      <c r="BJ83" s="128">
        <v>8717.636840727273</v>
      </c>
      <c r="BK83" s="128">
        <v>8233.3236829090911</v>
      </c>
      <c r="BL83" s="128">
        <v>9686.2631563636369</v>
      </c>
      <c r="BM83" s="128">
        <v>10170.576314181819</v>
      </c>
      <c r="BN83" s="128">
        <v>11623.515787636363</v>
      </c>
      <c r="BO83" s="128">
        <v>13076.45526109091</v>
      </c>
      <c r="BP83" s="132">
        <v>6756.1685515636354</v>
      </c>
      <c r="BQ83" s="121"/>
    </row>
    <row r="84" spans="2:69" outlineLevel="1">
      <c r="C84" s="101" t="str">
        <v>Dim Collective</v>
      </c>
      <c r="D84" s="150">
        <v>25</v>
      </c>
      <c r="E84" s="158" t="s">
        <v>29</v>
      </c>
      <c r="F84" s="109" t="s">
        <v>30</v>
      </c>
      <c r="G84" s="132">
        <v>0</v>
      </c>
      <c r="H84" s="128">
        <v>4875</v>
      </c>
      <c r="I84" s="128">
        <v>5200</v>
      </c>
      <c r="J84" s="128">
        <v>5525</v>
      </c>
      <c r="K84" s="128">
        <v>6175</v>
      </c>
      <c r="L84" s="128">
        <v>7150</v>
      </c>
      <c r="M84" s="128">
        <v>7800</v>
      </c>
      <c r="N84" s="128">
        <v>5850</v>
      </c>
      <c r="O84" s="128">
        <v>5525</v>
      </c>
      <c r="P84" s="128">
        <v>6500</v>
      </c>
      <c r="Q84" s="128">
        <v>6825</v>
      </c>
      <c r="R84" s="128">
        <v>7800</v>
      </c>
      <c r="S84" s="128">
        <v>8775</v>
      </c>
      <c r="T84" s="128">
        <v>5606.25</v>
      </c>
      <c r="U84" s="128">
        <v>5980</v>
      </c>
      <c r="V84" s="128">
        <v>6353.75</v>
      </c>
      <c r="W84" s="128">
        <v>7101.25</v>
      </c>
      <c r="X84" s="128">
        <v>8222.5000000000018</v>
      </c>
      <c r="Y84" s="128">
        <v>8970</v>
      </c>
      <c r="Z84" s="128">
        <v>6727.5</v>
      </c>
      <c r="AA84" s="128">
        <v>6353.75</v>
      </c>
      <c r="AB84" s="128">
        <v>7475</v>
      </c>
      <c r="AC84" s="128">
        <v>7848.75</v>
      </c>
      <c r="AD84" s="128">
        <v>8970</v>
      </c>
      <c r="AE84" s="128">
        <v>10091.250000000002</v>
      </c>
      <c r="AF84" s="128">
        <v>6166.8750000000009</v>
      </c>
      <c r="AG84" s="128">
        <v>6578.0000000000009</v>
      </c>
      <c r="AH84" s="128">
        <v>6989.1250000000009</v>
      </c>
      <c r="AI84" s="128">
        <v>7811.3750000000009</v>
      </c>
      <c r="AJ84" s="128">
        <v>9044.7500000000018</v>
      </c>
      <c r="AK84" s="128">
        <v>9867.0000000000018</v>
      </c>
      <c r="AL84" s="128">
        <v>7400.2500000000009</v>
      </c>
      <c r="AM84" s="128">
        <v>6989.1250000000009</v>
      </c>
      <c r="AN84" s="128">
        <v>8222.5000000000018</v>
      </c>
      <c r="AO84" s="128">
        <v>8633.6250000000018</v>
      </c>
      <c r="AP84" s="128">
        <v>9867.0000000000018</v>
      </c>
      <c r="AQ84" s="128">
        <v>11100.375000000002</v>
      </c>
      <c r="AR84" s="128">
        <v>6536.8875000000007</v>
      </c>
      <c r="AS84" s="128">
        <v>6972.6800000000012</v>
      </c>
      <c r="AT84" s="128">
        <v>7408.4725000000008</v>
      </c>
      <c r="AU84" s="128">
        <v>8280.0575000000008</v>
      </c>
      <c r="AV84" s="128">
        <v>9587.4350000000031</v>
      </c>
      <c r="AW84" s="128">
        <v>10459.02</v>
      </c>
      <c r="AX84" s="128">
        <v>7844.2650000000012</v>
      </c>
      <c r="AY84" s="128">
        <v>7408.4725000000008</v>
      </c>
      <c r="AZ84" s="128">
        <v>8715.85</v>
      </c>
      <c r="BA84" s="128">
        <v>9151.6425000000017</v>
      </c>
      <c r="BB84" s="128">
        <v>10459.02</v>
      </c>
      <c r="BC84" s="128">
        <v>11766.397500000003</v>
      </c>
      <c r="BD84" s="128">
        <v>6798.3630000000003</v>
      </c>
      <c r="BE84" s="128">
        <v>7251.5872000000018</v>
      </c>
      <c r="BF84" s="128">
        <v>7704.8114000000014</v>
      </c>
      <c r="BG84" s="128">
        <v>8611.2598000000016</v>
      </c>
      <c r="BH84" s="128">
        <v>9970.9324000000015</v>
      </c>
      <c r="BI84" s="128">
        <v>10877.380800000001</v>
      </c>
      <c r="BJ84" s="128">
        <v>8158.035600000002</v>
      </c>
      <c r="BK84" s="128">
        <v>7704.8114000000014</v>
      </c>
      <c r="BL84" s="128">
        <v>9064.4840000000022</v>
      </c>
      <c r="BM84" s="128">
        <v>9517.7082000000009</v>
      </c>
      <c r="BN84" s="128">
        <v>10877.380800000001</v>
      </c>
      <c r="BO84" s="128">
        <v>12237.053400000003</v>
      </c>
      <c r="BP84" s="132">
        <v>7070.297520000001</v>
      </c>
    </row>
    <row r="85" spans="2:69" outlineLevel="1">
      <c r="C85" s="170" t="str">
        <v>Tim Forward Brands</v>
      </c>
      <c r="D85" s="171">
        <v>15</v>
      </c>
      <c r="E85" s="172" t="s">
        <v>29</v>
      </c>
      <c r="F85" s="109" t="s">
        <v>30</v>
      </c>
      <c r="G85" s="132">
        <v>0</v>
      </c>
      <c r="H85" s="128">
        <v>0</v>
      </c>
      <c r="I85" s="128">
        <v>0</v>
      </c>
      <c r="J85" s="128">
        <v>0</v>
      </c>
      <c r="K85" s="128">
        <v>0</v>
      </c>
      <c r="L85" s="128">
        <v>0</v>
      </c>
      <c r="M85" s="128">
        <v>0</v>
      </c>
      <c r="N85" s="128">
        <v>0</v>
      </c>
      <c r="O85" s="128">
        <v>0</v>
      </c>
      <c r="P85" s="128">
        <v>0</v>
      </c>
      <c r="Q85" s="128">
        <v>0</v>
      </c>
      <c r="R85" s="128">
        <v>0</v>
      </c>
      <c r="S85" s="128">
        <v>0</v>
      </c>
      <c r="T85" s="128">
        <v>0</v>
      </c>
      <c r="U85" s="128">
        <v>0</v>
      </c>
      <c r="V85" s="128">
        <v>0</v>
      </c>
      <c r="W85" s="128">
        <v>0</v>
      </c>
      <c r="X85" s="128">
        <v>0</v>
      </c>
      <c r="Y85" s="128">
        <v>0</v>
      </c>
      <c r="Z85" s="128">
        <v>0</v>
      </c>
      <c r="AA85" s="128">
        <v>0</v>
      </c>
      <c r="AB85" s="128">
        <v>0</v>
      </c>
      <c r="AC85" s="128">
        <v>0</v>
      </c>
      <c r="AD85" s="128">
        <v>0</v>
      </c>
      <c r="AE85" s="128">
        <v>0</v>
      </c>
      <c r="AF85" s="128">
        <v>0</v>
      </c>
      <c r="AG85" s="128">
        <v>0</v>
      </c>
      <c r="AH85" s="128">
        <v>0</v>
      </c>
      <c r="AI85" s="128">
        <v>0</v>
      </c>
      <c r="AJ85" s="128">
        <v>0</v>
      </c>
      <c r="AK85" s="128">
        <v>0</v>
      </c>
      <c r="AL85" s="128">
        <v>0</v>
      </c>
      <c r="AM85" s="128">
        <v>0</v>
      </c>
      <c r="AN85" s="128">
        <v>0</v>
      </c>
      <c r="AO85" s="128">
        <v>0</v>
      </c>
      <c r="AP85" s="128">
        <v>0</v>
      </c>
      <c r="AQ85" s="128">
        <v>0</v>
      </c>
      <c r="AR85" s="128">
        <v>0</v>
      </c>
      <c r="AS85" s="128">
        <v>0</v>
      </c>
      <c r="AT85" s="128">
        <v>0</v>
      </c>
      <c r="AU85" s="128">
        <v>0</v>
      </c>
      <c r="AV85" s="128">
        <v>0</v>
      </c>
      <c r="AW85" s="128">
        <v>0</v>
      </c>
      <c r="AX85" s="128">
        <v>0</v>
      </c>
      <c r="AY85" s="128">
        <v>0</v>
      </c>
      <c r="AZ85" s="128">
        <v>0</v>
      </c>
      <c r="BA85" s="128">
        <v>0</v>
      </c>
      <c r="BB85" s="128">
        <v>0</v>
      </c>
      <c r="BC85" s="128">
        <v>0</v>
      </c>
      <c r="BD85" s="128">
        <v>0</v>
      </c>
      <c r="BE85" s="128">
        <v>0</v>
      </c>
      <c r="BF85" s="128">
        <v>0</v>
      </c>
      <c r="BG85" s="128">
        <v>0</v>
      </c>
      <c r="BH85" s="128">
        <v>0</v>
      </c>
      <c r="BI85" s="128">
        <v>0</v>
      </c>
      <c r="BJ85" s="128">
        <v>0</v>
      </c>
      <c r="BK85" s="128">
        <v>0</v>
      </c>
      <c r="BL85" s="128">
        <v>0</v>
      </c>
      <c r="BM85" s="128">
        <v>0</v>
      </c>
      <c r="BN85" s="128">
        <v>0</v>
      </c>
      <c r="BO85" s="128">
        <v>0</v>
      </c>
      <c r="BP85" s="132">
        <v>0</v>
      </c>
    </row>
    <row r="86" spans="2:69" s="111" customFormat="1" ht="12" customHeight="1" outlineLevel="1">
      <c r="C86" s="165" t="s">
        <v>31</v>
      </c>
      <c r="E86" s="112"/>
      <c r="F86" s="167" t="s">
        <v>25</v>
      </c>
      <c r="G86" s="168">
        <f>SUM(_xlfn.ANCHORARRAY(G80))</f>
        <v>0</v>
      </c>
      <c r="H86" s="169">
        <f t="shared" ref="H86:AM86" si="4">SUM(H80:H85)</f>
        <v>57995.340909090912</v>
      </c>
      <c r="I86" s="169">
        <f t="shared" si="4"/>
        <v>58382.196969696975</v>
      </c>
      <c r="J86" s="169">
        <f t="shared" si="4"/>
        <v>62046.553030303039</v>
      </c>
      <c r="K86" s="169">
        <f t="shared" si="4"/>
        <v>67020.265151515152</v>
      </c>
      <c r="L86" s="169">
        <f t="shared" si="4"/>
        <v>72380.833333333343</v>
      </c>
      <c r="M86" s="169">
        <f t="shared" si="4"/>
        <v>77354.545454545456</v>
      </c>
      <c r="N86" s="169">
        <f t="shared" si="4"/>
        <v>63355.909090909088</v>
      </c>
      <c r="O86" s="169">
        <f t="shared" si="4"/>
        <v>63891.553030303039</v>
      </c>
      <c r="P86" s="169">
        <f t="shared" si="4"/>
        <v>75642.121212121216</v>
      </c>
      <c r="Q86" s="169">
        <f t="shared" si="4"/>
        <v>78548.977272727265</v>
      </c>
      <c r="R86" s="169">
        <f t="shared" si="4"/>
        <v>94912.045454545456</v>
      </c>
      <c r="S86" s="169">
        <f t="shared" si="4"/>
        <v>107915.11363636363</v>
      </c>
      <c r="T86" s="169">
        <f t="shared" si="4"/>
        <v>60014.127272727274</v>
      </c>
      <c r="U86" s="169">
        <f t="shared" si="4"/>
        <v>60379.571590909094</v>
      </c>
      <c r="V86" s="169">
        <f t="shared" si="4"/>
        <v>64177.50340909091</v>
      </c>
      <c r="W86" s="169">
        <f t="shared" si="4"/>
        <v>69360.392045454544</v>
      </c>
      <c r="X86" s="169">
        <f t="shared" si="4"/>
        <v>74908.725000000006</v>
      </c>
      <c r="Y86" s="169">
        <f t="shared" si="4"/>
        <v>80091.613636363632</v>
      </c>
      <c r="Z86" s="169">
        <f t="shared" si="4"/>
        <v>65562.460227272735</v>
      </c>
      <c r="AA86" s="169">
        <f t="shared" si="4"/>
        <v>66216.528409090912</v>
      </c>
      <c r="AB86" s="169">
        <f t="shared" si="4"/>
        <v>78371.611363636373</v>
      </c>
      <c r="AC86" s="169">
        <f t="shared" si="4"/>
        <v>81408.255681818177</v>
      </c>
      <c r="AD86" s="169">
        <f t="shared" si="4"/>
        <v>98660.901136363638</v>
      </c>
      <c r="AE86" s="169">
        <f t="shared" si="4"/>
        <v>112351.94659090909</v>
      </c>
      <c r="AF86" s="169">
        <f t="shared" si="4"/>
        <v>61177.643011363638</v>
      </c>
      <c r="AG86" s="169">
        <f t="shared" si="4"/>
        <v>61567.231045454551</v>
      </c>
      <c r="AH86" s="169">
        <f t="shared" si="4"/>
        <v>65442.730579545459</v>
      </c>
      <c r="AI86" s="169">
        <f t="shared" si="4"/>
        <v>70762.94664772728</v>
      </c>
      <c r="AJ86" s="169">
        <f t="shared" si="4"/>
        <v>76472.750750000007</v>
      </c>
      <c r="AK86" s="169">
        <f t="shared" si="4"/>
        <v>81792.966818181827</v>
      </c>
      <c r="AL86" s="169">
        <f t="shared" si="4"/>
        <v>66887.447113636372</v>
      </c>
      <c r="AM86" s="169">
        <f t="shared" si="4"/>
        <v>67552.987579545457</v>
      </c>
      <c r="AN86" s="169">
        <f t="shared" ref="AN86:BS86" si="5">SUM(AN80:AN85)</f>
        <v>79940.773681818187</v>
      </c>
      <c r="AO86" s="169">
        <f t="shared" si="5"/>
        <v>83054.985715909104</v>
      </c>
      <c r="AP86" s="169">
        <f t="shared" si="5"/>
        <v>100718.41431818182</v>
      </c>
      <c r="AQ86" s="169">
        <f t="shared" si="5"/>
        <v>114749.01092045456</v>
      </c>
      <c r="AR86" s="169">
        <f t="shared" si="5"/>
        <v>61276.722451704554</v>
      </c>
      <c r="AS86" s="169">
        <f t="shared" si="5"/>
        <v>61682.558756818187</v>
      </c>
      <c r="AT86" s="169">
        <f t="shared" si="5"/>
        <v>65566.693686931816</v>
      </c>
      <c r="AU86" s="169">
        <f t="shared" si="5"/>
        <v>70919.40629715909</v>
      </c>
      <c r="AV86" s="169">
        <f t="shared" si="5"/>
        <v>76677.955212500005</v>
      </c>
      <c r="AW86" s="169">
        <f t="shared" si="5"/>
        <v>82030.667822727279</v>
      </c>
      <c r="AX86" s="169">
        <f t="shared" si="5"/>
        <v>67035.271367045469</v>
      </c>
      <c r="AY86" s="169">
        <f t="shared" si="5"/>
        <v>67692.176436931826</v>
      </c>
      <c r="AZ86" s="169">
        <f t="shared" si="5"/>
        <v>80098.255852272734</v>
      </c>
      <c r="BA86" s="169">
        <f t="shared" si="5"/>
        <v>83228.71615738637</v>
      </c>
      <c r="BB86" s="169">
        <f t="shared" si="5"/>
        <v>100948.5024477273</v>
      </c>
      <c r="BC86" s="169">
        <f t="shared" si="5"/>
        <v>115035.4567380682</v>
      </c>
      <c r="BD86" s="169">
        <f t="shared" si="5"/>
        <v>61156.303396022726</v>
      </c>
      <c r="BE86" s="169">
        <f t="shared" si="5"/>
        <v>61568.431581965917</v>
      </c>
      <c r="BF86" s="169">
        <f t="shared" si="5"/>
        <v>65447.553273534089</v>
      </c>
      <c r="BG86" s="169">
        <f t="shared" si="5"/>
        <v>70812.849645420458</v>
      </c>
      <c r="BH86" s="169">
        <f t="shared" si="5"/>
        <v>76590.27420325001</v>
      </c>
      <c r="BI86" s="169">
        <f t="shared" si="5"/>
        <v>81955.570575136371</v>
      </c>
      <c r="BJ86" s="169">
        <f t="shared" si="5"/>
        <v>66933.727953852271</v>
      </c>
      <c r="BK86" s="169">
        <f t="shared" si="5"/>
        <v>67595.646262284092</v>
      </c>
      <c r="BL86" s="169">
        <f t="shared" si="5"/>
        <v>79975.380842613638</v>
      </c>
      <c r="BM86" s="169">
        <f t="shared" si="5"/>
        <v>83112.133028556826</v>
      </c>
      <c r="BN86" s="169">
        <f t="shared" si="5"/>
        <v>100862.10008076137</v>
      </c>
      <c r="BO86" s="169">
        <f t="shared" si="5"/>
        <v>114979.23513296594</v>
      </c>
      <c r="BP86" s="168">
        <f t="shared" si="5"/>
        <v>61095.435839648017</v>
      </c>
      <c r="BQ86" s="123"/>
    </row>
    <row r="87" spans="2:69" outlineLevel="1"/>
    <row r="88" spans="2:69" s="111" customFormat="1" ht="12" customHeight="1" outlineLevel="1">
      <c r="B88" s="160" t="s">
        <v>32</v>
      </c>
      <c r="D88" s="173"/>
      <c r="E88" s="112"/>
      <c r="F88" s="174"/>
    </row>
    <row r="89" spans="2:69" outlineLevel="1">
      <c r="C89" s="101" t="str">
        <f t="array" ref="C89:C94">cust</f>
        <v>Michael’s Market Goods</v>
      </c>
      <c r="D89" s="175">
        <f t="array" ref="D89:D94">ib_rate</f>
        <v>0.03</v>
      </c>
      <c r="E89" s="176" t="str">
        <f>Assumptions!H24</f>
        <v>Assortment Growth Rate</v>
      </c>
      <c r="F89" s="177" t="s">
        <v>30</v>
      </c>
      <c r="G89" s="149">
        <f t="array" ref="G89:G94">G63*G35:G40</f>
        <v>0</v>
      </c>
      <c r="H89" s="121">
        <f t="array" ref="H89:BO94">I80:BP85*(1+_xlfn.ANCHORARRAY(D89))</f>
        <v>18368.333333333332</v>
      </c>
      <c r="I89" s="128">
        <v>19516.354166666668</v>
      </c>
      <c r="J89" s="128">
        <v>21812.395833333332</v>
      </c>
      <c r="K89" s="128">
        <v>25256.458333333336</v>
      </c>
      <c r="L89" s="128">
        <v>27552.5</v>
      </c>
      <c r="M89" s="128">
        <v>20664.375</v>
      </c>
      <c r="N89" s="128">
        <v>19516.354166666668</v>
      </c>
      <c r="O89" s="128">
        <v>22960.416666666668</v>
      </c>
      <c r="P89" s="128">
        <v>24108.4375</v>
      </c>
      <c r="Q89" s="128">
        <v>27552.5</v>
      </c>
      <c r="R89" s="128">
        <v>30996.5625</v>
      </c>
      <c r="S89" s="128">
        <v>18081.328125</v>
      </c>
      <c r="T89" s="128">
        <v>19286.75</v>
      </c>
      <c r="U89" s="128">
        <v>20492.171875</v>
      </c>
      <c r="V89" s="128">
        <v>22903.015625</v>
      </c>
      <c r="W89" s="128">
        <v>26519.281250000004</v>
      </c>
      <c r="X89" s="128">
        <v>28930.125</v>
      </c>
      <c r="Y89" s="128">
        <v>21697.59375</v>
      </c>
      <c r="Z89" s="128">
        <v>20492.171875</v>
      </c>
      <c r="AA89" s="128">
        <v>24108.4375</v>
      </c>
      <c r="AB89" s="128">
        <v>25313.859375</v>
      </c>
      <c r="AC89" s="128">
        <v>28930.125</v>
      </c>
      <c r="AD89" s="128">
        <v>32546.390625</v>
      </c>
      <c r="AE89" s="128">
        <v>18985.39453125</v>
      </c>
      <c r="AF89" s="128">
        <v>20251.087500000001</v>
      </c>
      <c r="AG89" s="128">
        <v>21516.780468749999</v>
      </c>
      <c r="AH89" s="128">
        <v>24048.166406250002</v>
      </c>
      <c r="AI89" s="128">
        <v>27845.245312500003</v>
      </c>
      <c r="AJ89" s="128">
        <v>30376.631250000002</v>
      </c>
      <c r="AK89" s="128">
        <v>22782.473437500001</v>
      </c>
      <c r="AL89" s="128">
        <v>21516.780468749999</v>
      </c>
      <c r="AM89" s="128">
        <v>25313.859375</v>
      </c>
      <c r="AN89" s="128">
        <v>26579.552343750001</v>
      </c>
      <c r="AO89" s="128">
        <v>30376.631250000002</v>
      </c>
      <c r="AP89" s="128">
        <v>34173.710156250003</v>
      </c>
      <c r="AQ89" s="128">
        <v>19554.9563671875</v>
      </c>
      <c r="AR89" s="128">
        <v>20858.620125000001</v>
      </c>
      <c r="AS89" s="128">
        <v>22162.283882812499</v>
      </c>
      <c r="AT89" s="128">
        <v>24769.611398437501</v>
      </c>
      <c r="AU89" s="128">
        <v>28680.602671875004</v>
      </c>
      <c r="AV89" s="128">
        <v>31287.930187499995</v>
      </c>
      <c r="AW89" s="128">
        <v>23465.947640625</v>
      </c>
      <c r="AX89" s="128">
        <v>22162.283882812499</v>
      </c>
      <c r="AY89" s="128">
        <v>26073.275156250002</v>
      </c>
      <c r="AZ89" s="128">
        <v>27376.938914062503</v>
      </c>
      <c r="BA89" s="128">
        <v>31287.930187499995</v>
      </c>
      <c r="BB89" s="128">
        <v>35198.921460937505</v>
      </c>
      <c r="BC89" s="128">
        <v>19946.055494531254</v>
      </c>
      <c r="BD89" s="128">
        <v>21275.792527500002</v>
      </c>
      <c r="BE89" s="128">
        <v>22605.529560468749</v>
      </c>
      <c r="BF89" s="128">
        <v>25265.003626406251</v>
      </c>
      <c r="BG89" s="128">
        <v>29254.214725312504</v>
      </c>
      <c r="BH89" s="128">
        <v>31913.688791250002</v>
      </c>
      <c r="BI89" s="128">
        <v>23935.2665934375</v>
      </c>
      <c r="BJ89" s="128">
        <v>22605.529560468749</v>
      </c>
      <c r="BK89" s="128">
        <v>26594.740659375002</v>
      </c>
      <c r="BL89" s="128">
        <v>27924.477692343753</v>
      </c>
      <c r="BM89" s="128">
        <v>31913.688791250002</v>
      </c>
      <c r="BN89" s="128">
        <v>35902.899890156259</v>
      </c>
      <c r="BO89" s="128">
        <v>20344.976604421874</v>
      </c>
      <c r="BP89" s="149"/>
    </row>
    <row r="90" spans="2:69" outlineLevel="1">
      <c r="C90" s="101" t="str">
        <v>Andrew Digital Commerce</v>
      </c>
      <c r="D90" s="178">
        <v>0.06</v>
      </c>
      <c r="E90" s="179" t="str">
        <f>Assumptions!H24</f>
        <v>Assortment Growth Rate</v>
      </c>
      <c r="F90" s="177" t="s">
        <v>30</v>
      </c>
      <c r="G90" s="149">
        <v>0</v>
      </c>
      <c r="H90" s="128">
        <v>11575.200000000003</v>
      </c>
      <c r="I90" s="128">
        <v>12465.6</v>
      </c>
      <c r="J90" s="128">
        <v>13356.000000000002</v>
      </c>
      <c r="K90" s="128">
        <v>12465.600000000002</v>
      </c>
      <c r="L90" s="128">
        <v>13356.000000000002</v>
      </c>
      <c r="M90" s="128">
        <v>12465.600000000002</v>
      </c>
      <c r="N90" s="128">
        <v>16027.200000000003</v>
      </c>
      <c r="O90" s="128">
        <v>18698.400000000005</v>
      </c>
      <c r="P90" s="128">
        <v>19588.800000000007</v>
      </c>
      <c r="Q90" s="128">
        <v>31164.000000000004</v>
      </c>
      <c r="R90" s="128">
        <v>39177.600000000013</v>
      </c>
      <c r="S90" s="128">
        <v>14157.360000000004</v>
      </c>
      <c r="T90" s="128">
        <v>12269.712000000005</v>
      </c>
      <c r="U90" s="128">
        <v>13213.536000000004</v>
      </c>
      <c r="V90" s="128">
        <v>14157.360000000004</v>
      </c>
      <c r="W90" s="128">
        <v>13213.536000000006</v>
      </c>
      <c r="X90" s="128">
        <v>14157.360000000004</v>
      </c>
      <c r="Y90" s="128">
        <v>13213.536000000006</v>
      </c>
      <c r="Z90" s="128">
        <v>16988.832000000006</v>
      </c>
      <c r="AA90" s="128">
        <v>19820.304000000007</v>
      </c>
      <c r="AB90" s="128">
        <v>20764.128000000008</v>
      </c>
      <c r="AC90" s="128">
        <v>33033.840000000011</v>
      </c>
      <c r="AD90" s="128">
        <v>41528.256000000016</v>
      </c>
      <c r="AE90" s="128">
        <v>14440.507200000004</v>
      </c>
      <c r="AF90" s="128">
        <v>12515.106240000005</v>
      </c>
      <c r="AG90" s="128">
        <v>13477.806720000004</v>
      </c>
      <c r="AH90" s="128">
        <v>14440.507200000004</v>
      </c>
      <c r="AI90" s="128">
        <v>13477.806720000006</v>
      </c>
      <c r="AJ90" s="128">
        <v>14440.507200000004</v>
      </c>
      <c r="AK90" s="128">
        <v>13477.806720000006</v>
      </c>
      <c r="AL90" s="128">
        <v>17328.608640000006</v>
      </c>
      <c r="AM90" s="128">
        <v>20216.710080000008</v>
      </c>
      <c r="AN90" s="128">
        <v>21179.410560000011</v>
      </c>
      <c r="AO90" s="128">
        <v>33694.516800000012</v>
      </c>
      <c r="AP90" s="128">
        <v>42358.821120000022</v>
      </c>
      <c r="AQ90" s="128">
        <v>14440.507200000004</v>
      </c>
      <c r="AR90" s="128">
        <v>12515.106240000005</v>
      </c>
      <c r="AS90" s="128">
        <v>13477.806720000004</v>
      </c>
      <c r="AT90" s="128">
        <v>14440.507200000004</v>
      </c>
      <c r="AU90" s="128">
        <v>13477.806720000006</v>
      </c>
      <c r="AV90" s="128">
        <v>14440.507200000004</v>
      </c>
      <c r="AW90" s="128">
        <v>13477.806720000006</v>
      </c>
      <c r="AX90" s="128">
        <v>17328.608640000006</v>
      </c>
      <c r="AY90" s="128">
        <v>20216.710080000008</v>
      </c>
      <c r="AZ90" s="128">
        <v>21179.410560000011</v>
      </c>
      <c r="BA90" s="128">
        <v>33694.516800000012</v>
      </c>
      <c r="BB90" s="128">
        <v>42358.821120000022</v>
      </c>
      <c r="BC90" s="128">
        <v>14440.507200000004</v>
      </c>
      <c r="BD90" s="128">
        <v>12515.106240000005</v>
      </c>
      <c r="BE90" s="128">
        <v>13477.806720000004</v>
      </c>
      <c r="BF90" s="128">
        <v>14440.507200000004</v>
      </c>
      <c r="BG90" s="128">
        <v>13477.806720000006</v>
      </c>
      <c r="BH90" s="128">
        <v>14440.507200000004</v>
      </c>
      <c r="BI90" s="128">
        <v>13477.806720000006</v>
      </c>
      <c r="BJ90" s="128">
        <v>17328.608640000006</v>
      </c>
      <c r="BK90" s="128">
        <v>20216.710080000008</v>
      </c>
      <c r="BL90" s="128">
        <v>21179.410560000011</v>
      </c>
      <c r="BM90" s="128">
        <v>33694.516800000012</v>
      </c>
      <c r="BN90" s="128">
        <v>42358.821120000022</v>
      </c>
      <c r="BO90" s="128">
        <v>14440.507200000004</v>
      </c>
      <c r="BP90" s="149"/>
    </row>
    <row r="91" spans="2:69" outlineLevel="1">
      <c r="C91" s="101" t="str">
        <v>Anup Industrial Systems</v>
      </c>
      <c r="D91" s="178">
        <v>0.01</v>
      </c>
      <c r="E91" s="179" t="str">
        <f>Assumptions!H24</f>
        <v>Assortment Growth Rate</v>
      </c>
      <c r="F91" s="177" t="s">
        <v>30</v>
      </c>
      <c r="G91" s="149">
        <v>0</v>
      </c>
      <c r="H91" s="128">
        <v>14536.424999999999</v>
      </c>
      <c r="I91" s="128">
        <v>15301.5</v>
      </c>
      <c r="J91" s="128">
        <v>15301.5</v>
      </c>
      <c r="K91" s="128">
        <v>15301.5</v>
      </c>
      <c r="L91" s="128">
        <v>15301.5</v>
      </c>
      <c r="M91" s="128">
        <v>14536.424999999999</v>
      </c>
      <c r="N91" s="128">
        <v>13771.35</v>
      </c>
      <c r="O91" s="128">
        <v>16831.650000000005</v>
      </c>
      <c r="P91" s="128">
        <v>16831.650000000005</v>
      </c>
      <c r="Q91" s="128">
        <v>16066.575000000001</v>
      </c>
      <c r="R91" s="128">
        <v>15301.5</v>
      </c>
      <c r="S91" s="128">
        <v>14609.107124999999</v>
      </c>
      <c r="T91" s="128">
        <v>14609.107124999999</v>
      </c>
      <c r="U91" s="128">
        <v>15378.007499999998</v>
      </c>
      <c r="V91" s="128">
        <v>15378.007499999998</v>
      </c>
      <c r="W91" s="128">
        <v>15378.007499999998</v>
      </c>
      <c r="X91" s="128">
        <v>15378.007499999998</v>
      </c>
      <c r="Y91" s="128">
        <v>14609.107124999999</v>
      </c>
      <c r="Z91" s="128">
        <v>13840.206749999998</v>
      </c>
      <c r="AA91" s="128">
        <v>16915.808250000002</v>
      </c>
      <c r="AB91" s="128">
        <v>16915.808250000002</v>
      </c>
      <c r="AC91" s="128">
        <v>16146.907874999999</v>
      </c>
      <c r="AD91" s="128">
        <v>15378.007499999998</v>
      </c>
      <c r="AE91" s="128">
        <v>14609.107124999999</v>
      </c>
      <c r="AF91" s="128">
        <v>14609.107124999999</v>
      </c>
      <c r="AG91" s="128">
        <v>15378.007499999998</v>
      </c>
      <c r="AH91" s="128">
        <v>15378.007499999998</v>
      </c>
      <c r="AI91" s="128">
        <v>15378.007499999998</v>
      </c>
      <c r="AJ91" s="128">
        <v>15378.007499999998</v>
      </c>
      <c r="AK91" s="128">
        <v>14609.107124999999</v>
      </c>
      <c r="AL91" s="128">
        <v>13840.206749999998</v>
      </c>
      <c r="AM91" s="128">
        <v>16915.808250000002</v>
      </c>
      <c r="AN91" s="128">
        <v>16915.808250000002</v>
      </c>
      <c r="AO91" s="128">
        <v>16146.907874999999</v>
      </c>
      <c r="AP91" s="128">
        <v>15378.007499999998</v>
      </c>
      <c r="AQ91" s="128">
        <v>14463.01605375</v>
      </c>
      <c r="AR91" s="128">
        <v>14463.01605375</v>
      </c>
      <c r="AS91" s="128">
        <v>15224.227424999999</v>
      </c>
      <c r="AT91" s="128">
        <v>15224.227424999999</v>
      </c>
      <c r="AU91" s="128">
        <v>15224.227424999999</v>
      </c>
      <c r="AV91" s="128">
        <v>15224.227424999999</v>
      </c>
      <c r="AW91" s="128">
        <v>14463.01605375</v>
      </c>
      <c r="AX91" s="128">
        <v>13701.8046825</v>
      </c>
      <c r="AY91" s="128">
        <v>16746.6501675</v>
      </c>
      <c r="AZ91" s="128">
        <v>16746.6501675</v>
      </c>
      <c r="BA91" s="128">
        <v>15985.43879625</v>
      </c>
      <c r="BB91" s="128">
        <v>15224.227424999999</v>
      </c>
      <c r="BC91" s="128">
        <v>14246.07081294375</v>
      </c>
      <c r="BD91" s="128">
        <v>14246.07081294375</v>
      </c>
      <c r="BE91" s="128">
        <v>14995.864013625</v>
      </c>
      <c r="BF91" s="128">
        <v>14995.864013625</v>
      </c>
      <c r="BG91" s="128">
        <v>14995.864013625</v>
      </c>
      <c r="BH91" s="128">
        <v>14995.864013625</v>
      </c>
      <c r="BI91" s="128">
        <v>14246.07081294375</v>
      </c>
      <c r="BJ91" s="128">
        <v>13496.2776122625</v>
      </c>
      <c r="BK91" s="128">
        <v>16495.450414987499</v>
      </c>
      <c r="BL91" s="128">
        <v>16495.450414987499</v>
      </c>
      <c r="BM91" s="128">
        <v>15745.657214306251</v>
      </c>
      <c r="BN91" s="128">
        <v>14995.864013625</v>
      </c>
      <c r="BO91" s="128">
        <v>14032.379750749593</v>
      </c>
      <c r="BP91" s="149"/>
    </row>
    <row r="92" spans="2:69" outlineLevel="1">
      <c r="C92" s="101" t="str">
        <v>Joseph Retail Group</v>
      </c>
      <c r="D92" s="178">
        <v>0</v>
      </c>
      <c r="E92" s="179" t="str">
        <f>Assumptions!H24</f>
        <v>Assortment Growth Rate</v>
      </c>
      <c r="F92" s="177" t="s">
        <v>30</v>
      </c>
      <c r="G92" s="149">
        <v>0</v>
      </c>
      <c r="H92" s="128">
        <v>10036.363636363636</v>
      </c>
      <c r="I92" s="128">
        <v>10663.636363636364</v>
      </c>
      <c r="J92" s="128">
        <v>11918.181818181818</v>
      </c>
      <c r="K92" s="128">
        <v>13800</v>
      </c>
      <c r="L92" s="128">
        <v>15054.545454545454</v>
      </c>
      <c r="M92" s="128">
        <v>11290.90909090909</v>
      </c>
      <c r="N92" s="128">
        <v>10663.636363636364</v>
      </c>
      <c r="O92" s="128">
        <v>12545.454545454546</v>
      </c>
      <c r="P92" s="128">
        <v>13172.727272727272</v>
      </c>
      <c r="Q92" s="128">
        <v>15054.545454545454</v>
      </c>
      <c r="R92" s="128">
        <v>16936.363636363636</v>
      </c>
      <c r="S92" s="128">
        <v>9032.7272727272721</v>
      </c>
      <c r="T92" s="128">
        <v>9634.9090909090901</v>
      </c>
      <c r="U92" s="128">
        <v>10237.09090909091</v>
      </c>
      <c r="V92" s="128">
        <v>11441.454545454546</v>
      </c>
      <c r="W92" s="128">
        <v>13248</v>
      </c>
      <c r="X92" s="128">
        <v>14452.363636363636</v>
      </c>
      <c r="Y92" s="128">
        <v>10839.272727272728</v>
      </c>
      <c r="Z92" s="128">
        <v>10237.09090909091</v>
      </c>
      <c r="AA92" s="128">
        <v>12043.636363636364</v>
      </c>
      <c r="AB92" s="128">
        <v>12645.818181818182</v>
      </c>
      <c r="AC92" s="128">
        <v>14452.363636363636</v>
      </c>
      <c r="AD92" s="128">
        <v>16258.90909090909</v>
      </c>
      <c r="AE92" s="128">
        <v>8490.7636363636357</v>
      </c>
      <c r="AF92" s="128">
        <v>9056.8145454545465</v>
      </c>
      <c r="AG92" s="128">
        <v>9622.8654545454538</v>
      </c>
      <c r="AH92" s="128">
        <v>10754.967272727272</v>
      </c>
      <c r="AI92" s="128">
        <v>12453.12</v>
      </c>
      <c r="AJ92" s="128">
        <v>13585.221818181819</v>
      </c>
      <c r="AK92" s="128">
        <v>10188.916363636365</v>
      </c>
      <c r="AL92" s="128">
        <v>9622.8654545454538</v>
      </c>
      <c r="AM92" s="128">
        <v>11321.018181818181</v>
      </c>
      <c r="AN92" s="128">
        <v>11887.069090909092</v>
      </c>
      <c r="AO92" s="128">
        <v>13585.221818181819</v>
      </c>
      <c r="AP92" s="128">
        <v>15283.374545454544</v>
      </c>
      <c r="AQ92" s="128">
        <v>7811.5025454545448</v>
      </c>
      <c r="AR92" s="128">
        <v>8332.2693818181815</v>
      </c>
      <c r="AS92" s="128">
        <v>8853.0362181818182</v>
      </c>
      <c r="AT92" s="128">
        <v>9894.5698909090897</v>
      </c>
      <c r="AU92" s="128">
        <v>11456.870400000002</v>
      </c>
      <c r="AV92" s="128">
        <v>12498.404072727273</v>
      </c>
      <c r="AW92" s="128">
        <v>9373.8030545454549</v>
      </c>
      <c r="AX92" s="128">
        <v>8853.0362181818182</v>
      </c>
      <c r="AY92" s="128">
        <v>10415.336727272726</v>
      </c>
      <c r="AZ92" s="128">
        <v>10936.103563636365</v>
      </c>
      <c r="BA92" s="128">
        <v>12498.404072727273</v>
      </c>
      <c r="BB92" s="128">
        <v>14060.704581818183</v>
      </c>
      <c r="BC92" s="128">
        <v>7264.6973672727272</v>
      </c>
      <c r="BD92" s="128">
        <v>7749.0105250909101</v>
      </c>
      <c r="BE92" s="128">
        <v>8233.3236829090911</v>
      </c>
      <c r="BF92" s="128">
        <v>9201.9499985454531</v>
      </c>
      <c r="BG92" s="128">
        <v>10654.889472000001</v>
      </c>
      <c r="BH92" s="128">
        <v>11623.515787636363</v>
      </c>
      <c r="BI92" s="128">
        <v>8717.636840727273</v>
      </c>
      <c r="BJ92" s="128">
        <v>8233.3236829090911</v>
      </c>
      <c r="BK92" s="128">
        <v>9686.2631563636369</v>
      </c>
      <c r="BL92" s="128">
        <v>10170.576314181819</v>
      </c>
      <c r="BM92" s="128">
        <v>11623.515787636363</v>
      </c>
      <c r="BN92" s="128">
        <v>13076.45526109091</v>
      </c>
      <c r="BO92" s="128">
        <v>6756.1685515636354</v>
      </c>
      <c r="BP92" s="149"/>
      <c r="BQ92" s="128"/>
    </row>
    <row r="93" spans="2:69" outlineLevel="1">
      <c r="C93" s="101" t="str">
        <v>Dim Collective</v>
      </c>
      <c r="D93" s="178">
        <v>0.08</v>
      </c>
      <c r="E93" s="179" t="str">
        <f>Assumptions!H24</f>
        <v>Assortment Growth Rate</v>
      </c>
      <c r="F93" s="177" t="s">
        <v>30</v>
      </c>
      <c r="G93" s="149">
        <v>0</v>
      </c>
      <c r="H93" s="128">
        <v>5616</v>
      </c>
      <c r="I93" s="128">
        <v>5967</v>
      </c>
      <c r="J93" s="128">
        <v>6669</v>
      </c>
      <c r="K93" s="128">
        <v>7722.0000000000009</v>
      </c>
      <c r="L93" s="128">
        <v>8424</v>
      </c>
      <c r="M93" s="128">
        <v>6318</v>
      </c>
      <c r="N93" s="128">
        <v>5967</v>
      </c>
      <c r="O93" s="128">
        <v>7020.0000000000009</v>
      </c>
      <c r="P93" s="128">
        <v>7371.0000000000009</v>
      </c>
      <c r="Q93" s="128">
        <v>8424</v>
      </c>
      <c r="R93" s="128">
        <v>9477</v>
      </c>
      <c r="S93" s="128">
        <v>6054.75</v>
      </c>
      <c r="T93" s="128">
        <v>6458.4000000000005</v>
      </c>
      <c r="U93" s="128">
        <v>6862.05</v>
      </c>
      <c r="V93" s="128">
        <v>7669.35</v>
      </c>
      <c r="W93" s="128">
        <v>8880.3000000000029</v>
      </c>
      <c r="X93" s="128">
        <v>9687.6</v>
      </c>
      <c r="Y93" s="128">
        <v>7265.7000000000007</v>
      </c>
      <c r="Z93" s="128">
        <v>6862.05</v>
      </c>
      <c r="AA93" s="128">
        <v>8073.0000000000009</v>
      </c>
      <c r="AB93" s="128">
        <v>8476.6500000000015</v>
      </c>
      <c r="AC93" s="128">
        <v>9687.6</v>
      </c>
      <c r="AD93" s="128">
        <v>10898.550000000003</v>
      </c>
      <c r="AE93" s="128">
        <v>6660.2250000000013</v>
      </c>
      <c r="AF93" s="128">
        <v>7104.2400000000016</v>
      </c>
      <c r="AG93" s="128">
        <v>7548.2550000000019</v>
      </c>
      <c r="AH93" s="128">
        <v>8436.2850000000017</v>
      </c>
      <c r="AI93" s="128">
        <v>9768.3300000000017</v>
      </c>
      <c r="AJ93" s="128">
        <v>10656.360000000002</v>
      </c>
      <c r="AK93" s="128">
        <v>7992.2700000000013</v>
      </c>
      <c r="AL93" s="128">
        <v>7548.2550000000019</v>
      </c>
      <c r="AM93" s="128">
        <v>8880.3000000000029</v>
      </c>
      <c r="AN93" s="128">
        <v>9324.3150000000023</v>
      </c>
      <c r="AO93" s="128">
        <v>10656.360000000002</v>
      </c>
      <c r="AP93" s="128">
        <v>11988.405000000002</v>
      </c>
      <c r="AQ93" s="128">
        <v>7059.8385000000017</v>
      </c>
      <c r="AR93" s="128">
        <v>7530.4944000000014</v>
      </c>
      <c r="AS93" s="128">
        <v>8001.1503000000012</v>
      </c>
      <c r="AT93" s="128">
        <v>8942.4621000000006</v>
      </c>
      <c r="AU93" s="128">
        <v>10354.429800000004</v>
      </c>
      <c r="AV93" s="128">
        <v>11295.741600000001</v>
      </c>
      <c r="AW93" s="128">
        <v>8471.8062000000027</v>
      </c>
      <c r="AX93" s="128">
        <v>8001.1503000000012</v>
      </c>
      <c r="AY93" s="128">
        <v>9413.1180000000004</v>
      </c>
      <c r="AZ93" s="128">
        <v>9883.773900000002</v>
      </c>
      <c r="BA93" s="128">
        <v>11295.741600000001</v>
      </c>
      <c r="BB93" s="128">
        <v>12707.709300000004</v>
      </c>
      <c r="BC93" s="128">
        <v>7342.2320400000008</v>
      </c>
      <c r="BD93" s="128">
        <v>7831.7141760000022</v>
      </c>
      <c r="BE93" s="128">
        <v>8321.1963120000019</v>
      </c>
      <c r="BF93" s="128">
        <v>9300.1605840000029</v>
      </c>
      <c r="BG93" s="128">
        <v>10768.606992000003</v>
      </c>
      <c r="BH93" s="128">
        <v>11747.571264000002</v>
      </c>
      <c r="BI93" s="128">
        <v>8810.6784480000024</v>
      </c>
      <c r="BJ93" s="128">
        <v>8321.1963120000019</v>
      </c>
      <c r="BK93" s="128">
        <v>9789.6427200000035</v>
      </c>
      <c r="BL93" s="128">
        <v>10279.124856000002</v>
      </c>
      <c r="BM93" s="128">
        <v>11747.571264000002</v>
      </c>
      <c r="BN93" s="128">
        <v>13216.017672000004</v>
      </c>
      <c r="BO93" s="128">
        <v>7635.9213216000016</v>
      </c>
      <c r="BP93" s="149"/>
      <c r="BQ93" s="128"/>
    </row>
    <row r="94" spans="2:69" outlineLevel="1">
      <c r="C94" s="101" t="str">
        <v>Tim Forward Brands</v>
      </c>
      <c r="D94" s="180">
        <v>0.09</v>
      </c>
      <c r="E94" s="181" t="str">
        <f>Assumptions!H24</f>
        <v>Assortment Growth Rate</v>
      </c>
      <c r="F94" s="177" t="s">
        <v>30</v>
      </c>
      <c r="G94" s="149">
        <v>0</v>
      </c>
      <c r="H94" s="128">
        <v>0</v>
      </c>
      <c r="I94" s="128">
        <v>0</v>
      </c>
      <c r="J94" s="128">
        <v>0</v>
      </c>
      <c r="K94" s="128">
        <v>0</v>
      </c>
      <c r="L94" s="128">
        <v>0</v>
      </c>
      <c r="M94" s="128">
        <v>0</v>
      </c>
      <c r="N94" s="128">
        <v>0</v>
      </c>
      <c r="O94" s="128">
        <v>0</v>
      </c>
      <c r="P94" s="128">
        <v>0</v>
      </c>
      <c r="Q94" s="128">
        <v>0</v>
      </c>
      <c r="R94" s="128">
        <v>0</v>
      </c>
      <c r="S94" s="128">
        <v>0</v>
      </c>
      <c r="T94" s="128">
        <v>0</v>
      </c>
      <c r="U94" s="128">
        <v>0</v>
      </c>
      <c r="V94" s="128">
        <v>0</v>
      </c>
      <c r="W94" s="128">
        <v>0</v>
      </c>
      <c r="X94" s="128">
        <v>0</v>
      </c>
      <c r="Y94" s="128">
        <v>0</v>
      </c>
      <c r="Z94" s="128">
        <v>0</v>
      </c>
      <c r="AA94" s="128">
        <v>0</v>
      </c>
      <c r="AB94" s="128">
        <v>0</v>
      </c>
      <c r="AC94" s="128">
        <v>0</v>
      </c>
      <c r="AD94" s="128">
        <v>0</v>
      </c>
      <c r="AE94" s="128">
        <v>0</v>
      </c>
      <c r="AF94" s="128">
        <v>0</v>
      </c>
      <c r="AG94" s="128">
        <v>0</v>
      </c>
      <c r="AH94" s="128">
        <v>0</v>
      </c>
      <c r="AI94" s="128">
        <v>0</v>
      </c>
      <c r="AJ94" s="128">
        <v>0</v>
      </c>
      <c r="AK94" s="128">
        <v>0</v>
      </c>
      <c r="AL94" s="128">
        <v>0</v>
      </c>
      <c r="AM94" s="128">
        <v>0</v>
      </c>
      <c r="AN94" s="128">
        <v>0</v>
      </c>
      <c r="AO94" s="128">
        <v>0</v>
      </c>
      <c r="AP94" s="128">
        <v>0</v>
      </c>
      <c r="AQ94" s="128">
        <v>0</v>
      </c>
      <c r="AR94" s="128">
        <v>0</v>
      </c>
      <c r="AS94" s="128">
        <v>0</v>
      </c>
      <c r="AT94" s="128">
        <v>0</v>
      </c>
      <c r="AU94" s="128">
        <v>0</v>
      </c>
      <c r="AV94" s="128">
        <v>0</v>
      </c>
      <c r="AW94" s="128">
        <v>0</v>
      </c>
      <c r="AX94" s="128">
        <v>0</v>
      </c>
      <c r="AY94" s="128">
        <v>0</v>
      </c>
      <c r="AZ94" s="128">
        <v>0</v>
      </c>
      <c r="BA94" s="128">
        <v>0</v>
      </c>
      <c r="BB94" s="128">
        <v>0</v>
      </c>
      <c r="BC94" s="128">
        <v>0</v>
      </c>
      <c r="BD94" s="128">
        <v>0</v>
      </c>
      <c r="BE94" s="128">
        <v>0</v>
      </c>
      <c r="BF94" s="128">
        <v>0</v>
      </c>
      <c r="BG94" s="128">
        <v>0</v>
      </c>
      <c r="BH94" s="128">
        <v>0</v>
      </c>
      <c r="BI94" s="128">
        <v>0</v>
      </c>
      <c r="BJ94" s="128">
        <v>0</v>
      </c>
      <c r="BK94" s="128">
        <v>0</v>
      </c>
      <c r="BL94" s="128">
        <v>0</v>
      </c>
      <c r="BM94" s="128">
        <v>0</v>
      </c>
      <c r="BN94" s="128">
        <v>0</v>
      </c>
      <c r="BO94" s="128">
        <v>0</v>
      </c>
      <c r="BP94" s="149"/>
    </row>
    <row r="95" spans="2:69" s="111" customFormat="1" ht="12" customHeight="1" outlineLevel="1">
      <c r="C95" s="165" t="s">
        <v>33</v>
      </c>
      <c r="E95" s="112"/>
      <c r="F95" s="167" t="s">
        <v>25</v>
      </c>
      <c r="G95" s="168">
        <f>SUM(_xlfn.ANCHORARRAY(G89))</f>
        <v>0</v>
      </c>
      <c r="H95" s="169">
        <f t="shared" ref="H95:AM95" si="6">SUM(H89:H94)</f>
        <v>60132.321969696961</v>
      </c>
      <c r="I95" s="169">
        <f t="shared" si="6"/>
        <v>63914.09053030303</v>
      </c>
      <c r="J95" s="169">
        <f t="shared" si="6"/>
        <v>69057.077651515152</v>
      </c>
      <c r="K95" s="169">
        <f t="shared" si="6"/>
        <v>74545.558333333334</v>
      </c>
      <c r="L95" s="169">
        <f t="shared" si="6"/>
        <v>79688.545454545456</v>
      </c>
      <c r="M95" s="169">
        <f t="shared" si="6"/>
        <v>65275.309090909097</v>
      </c>
      <c r="N95" s="169">
        <f t="shared" si="6"/>
        <v>65945.540530303027</v>
      </c>
      <c r="O95" s="169">
        <f t="shared" si="6"/>
        <v>78055.921212121219</v>
      </c>
      <c r="P95" s="169">
        <f t="shared" si="6"/>
        <v>81072.614772727276</v>
      </c>
      <c r="Q95" s="169">
        <f t="shared" si="6"/>
        <v>98261.620454545453</v>
      </c>
      <c r="R95" s="169">
        <f t="shared" si="6"/>
        <v>111889.02613636364</v>
      </c>
      <c r="S95" s="169">
        <f t="shared" si="6"/>
        <v>61935.272522727275</v>
      </c>
      <c r="T95" s="169">
        <f t="shared" si="6"/>
        <v>62258.878215909099</v>
      </c>
      <c r="U95" s="169">
        <f t="shared" si="6"/>
        <v>66182.856284090914</v>
      </c>
      <c r="V95" s="169">
        <f t="shared" si="6"/>
        <v>71549.187670454543</v>
      </c>
      <c r="W95" s="169">
        <f t="shared" si="6"/>
        <v>77239.124750000003</v>
      </c>
      <c r="X95" s="169">
        <f t="shared" si="6"/>
        <v>82605.456136363646</v>
      </c>
      <c r="Y95" s="169">
        <f t="shared" si="6"/>
        <v>67625.209602272735</v>
      </c>
      <c r="Z95" s="169">
        <f t="shared" si="6"/>
        <v>68420.351534090922</v>
      </c>
      <c r="AA95" s="169">
        <f t="shared" si="6"/>
        <v>80961.186113636373</v>
      </c>
      <c r="AB95" s="169">
        <f t="shared" si="6"/>
        <v>84116.263806818199</v>
      </c>
      <c r="AC95" s="169">
        <f t="shared" si="6"/>
        <v>102250.83651136365</v>
      </c>
      <c r="AD95" s="169">
        <f t="shared" si="6"/>
        <v>116610.11321590911</v>
      </c>
      <c r="AE95" s="169">
        <f t="shared" si="6"/>
        <v>63185.997492613635</v>
      </c>
      <c r="AF95" s="169">
        <f t="shared" si="6"/>
        <v>63536.355410454547</v>
      </c>
      <c r="AG95" s="169">
        <f t="shared" si="6"/>
        <v>67543.715143295456</v>
      </c>
      <c r="AH95" s="169">
        <f t="shared" si="6"/>
        <v>73057.933378977279</v>
      </c>
      <c r="AI95" s="169">
        <f t="shared" si="6"/>
        <v>78922.509532500015</v>
      </c>
      <c r="AJ95" s="169">
        <f t="shared" si="6"/>
        <v>84436.727768181823</v>
      </c>
      <c r="AK95" s="169">
        <f t="shared" si="6"/>
        <v>69050.57364613637</v>
      </c>
      <c r="AL95" s="169">
        <f t="shared" si="6"/>
        <v>69856.716313295459</v>
      </c>
      <c r="AM95" s="169">
        <f t="shared" si="6"/>
        <v>82647.695886818183</v>
      </c>
      <c r="AN95" s="169">
        <f t="shared" ref="AN95:BS95" si="7">SUM(AN89:AN94)</f>
        <v>85886.155244659109</v>
      </c>
      <c r="AO95" s="169">
        <f t="shared" si="7"/>
        <v>104459.63774318184</v>
      </c>
      <c r="AP95" s="169">
        <f t="shared" si="7"/>
        <v>119182.31832170456</v>
      </c>
      <c r="AQ95" s="169">
        <f t="shared" si="7"/>
        <v>63329.820666392043</v>
      </c>
      <c r="AR95" s="169">
        <f t="shared" si="7"/>
        <v>63699.50620056819</v>
      </c>
      <c r="AS95" s="169">
        <f t="shared" si="7"/>
        <v>67718.504545994321</v>
      </c>
      <c r="AT95" s="169">
        <f t="shared" si="7"/>
        <v>73271.378014346599</v>
      </c>
      <c r="AU95" s="169">
        <f t="shared" si="7"/>
        <v>79193.937016875003</v>
      </c>
      <c r="AV95" s="169">
        <f t="shared" si="7"/>
        <v>84746.810485227266</v>
      </c>
      <c r="AW95" s="169">
        <f t="shared" si="7"/>
        <v>69252.379668920461</v>
      </c>
      <c r="AX95" s="169">
        <f t="shared" si="7"/>
        <v>70046.88372349432</v>
      </c>
      <c r="AY95" s="169">
        <f t="shared" si="7"/>
        <v>82865.090131022749</v>
      </c>
      <c r="AZ95" s="169">
        <f t="shared" si="7"/>
        <v>86122.877105198888</v>
      </c>
      <c r="BA95" s="169">
        <f t="shared" si="7"/>
        <v>104762.0314564773</v>
      </c>
      <c r="BB95" s="169">
        <f t="shared" si="7"/>
        <v>119550.38388775571</v>
      </c>
      <c r="BC95" s="169">
        <f t="shared" si="7"/>
        <v>63239.56291474773</v>
      </c>
      <c r="BD95" s="169">
        <f t="shared" si="7"/>
        <v>63617.69428153467</v>
      </c>
      <c r="BE95" s="169">
        <f t="shared" si="7"/>
        <v>67633.720289002842</v>
      </c>
      <c r="BF95" s="169">
        <f t="shared" si="7"/>
        <v>73203.485422576719</v>
      </c>
      <c r="BG95" s="169">
        <f t="shared" si="7"/>
        <v>79151.381922937508</v>
      </c>
      <c r="BH95" s="169">
        <f t="shared" si="7"/>
        <v>84721.14705651137</v>
      </c>
      <c r="BI95" s="169">
        <f t="shared" si="7"/>
        <v>69187.459415108533</v>
      </c>
      <c r="BJ95" s="169">
        <f t="shared" si="7"/>
        <v>69984.935807640344</v>
      </c>
      <c r="BK95" s="169">
        <f t="shared" si="7"/>
        <v>82782.807030726151</v>
      </c>
      <c r="BL95" s="169">
        <f t="shared" si="7"/>
        <v>86049.03983751309</v>
      </c>
      <c r="BM95" s="169">
        <f t="shared" si="7"/>
        <v>104724.94985719262</v>
      </c>
      <c r="BN95" s="169">
        <f t="shared" si="7"/>
        <v>119550.0579568722</v>
      </c>
      <c r="BO95" s="169">
        <f t="shared" si="7"/>
        <v>63209.953428335102</v>
      </c>
      <c r="BP95" s="168">
        <f t="shared" si="7"/>
        <v>0</v>
      </c>
      <c r="BQ95" s="123"/>
    </row>
    <row r="96" spans="2:69" outlineLevel="1"/>
    <row r="97" spans="2:69" ht="12" customHeight="1" outlineLevel="1">
      <c r="B97" s="160" t="s">
        <v>34</v>
      </c>
      <c r="E97" s="182"/>
      <c r="F97" s="183"/>
    </row>
    <row r="98" spans="2:69" outlineLevel="1">
      <c r="C98" s="101" t="str">
        <f t="array" ref="C98:C103">cust</f>
        <v>Michael’s Market Goods</v>
      </c>
      <c r="D98" s="184">
        <f t="array" ref="D98:D103">inpal</f>
        <v>2400</v>
      </c>
      <c r="E98" s="176" t="str">
        <f>Assumptions!G24</f>
        <v>Initial Balance (Pallets)</v>
      </c>
      <c r="F98" s="183" t="s">
        <v>30</v>
      </c>
      <c r="G98" s="132">
        <f t="array" ref="G98:G103">_xlfn.ANCHORARRAY(D98)</f>
        <v>2400</v>
      </c>
      <c r="H98" s="185">
        <f t="shared" ref="H98:AM98" si="8">IF(H35=0,
IF(I35=H35,0,$D98),
G98+H89-H80)</f>
        <v>4049.5833333333321</v>
      </c>
      <c r="I98" s="185">
        <f t="shared" si="8"/>
        <v>5732.6041666666679</v>
      </c>
      <c r="J98" s="185">
        <f t="shared" si="8"/>
        <v>8597.0833333333321</v>
      </c>
      <c r="K98" s="185">
        <f t="shared" si="8"/>
        <v>12676.458333333339</v>
      </c>
      <c r="L98" s="185">
        <f t="shared" si="8"/>
        <v>15708.125000000007</v>
      </c>
      <c r="M98" s="185">
        <f t="shared" si="8"/>
        <v>9622.5000000000073</v>
      </c>
      <c r="N98" s="185">
        <f t="shared" si="8"/>
        <v>9076.3541666666752</v>
      </c>
      <c r="O98" s="185">
        <f t="shared" si="8"/>
        <v>13088.854166666675</v>
      </c>
      <c r="P98" s="185">
        <f t="shared" si="8"/>
        <v>14905.625000000004</v>
      </c>
      <c r="Q98" s="185">
        <f t="shared" si="8"/>
        <v>19051.875</v>
      </c>
      <c r="R98" s="185">
        <f t="shared" si="8"/>
        <v>23298.4375</v>
      </c>
      <c r="S98" s="185">
        <f t="shared" si="8"/>
        <v>11286.015625</v>
      </c>
      <c r="T98" s="185">
        <f t="shared" si="8"/>
        <v>13018.078125</v>
      </c>
      <c r="U98" s="185">
        <f t="shared" si="8"/>
        <v>14785.25</v>
      </c>
      <c r="V98" s="185">
        <f t="shared" si="8"/>
        <v>17792.953125</v>
      </c>
      <c r="W98" s="185">
        <f t="shared" si="8"/>
        <v>22076.296875</v>
      </c>
      <c r="X98" s="185">
        <f t="shared" si="8"/>
        <v>25259.546874999996</v>
      </c>
      <c r="Y98" s="185">
        <f t="shared" si="8"/>
        <v>18869.640625</v>
      </c>
      <c r="Z98" s="185">
        <f t="shared" si="8"/>
        <v>18296.1875</v>
      </c>
      <c r="AA98" s="185">
        <f t="shared" si="8"/>
        <v>22509.3125</v>
      </c>
      <c r="AB98" s="185">
        <f t="shared" si="8"/>
        <v>24416.921875</v>
      </c>
      <c r="AC98" s="185">
        <f t="shared" si="8"/>
        <v>28770.484375</v>
      </c>
      <c r="AD98" s="185">
        <f t="shared" si="8"/>
        <v>33229.375</v>
      </c>
      <c r="AE98" s="185">
        <f t="shared" si="8"/>
        <v>20616.33203125</v>
      </c>
      <c r="AF98" s="185">
        <f t="shared" si="8"/>
        <v>22434.997656250001</v>
      </c>
      <c r="AG98" s="185">
        <f t="shared" si="8"/>
        <v>24290.528124999997</v>
      </c>
      <c r="AH98" s="185">
        <f t="shared" si="8"/>
        <v>27448.616406250003</v>
      </c>
      <c r="AI98" s="185">
        <f t="shared" si="8"/>
        <v>31946.127343750006</v>
      </c>
      <c r="AJ98" s="185">
        <f t="shared" si="8"/>
        <v>35288.539843750012</v>
      </c>
      <c r="AK98" s="185">
        <f t="shared" si="8"/>
        <v>28579.138281250009</v>
      </c>
      <c r="AL98" s="185">
        <f t="shared" si="8"/>
        <v>27977.012500000012</v>
      </c>
      <c r="AM98" s="185">
        <f t="shared" si="8"/>
        <v>32400.793750000012</v>
      </c>
      <c r="AN98" s="185">
        <f t="shared" ref="AN98:BO98" si="9">IF(AN35=0,
IF(AO35=AN35,0,$D98),
AM98+AN89-AN80)</f>
        <v>34403.783593750013</v>
      </c>
      <c r="AO98" s="185">
        <f t="shared" si="9"/>
        <v>38975.024218750012</v>
      </c>
      <c r="AP98" s="185">
        <f t="shared" si="9"/>
        <v>43656.859375000015</v>
      </c>
      <c r="AQ98" s="185">
        <f t="shared" si="9"/>
        <v>30033.456367187515</v>
      </c>
      <c r="AR98" s="185">
        <f t="shared" si="9"/>
        <v>31906.681960937516</v>
      </c>
      <c r="AS98" s="185">
        <f t="shared" si="9"/>
        <v>33817.878343750017</v>
      </c>
      <c r="AT98" s="185">
        <f t="shared" si="9"/>
        <v>37070.709273437518</v>
      </c>
      <c r="AU98" s="185">
        <f t="shared" si="9"/>
        <v>41703.145539062527</v>
      </c>
      <c r="AV98" s="185">
        <f t="shared" si="9"/>
        <v>45145.830414062526</v>
      </c>
      <c r="AW98" s="185">
        <f t="shared" si="9"/>
        <v>38235.146804687538</v>
      </c>
      <c r="AX98" s="185">
        <f t="shared" si="9"/>
        <v>37614.957250000036</v>
      </c>
      <c r="AY98" s="185">
        <f t="shared" si="9"/>
        <v>42171.451937500038</v>
      </c>
      <c r="AZ98" s="185">
        <f t="shared" si="9"/>
        <v>44234.531476562537</v>
      </c>
      <c r="BA98" s="185">
        <f t="shared" si="9"/>
        <v>48942.90932031253</v>
      </c>
      <c r="BB98" s="185">
        <f t="shared" si="9"/>
        <v>53765.199531250037</v>
      </c>
      <c r="BC98" s="185">
        <f t="shared" si="9"/>
        <v>39537.544869531281</v>
      </c>
      <c r="BD98" s="185">
        <f t="shared" si="9"/>
        <v>41448.23497515628</v>
      </c>
      <c r="BE98" s="185">
        <f t="shared" si="9"/>
        <v>43397.655285625027</v>
      </c>
      <c r="BF98" s="185">
        <f t="shared" si="9"/>
        <v>46715.542833906271</v>
      </c>
      <c r="BG98" s="185">
        <f t="shared" si="9"/>
        <v>51440.627824843774</v>
      </c>
      <c r="BH98" s="185">
        <f t="shared" si="9"/>
        <v>54952.166397343768</v>
      </c>
      <c r="BI98" s="185">
        <f t="shared" si="9"/>
        <v>47903.269115781266</v>
      </c>
      <c r="BJ98" s="185">
        <f t="shared" si="9"/>
        <v>47270.675770000009</v>
      </c>
      <c r="BK98" s="185">
        <f t="shared" si="9"/>
        <v>51918.300351250007</v>
      </c>
      <c r="BL98" s="185">
        <f t="shared" si="9"/>
        <v>54022.641481093757</v>
      </c>
      <c r="BM98" s="185">
        <f t="shared" si="9"/>
        <v>58825.186881718764</v>
      </c>
      <c r="BN98" s="185">
        <f t="shared" si="9"/>
        <v>63743.922896875025</v>
      </c>
      <c r="BO98" s="185">
        <f t="shared" si="9"/>
        <v>49231.715141921886</v>
      </c>
      <c r="BP98" s="149"/>
    </row>
    <row r="99" spans="2:69" outlineLevel="1">
      <c r="C99" s="101" t="str">
        <v>Andrew Digital Commerce</v>
      </c>
      <c r="D99" s="186">
        <v>2100</v>
      </c>
      <c r="E99" s="179" t="str">
        <f>Assumptions!G24</f>
        <v>Initial Balance (Pallets)</v>
      </c>
      <c r="F99" s="183" t="s">
        <v>30</v>
      </c>
      <c r="G99" s="132">
        <v>2100</v>
      </c>
      <c r="H99" s="185">
        <f t="shared" ref="H99:AM99" si="10">IF(H36=0,
IF(I36=H36,0,$D99),
G99+H90-H81)</f>
        <v>1075.2000000000007</v>
      </c>
      <c r="I99" s="185">
        <f t="shared" si="10"/>
        <v>2620.7999999999993</v>
      </c>
      <c r="J99" s="185">
        <f t="shared" si="10"/>
        <v>4216.8000000000011</v>
      </c>
      <c r="K99" s="185">
        <f t="shared" si="10"/>
        <v>4082.3999999999996</v>
      </c>
      <c r="L99" s="185">
        <f t="shared" si="10"/>
        <v>5678.4</v>
      </c>
      <c r="M99" s="185">
        <f t="shared" si="10"/>
        <v>5543.9999999999982</v>
      </c>
      <c r="N99" s="185">
        <f t="shared" si="10"/>
        <v>9811.1999999999989</v>
      </c>
      <c r="O99" s="185">
        <f t="shared" si="10"/>
        <v>13389.600000000004</v>
      </c>
      <c r="P99" s="185">
        <f t="shared" si="10"/>
        <v>15338.400000000005</v>
      </c>
      <c r="Q99" s="185">
        <f t="shared" si="10"/>
        <v>28022.400000000005</v>
      </c>
      <c r="R99" s="185">
        <f t="shared" si="10"/>
        <v>37800.000000000015</v>
      </c>
      <c r="S99" s="185">
        <f t="shared" si="10"/>
        <v>14997.360000000008</v>
      </c>
      <c r="T99" s="185">
        <f t="shared" si="10"/>
        <v>13911.072000000011</v>
      </c>
      <c r="U99" s="185">
        <f t="shared" si="10"/>
        <v>15549.40800000001</v>
      </c>
      <c r="V99" s="185">
        <f t="shared" si="10"/>
        <v>17241.168000000012</v>
      </c>
      <c r="W99" s="185">
        <f t="shared" si="10"/>
        <v>17098.704000000016</v>
      </c>
      <c r="X99" s="185">
        <f t="shared" si="10"/>
        <v>18790.464000000014</v>
      </c>
      <c r="Y99" s="185">
        <f t="shared" si="10"/>
        <v>18648.000000000018</v>
      </c>
      <c r="Z99" s="185">
        <f t="shared" si="10"/>
        <v>23171.232000000018</v>
      </c>
      <c r="AA99" s="185">
        <f t="shared" si="10"/>
        <v>26964.336000000018</v>
      </c>
      <c r="AB99" s="185">
        <f t="shared" si="10"/>
        <v>29030.064000000017</v>
      </c>
      <c r="AC99" s="185">
        <f t="shared" si="10"/>
        <v>42475.104000000021</v>
      </c>
      <c r="AD99" s="185">
        <f t="shared" si="10"/>
        <v>52839.360000000037</v>
      </c>
      <c r="AE99" s="185">
        <f t="shared" si="10"/>
        <v>28102.267200000024</v>
      </c>
      <c r="AF99" s="185">
        <f t="shared" si="10"/>
        <v>26994.253440000022</v>
      </c>
      <c r="AG99" s="185">
        <f t="shared" si="10"/>
        <v>28665.356160000018</v>
      </c>
      <c r="AH99" s="185">
        <f t="shared" si="10"/>
        <v>30390.951360000014</v>
      </c>
      <c r="AI99" s="185">
        <f t="shared" si="10"/>
        <v>30245.638080000019</v>
      </c>
      <c r="AJ99" s="185">
        <f t="shared" si="10"/>
        <v>31971.233280000022</v>
      </c>
      <c r="AK99" s="185">
        <f t="shared" si="10"/>
        <v>31825.920000000027</v>
      </c>
      <c r="AL99" s="185">
        <f t="shared" si="10"/>
        <v>36439.616640000029</v>
      </c>
      <c r="AM99" s="185">
        <f t="shared" si="10"/>
        <v>40308.582720000035</v>
      </c>
      <c r="AN99" s="185">
        <f t="shared" ref="AN99:BO99" si="11">IF(AN36=0,
IF(AO36=AN36,0,$D99),
AM99+AN90-AN81)</f>
        <v>42415.625280000037</v>
      </c>
      <c r="AO99" s="185">
        <f t="shared" si="11"/>
        <v>56129.566080000041</v>
      </c>
      <c r="AP99" s="185">
        <f t="shared" si="11"/>
        <v>66701.107200000042</v>
      </c>
      <c r="AQ99" s="185">
        <f t="shared" si="11"/>
        <v>41180.462400000033</v>
      </c>
      <c r="AR99" s="185">
        <f t="shared" si="11"/>
        <v>40072.448640000039</v>
      </c>
      <c r="AS99" s="185">
        <f t="shared" si="11"/>
        <v>41743.551360000034</v>
      </c>
      <c r="AT99" s="185">
        <f t="shared" si="11"/>
        <v>43469.14656000003</v>
      </c>
      <c r="AU99" s="185">
        <f t="shared" si="11"/>
        <v>43323.833280000035</v>
      </c>
      <c r="AV99" s="185">
        <f t="shared" si="11"/>
        <v>45049.428480000039</v>
      </c>
      <c r="AW99" s="185">
        <f t="shared" si="11"/>
        <v>44904.115200000044</v>
      </c>
      <c r="AX99" s="185">
        <f t="shared" si="11"/>
        <v>49517.811840000046</v>
      </c>
      <c r="AY99" s="185">
        <f t="shared" si="11"/>
        <v>53386.777920000051</v>
      </c>
      <c r="AZ99" s="185">
        <f t="shared" si="11"/>
        <v>55493.820480000068</v>
      </c>
      <c r="BA99" s="185">
        <f t="shared" si="11"/>
        <v>69207.761280000064</v>
      </c>
      <c r="BB99" s="185">
        <f t="shared" si="11"/>
        <v>79779.302400000073</v>
      </c>
      <c r="BC99" s="185">
        <f t="shared" si="11"/>
        <v>54258.657600000064</v>
      </c>
      <c r="BD99" s="185">
        <f t="shared" si="11"/>
        <v>53150.64384000007</v>
      </c>
      <c r="BE99" s="185">
        <f t="shared" si="11"/>
        <v>54821.746560000065</v>
      </c>
      <c r="BF99" s="185">
        <f t="shared" si="11"/>
        <v>56547.341760000061</v>
      </c>
      <c r="BG99" s="185">
        <f t="shared" si="11"/>
        <v>56402.028480000059</v>
      </c>
      <c r="BH99" s="185">
        <f t="shared" si="11"/>
        <v>58127.623680000055</v>
      </c>
      <c r="BI99" s="185">
        <f t="shared" si="11"/>
        <v>57982.310400000053</v>
      </c>
      <c r="BJ99" s="185">
        <f t="shared" si="11"/>
        <v>62596.007040000062</v>
      </c>
      <c r="BK99" s="185">
        <f t="shared" si="11"/>
        <v>66464.973120000068</v>
      </c>
      <c r="BL99" s="185">
        <f t="shared" si="11"/>
        <v>68572.015680000084</v>
      </c>
      <c r="BM99" s="185">
        <f t="shared" si="11"/>
        <v>82285.956480000081</v>
      </c>
      <c r="BN99" s="185">
        <f t="shared" si="11"/>
        <v>92857.49760000009</v>
      </c>
      <c r="BO99" s="185">
        <f t="shared" si="11"/>
        <v>67336.852800000081</v>
      </c>
      <c r="BP99" s="149"/>
    </row>
    <row r="100" spans="2:69" outlineLevel="1">
      <c r="C100" s="101" t="str">
        <v>Anup Industrial Systems</v>
      </c>
      <c r="D100" s="186">
        <v>1800</v>
      </c>
      <c r="E100" s="179" t="str">
        <f>Assumptions!G24</f>
        <v>Initial Balance (Pallets)</v>
      </c>
      <c r="F100" s="183" t="s">
        <v>30</v>
      </c>
      <c r="G100" s="132">
        <v>1800</v>
      </c>
      <c r="H100" s="185">
        <f t="shared" ref="H100:AM100" si="12">IF(H37=0,
IF(I37=H37,0,$D100),
G100+H91-H82)</f>
        <v>1943.9249999999993</v>
      </c>
      <c r="I100" s="185">
        <f t="shared" si="12"/>
        <v>2852.9249999999993</v>
      </c>
      <c r="J100" s="185">
        <f t="shared" si="12"/>
        <v>3004.4249999999993</v>
      </c>
      <c r="K100" s="185">
        <f t="shared" si="12"/>
        <v>3155.9249999999993</v>
      </c>
      <c r="L100" s="185">
        <f t="shared" si="12"/>
        <v>3307.4249999999993</v>
      </c>
      <c r="M100" s="185">
        <f t="shared" si="12"/>
        <v>2693.8499999999985</v>
      </c>
      <c r="N100" s="185">
        <f t="shared" si="12"/>
        <v>2072.6999999999971</v>
      </c>
      <c r="O100" s="185">
        <f t="shared" si="12"/>
        <v>5269.3500000000022</v>
      </c>
      <c r="P100" s="185">
        <f t="shared" si="12"/>
        <v>5436.0000000000036</v>
      </c>
      <c r="Q100" s="185">
        <f t="shared" si="12"/>
        <v>4837.5750000000007</v>
      </c>
      <c r="R100" s="185">
        <f t="shared" si="12"/>
        <v>4231.5750000000007</v>
      </c>
      <c r="S100" s="185">
        <f t="shared" si="12"/>
        <v>3690.6821249999994</v>
      </c>
      <c r="T100" s="185">
        <f t="shared" si="12"/>
        <v>3835.3267500000002</v>
      </c>
      <c r="U100" s="185">
        <f t="shared" si="12"/>
        <v>4748.8717500000021</v>
      </c>
      <c r="V100" s="185">
        <f t="shared" si="12"/>
        <v>4901.12925</v>
      </c>
      <c r="W100" s="185">
        <f t="shared" si="12"/>
        <v>5053.3867499999997</v>
      </c>
      <c r="X100" s="185">
        <f t="shared" si="12"/>
        <v>5205.6442499999994</v>
      </c>
      <c r="Y100" s="185">
        <f t="shared" si="12"/>
        <v>4589.0013750000016</v>
      </c>
      <c r="Z100" s="185">
        <f t="shared" si="12"/>
        <v>3964.7456249999996</v>
      </c>
      <c r="AA100" s="185">
        <f t="shared" si="12"/>
        <v>7177.378875000004</v>
      </c>
      <c r="AB100" s="185">
        <f t="shared" si="12"/>
        <v>7344.8621250000033</v>
      </c>
      <c r="AC100" s="185">
        <f t="shared" si="12"/>
        <v>6743.4450000000033</v>
      </c>
      <c r="AD100" s="185">
        <f t="shared" si="12"/>
        <v>6134.4150000000009</v>
      </c>
      <c r="AE100" s="185">
        <f t="shared" si="12"/>
        <v>5517.7721250000013</v>
      </c>
      <c r="AF100" s="185">
        <f t="shared" si="12"/>
        <v>5662.4167500000003</v>
      </c>
      <c r="AG100" s="185">
        <f t="shared" si="12"/>
        <v>6575.9617499999986</v>
      </c>
      <c r="AH100" s="185">
        <f t="shared" si="12"/>
        <v>6728.2192499999965</v>
      </c>
      <c r="AI100" s="185">
        <f t="shared" si="12"/>
        <v>6880.4767499999962</v>
      </c>
      <c r="AJ100" s="185">
        <f t="shared" si="12"/>
        <v>7032.7342499999959</v>
      </c>
      <c r="AK100" s="185">
        <f t="shared" si="12"/>
        <v>6416.0913749999982</v>
      </c>
      <c r="AL100" s="185">
        <f t="shared" si="12"/>
        <v>5791.8356249999961</v>
      </c>
      <c r="AM100" s="185">
        <f t="shared" si="12"/>
        <v>9004.4688750000005</v>
      </c>
      <c r="AN100" s="185">
        <f t="shared" ref="AN100:BO100" si="13">IF(AN37=0,
IF(AO37=AN37,0,$D100),
AM100+AN91-AN82)</f>
        <v>9171.9521249999998</v>
      </c>
      <c r="AO100" s="185">
        <f t="shared" si="13"/>
        <v>8570.5349999999999</v>
      </c>
      <c r="AP100" s="185">
        <f t="shared" si="13"/>
        <v>7961.5049999999974</v>
      </c>
      <c r="AQ100" s="185">
        <f t="shared" si="13"/>
        <v>7198.771053749997</v>
      </c>
      <c r="AR100" s="185">
        <f t="shared" si="13"/>
        <v>7341.9692324999978</v>
      </c>
      <c r="AS100" s="185">
        <f t="shared" si="13"/>
        <v>8246.3787824999981</v>
      </c>
      <c r="AT100" s="185">
        <f t="shared" si="13"/>
        <v>8397.1137074999988</v>
      </c>
      <c r="AU100" s="185">
        <f t="shared" si="13"/>
        <v>8547.8486324999994</v>
      </c>
      <c r="AV100" s="185">
        <f t="shared" si="13"/>
        <v>8698.5835575000001</v>
      </c>
      <c r="AW100" s="185">
        <f t="shared" si="13"/>
        <v>8088.1071112500013</v>
      </c>
      <c r="AX100" s="185">
        <f t="shared" si="13"/>
        <v>7470.0939187500026</v>
      </c>
      <c r="AY100" s="185">
        <f t="shared" si="13"/>
        <v>10650.600836250002</v>
      </c>
      <c r="AZ100" s="185">
        <f t="shared" si="13"/>
        <v>10816.409253750004</v>
      </c>
      <c r="BA100" s="185">
        <f t="shared" si="13"/>
        <v>10221.006300000005</v>
      </c>
      <c r="BB100" s="185">
        <f t="shared" si="13"/>
        <v>9618.0666000000056</v>
      </c>
      <c r="BC100" s="185">
        <f t="shared" si="13"/>
        <v>8790.6449129437551</v>
      </c>
      <c r="BD100" s="185">
        <f t="shared" si="13"/>
        <v>8931.6951190125055</v>
      </c>
      <c r="BE100" s="185">
        <f t="shared" si="13"/>
        <v>9822.5385257625076</v>
      </c>
      <c r="BF100" s="185">
        <f t="shared" si="13"/>
        <v>9971.0124268875061</v>
      </c>
      <c r="BG100" s="185">
        <f t="shared" si="13"/>
        <v>10119.486328012505</v>
      </c>
      <c r="BH100" s="185">
        <f t="shared" si="13"/>
        <v>10267.960229137503</v>
      </c>
      <c r="BI100" s="185">
        <f t="shared" si="13"/>
        <v>9666.6409295812537</v>
      </c>
      <c r="BJ100" s="185">
        <f t="shared" si="13"/>
        <v>9057.8979349687561</v>
      </c>
      <c r="BK100" s="185">
        <f t="shared" si="13"/>
        <v>12190.697248706258</v>
      </c>
      <c r="BL100" s="185">
        <f t="shared" si="13"/>
        <v>12354.018539943758</v>
      </c>
      <c r="BM100" s="185">
        <f t="shared" si="13"/>
        <v>11767.546630500008</v>
      </c>
      <c r="BN100" s="185">
        <f t="shared" si="13"/>
        <v>11173.651026000007</v>
      </c>
      <c r="BO100" s="185">
        <f t="shared" si="13"/>
        <v>10358.640664249599</v>
      </c>
      <c r="BP100" s="149"/>
    </row>
    <row r="101" spans="2:69" outlineLevel="1">
      <c r="C101" s="101" t="str">
        <v>Joseph Retail Group</v>
      </c>
      <c r="D101" s="186">
        <v>2700</v>
      </c>
      <c r="E101" s="179" t="str">
        <f>Assumptions!G24</f>
        <v>Initial Balance (Pallets)</v>
      </c>
      <c r="F101" s="183" t="s">
        <v>30</v>
      </c>
      <c r="G101" s="132">
        <v>2700</v>
      </c>
      <c r="H101" s="185">
        <f t="shared" ref="H101:AM101" si="14">IF(H38=0,
IF(I38=H38,0,$D101),
G101+H92-H83)</f>
        <v>3327.2727272727261</v>
      </c>
      <c r="I101" s="185">
        <f t="shared" si="14"/>
        <v>3954.545454545454</v>
      </c>
      <c r="J101" s="185">
        <f t="shared" si="14"/>
        <v>5209.0909090909081</v>
      </c>
      <c r="K101" s="185">
        <f t="shared" si="14"/>
        <v>7090.9090909090901</v>
      </c>
      <c r="L101" s="185">
        <f t="shared" si="14"/>
        <v>8345.4545454545441</v>
      </c>
      <c r="M101" s="185">
        <f t="shared" si="14"/>
        <v>4581.8181818181783</v>
      </c>
      <c r="N101" s="185">
        <f t="shared" si="14"/>
        <v>3954.5454545454522</v>
      </c>
      <c r="O101" s="185">
        <f t="shared" si="14"/>
        <v>5836.363636363636</v>
      </c>
      <c r="P101" s="185">
        <f t="shared" si="14"/>
        <v>6463.6363636363621</v>
      </c>
      <c r="Q101" s="185">
        <f t="shared" si="14"/>
        <v>8345.4545454545441</v>
      </c>
      <c r="R101" s="185">
        <f t="shared" si="14"/>
        <v>10227.272727272726</v>
      </c>
      <c r="S101" s="185">
        <f t="shared" si="14"/>
        <v>2323.636363636364</v>
      </c>
      <c r="T101" s="185">
        <f t="shared" si="14"/>
        <v>2925.818181818182</v>
      </c>
      <c r="U101" s="185">
        <f t="shared" si="14"/>
        <v>3528.0000000000018</v>
      </c>
      <c r="V101" s="185">
        <f t="shared" si="14"/>
        <v>4732.3636363636379</v>
      </c>
      <c r="W101" s="185">
        <f t="shared" si="14"/>
        <v>6538.9090909090937</v>
      </c>
      <c r="X101" s="185">
        <f t="shared" si="14"/>
        <v>7743.2727272727279</v>
      </c>
      <c r="Y101" s="185">
        <f t="shared" si="14"/>
        <v>4130.1818181818198</v>
      </c>
      <c r="Z101" s="185">
        <f t="shared" si="14"/>
        <v>3528.0000000000018</v>
      </c>
      <c r="AA101" s="185">
        <f t="shared" si="14"/>
        <v>5334.5454545454559</v>
      </c>
      <c r="AB101" s="185">
        <f t="shared" si="14"/>
        <v>5936.7272727272757</v>
      </c>
      <c r="AC101" s="185">
        <f t="shared" si="14"/>
        <v>7743.2727272727298</v>
      </c>
      <c r="AD101" s="185">
        <f t="shared" si="14"/>
        <v>9549.8181818181838</v>
      </c>
      <c r="AE101" s="185">
        <f t="shared" si="14"/>
        <v>1781.6727272727276</v>
      </c>
      <c r="AF101" s="185">
        <f t="shared" si="14"/>
        <v>2347.7236363636384</v>
      </c>
      <c r="AG101" s="185">
        <f t="shared" si="14"/>
        <v>2913.7745454545457</v>
      </c>
      <c r="AH101" s="185">
        <f t="shared" si="14"/>
        <v>4045.8763636363637</v>
      </c>
      <c r="AI101" s="185">
        <f t="shared" si="14"/>
        <v>5744.0290909090927</v>
      </c>
      <c r="AJ101" s="185">
        <f t="shared" si="14"/>
        <v>6876.1309090909108</v>
      </c>
      <c r="AK101" s="185">
        <f t="shared" si="14"/>
        <v>3479.8254545454565</v>
      </c>
      <c r="AL101" s="185">
        <f t="shared" si="14"/>
        <v>2913.7745454545457</v>
      </c>
      <c r="AM101" s="185">
        <f t="shared" si="14"/>
        <v>4611.9272727272728</v>
      </c>
      <c r="AN101" s="185">
        <f t="shared" ref="AN101:BO101" si="15">IF(AN38=0,
IF(AO38=AN38,0,$D101),
AM101+AN92-AN83)</f>
        <v>5177.9781818181837</v>
      </c>
      <c r="AO101" s="185">
        <f t="shared" si="15"/>
        <v>6876.1309090909126</v>
      </c>
      <c r="AP101" s="185">
        <f t="shared" si="15"/>
        <v>8574.2836363636361</v>
      </c>
      <c r="AQ101" s="185">
        <f t="shared" si="15"/>
        <v>1102.4116363636367</v>
      </c>
      <c r="AR101" s="185">
        <f t="shared" si="15"/>
        <v>1623.1784727272734</v>
      </c>
      <c r="AS101" s="185">
        <f t="shared" si="15"/>
        <v>2143.9453090909101</v>
      </c>
      <c r="AT101" s="185">
        <f t="shared" si="15"/>
        <v>3185.4789818181816</v>
      </c>
      <c r="AU101" s="185">
        <f t="shared" si="15"/>
        <v>4747.7794909090935</v>
      </c>
      <c r="AV101" s="185">
        <f t="shared" si="15"/>
        <v>5789.3131636363669</v>
      </c>
      <c r="AW101" s="185">
        <f t="shared" si="15"/>
        <v>2664.7121454545486</v>
      </c>
      <c r="AX101" s="185">
        <f t="shared" si="15"/>
        <v>2143.9453090909119</v>
      </c>
      <c r="AY101" s="185">
        <f t="shared" si="15"/>
        <v>3706.2458181818201</v>
      </c>
      <c r="AZ101" s="185">
        <f t="shared" si="15"/>
        <v>4227.0126545454586</v>
      </c>
      <c r="BA101" s="185">
        <f t="shared" si="15"/>
        <v>5789.3131636363669</v>
      </c>
      <c r="BB101" s="185">
        <f t="shared" si="15"/>
        <v>7351.6136727272751</v>
      </c>
      <c r="BC101" s="185">
        <f t="shared" si="15"/>
        <v>555.60645818181911</v>
      </c>
      <c r="BD101" s="185">
        <f t="shared" si="15"/>
        <v>1039.919616000001</v>
      </c>
      <c r="BE101" s="185">
        <f t="shared" si="15"/>
        <v>1524.2327738181821</v>
      </c>
      <c r="BF101" s="185">
        <f t="shared" si="15"/>
        <v>2492.8590894545432</v>
      </c>
      <c r="BG101" s="185">
        <f t="shared" si="15"/>
        <v>3945.7985629090908</v>
      </c>
      <c r="BH101" s="185">
        <f t="shared" si="15"/>
        <v>4914.4248785454529</v>
      </c>
      <c r="BI101" s="185">
        <f t="shared" si="15"/>
        <v>2008.5459316363631</v>
      </c>
      <c r="BJ101" s="185">
        <f t="shared" si="15"/>
        <v>1524.2327738181812</v>
      </c>
      <c r="BK101" s="185">
        <f t="shared" si="15"/>
        <v>2977.172247272727</v>
      </c>
      <c r="BL101" s="185">
        <f t="shared" si="15"/>
        <v>3461.4854050909089</v>
      </c>
      <c r="BM101" s="185">
        <f t="shared" si="15"/>
        <v>4914.4248785454529</v>
      </c>
      <c r="BN101" s="185">
        <f t="shared" si="15"/>
        <v>6367.3643520000005</v>
      </c>
      <c r="BO101" s="185">
        <f t="shared" si="15"/>
        <v>47.077642472724619</v>
      </c>
      <c r="BP101" s="149"/>
    </row>
    <row r="102" spans="2:69" outlineLevel="1">
      <c r="C102" s="101" t="str">
        <v>Dim Collective</v>
      </c>
      <c r="D102" s="186">
        <v>900</v>
      </c>
      <c r="E102" s="179" t="str">
        <f>Assumptions!G24</f>
        <v>Initial Balance (Pallets)</v>
      </c>
      <c r="F102" s="183" t="s">
        <v>30</v>
      </c>
      <c r="G102" s="132">
        <v>900</v>
      </c>
      <c r="H102" s="185">
        <f t="shared" ref="H102:AM102" si="16">IF(H39=0,
IF(I39=H39,0,$D102),
G102+H93-H84)</f>
        <v>1641</v>
      </c>
      <c r="I102" s="185">
        <f t="shared" si="16"/>
        <v>2408</v>
      </c>
      <c r="J102" s="185">
        <f t="shared" si="16"/>
        <v>3552</v>
      </c>
      <c r="K102" s="185">
        <f t="shared" si="16"/>
        <v>5099</v>
      </c>
      <c r="L102" s="185">
        <f t="shared" si="16"/>
        <v>6373</v>
      </c>
      <c r="M102" s="185">
        <f t="shared" si="16"/>
        <v>4891</v>
      </c>
      <c r="N102" s="185">
        <f t="shared" si="16"/>
        <v>5008</v>
      </c>
      <c r="O102" s="185">
        <f t="shared" si="16"/>
        <v>6503</v>
      </c>
      <c r="P102" s="185">
        <f t="shared" si="16"/>
        <v>7374</v>
      </c>
      <c r="Q102" s="185">
        <f t="shared" si="16"/>
        <v>8973</v>
      </c>
      <c r="R102" s="185">
        <f t="shared" si="16"/>
        <v>10650</v>
      </c>
      <c r="S102" s="185">
        <f t="shared" si="16"/>
        <v>7929.75</v>
      </c>
      <c r="T102" s="185">
        <f t="shared" si="16"/>
        <v>8781.9000000000015</v>
      </c>
      <c r="U102" s="185">
        <f t="shared" si="16"/>
        <v>9663.9500000000007</v>
      </c>
      <c r="V102" s="185">
        <f t="shared" si="16"/>
        <v>10979.550000000003</v>
      </c>
      <c r="W102" s="185">
        <f t="shared" si="16"/>
        <v>12758.600000000006</v>
      </c>
      <c r="X102" s="185">
        <f t="shared" si="16"/>
        <v>14223.700000000003</v>
      </c>
      <c r="Y102" s="185">
        <f t="shared" si="16"/>
        <v>12519.400000000001</v>
      </c>
      <c r="Z102" s="185">
        <f t="shared" si="16"/>
        <v>12653.95</v>
      </c>
      <c r="AA102" s="185">
        <f t="shared" si="16"/>
        <v>14373.2</v>
      </c>
      <c r="AB102" s="185">
        <f t="shared" si="16"/>
        <v>15374.850000000002</v>
      </c>
      <c r="AC102" s="185">
        <f t="shared" si="16"/>
        <v>17213.700000000004</v>
      </c>
      <c r="AD102" s="185">
        <f t="shared" si="16"/>
        <v>19142.250000000007</v>
      </c>
      <c r="AE102" s="185">
        <f t="shared" si="16"/>
        <v>15711.225000000008</v>
      </c>
      <c r="AF102" s="185">
        <f t="shared" si="16"/>
        <v>16648.590000000011</v>
      </c>
      <c r="AG102" s="185">
        <f t="shared" si="16"/>
        <v>17618.845000000012</v>
      </c>
      <c r="AH102" s="185">
        <f t="shared" si="16"/>
        <v>19066.005000000012</v>
      </c>
      <c r="AI102" s="185">
        <f t="shared" si="16"/>
        <v>21022.960000000014</v>
      </c>
      <c r="AJ102" s="185">
        <f t="shared" si="16"/>
        <v>22634.570000000014</v>
      </c>
      <c r="AK102" s="185">
        <f t="shared" si="16"/>
        <v>20759.840000000011</v>
      </c>
      <c r="AL102" s="185">
        <f t="shared" si="16"/>
        <v>20907.845000000012</v>
      </c>
      <c r="AM102" s="185">
        <f t="shared" si="16"/>
        <v>22799.020000000015</v>
      </c>
      <c r="AN102" s="185">
        <f t="shared" ref="AN102:BO102" si="17">IF(AN39=0,
IF(AO39=AN39,0,$D102),
AM102+AN93-AN84)</f>
        <v>23900.835000000014</v>
      </c>
      <c r="AO102" s="185">
        <f t="shared" si="17"/>
        <v>25923.570000000014</v>
      </c>
      <c r="AP102" s="185">
        <f t="shared" si="17"/>
        <v>28044.97500000002</v>
      </c>
      <c r="AQ102" s="185">
        <f t="shared" si="17"/>
        <v>24004.438500000018</v>
      </c>
      <c r="AR102" s="185">
        <f t="shared" si="17"/>
        <v>24998.045400000021</v>
      </c>
      <c r="AS102" s="185">
        <f t="shared" si="17"/>
        <v>26026.515700000025</v>
      </c>
      <c r="AT102" s="185">
        <f t="shared" si="17"/>
        <v>27560.505300000023</v>
      </c>
      <c r="AU102" s="185">
        <f t="shared" si="17"/>
        <v>29634.877600000022</v>
      </c>
      <c r="AV102" s="185">
        <f t="shared" si="17"/>
        <v>31343.184200000018</v>
      </c>
      <c r="AW102" s="185">
        <f t="shared" si="17"/>
        <v>29355.970400000024</v>
      </c>
      <c r="AX102" s="185">
        <f t="shared" si="17"/>
        <v>29512.855700000029</v>
      </c>
      <c r="AY102" s="185">
        <f t="shared" si="17"/>
        <v>31517.501200000032</v>
      </c>
      <c r="AZ102" s="185">
        <f t="shared" si="17"/>
        <v>32685.425100000037</v>
      </c>
      <c r="BA102" s="185">
        <f t="shared" si="17"/>
        <v>34829.524200000036</v>
      </c>
      <c r="BB102" s="185">
        <f t="shared" si="17"/>
        <v>37078.213500000042</v>
      </c>
      <c r="BC102" s="185">
        <f t="shared" si="17"/>
        <v>32654.048040000042</v>
      </c>
      <c r="BD102" s="185">
        <f t="shared" si="17"/>
        <v>33687.399216000049</v>
      </c>
      <c r="BE102" s="185">
        <f t="shared" si="17"/>
        <v>34757.008328000047</v>
      </c>
      <c r="BF102" s="185">
        <f t="shared" si="17"/>
        <v>36352.357512000053</v>
      </c>
      <c r="BG102" s="185">
        <f t="shared" si="17"/>
        <v>38509.704704000054</v>
      </c>
      <c r="BH102" s="185">
        <f t="shared" si="17"/>
        <v>40286.343568000055</v>
      </c>
      <c r="BI102" s="185">
        <f t="shared" si="17"/>
        <v>38219.641216000062</v>
      </c>
      <c r="BJ102" s="185">
        <f t="shared" si="17"/>
        <v>38382.801928000059</v>
      </c>
      <c r="BK102" s="185">
        <f t="shared" si="17"/>
        <v>40467.633248000064</v>
      </c>
      <c r="BL102" s="185">
        <f t="shared" si="17"/>
        <v>41682.274104000062</v>
      </c>
      <c r="BM102" s="185">
        <f t="shared" si="17"/>
        <v>43912.137168000067</v>
      </c>
      <c r="BN102" s="185">
        <f t="shared" si="17"/>
        <v>46250.774040000069</v>
      </c>
      <c r="BO102" s="185">
        <f t="shared" si="17"/>
        <v>41649.641961600064</v>
      </c>
      <c r="BP102" s="149"/>
    </row>
    <row r="103" spans="2:69" outlineLevel="1">
      <c r="C103" s="101" t="str">
        <v>Tim Forward Brands</v>
      </c>
      <c r="D103" s="187">
        <v>1500</v>
      </c>
      <c r="E103" s="181" t="str">
        <f>Assumptions!G24</f>
        <v>Initial Balance (Pallets)</v>
      </c>
      <c r="F103" s="183" t="s">
        <v>30</v>
      </c>
      <c r="G103" s="132">
        <v>1500</v>
      </c>
      <c r="H103" s="185">
        <f t="shared" ref="H103:AM103" si="18">IF(H40=0,
IF(I40=H40,0,$D103),
G103+H94-H85)</f>
        <v>0</v>
      </c>
      <c r="I103" s="185">
        <f t="shared" si="18"/>
        <v>0</v>
      </c>
      <c r="J103" s="185">
        <f t="shared" si="18"/>
        <v>0</v>
      </c>
      <c r="K103" s="185">
        <f t="shared" si="18"/>
        <v>0</v>
      </c>
      <c r="L103" s="185">
        <f t="shared" si="18"/>
        <v>0</v>
      </c>
      <c r="M103" s="185">
        <f t="shared" si="18"/>
        <v>0</v>
      </c>
      <c r="N103" s="185">
        <f t="shared" si="18"/>
        <v>0</v>
      </c>
      <c r="O103" s="185">
        <f t="shared" si="18"/>
        <v>0</v>
      </c>
      <c r="P103" s="185">
        <f t="shared" si="18"/>
        <v>0</v>
      </c>
      <c r="Q103" s="185">
        <f t="shared" si="18"/>
        <v>0</v>
      </c>
      <c r="R103" s="185">
        <f t="shared" si="18"/>
        <v>0</v>
      </c>
      <c r="S103" s="185">
        <f t="shared" si="18"/>
        <v>0</v>
      </c>
      <c r="T103" s="185">
        <f t="shared" si="18"/>
        <v>0</v>
      </c>
      <c r="U103" s="185">
        <f t="shared" si="18"/>
        <v>0</v>
      </c>
      <c r="V103" s="185">
        <f t="shared" si="18"/>
        <v>0</v>
      </c>
      <c r="W103" s="185">
        <f t="shared" si="18"/>
        <v>0</v>
      </c>
      <c r="X103" s="185">
        <f t="shared" si="18"/>
        <v>0</v>
      </c>
      <c r="Y103" s="185">
        <f t="shared" si="18"/>
        <v>0</v>
      </c>
      <c r="Z103" s="185">
        <f t="shared" si="18"/>
        <v>0</v>
      </c>
      <c r="AA103" s="185">
        <f t="shared" si="18"/>
        <v>0</v>
      </c>
      <c r="AB103" s="185">
        <f t="shared" si="18"/>
        <v>0</v>
      </c>
      <c r="AC103" s="185">
        <f t="shared" si="18"/>
        <v>0</v>
      </c>
      <c r="AD103" s="185">
        <f t="shared" si="18"/>
        <v>0</v>
      </c>
      <c r="AE103" s="185">
        <f t="shared" si="18"/>
        <v>0</v>
      </c>
      <c r="AF103" s="185">
        <f t="shared" si="18"/>
        <v>0</v>
      </c>
      <c r="AG103" s="185">
        <f t="shared" si="18"/>
        <v>0</v>
      </c>
      <c r="AH103" s="185">
        <f t="shared" si="18"/>
        <v>0</v>
      </c>
      <c r="AI103" s="185">
        <f t="shared" si="18"/>
        <v>0</v>
      </c>
      <c r="AJ103" s="185">
        <f t="shared" si="18"/>
        <v>0</v>
      </c>
      <c r="AK103" s="185">
        <f t="shared" si="18"/>
        <v>0</v>
      </c>
      <c r="AL103" s="185">
        <f t="shared" si="18"/>
        <v>0</v>
      </c>
      <c r="AM103" s="185">
        <f t="shared" si="18"/>
        <v>0</v>
      </c>
      <c r="AN103" s="185">
        <f t="shared" ref="AN103:BO103" si="19">IF(AN40=0,
IF(AO40=AN40,0,$D103),
AM103+AN94-AN85)</f>
        <v>0</v>
      </c>
      <c r="AO103" s="185">
        <f t="shared" si="19"/>
        <v>0</v>
      </c>
      <c r="AP103" s="185">
        <f t="shared" si="19"/>
        <v>0</v>
      </c>
      <c r="AQ103" s="185">
        <f t="shared" si="19"/>
        <v>0</v>
      </c>
      <c r="AR103" s="185">
        <f t="shared" si="19"/>
        <v>0</v>
      </c>
      <c r="AS103" s="185">
        <f t="shared" si="19"/>
        <v>0</v>
      </c>
      <c r="AT103" s="185">
        <f t="shared" si="19"/>
        <v>0</v>
      </c>
      <c r="AU103" s="185">
        <f t="shared" si="19"/>
        <v>0</v>
      </c>
      <c r="AV103" s="185">
        <f t="shared" si="19"/>
        <v>0</v>
      </c>
      <c r="AW103" s="185">
        <f t="shared" si="19"/>
        <v>0</v>
      </c>
      <c r="AX103" s="185">
        <f t="shared" si="19"/>
        <v>0</v>
      </c>
      <c r="AY103" s="185">
        <f t="shared" si="19"/>
        <v>0</v>
      </c>
      <c r="AZ103" s="185">
        <f t="shared" si="19"/>
        <v>0</v>
      </c>
      <c r="BA103" s="185">
        <f t="shared" si="19"/>
        <v>0</v>
      </c>
      <c r="BB103" s="185">
        <f t="shared" si="19"/>
        <v>0</v>
      </c>
      <c r="BC103" s="185">
        <f t="shared" si="19"/>
        <v>0</v>
      </c>
      <c r="BD103" s="185">
        <f t="shared" si="19"/>
        <v>0</v>
      </c>
      <c r="BE103" s="185">
        <f t="shared" si="19"/>
        <v>0</v>
      </c>
      <c r="BF103" s="185">
        <f t="shared" si="19"/>
        <v>0</v>
      </c>
      <c r="BG103" s="185">
        <f t="shared" si="19"/>
        <v>0</v>
      </c>
      <c r="BH103" s="185">
        <f t="shared" si="19"/>
        <v>0</v>
      </c>
      <c r="BI103" s="185">
        <f t="shared" si="19"/>
        <v>0</v>
      </c>
      <c r="BJ103" s="185">
        <f t="shared" si="19"/>
        <v>0</v>
      </c>
      <c r="BK103" s="185">
        <f t="shared" si="19"/>
        <v>0</v>
      </c>
      <c r="BL103" s="185">
        <f t="shared" si="19"/>
        <v>0</v>
      </c>
      <c r="BM103" s="185">
        <f t="shared" si="19"/>
        <v>0</v>
      </c>
      <c r="BN103" s="185">
        <f t="shared" si="19"/>
        <v>0</v>
      </c>
      <c r="BO103" s="185">
        <f t="shared" si="19"/>
        <v>0</v>
      </c>
      <c r="BP103" s="149"/>
    </row>
    <row r="104" spans="2:69" s="111" customFormat="1" ht="12" customHeight="1" outlineLevel="1">
      <c r="C104" s="165" t="s">
        <v>35</v>
      </c>
      <c r="E104" s="112"/>
      <c r="F104" s="167" t="s">
        <v>30</v>
      </c>
      <c r="G104" s="168">
        <f>SUM(_xlfn.ANCHORARRAY(G98))</f>
        <v>11400</v>
      </c>
      <c r="H104" s="169">
        <f t="shared" ref="H104:AM104" si="20">SUM(H98:H103)</f>
        <v>12036.981060606058</v>
      </c>
      <c r="I104" s="169">
        <f t="shared" si="20"/>
        <v>17568.874621212119</v>
      </c>
      <c r="J104" s="169">
        <f t="shared" si="20"/>
        <v>24579.399242424239</v>
      </c>
      <c r="K104" s="169">
        <f t="shared" si="20"/>
        <v>32104.692424242428</v>
      </c>
      <c r="L104" s="169">
        <f t="shared" si="20"/>
        <v>39412.404545454556</v>
      </c>
      <c r="M104" s="169">
        <f t="shared" si="20"/>
        <v>27333.168181818182</v>
      </c>
      <c r="N104" s="169">
        <f t="shared" si="20"/>
        <v>29922.799621212125</v>
      </c>
      <c r="O104" s="169">
        <f t="shared" si="20"/>
        <v>44087.167803030316</v>
      </c>
      <c r="P104" s="169">
        <f t="shared" si="20"/>
        <v>49517.661363636369</v>
      </c>
      <c r="Q104" s="169">
        <f t="shared" si="20"/>
        <v>69230.30454545455</v>
      </c>
      <c r="R104" s="169">
        <f t="shared" si="20"/>
        <v>86207.285227272732</v>
      </c>
      <c r="S104" s="169">
        <f t="shared" si="20"/>
        <v>40227.444113636375</v>
      </c>
      <c r="T104" s="169">
        <f t="shared" si="20"/>
        <v>42472.195056818193</v>
      </c>
      <c r="U104" s="169">
        <f t="shared" si="20"/>
        <v>48275.479750000013</v>
      </c>
      <c r="V104" s="169">
        <f t="shared" si="20"/>
        <v>55647.164011363653</v>
      </c>
      <c r="W104" s="169">
        <f t="shared" si="20"/>
        <v>63525.896715909112</v>
      </c>
      <c r="X104" s="169">
        <f t="shared" si="20"/>
        <v>71222.627852272737</v>
      </c>
      <c r="Y104" s="169">
        <f t="shared" si="20"/>
        <v>58756.223818181832</v>
      </c>
      <c r="Z104" s="169">
        <f t="shared" si="20"/>
        <v>61614.115125000011</v>
      </c>
      <c r="AA104" s="169">
        <f t="shared" si="20"/>
        <v>76358.772829545473</v>
      </c>
      <c r="AB104" s="169">
        <f t="shared" si="20"/>
        <v>82103.425272727298</v>
      </c>
      <c r="AC104" s="169">
        <f t="shared" si="20"/>
        <v>102946.00610227278</v>
      </c>
      <c r="AD104" s="169">
        <f t="shared" si="20"/>
        <v>120895.21818181823</v>
      </c>
      <c r="AE104" s="169">
        <f t="shared" si="20"/>
        <v>71729.26908352277</v>
      </c>
      <c r="AF104" s="169">
        <f t="shared" si="20"/>
        <v>74087.981482613686</v>
      </c>
      <c r="AG104" s="169">
        <f t="shared" si="20"/>
        <v>80064.465580454562</v>
      </c>
      <c r="AH104" s="169">
        <f t="shared" si="20"/>
        <v>87679.668379886396</v>
      </c>
      <c r="AI104" s="169">
        <f t="shared" si="20"/>
        <v>95839.231264659145</v>
      </c>
      <c r="AJ104" s="169">
        <f t="shared" si="20"/>
        <v>103803.20828284093</v>
      </c>
      <c r="AK104" s="169">
        <f t="shared" si="20"/>
        <v>91060.815110795505</v>
      </c>
      <c r="AL104" s="169">
        <f t="shared" si="20"/>
        <v>94030.084310454607</v>
      </c>
      <c r="AM104" s="169">
        <f t="shared" si="20"/>
        <v>109124.79261772735</v>
      </c>
      <c r="AN104" s="169">
        <f t="shared" ref="AN104:BS104" si="21">SUM(AN98:AN103)</f>
        <v>115070.17418056822</v>
      </c>
      <c r="AO104" s="169">
        <f t="shared" si="21"/>
        <v>136474.82620784099</v>
      </c>
      <c r="AP104" s="169">
        <f t="shared" si="21"/>
        <v>154938.7302113637</v>
      </c>
      <c r="AQ104" s="169">
        <f t="shared" si="21"/>
        <v>103519.5399573012</v>
      </c>
      <c r="AR104" s="169">
        <f t="shared" si="21"/>
        <v>105942.32370616484</v>
      </c>
      <c r="AS104" s="169">
        <f t="shared" si="21"/>
        <v>111978.269495341</v>
      </c>
      <c r="AT104" s="169">
        <f t="shared" si="21"/>
        <v>119682.95382275575</v>
      </c>
      <c r="AU104" s="169">
        <f t="shared" si="21"/>
        <v>127957.48454247166</v>
      </c>
      <c r="AV104" s="169">
        <f t="shared" si="21"/>
        <v>136026.33981519897</v>
      </c>
      <c r="AW104" s="169">
        <f t="shared" si="21"/>
        <v>123248.05166139215</v>
      </c>
      <c r="AX104" s="169">
        <f t="shared" si="21"/>
        <v>126259.66401784102</v>
      </c>
      <c r="AY104" s="169">
        <f t="shared" si="21"/>
        <v>141432.57771193195</v>
      </c>
      <c r="AZ104" s="169">
        <f t="shared" si="21"/>
        <v>147457.19896485808</v>
      </c>
      <c r="BA104" s="169">
        <f t="shared" si="21"/>
        <v>168990.51426394901</v>
      </c>
      <c r="BB104" s="169">
        <f t="shared" si="21"/>
        <v>187592.39570397744</v>
      </c>
      <c r="BC104" s="169">
        <f t="shared" si="21"/>
        <v>135796.50188065696</v>
      </c>
      <c r="BD104" s="169">
        <f t="shared" si="21"/>
        <v>138257.89276616892</v>
      </c>
      <c r="BE104" s="169">
        <f t="shared" si="21"/>
        <v>144323.18147320583</v>
      </c>
      <c r="BF104" s="169">
        <f t="shared" si="21"/>
        <v>152079.11362224843</v>
      </c>
      <c r="BG104" s="169">
        <f t="shared" si="21"/>
        <v>160417.64589976548</v>
      </c>
      <c r="BH104" s="169">
        <f t="shared" si="21"/>
        <v>168548.51875302684</v>
      </c>
      <c r="BI104" s="169">
        <f t="shared" si="21"/>
        <v>155780.40759299899</v>
      </c>
      <c r="BJ104" s="169">
        <f t="shared" si="21"/>
        <v>158831.61544678707</v>
      </c>
      <c r="BK104" s="169">
        <f t="shared" si="21"/>
        <v>174018.77621522913</v>
      </c>
      <c r="BL104" s="169">
        <f t="shared" si="21"/>
        <v>180092.43521012858</v>
      </c>
      <c r="BM104" s="169">
        <f t="shared" si="21"/>
        <v>201705.25203876439</v>
      </c>
      <c r="BN104" s="169">
        <f t="shared" si="21"/>
        <v>220393.20991487522</v>
      </c>
      <c r="BO104" s="169">
        <f t="shared" si="21"/>
        <v>168623.92821024434</v>
      </c>
      <c r="BP104" s="168">
        <f t="shared" si="21"/>
        <v>0</v>
      </c>
      <c r="BQ104" s="123"/>
    </row>
    <row r="105" spans="2:69" outlineLevel="1"/>
    <row r="106" spans="2:69" s="102" customFormat="1" ht="13.75" customHeight="1" thickBot="1">
      <c r="B106" s="138" t="s">
        <v>36</v>
      </c>
      <c r="C106" s="139"/>
      <c r="D106" s="139"/>
      <c r="E106" s="140"/>
      <c r="F106" s="141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39"/>
      <c r="AA106" s="139"/>
      <c r="AB106" s="139"/>
      <c r="AC106" s="139"/>
      <c r="AD106" s="139"/>
      <c r="AE106" s="139"/>
      <c r="AF106" s="139"/>
      <c r="AG106" s="139"/>
      <c r="AH106" s="139"/>
      <c r="AI106" s="139"/>
      <c r="AJ106" s="139"/>
      <c r="AK106" s="139"/>
      <c r="AL106" s="139"/>
      <c r="AM106" s="139"/>
      <c r="AN106" s="139"/>
      <c r="AO106" s="139"/>
      <c r="AP106" s="139"/>
      <c r="AQ106" s="139"/>
      <c r="AR106" s="139"/>
      <c r="AS106" s="139"/>
      <c r="AT106" s="139"/>
      <c r="AU106" s="139"/>
      <c r="AV106" s="139"/>
      <c r="AW106" s="139"/>
      <c r="AX106" s="139"/>
      <c r="AY106" s="139"/>
      <c r="AZ106" s="139"/>
      <c r="BA106" s="139"/>
      <c r="BB106" s="139"/>
      <c r="BC106" s="139"/>
      <c r="BD106" s="139"/>
      <c r="BE106" s="139"/>
      <c r="BF106" s="139"/>
      <c r="BG106" s="139"/>
      <c r="BH106" s="139"/>
      <c r="BI106" s="139"/>
      <c r="BJ106" s="139"/>
      <c r="BK106" s="139"/>
      <c r="BL106" s="139"/>
      <c r="BM106" s="139"/>
      <c r="BN106" s="139"/>
      <c r="BO106" s="139"/>
      <c r="BP106" s="139"/>
    </row>
    <row r="107" spans="2:69" ht="12.65" customHeight="1" outlineLevel="1" thickTop="1">
      <c r="B107" s="160"/>
    </row>
    <row r="108" spans="2:69" ht="12" customHeight="1" outlineLevel="1">
      <c r="B108" s="112" t="s">
        <v>37</v>
      </c>
    </row>
    <row r="109" spans="2:69" ht="12" customHeight="1" outlineLevel="1">
      <c r="B109" s="160" t="s">
        <v>38</v>
      </c>
    </row>
    <row r="110" spans="2:69" outlineLevel="1">
      <c r="C110" s="101" t="s">
        <v>39</v>
      </c>
      <c r="D110" s="188">
        <f>Assumptions!D16</f>
        <v>4.5</v>
      </c>
      <c r="E110" s="189" t="s">
        <v>40</v>
      </c>
      <c r="F110" s="109" t="s">
        <v>9</v>
      </c>
      <c r="G110" s="144"/>
      <c r="H110" s="121">
        <f t="array" ref="H110:BO110">+D110*_xlfn.ANCHORARRAY(H31)</f>
        <v>4.5</v>
      </c>
      <c r="I110" s="121">
        <v>4.5</v>
      </c>
      <c r="J110" s="121">
        <v>4.5</v>
      </c>
      <c r="K110" s="121">
        <v>4.5</v>
      </c>
      <c r="L110" s="121">
        <v>4.5</v>
      </c>
      <c r="M110" s="121">
        <v>4.5</v>
      </c>
      <c r="N110" s="121">
        <v>4.5</v>
      </c>
      <c r="O110" s="121">
        <v>4.5</v>
      </c>
      <c r="P110" s="121">
        <v>4.5</v>
      </c>
      <c r="Q110" s="121">
        <v>4.5</v>
      </c>
      <c r="R110" s="121">
        <v>4.5</v>
      </c>
      <c r="S110" s="121">
        <v>4.5</v>
      </c>
      <c r="T110" s="121">
        <v>4.6349999999999998</v>
      </c>
      <c r="U110" s="121">
        <v>4.6349999999999998</v>
      </c>
      <c r="V110" s="121">
        <v>4.6349999999999998</v>
      </c>
      <c r="W110" s="121">
        <v>4.6349999999999998</v>
      </c>
      <c r="X110" s="121">
        <v>4.6349999999999998</v>
      </c>
      <c r="Y110" s="121">
        <v>4.6349999999999998</v>
      </c>
      <c r="Z110" s="121">
        <v>4.6349999999999998</v>
      </c>
      <c r="AA110" s="121">
        <v>4.6349999999999998</v>
      </c>
      <c r="AB110" s="121">
        <v>4.6349999999999998</v>
      </c>
      <c r="AC110" s="121">
        <v>4.6349999999999998</v>
      </c>
      <c r="AD110" s="121">
        <v>4.6349999999999998</v>
      </c>
      <c r="AE110" s="121">
        <v>4.6349999999999998</v>
      </c>
      <c r="AF110" s="121">
        <v>4.7740499999999999</v>
      </c>
      <c r="AG110" s="121">
        <v>4.7740499999999999</v>
      </c>
      <c r="AH110" s="121">
        <v>4.7740499999999999</v>
      </c>
      <c r="AI110" s="121">
        <v>4.7740499999999999</v>
      </c>
      <c r="AJ110" s="121">
        <v>4.7740499999999999</v>
      </c>
      <c r="AK110" s="121">
        <v>4.7740499999999999</v>
      </c>
      <c r="AL110" s="121">
        <v>4.7740499999999999</v>
      </c>
      <c r="AM110" s="121">
        <v>4.7740499999999999</v>
      </c>
      <c r="AN110" s="121">
        <v>4.7740499999999999</v>
      </c>
      <c r="AO110" s="121">
        <v>4.7740499999999999</v>
      </c>
      <c r="AP110" s="121">
        <v>4.7740499999999999</v>
      </c>
      <c r="AQ110" s="121">
        <v>4.7740499999999999</v>
      </c>
      <c r="AR110" s="121">
        <v>4.9172715</v>
      </c>
      <c r="AS110" s="121">
        <v>4.9172715</v>
      </c>
      <c r="AT110" s="121">
        <v>4.9172715</v>
      </c>
      <c r="AU110" s="121">
        <v>4.9172715</v>
      </c>
      <c r="AV110" s="121">
        <v>4.9172715</v>
      </c>
      <c r="AW110" s="121">
        <v>4.9172715</v>
      </c>
      <c r="AX110" s="121">
        <v>4.9172715</v>
      </c>
      <c r="AY110" s="121">
        <v>4.9172715</v>
      </c>
      <c r="AZ110" s="121">
        <v>4.9172715</v>
      </c>
      <c r="BA110" s="121">
        <v>4.9172715</v>
      </c>
      <c r="BB110" s="121">
        <v>4.9172715</v>
      </c>
      <c r="BC110" s="121">
        <v>4.9172715</v>
      </c>
      <c r="BD110" s="121">
        <v>5.0647896449999994</v>
      </c>
      <c r="BE110" s="121">
        <v>5.0647896449999994</v>
      </c>
      <c r="BF110" s="121">
        <v>5.0647896449999994</v>
      </c>
      <c r="BG110" s="121">
        <v>5.0647896449999994</v>
      </c>
      <c r="BH110" s="121">
        <v>5.0647896449999994</v>
      </c>
      <c r="BI110" s="121">
        <v>5.0647896449999994</v>
      </c>
      <c r="BJ110" s="121">
        <v>5.0647896449999994</v>
      </c>
      <c r="BK110" s="121">
        <v>5.0647896449999994</v>
      </c>
      <c r="BL110" s="121">
        <v>5.0647896449999994</v>
      </c>
      <c r="BM110" s="121">
        <v>5.0647896449999994</v>
      </c>
      <c r="BN110" s="121">
        <v>5.0647896449999994</v>
      </c>
      <c r="BO110" s="121">
        <v>5.0647896449999994</v>
      </c>
      <c r="BP110" s="144"/>
    </row>
    <row r="111" spans="2:69" outlineLevel="1"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  <c r="AO111" s="121"/>
      <c r="AP111" s="121"/>
      <c r="AQ111" s="121"/>
      <c r="AR111" s="121"/>
      <c r="AS111" s="121"/>
      <c r="AT111" s="121"/>
      <c r="AU111" s="121"/>
      <c r="AV111" s="121"/>
      <c r="AW111" s="121"/>
      <c r="AX111" s="121"/>
      <c r="AY111" s="121"/>
      <c r="AZ111" s="121"/>
      <c r="BA111" s="121"/>
      <c r="BB111" s="121"/>
      <c r="BC111" s="121"/>
      <c r="BD111" s="121"/>
      <c r="BE111" s="121"/>
      <c r="BF111" s="121"/>
      <c r="BG111" s="121"/>
      <c r="BH111" s="121"/>
      <c r="BI111" s="121"/>
      <c r="BJ111" s="121"/>
      <c r="BK111" s="121"/>
      <c r="BL111" s="121"/>
      <c r="BM111" s="121"/>
      <c r="BN111" s="121"/>
      <c r="BO111" s="121"/>
      <c r="BP111" s="121"/>
    </row>
    <row r="112" spans="2:69" ht="12" customHeight="1" outlineLevel="1">
      <c r="B112" s="160" t="s">
        <v>41</v>
      </c>
    </row>
    <row r="113" spans="2:68" outlineLevel="1">
      <c r="C113" s="128" t="str">
        <f t="array" ref="C113:C118">cust</f>
        <v>Michael’s Market Goods</v>
      </c>
      <c r="D113" s="128"/>
      <c r="F113" s="183" t="str">
        <f t="array" ref="F113:BP113">_xlfn.XLOOKUP(C113,_xlfn.ANCHORARRAY($C$89),$F$89:$BP$94)</f>
        <v>[pallet]</v>
      </c>
      <c r="G113" s="132">
        <v>0</v>
      </c>
      <c r="H113" s="128">
        <v>18368.333333333332</v>
      </c>
      <c r="I113" s="128">
        <v>19516.354166666668</v>
      </c>
      <c r="J113" s="128">
        <v>21812.395833333332</v>
      </c>
      <c r="K113" s="128">
        <v>25256.458333333336</v>
      </c>
      <c r="L113" s="128">
        <v>27552.5</v>
      </c>
      <c r="M113" s="128">
        <v>20664.375</v>
      </c>
      <c r="N113" s="128">
        <v>19516.354166666668</v>
      </c>
      <c r="O113" s="128">
        <v>22960.416666666668</v>
      </c>
      <c r="P113" s="128">
        <v>24108.4375</v>
      </c>
      <c r="Q113" s="128">
        <v>27552.5</v>
      </c>
      <c r="R113" s="128">
        <v>30996.5625</v>
      </c>
      <c r="S113" s="128">
        <v>18081.328125</v>
      </c>
      <c r="T113" s="128">
        <v>19286.75</v>
      </c>
      <c r="U113" s="128">
        <v>20492.171875</v>
      </c>
      <c r="V113" s="128">
        <v>22903.015625</v>
      </c>
      <c r="W113" s="128">
        <v>26519.281250000004</v>
      </c>
      <c r="X113" s="128">
        <v>28930.125</v>
      </c>
      <c r="Y113" s="128">
        <v>21697.59375</v>
      </c>
      <c r="Z113" s="128">
        <v>20492.171875</v>
      </c>
      <c r="AA113" s="128">
        <v>24108.4375</v>
      </c>
      <c r="AB113" s="128">
        <v>25313.859375</v>
      </c>
      <c r="AC113" s="128">
        <v>28930.125</v>
      </c>
      <c r="AD113" s="128">
        <v>32546.390625</v>
      </c>
      <c r="AE113" s="128">
        <v>18985.39453125</v>
      </c>
      <c r="AF113" s="128">
        <v>20251.087500000001</v>
      </c>
      <c r="AG113" s="128">
        <v>21516.780468749999</v>
      </c>
      <c r="AH113" s="128">
        <v>24048.166406250002</v>
      </c>
      <c r="AI113" s="128">
        <v>27845.245312500003</v>
      </c>
      <c r="AJ113" s="128">
        <v>30376.631250000002</v>
      </c>
      <c r="AK113" s="128">
        <v>22782.473437500001</v>
      </c>
      <c r="AL113" s="128">
        <v>21516.780468749999</v>
      </c>
      <c r="AM113" s="128">
        <v>25313.859375</v>
      </c>
      <c r="AN113" s="128">
        <v>26579.552343750001</v>
      </c>
      <c r="AO113" s="128">
        <v>30376.631250000002</v>
      </c>
      <c r="AP113" s="128">
        <v>34173.710156250003</v>
      </c>
      <c r="AQ113" s="128">
        <v>19554.9563671875</v>
      </c>
      <c r="AR113" s="128">
        <v>20858.620125000001</v>
      </c>
      <c r="AS113" s="128">
        <v>22162.283882812499</v>
      </c>
      <c r="AT113" s="128">
        <v>24769.611398437501</v>
      </c>
      <c r="AU113" s="128">
        <v>28680.602671875004</v>
      </c>
      <c r="AV113" s="128">
        <v>31287.930187499995</v>
      </c>
      <c r="AW113" s="128">
        <v>23465.947640625</v>
      </c>
      <c r="AX113" s="128">
        <v>22162.283882812499</v>
      </c>
      <c r="AY113" s="128">
        <v>26073.275156250002</v>
      </c>
      <c r="AZ113" s="128">
        <v>27376.938914062503</v>
      </c>
      <c r="BA113" s="128">
        <v>31287.930187499995</v>
      </c>
      <c r="BB113" s="128">
        <v>35198.921460937505</v>
      </c>
      <c r="BC113" s="128">
        <v>19946.055494531254</v>
      </c>
      <c r="BD113" s="128">
        <v>21275.792527500002</v>
      </c>
      <c r="BE113" s="128">
        <v>22605.529560468749</v>
      </c>
      <c r="BF113" s="128">
        <v>25265.003626406251</v>
      </c>
      <c r="BG113" s="128">
        <v>29254.214725312504</v>
      </c>
      <c r="BH113" s="128">
        <v>31913.688791250002</v>
      </c>
      <c r="BI113" s="128">
        <v>23935.2665934375</v>
      </c>
      <c r="BJ113" s="128">
        <v>22605.529560468749</v>
      </c>
      <c r="BK113" s="128">
        <v>26594.740659375002</v>
      </c>
      <c r="BL113" s="128">
        <v>27924.477692343753</v>
      </c>
      <c r="BM113" s="128">
        <v>31913.688791250002</v>
      </c>
      <c r="BN113" s="128">
        <v>35902.899890156259</v>
      </c>
      <c r="BO113" s="128">
        <v>20344.976604421874</v>
      </c>
      <c r="BP113" s="132">
        <v>0</v>
      </c>
    </row>
    <row r="114" spans="2:68" outlineLevel="1">
      <c r="C114" s="128" t="str">
        <v>Andrew Digital Commerce</v>
      </c>
      <c r="D114" s="128"/>
      <c r="E114" s="182"/>
      <c r="F114" s="183" t="str">
        <f t="array" ref="F114:BP114">_xlfn.XLOOKUP(C114,_xlfn.ANCHORARRAY($C$89),$F$89:$BP$94)</f>
        <v>[pallet]</v>
      </c>
      <c r="G114" s="132">
        <v>0</v>
      </c>
      <c r="H114" s="128">
        <v>11575.200000000003</v>
      </c>
      <c r="I114" s="128">
        <v>12465.6</v>
      </c>
      <c r="J114" s="128">
        <v>13356.000000000002</v>
      </c>
      <c r="K114" s="128">
        <v>12465.600000000002</v>
      </c>
      <c r="L114" s="128">
        <v>13356.000000000002</v>
      </c>
      <c r="M114" s="128">
        <v>12465.600000000002</v>
      </c>
      <c r="N114" s="128">
        <v>16027.200000000003</v>
      </c>
      <c r="O114" s="128">
        <v>18698.400000000005</v>
      </c>
      <c r="P114" s="128">
        <v>19588.800000000007</v>
      </c>
      <c r="Q114" s="128">
        <v>31164.000000000004</v>
      </c>
      <c r="R114" s="128">
        <v>39177.600000000013</v>
      </c>
      <c r="S114" s="128">
        <v>14157.360000000004</v>
      </c>
      <c r="T114" s="128">
        <v>12269.712000000005</v>
      </c>
      <c r="U114" s="128">
        <v>13213.536000000004</v>
      </c>
      <c r="V114" s="128">
        <v>14157.360000000004</v>
      </c>
      <c r="W114" s="128">
        <v>13213.536000000006</v>
      </c>
      <c r="X114" s="128">
        <v>14157.360000000004</v>
      </c>
      <c r="Y114" s="128">
        <v>13213.536000000006</v>
      </c>
      <c r="Z114" s="128">
        <v>16988.832000000006</v>
      </c>
      <c r="AA114" s="128">
        <v>19820.304000000007</v>
      </c>
      <c r="AB114" s="128">
        <v>20764.128000000008</v>
      </c>
      <c r="AC114" s="128">
        <v>33033.840000000011</v>
      </c>
      <c r="AD114" s="128">
        <v>41528.256000000016</v>
      </c>
      <c r="AE114" s="128">
        <v>14440.507200000004</v>
      </c>
      <c r="AF114" s="128">
        <v>12515.106240000005</v>
      </c>
      <c r="AG114" s="128">
        <v>13477.806720000004</v>
      </c>
      <c r="AH114" s="128">
        <v>14440.507200000004</v>
      </c>
      <c r="AI114" s="128">
        <v>13477.806720000006</v>
      </c>
      <c r="AJ114" s="128">
        <v>14440.507200000004</v>
      </c>
      <c r="AK114" s="128">
        <v>13477.806720000006</v>
      </c>
      <c r="AL114" s="128">
        <v>17328.608640000006</v>
      </c>
      <c r="AM114" s="128">
        <v>20216.710080000008</v>
      </c>
      <c r="AN114" s="128">
        <v>21179.410560000011</v>
      </c>
      <c r="AO114" s="128">
        <v>33694.516800000012</v>
      </c>
      <c r="AP114" s="128">
        <v>42358.821120000022</v>
      </c>
      <c r="AQ114" s="128">
        <v>14440.507200000004</v>
      </c>
      <c r="AR114" s="128">
        <v>12515.106240000005</v>
      </c>
      <c r="AS114" s="128">
        <v>13477.806720000004</v>
      </c>
      <c r="AT114" s="128">
        <v>14440.507200000004</v>
      </c>
      <c r="AU114" s="128">
        <v>13477.806720000006</v>
      </c>
      <c r="AV114" s="128">
        <v>14440.507200000004</v>
      </c>
      <c r="AW114" s="128">
        <v>13477.806720000006</v>
      </c>
      <c r="AX114" s="128">
        <v>17328.608640000006</v>
      </c>
      <c r="AY114" s="128">
        <v>20216.710080000008</v>
      </c>
      <c r="AZ114" s="128">
        <v>21179.410560000011</v>
      </c>
      <c r="BA114" s="128">
        <v>33694.516800000012</v>
      </c>
      <c r="BB114" s="128">
        <v>42358.821120000022</v>
      </c>
      <c r="BC114" s="128">
        <v>14440.507200000004</v>
      </c>
      <c r="BD114" s="128">
        <v>12515.106240000005</v>
      </c>
      <c r="BE114" s="128">
        <v>13477.806720000004</v>
      </c>
      <c r="BF114" s="128">
        <v>14440.507200000004</v>
      </c>
      <c r="BG114" s="128">
        <v>13477.806720000006</v>
      </c>
      <c r="BH114" s="128">
        <v>14440.507200000004</v>
      </c>
      <c r="BI114" s="128">
        <v>13477.806720000006</v>
      </c>
      <c r="BJ114" s="128">
        <v>17328.608640000006</v>
      </c>
      <c r="BK114" s="128">
        <v>20216.710080000008</v>
      </c>
      <c r="BL114" s="128">
        <v>21179.410560000011</v>
      </c>
      <c r="BM114" s="128">
        <v>33694.516800000012</v>
      </c>
      <c r="BN114" s="128">
        <v>42358.821120000022</v>
      </c>
      <c r="BO114" s="128">
        <v>14440.507200000004</v>
      </c>
      <c r="BP114" s="132">
        <v>0</v>
      </c>
    </row>
    <row r="115" spans="2:68" outlineLevel="1">
      <c r="C115" s="128" t="str">
        <v>Anup Industrial Systems</v>
      </c>
      <c r="D115" s="128"/>
      <c r="E115" s="182"/>
      <c r="F115" s="183" t="str">
        <f t="array" ref="F115:BP115">_xlfn.XLOOKUP(C115,_xlfn.ANCHORARRAY($C$89),$F$89:$BP$94)</f>
        <v>[pallet]</v>
      </c>
      <c r="G115" s="132">
        <v>0</v>
      </c>
      <c r="H115" s="128">
        <v>14536.424999999999</v>
      </c>
      <c r="I115" s="128">
        <v>15301.5</v>
      </c>
      <c r="J115" s="128">
        <v>15301.5</v>
      </c>
      <c r="K115" s="128">
        <v>15301.5</v>
      </c>
      <c r="L115" s="128">
        <v>15301.5</v>
      </c>
      <c r="M115" s="128">
        <v>14536.424999999999</v>
      </c>
      <c r="N115" s="128">
        <v>13771.35</v>
      </c>
      <c r="O115" s="128">
        <v>16831.650000000005</v>
      </c>
      <c r="P115" s="128">
        <v>16831.650000000005</v>
      </c>
      <c r="Q115" s="128">
        <v>16066.575000000001</v>
      </c>
      <c r="R115" s="128">
        <v>15301.5</v>
      </c>
      <c r="S115" s="128">
        <v>14609.107124999999</v>
      </c>
      <c r="T115" s="128">
        <v>14609.107124999999</v>
      </c>
      <c r="U115" s="128">
        <v>15378.007499999998</v>
      </c>
      <c r="V115" s="128">
        <v>15378.007499999998</v>
      </c>
      <c r="W115" s="128">
        <v>15378.007499999998</v>
      </c>
      <c r="X115" s="128">
        <v>15378.007499999998</v>
      </c>
      <c r="Y115" s="128">
        <v>14609.107124999999</v>
      </c>
      <c r="Z115" s="128">
        <v>13840.206749999998</v>
      </c>
      <c r="AA115" s="128">
        <v>16915.808250000002</v>
      </c>
      <c r="AB115" s="128">
        <v>16915.808250000002</v>
      </c>
      <c r="AC115" s="128">
        <v>16146.907874999999</v>
      </c>
      <c r="AD115" s="128">
        <v>15378.007499999998</v>
      </c>
      <c r="AE115" s="128">
        <v>14609.107124999999</v>
      </c>
      <c r="AF115" s="128">
        <v>14609.107124999999</v>
      </c>
      <c r="AG115" s="128">
        <v>15378.007499999998</v>
      </c>
      <c r="AH115" s="128">
        <v>15378.007499999998</v>
      </c>
      <c r="AI115" s="128">
        <v>15378.007499999998</v>
      </c>
      <c r="AJ115" s="128">
        <v>15378.007499999998</v>
      </c>
      <c r="AK115" s="128">
        <v>14609.107124999999</v>
      </c>
      <c r="AL115" s="128">
        <v>13840.206749999998</v>
      </c>
      <c r="AM115" s="128">
        <v>16915.808250000002</v>
      </c>
      <c r="AN115" s="128">
        <v>16915.808250000002</v>
      </c>
      <c r="AO115" s="128">
        <v>16146.907874999999</v>
      </c>
      <c r="AP115" s="128">
        <v>15378.007499999998</v>
      </c>
      <c r="AQ115" s="128">
        <v>14463.01605375</v>
      </c>
      <c r="AR115" s="128">
        <v>14463.01605375</v>
      </c>
      <c r="AS115" s="128">
        <v>15224.227424999999</v>
      </c>
      <c r="AT115" s="128">
        <v>15224.227424999999</v>
      </c>
      <c r="AU115" s="128">
        <v>15224.227424999999</v>
      </c>
      <c r="AV115" s="128">
        <v>15224.227424999999</v>
      </c>
      <c r="AW115" s="128">
        <v>14463.01605375</v>
      </c>
      <c r="AX115" s="128">
        <v>13701.8046825</v>
      </c>
      <c r="AY115" s="128">
        <v>16746.6501675</v>
      </c>
      <c r="AZ115" s="128">
        <v>16746.6501675</v>
      </c>
      <c r="BA115" s="128">
        <v>15985.43879625</v>
      </c>
      <c r="BB115" s="128">
        <v>15224.227424999999</v>
      </c>
      <c r="BC115" s="128">
        <v>14246.07081294375</v>
      </c>
      <c r="BD115" s="128">
        <v>14246.07081294375</v>
      </c>
      <c r="BE115" s="128">
        <v>14995.864013625</v>
      </c>
      <c r="BF115" s="128">
        <v>14995.864013625</v>
      </c>
      <c r="BG115" s="128">
        <v>14995.864013625</v>
      </c>
      <c r="BH115" s="128">
        <v>14995.864013625</v>
      </c>
      <c r="BI115" s="128">
        <v>14246.07081294375</v>
      </c>
      <c r="BJ115" s="128">
        <v>13496.2776122625</v>
      </c>
      <c r="BK115" s="128">
        <v>16495.450414987499</v>
      </c>
      <c r="BL115" s="128">
        <v>16495.450414987499</v>
      </c>
      <c r="BM115" s="128">
        <v>15745.657214306251</v>
      </c>
      <c r="BN115" s="128">
        <v>14995.864013625</v>
      </c>
      <c r="BO115" s="128">
        <v>14032.379750749593</v>
      </c>
      <c r="BP115" s="132">
        <v>0</v>
      </c>
    </row>
    <row r="116" spans="2:68" outlineLevel="1">
      <c r="C116" s="128" t="str">
        <v>Joseph Retail Group</v>
      </c>
      <c r="D116" s="128"/>
      <c r="E116" s="182"/>
      <c r="F116" s="183" t="str">
        <f t="array" ref="F116:BP116">_xlfn.XLOOKUP(C116,_xlfn.ANCHORARRAY($C$89),$F$89:$BP$94)</f>
        <v>[pallet]</v>
      </c>
      <c r="G116" s="132">
        <v>0</v>
      </c>
      <c r="H116" s="128">
        <v>10036.363636363636</v>
      </c>
      <c r="I116" s="128">
        <v>10663.636363636364</v>
      </c>
      <c r="J116" s="128">
        <v>11918.181818181818</v>
      </c>
      <c r="K116" s="128">
        <v>13800</v>
      </c>
      <c r="L116" s="128">
        <v>15054.545454545454</v>
      </c>
      <c r="M116" s="128">
        <v>11290.90909090909</v>
      </c>
      <c r="N116" s="128">
        <v>10663.636363636364</v>
      </c>
      <c r="O116" s="128">
        <v>12545.454545454546</v>
      </c>
      <c r="P116" s="128">
        <v>13172.727272727272</v>
      </c>
      <c r="Q116" s="128">
        <v>15054.545454545454</v>
      </c>
      <c r="R116" s="128">
        <v>16936.363636363636</v>
      </c>
      <c r="S116" s="128">
        <v>9032.7272727272721</v>
      </c>
      <c r="T116" s="128">
        <v>9634.9090909090901</v>
      </c>
      <c r="U116" s="128">
        <v>10237.09090909091</v>
      </c>
      <c r="V116" s="128">
        <v>11441.454545454546</v>
      </c>
      <c r="W116" s="128">
        <v>13248</v>
      </c>
      <c r="X116" s="128">
        <v>14452.363636363636</v>
      </c>
      <c r="Y116" s="128">
        <v>10839.272727272728</v>
      </c>
      <c r="Z116" s="128">
        <v>10237.09090909091</v>
      </c>
      <c r="AA116" s="128">
        <v>12043.636363636364</v>
      </c>
      <c r="AB116" s="128">
        <v>12645.818181818182</v>
      </c>
      <c r="AC116" s="128">
        <v>14452.363636363636</v>
      </c>
      <c r="AD116" s="128">
        <v>16258.90909090909</v>
      </c>
      <c r="AE116" s="128">
        <v>8490.7636363636357</v>
      </c>
      <c r="AF116" s="128">
        <v>9056.8145454545465</v>
      </c>
      <c r="AG116" s="128">
        <v>9622.8654545454538</v>
      </c>
      <c r="AH116" s="128">
        <v>10754.967272727272</v>
      </c>
      <c r="AI116" s="128">
        <v>12453.12</v>
      </c>
      <c r="AJ116" s="128">
        <v>13585.221818181819</v>
      </c>
      <c r="AK116" s="128">
        <v>10188.916363636365</v>
      </c>
      <c r="AL116" s="128">
        <v>9622.8654545454538</v>
      </c>
      <c r="AM116" s="128">
        <v>11321.018181818181</v>
      </c>
      <c r="AN116" s="128">
        <v>11887.069090909092</v>
      </c>
      <c r="AO116" s="128">
        <v>13585.221818181819</v>
      </c>
      <c r="AP116" s="128">
        <v>15283.374545454544</v>
      </c>
      <c r="AQ116" s="128">
        <v>7811.5025454545448</v>
      </c>
      <c r="AR116" s="128">
        <v>8332.2693818181815</v>
      </c>
      <c r="AS116" s="128">
        <v>8853.0362181818182</v>
      </c>
      <c r="AT116" s="128">
        <v>9894.5698909090897</v>
      </c>
      <c r="AU116" s="128">
        <v>11456.870400000002</v>
      </c>
      <c r="AV116" s="128">
        <v>12498.404072727273</v>
      </c>
      <c r="AW116" s="128">
        <v>9373.8030545454549</v>
      </c>
      <c r="AX116" s="128">
        <v>8853.0362181818182</v>
      </c>
      <c r="AY116" s="128">
        <v>10415.336727272726</v>
      </c>
      <c r="AZ116" s="128">
        <v>10936.103563636365</v>
      </c>
      <c r="BA116" s="128">
        <v>12498.404072727273</v>
      </c>
      <c r="BB116" s="128">
        <v>14060.704581818183</v>
      </c>
      <c r="BC116" s="128">
        <v>7264.6973672727272</v>
      </c>
      <c r="BD116" s="128">
        <v>7749.0105250909101</v>
      </c>
      <c r="BE116" s="128">
        <v>8233.3236829090911</v>
      </c>
      <c r="BF116" s="128">
        <v>9201.9499985454531</v>
      </c>
      <c r="BG116" s="128">
        <v>10654.889472000001</v>
      </c>
      <c r="BH116" s="128">
        <v>11623.515787636363</v>
      </c>
      <c r="BI116" s="128">
        <v>8717.636840727273</v>
      </c>
      <c r="BJ116" s="128">
        <v>8233.3236829090911</v>
      </c>
      <c r="BK116" s="128">
        <v>9686.2631563636369</v>
      </c>
      <c r="BL116" s="128">
        <v>10170.576314181819</v>
      </c>
      <c r="BM116" s="128">
        <v>11623.515787636363</v>
      </c>
      <c r="BN116" s="128">
        <v>13076.45526109091</v>
      </c>
      <c r="BO116" s="128">
        <v>6756.1685515636354</v>
      </c>
      <c r="BP116" s="132">
        <v>0</v>
      </c>
    </row>
    <row r="117" spans="2:68" outlineLevel="1">
      <c r="C117" s="128" t="str">
        <v>Dim Collective</v>
      </c>
      <c r="D117" s="128"/>
      <c r="E117" s="182"/>
      <c r="F117" s="183" t="str">
        <f t="array" ref="F117:BP117">_xlfn.XLOOKUP(C117,_xlfn.ANCHORARRAY($C$89),$F$89:$BP$94)</f>
        <v>[pallet]</v>
      </c>
      <c r="G117" s="132">
        <v>0</v>
      </c>
      <c r="H117" s="128">
        <v>5616</v>
      </c>
      <c r="I117" s="128">
        <v>5967</v>
      </c>
      <c r="J117" s="128">
        <v>6669</v>
      </c>
      <c r="K117" s="128">
        <v>7722.0000000000009</v>
      </c>
      <c r="L117" s="128">
        <v>8424</v>
      </c>
      <c r="M117" s="128">
        <v>6318</v>
      </c>
      <c r="N117" s="128">
        <v>5967</v>
      </c>
      <c r="O117" s="128">
        <v>7020.0000000000009</v>
      </c>
      <c r="P117" s="128">
        <v>7371.0000000000009</v>
      </c>
      <c r="Q117" s="128">
        <v>8424</v>
      </c>
      <c r="R117" s="128">
        <v>9477</v>
      </c>
      <c r="S117" s="128">
        <v>6054.75</v>
      </c>
      <c r="T117" s="128">
        <v>6458.4000000000005</v>
      </c>
      <c r="U117" s="128">
        <v>6862.05</v>
      </c>
      <c r="V117" s="128">
        <v>7669.35</v>
      </c>
      <c r="W117" s="128">
        <v>8880.3000000000029</v>
      </c>
      <c r="X117" s="128">
        <v>9687.6</v>
      </c>
      <c r="Y117" s="128">
        <v>7265.7000000000007</v>
      </c>
      <c r="Z117" s="128">
        <v>6862.05</v>
      </c>
      <c r="AA117" s="128">
        <v>8073.0000000000009</v>
      </c>
      <c r="AB117" s="128">
        <v>8476.6500000000015</v>
      </c>
      <c r="AC117" s="128">
        <v>9687.6</v>
      </c>
      <c r="AD117" s="128">
        <v>10898.550000000003</v>
      </c>
      <c r="AE117" s="128">
        <v>6660.2250000000013</v>
      </c>
      <c r="AF117" s="128">
        <v>7104.2400000000016</v>
      </c>
      <c r="AG117" s="128">
        <v>7548.2550000000019</v>
      </c>
      <c r="AH117" s="128">
        <v>8436.2850000000017</v>
      </c>
      <c r="AI117" s="128">
        <v>9768.3300000000017</v>
      </c>
      <c r="AJ117" s="128">
        <v>10656.360000000002</v>
      </c>
      <c r="AK117" s="128">
        <v>7992.2700000000013</v>
      </c>
      <c r="AL117" s="128">
        <v>7548.2550000000019</v>
      </c>
      <c r="AM117" s="128">
        <v>8880.3000000000029</v>
      </c>
      <c r="AN117" s="128">
        <v>9324.3150000000023</v>
      </c>
      <c r="AO117" s="128">
        <v>10656.360000000002</v>
      </c>
      <c r="AP117" s="128">
        <v>11988.405000000002</v>
      </c>
      <c r="AQ117" s="128">
        <v>7059.8385000000017</v>
      </c>
      <c r="AR117" s="128">
        <v>7530.4944000000014</v>
      </c>
      <c r="AS117" s="128">
        <v>8001.1503000000012</v>
      </c>
      <c r="AT117" s="128">
        <v>8942.4621000000006</v>
      </c>
      <c r="AU117" s="128">
        <v>10354.429800000004</v>
      </c>
      <c r="AV117" s="128">
        <v>11295.741600000001</v>
      </c>
      <c r="AW117" s="128">
        <v>8471.8062000000027</v>
      </c>
      <c r="AX117" s="128">
        <v>8001.1503000000012</v>
      </c>
      <c r="AY117" s="128">
        <v>9413.1180000000004</v>
      </c>
      <c r="AZ117" s="128">
        <v>9883.773900000002</v>
      </c>
      <c r="BA117" s="128">
        <v>11295.741600000001</v>
      </c>
      <c r="BB117" s="128">
        <v>12707.709300000004</v>
      </c>
      <c r="BC117" s="128">
        <v>7342.2320400000008</v>
      </c>
      <c r="BD117" s="128">
        <v>7831.7141760000022</v>
      </c>
      <c r="BE117" s="128">
        <v>8321.1963120000019</v>
      </c>
      <c r="BF117" s="128">
        <v>9300.1605840000029</v>
      </c>
      <c r="BG117" s="128">
        <v>10768.606992000003</v>
      </c>
      <c r="BH117" s="128">
        <v>11747.571264000002</v>
      </c>
      <c r="BI117" s="128">
        <v>8810.6784480000024</v>
      </c>
      <c r="BJ117" s="128">
        <v>8321.1963120000019</v>
      </c>
      <c r="BK117" s="128">
        <v>9789.6427200000035</v>
      </c>
      <c r="BL117" s="128">
        <v>10279.124856000002</v>
      </c>
      <c r="BM117" s="128">
        <v>11747.571264000002</v>
      </c>
      <c r="BN117" s="128">
        <v>13216.017672000004</v>
      </c>
      <c r="BO117" s="128">
        <v>7635.9213216000016</v>
      </c>
      <c r="BP117" s="132">
        <v>0</v>
      </c>
    </row>
    <row r="118" spans="2:68" outlineLevel="1">
      <c r="C118" s="128" t="str">
        <v>Tim Forward Brands</v>
      </c>
      <c r="D118" s="128"/>
      <c r="E118" s="182"/>
      <c r="F118" s="183" t="str">
        <f t="array" ref="F118:BP118">_xlfn.XLOOKUP(C118,_xlfn.ANCHORARRAY($C$89),$F$89:$BP$94)</f>
        <v>[pallet]</v>
      </c>
      <c r="G118" s="132">
        <v>0</v>
      </c>
      <c r="H118" s="128">
        <v>0</v>
      </c>
      <c r="I118" s="128">
        <v>0</v>
      </c>
      <c r="J118" s="128">
        <v>0</v>
      </c>
      <c r="K118" s="128">
        <v>0</v>
      </c>
      <c r="L118" s="128">
        <v>0</v>
      </c>
      <c r="M118" s="128">
        <v>0</v>
      </c>
      <c r="N118" s="128">
        <v>0</v>
      </c>
      <c r="O118" s="128">
        <v>0</v>
      </c>
      <c r="P118" s="128">
        <v>0</v>
      </c>
      <c r="Q118" s="128">
        <v>0</v>
      </c>
      <c r="R118" s="128">
        <v>0</v>
      </c>
      <c r="S118" s="128">
        <v>0</v>
      </c>
      <c r="T118" s="128">
        <v>0</v>
      </c>
      <c r="U118" s="128">
        <v>0</v>
      </c>
      <c r="V118" s="128">
        <v>0</v>
      </c>
      <c r="W118" s="128">
        <v>0</v>
      </c>
      <c r="X118" s="128">
        <v>0</v>
      </c>
      <c r="Y118" s="128">
        <v>0</v>
      </c>
      <c r="Z118" s="128">
        <v>0</v>
      </c>
      <c r="AA118" s="128">
        <v>0</v>
      </c>
      <c r="AB118" s="128">
        <v>0</v>
      </c>
      <c r="AC118" s="128">
        <v>0</v>
      </c>
      <c r="AD118" s="128">
        <v>0</v>
      </c>
      <c r="AE118" s="128">
        <v>0</v>
      </c>
      <c r="AF118" s="128">
        <v>0</v>
      </c>
      <c r="AG118" s="128">
        <v>0</v>
      </c>
      <c r="AH118" s="128">
        <v>0</v>
      </c>
      <c r="AI118" s="128">
        <v>0</v>
      </c>
      <c r="AJ118" s="128">
        <v>0</v>
      </c>
      <c r="AK118" s="128">
        <v>0</v>
      </c>
      <c r="AL118" s="128">
        <v>0</v>
      </c>
      <c r="AM118" s="128">
        <v>0</v>
      </c>
      <c r="AN118" s="128">
        <v>0</v>
      </c>
      <c r="AO118" s="128">
        <v>0</v>
      </c>
      <c r="AP118" s="128">
        <v>0</v>
      </c>
      <c r="AQ118" s="128">
        <v>0</v>
      </c>
      <c r="AR118" s="128">
        <v>0</v>
      </c>
      <c r="AS118" s="128">
        <v>0</v>
      </c>
      <c r="AT118" s="128">
        <v>0</v>
      </c>
      <c r="AU118" s="128">
        <v>0</v>
      </c>
      <c r="AV118" s="128">
        <v>0</v>
      </c>
      <c r="AW118" s="128">
        <v>0</v>
      </c>
      <c r="AX118" s="128">
        <v>0</v>
      </c>
      <c r="AY118" s="128">
        <v>0</v>
      </c>
      <c r="AZ118" s="128">
        <v>0</v>
      </c>
      <c r="BA118" s="128">
        <v>0</v>
      </c>
      <c r="BB118" s="128">
        <v>0</v>
      </c>
      <c r="BC118" s="128">
        <v>0</v>
      </c>
      <c r="BD118" s="128">
        <v>0</v>
      </c>
      <c r="BE118" s="128">
        <v>0</v>
      </c>
      <c r="BF118" s="128">
        <v>0</v>
      </c>
      <c r="BG118" s="128">
        <v>0</v>
      </c>
      <c r="BH118" s="128">
        <v>0</v>
      </c>
      <c r="BI118" s="128">
        <v>0</v>
      </c>
      <c r="BJ118" s="128">
        <v>0</v>
      </c>
      <c r="BK118" s="128">
        <v>0</v>
      </c>
      <c r="BL118" s="128">
        <v>0</v>
      </c>
      <c r="BM118" s="128">
        <v>0</v>
      </c>
      <c r="BN118" s="128">
        <v>0</v>
      </c>
      <c r="BO118" s="128">
        <v>0</v>
      </c>
      <c r="BP118" s="132">
        <v>0</v>
      </c>
    </row>
    <row r="119" spans="2:68" outlineLevel="1"/>
    <row r="120" spans="2:68" ht="12" customHeight="1" outlineLevel="1">
      <c r="B120" s="160" t="s">
        <v>42</v>
      </c>
    </row>
    <row r="121" spans="2:68" outlineLevel="1">
      <c r="C121" s="101" t="str">
        <f t="array" ref="C121:C126">cust</f>
        <v>Michael’s Market Goods</v>
      </c>
      <c r="F121" s="109" t="s">
        <v>9</v>
      </c>
      <c r="G121" s="132"/>
      <c r="H121" s="128">
        <f t="array" ref="H121:BO126">_xlfn.ANCHORARRAY(H110)*H113:BO118*H35:BO40</f>
        <v>82657.5</v>
      </c>
      <c r="I121" s="128">
        <v>87823.59375</v>
      </c>
      <c r="J121" s="128">
        <v>98155.78125</v>
      </c>
      <c r="K121" s="128">
        <v>113654.06250000001</v>
      </c>
      <c r="L121" s="128">
        <v>123986.25</v>
      </c>
      <c r="M121" s="128">
        <v>92989.6875</v>
      </c>
      <c r="N121" s="128">
        <v>87823.59375</v>
      </c>
      <c r="O121" s="128">
        <v>103321.875</v>
      </c>
      <c r="P121" s="128">
        <v>108487.96875</v>
      </c>
      <c r="Q121" s="128">
        <v>123986.25</v>
      </c>
      <c r="R121" s="128">
        <v>139484.53125</v>
      </c>
      <c r="S121" s="128">
        <v>81365.9765625</v>
      </c>
      <c r="T121" s="128">
        <v>89394.086249999993</v>
      </c>
      <c r="U121" s="128">
        <v>94981.216640624989</v>
      </c>
      <c r="V121" s="128">
        <v>106155.477421875</v>
      </c>
      <c r="W121" s="128">
        <v>122916.86859375001</v>
      </c>
      <c r="X121" s="128">
        <v>134091.12937499999</v>
      </c>
      <c r="Y121" s="128">
        <v>100568.34703125</v>
      </c>
      <c r="Z121" s="128">
        <v>94981.216640624989</v>
      </c>
      <c r="AA121" s="128">
        <v>111742.60781249999</v>
      </c>
      <c r="AB121" s="128">
        <v>117329.738203125</v>
      </c>
      <c r="AC121" s="128">
        <v>134091.12937499999</v>
      </c>
      <c r="AD121" s="128">
        <v>150852.52054687499</v>
      </c>
      <c r="AE121" s="128">
        <v>87997.303652343748</v>
      </c>
      <c r="AF121" s="128">
        <v>96679.704279375001</v>
      </c>
      <c r="AG121" s="128">
        <v>102722.18579683593</v>
      </c>
      <c r="AH121" s="128">
        <v>114807.14883175782</v>
      </c>
      <c r="AI121" s="128">
        <v>132934.59338414064</v>
      </c>
      <c r="AJ121" s="128">
        <v>145019.55641906252</v>
      </c>
      <c r="AK121" s="128">
        <v>108764.66731429688</v>
      </c>
      <c r="AL121" s="128">
        <v>102722.18579683593</v>
      </c>
      <c r="AM121" s="128">
        <v>120849.63034921874</v>
      </c>
      <c r="AN121" s="128">
        <v>126892.1118666797</v>
      </c>
      <c r="AO121" s="128">
        <v>145019.55641906252</v>
      </c>
      <c r="AP121" s="128">
        <v>163147.00097144532</v>
      </c>
      <c r="AQ121" s="128">
        <v>93356.339444771482</v>
      </c>
      <c r="AR121" s="128">
        <v>102567.49826998894</v>
      </c>
      <c r="AS121" s="128">
        <v>108977.96691186324</v>
      </c>
      <c r="AT121" s="128">
        <v>121798.90419561186</v>
      </c>
      <c r="AU121" s="128">
        <v>141030.3101212348</v>
      </c>
      <c r="AV121" s="128">
        <v>153851.24740498338</v>
      </c>
      <c r="AW121" s="128">
        <v>115388.43555373755</v>
      </c>
      <c r="AX121" s="128">
        <v>108977.96691186324</v>
      </c>
      <c r="AY121" s="128">
        <v>128209.37283748618</v>
      </c>
      <c r="AZ121" s="128">
        <v>134619.8414793605</v>
      </c>
      <c r="BA121" s="128">
        <v>153851.24740498338</v>
      </c>
      <c r="BB121" s="128">
        <v>173082.65333060635</v>
      </c>
      <c r="BC121" s="128">
        <v>98080.170220676941</v>
      </c>
      <c r="BD121" s="128">
        <v>107757.41368245037</v>
      </c>
      <c r="BE121" s="128">
        <v>114492.25203760351</v>
      </c>
      <c r="BF121" s="128">
        <v>127961.92874790981</v>
      </c>
      <c r="BG121" s="128">
        <v>148166.44381336926</v>
      </c>
      <c r="BH121" s="128">
        <v>161636.12052367555</v>
      </c>
      <c r="BI121" s="128">
        <v>121227.09039275665</v>
      </c>
      <c r="BJ121" s="128">
        <v>114492.25203760351</v>
      </c>
      <c r="BK121" s="128">
        <v>134696.76710306297</v>
      </c>
      <c r="BL121" s="128">
        <v>141431.60545821613</v>
      </c>
      <c r="BM121" s="128">
        <v>161636.12052367555</v>
      </c>
      <c r="BN121" s="128">
        <v>181840.63558913502</v>
      </c>
      <c r="BO121" s="128">
        <v>103043.02683384316</v>
      </c>
      <c r="BP121" s="132"/>
    </row>
    <row r="122" spans="2:68" outlineLevel="1">
      <c r="C122" s="101" t="str">
        <v>Andrew Digital Commerce</v>
      </c>
      <c r="F122" s="109" t="s">
        <v>9</v>
      </c>
      <c r="G122" s="132"/>
      <c r="H122" s="128">
        <v>52088.400000000009</v>
      </c>
      <c r="I122" s="128">
        <v>56095.200000000004</v>
      </c>
      <c r="J122" s="128">
        <v>60102.000000000007</v>
      </c>
      <c r="K122" s="128">
        <v>56095.200000000012</v>
      </c>
      <c r="L122" s="128">
        <v>60102.000000000007</v>
      </c>
      <c r="M122" s="128">
        <v>56095.200000000012</v>
      </c>
      <c r="N122" s="128">
        <v>72122.400000000009</v>
      </c>
      <c r="O122" s="128">
        <v>84142.800000000017</v>
      </c>
      <c r="P122" s="128">
        <v>88149.600000000035</v>
      </c>
      <c r="Q122" s="128">
        <v>140238.00000000003</v>
      </c>
      <c r="R122" s="128">
        <v>176299.20000000007</v>
      </c>
      <c r="S122" s="128">
        <v>63708.120000000017</v>
      </c>
      <c r="T122" s="128">
        <v>56870.115120000024</v>
      </c>
      <c r="U122" s="128">
        <v>61244.739360000014</v>
      </c>
      <c r="V122" s="128">
        <v>65619.363600000012</v>
      </c>
      <c r="W122" s="128">
        <v>61244.739360000021</v>
      </c>
      <c r="X122" s="128">
        <v>65619.363600000012</v>
      </c>
      <c r="Y122" s="128">
        <v>61244.739360000021</v>
      </c>
      <c r="Z122" s="128">
        <v>78743.236320000025</v>
      </c>
      <c r="AA122" s="128">
        <v>91867.109040000025</v>
      </c>
      <c r="AB122" s="128">
        <v>96241.733280000029</v>
      </c>
      <c r="AC122" s="128">
        <v>153111.84840000005</v>
      </c>
      <c r="AD122" s="128">
        <v>192483.46656000006</v>
      </c>
      <c r="AE122" s="128">
        <v>66931.750872000019</v>
      </c>
      <c r="AF122" s="128">
        <v>59747.742945072023</v>
      </c>
      <c r="AG122" s="128">
        <v>64343.723171616017</v>
      </c>
      <c r="AH122" s="128">
        <v>68939.703398160011</v>
      </c>
      <c r="AI122" s="128">
        <v>64343.723171616024</v>
      </c>
      <c r="AJ122" s="128">
        <v>68939.703398160011</v>
      </c>
      <c r="AK122" s="128">
        <v>64343.723171616024</v>
      </c>
      <c r="AL122" s="128">
        <v>82727.644077792022</v>
      </c>
      <c r="AM122" s="128">
        <v>96515.584757424032</v>
      </c>
      <c r="AN122" s="128">
        <v>101111.56498396806</v>
      </c>
      <c r="AO122" s="128">
        <v>160859.30792904005</v>
      </c>
      <c r="AP122" s="128">
        <v>202223.12996793611</v>
      </c>
      <c r="AQ122" s="128">
        <v>68939.703398160011</v>
      </c>
      <c r="AR122" s="128">
        <v>61540.175233424183</v>
      </c>
      <c r="AS122" s="128">
        <v>66274.034866764501</v>
      </c>
      <c r="AT122" s="128">
        <v>71007.894500104812</v>
      </c>
      <c r="AU122" s="128">
        <v>66274.034866764516</v>
      </c>
      <c r="AV122" s="128">
        <v>71007.894500104812</v>
      </c>
      <c r="AW122" s="128">
        <v>66274.034866764516</v>
      </c>
      <c r="AX122" s="128">
        <v>85209.473400125789</v>
      </c>
      <c r="AY122" s="128">
        <v>99411.052300146766</v>
      </c>
      <c r="AZ122" s="128">
        <v>104144.91193348709</v>
      </c>
      <c r="BA122" s="128">
        <v>165685.08716691125</v>
      </c>
      <c r="BB122" s="128">
        <v>208289.82386697418</v>
      </c>
      <c r="BC122" s="128">
        <v>71007.894500104812</v>
      </c>
      <c r="BD122" s="128">
        <v>63386.380490426898</v>
      </c>
      <c r="BE122" s="128">
        <v>68262.255912767432</v>
      </c>
      <c r="BF122" s="128">
        <v>73138.131335107959</v>
      </c>
      <c r="BG122" s="128">
        <v>68262.255912767432</v>
      </c>
      <c r="BH122" s="128">
        <v>73138.131335107959</v>
      </c>
      <c r="BI122" s="128">
        <v>68262.255912767432</v>
      </c>
      <c r="BJ122" s="128">
        <v>87765.757602129554</v>
      </c>
      <c r="BK122" s="128">
        <v>102393.38386915115</v>
      </c>
      <c r="BL122" s="128">
        <v>107269.25929149169</v>
      </c>
      <c r="BM122" s="128">
        <v>170655.63978191858</v>
      </c>
      <c r="BN122" s="128">
        <v>214538.51858298338</v>
      </c>
      <c r="BO122" s="128">
        <v>73138.131335107959</v>
      </c>
      <c r="BP122" s="132"/>
    </row>
    <row r="123" spans="2:68" outlineLevel="1">
      <c r="C123" s="101" t="str">
        <v>Anup Industrial Systems</v>
      </c>
      <c r="F123" s="109" t="s">
        <v>9</v>
      </c>
      <c r="G123" s="132"/>
      <c r="H123" s="128">
        <v>65413.912499999999</v>
      </c>
      <c r="I123" s="128">
        <v>68856.75</v>
      </c>
      <c r="J123" s="128">
        <v>68856.75</v>
      </c>
      <c r="K123" s="128">
        <v>68856.75</v>
      </c>
      <c r="L123" s="128">
        <v>68856.75</v>
      </c>
      <c r="M123" s="128">
        <v>65413.912499999999</v>
      </c>
      <c r="N123" s="128">
        <v>61971.075000000004</v>
      </c>
      <c r="O123" s="128">
        <v>75742.425000000017</v>
      </c>
      <c r="P123" s="128">
        <v>75742.425000000017</v>
      </c>
      <c r="Q123" s="128">
        <v>72299.587500000009</v>
      </c>
      <c r="R123" s="128">
        <v>68856.75</v>
      </c>
      <c r="S123" s="128">
        <v>65740.982062499999</v>
      </c>
      <c r="T123" s="128">
        <v>67713.211524374987</v>
      </c>
      <c r="U123" s="128">
        <v>71277.064762499984</v>
      </c>
      <c r="V123" s="128">
        <v>71277.064762499984</v>
      </c>
      <c r="W123" s="128">
        <v>71277.064762499984</v>
      </c>
      <c r="X123" s="128">
        <v>71277.064762499984</v>
      </c>
      <c r="Y123" s="128">
        <v>67713.211524374987</v>
      </c>
      <c r="Z123" s="128">
        <v>64149.358286249982</v>
      </c>
      <c r="AA123" s="128">
        <v>78404.771238750007</v>
      </c>
      <c r="AB123" s="128">
        <v>78404.771238750007</v>
      </c>
      <c r="AC123" s="128">
        <v>74840.918000624995</v>
      </c>
      <c r="AD123" s="128">
        <v>71277.064762499984</v>
      </c>
      <c r="AE123" s="128">
        <v>67713.211524374987</v>
      </c>
      <c r="AF123" s="128">
        <v>69744.607870106236</v>
      </c>
      <c r="AG123" s="128">
        <v>73415.376705374991</v>
      </c>
      <c r="AH123" s="128">
        <v>73415.376705374991</v>
      </c>
      <c r="AI123" s="128">
        <v>73415.376705374991</v>
      </c>
      <c r="AJ123" s="128">
        <v>73415.376705374991</v>
      </c>
      <c r="AK123" s="128">
        <v>69744.607870106236</v>
      </c>
      <c r="AL123" s="128">
        <v>66073.839034837481</v>
      </c>
      <c r="AM123" s="128">
        <v>80756.914375912515</v>
      </c>
      <c r="AN123" s="128">
        <v>80756.914375912515</v>
      </c>
      <c r="AO123" s="128">
        <v>77086.145540643745</v>
      </c>
      <c r="AP123" s="128">
        <v>73415.376705374991</v>
      </c>
      <c r="AQ123" s="128">
        <v>69047.161791405189</v>
      </c>
      <c r="AR123" s="128">
        <v>71118.576645147346</v>
      </c>
      <c r="AS123" s="128">
        <v>74861.659626470879</v>
      </c>
      <c r="AT123" s="128">
        <v>74861.659626470879</v>
      </c>
      <c r="AU123" s="128">
        <v>74861.659626470879</v>
      </c>
      <c r="AV123" s="128">
        <v>74861.659626470879</v>
      </c>
      <c r="AW123" s="128">
        <v>71118.576645147346</v>
      </c>
      <c r="AX123" s="128">
        <v>67375.4936638238</v>
      </c>
      <c r="AY123" s="128">
        <v>82347.825589117972</v>
      </c>
      <c r="AZ123" s="128">
        <v>82347.825589117972</v>
      </c>
      <c r="BA123" s="128">
        <v>78604.74260779444</v>
      </c>
      <c r="BB123" s="128">
        <v>74861.659626470879</v>
      </c>
      <c r="BC123" s="128">
        <v>70051.79799547013</v>
      </c>
      <c r="BD123" s="128">
        <v>72153.351935334227</v>
      </c>
      <c r="BE123" s="128">
        <v>75950.896774036024</v>
      </c>
      <c r="BF123" s="128">
        <v>75950.896774036024</v>
      </c>
      <c r="BG123" s="128">
        <v>75950.896774036024</v>
      </c>
      <c r="BH123" s="128">
        <v>75950.896774036024</v>
      </c>
      <c r="BI123" s="128">
        <v>72153.351935334227</v>
      </c>
      <c r="BJ123" s="128">
        <v>68355.80709663243</v>
      </c>
      <c r="BK123" s="128">
        <v>83545.986451439632</v>
      </c>
      <c r="BL123" s="128">
        <v>83545.986451439632</v>
      </c>
      <c r="BM123" s="128">
        <v>79748.441612737835</v>
      </c>
      <c r="BN123" s="128">
        <v>75950.896774036024</v>
      </c>
      <c r="BO123" s="128">
        <v>71071.051656304204</v>
      </c>
      <c r="BP123" s="132"/>
    </row>
    <row r="124" spans="2:68" outlineLevel="1">
      <c r="C124" s="101" t="str">
        <v>Joseph Retail Group</v>
      </c>
      <c r="F124" s="109" t="s">
        <v>9</v>
      </c>
      <c r="G124" s="132"/>
      <c r="H124" s="128">
        <v>45163.63636363636</v>
      </c>
      <c r="I124" s="128">
        <v>47986.36363636364</v>
      </c>
      <c r="J124" s="128">
        <v>53631.818181818184</v>
      </c>
      <c r="K124" s="128">
        <v>62100</v>
      </c>
      <c r="L124" s="128">
        <v>67745.454545454544</v>
      </c>
      <c r="M124" s="128">
        <v>50809.090909090904</v>
      </c>
      <c r="N124" s="128">
        <v>47986.36363636364</v>
      </c>
      <c r="O124" s="128">
        <v>56454.545454545456</v>
      </c>
      <c r="P124" s="128">
        <v>59277.272727272721</v>
      </c>
      <c r="Q124" s="128">
        <v>67745.454545454544</v>
      </c>
      <c r="R124" s="128">
        <v>76213.636363636368</v>
      </c>
      <c r="S124" s="128">
        <v>40647.272727272721</v>
      </c>
      <c r="T124" s="128">
        <v>44657.803636363627</v>
      </c>
      <c r="U124" s="128">
        <v>47448.916363636366</v>
      </c>
      <c r="V124" s="128">
        <v>53031.141818181815</v>
      </c>
      <c r="W124" s="128">
        <v>61404.479999999996</v>
      </c>
      <c r="X124" s="128">
        <v>66986.705454545445</v>
      </c>
      <c r="Y124" s="128">
        <v>50240.029090909091</v>
      </c>
      <c r="Z124" s="128">
        <v>47448.916363636366</v>
      </c>
      <c r="AA124" s="128">
        <v>55822.254545454547</v>
      </c>
      <c r="AB124" s="128">
        <v>58613.367272727271</v>
      </c>
      <c r="AC124" s="128">
        <v>66986.705454545445</v>
      </c>
      <c r="AD124" s="128">
        <v>75360.043636363625</v>
      </c>
      <c r="AE124" s="128">
        <v>39354.689454545449</v>
      </c>
      <c r="AF124" s="128">
        <v>43237.685480727276</v>
      </c>
      <c r="AG124" s="128">
        <v>45940.04082327272</v>
      </c>
      <c r="AH124" s="128">
        <v>51344.751508363632</v>
      </c>
      <c r="AI124" s="128">
        <v>59451.817536000002</v>
      </c>
      <c r="AJ124" s="128">
        <v>64856.528221090914</v>
      </c>
      <c r="AK124" s="128">
        <v>48642.396165818187</v>
      </c>
      <c r="AL124" s="128">
        <v>45940.04082327272</v>
      </c>
      <c r="AM124" s="128">
        <v>54047.106850909084</v>
      </c>
      <c r="AN124" s="128">
        <v>56749.46219345455</v>
      </c>
      <c r="AO124" s="128">
        <v>64856.528221090914</v>
      </c>
      <c r="AP124" s="128">
        <v>72963.59424872727</v>
      </c>
      <c r="AQ124" s="128">
        <v>37292.503727127267</v>
      </c>
      <c r="AR124" s="128">
        <v>40972.030761537164</v>
      </c>
      <c r="AS124" s="128">
        <v>43532.782684133235</v>
      </c>
      <c r="AT124" s="128">
        <v>48654.286529325378</v>
      </c>
      <c r="AU124" s="128">
        <v>56336.542297113607</v>
      </c>
      <c r="AV124" s="128">
        <v>61458.04614230575</v>
      </c>
      <c r="AW124" s="128">
        <v>46093.534606729314</v>
      </c>
      <c r="AX124" s="128">
        <v>43532.782684133235</v>
      </c>
      <c r="AY124" s="128">
        <v>51215.038451921449</v>
      </c>
      <c r="AZ124" s="128">
        <v>53775.790374517535</v>
      </c>
      <c r="BA124" s="128">
        <v>61458.04614230575</v>
      </c>
      <c r="BB124" s="128">
        <v>69140.301910093971</v>
      </c>
      <c r="BC124" s="128">
        <v>35722.489320215216</v>
      </c>
      <c r="BD124" s="128">
        <v>39247.108266476447</v>
      </c>
      <c r="BE124" s="128">
        <v>41700.052533131224</v>
      </c>
      <c r="BF124" s="128">
        <v>46605.94106644077</v>
      </c>
      <c r="BG124" s="128">
        <v>53964.773866405114</v>
      </c>
      <c r="BH124" s="128">
        <v>58870.66239971466</v>
      </c>
      <c r="BI124" s="128">
        <v>44152.996799786</v>
      </c>
      <c r="BJ124" s="128">
        <v>41700.052533131224</v>
      </c>
      <c r="BK124" s="128">
        <v>49058.885333095561</v>
      </c>
      <c r="BL124" s="128">
        <v>51511.829599750337</v>
      </c>
      <c r="BM124" s="128">
        <v>58870.66239971466</v>
      </c>
      <c r="BN124" s="128">
        <v>66229.495199679004</v>
      </c>
      <c r="BO124" s="128">
        <v>34218.572519834146</v>
      </c>
      <c r="BP124" s="132"/>
    </row>
    <row r="125" spans="2:68" outlineLevel="1">
      <c r="C125" s="101" t="str">
        <v>Dim Collective</v>
      </c>
      <c r="F125" s="109" t="s">
        <v>9</v>
      </c>
      <c r="G125" s="132"/>
      <c r="H125" s="128">
        <v>25272</v>
      </c>
      <c r="I125" s="128">
        <v>26851.5</v>
      </c>
      <c r="J125" s="128">
        <v>30010.5</v>
      </c>
      <c r="K125" s="128">
        <v>34749.000000000007</v>
      </c>
      <c r="L125" s="128">
        <v>37908</v>
      </c>
      <c r="M125" s="128">
        <v>28431</v>
      </c>
      <c r="N125" s="128">
        <v>26851.5</v>
      </c>
      <c r="O125" s="128">
        <v>31590.000000000004</v>
      </c>
      <c r="P125" s="128">
        <v>33169.500000000007</v>
      </c>
      <c r="Q125" s="128">
        <v>37908</v>
      </c>
      <c r="R125" s="128">
        <v>42646.5</v>
      </c>
      <c r="S125" s="128">
        <v>27246.375</v>
      </c>
      <c r="T125" s="128">
        <v>29934.684000000001</v>
      </c>
      <c r="U125" s="128">
        <v>31805.601749999998</v>
      </c>
      <c r="V125" s="128">
        <v>35547.437250000003</v>
      </c>
      <c r="W125" s="128">
        <v>41160.190500000012</v>
      </c>
      <c r="X125" s="128">
        <v>44902.025999999998</v>
      </c>
      <c r="Y125" s="128">
        <v>33676.519500000002</v>
      </c>
      <c r="Z125" s="128">
        <v>31805.601749999998</v>
      </c>
      <c r="AA125" s="128">
        <v>37418.355000000003</v>
      </c>
      <c r="AB125" s="128">
        <v>39289.272750000004</v>
      </c>
      <c r="AC125" s="128">
        <v>44902.025999999998</v>
      </c>
      <c r="AD125" s="128">
        <v>50514.779250000014</v>
      </c>
      <c r="AE125" s="128">
        <v>30870.142875000005</v>
      </c>
      <c r="AF125" s="128">
        <v>33915.996972000008</v>
      </c>
      <c r="AG125" s="128">
        <v>36035.746782750008</v>
      </c>
      <c r="AH125" s="128">
        <v>40275.246404250007</v>
      </c>
      <c r="AI125" s="128">
        <v>46634.495836500006</v>
      </c>
      <c r="AJ125" s="128">
        <v>50873.995458000012</v>
      </c>
      <c r="AK125" s="128">
        <v>38155.496593500007</v>
      </c>
      <c r="AL125" s="128">
        <v>36035.746782750008</v>
      </c>
      <c r="AM125" s="128">
        <v>42394.996215000014</v>
      </c>
      <c r="AN125" s="128">
        <v>44514.746025750013</v>
      </c>
      <c r="AO125" s="128">
        <v>50873.995458000012</v>
      </c>
      <c r="AP125" s="128">
        <v>57233.244890250011</v>
      </c>
      <c r="AQ125" s="128">
        <v>33704.021990925008</v>
      </c>
      <c r="AR125" s="128">
        <v>37029.485494029606</v>
      </c>
      <c r="AS125" s="128">
        <v>39343.828337406456</v>
      </c>
      <c r="AT125" s="128">
        <v>43972.514024160155</v>
      </c>
      <c r="AU125" s="128">
        <v>50915.542554290718</v>
      </c>
      <c r="AV125" s="128">
        <v>55544.22824104441</v>
      </c>
      <c r="AW125" s="128">
        <v>41658.171180783313</v>
      </c>
      <c r="AX125" s="128">
        <v>39343.828337406456</v>
      </c>
      <c r="AY125" s="128">
        <v>46286.856867537004</v>
      </c>
      <c r="AZ125" s="128">
        <v>48601.199710913861</v>
      </c>
      <c r="BA125" s="128">
        <v>55544.22824104441</v>
      </c>
      <c r="BB125" s="128">
        <v>62487.256771174973</v>
      </c>
      <c r="BC125" s="128">
        <v>36103.748356678865</v>
      </c>
      <c r="BD125" s="128">
        <v>39665.984861204517</v>
      </c>
      <c r="BE125" s="128">
        <v>42145.108915029792</v>
      </c>
      <c r="BF125" s="128">
        <v>47103.357022680364</v>
      </c>
      <c r="BG125" s="128">
        <v>54540.729184156204</v>
      </c>
      <c r="BH125" s="128">
        <v>59498.977291806761</v>
      </c>
      <c r="BI125" s="128">
        <v>44624.232968855074</v>
      </c>
      <c r="BJ125" s="128">
        <v>42145.108915029792</v>
      </c>
      <c r="BK125" s="128">
        <v>49582.481076505646</v>
      </c>
      <c r="BL125" s="128">
        <v>52061.605130330921</v>
      </c>
      <c r="BM125" s="128">
        <v>59498.977291806761</v>
      </c>
      <c r="BN125" s="128">
        <v>66936.349453282615</v>
      </c>
      <c r="BO125" s="128">
        <v>38674.335239674401</v>
      </c>
      <c r="BP125" s="132"/>
    </row>
    <row r="126" spans="2:68" outlineLevel="1">
      <c r="C126" s="101" t="str">
        <v>Tim Forward Brands</v>
      </c>
      <c r="F126" s="190" t="s">
        <v>9</v>
      </c>
      <c r="G126" s="132"/>
      <c r="H126" s="128">
        <v>0</v>
      </c>
      <c r="I126" s="128">
        <v>0</v>
      </c>
      <c r="J126" s="128">
        <v>0</v>
      </c>
      <c r="K126" s="128">
        <v>0</v>
      </c>
      <c r="L126" s="128">
        <v>0</v>
      </c>
      <c r="M126" s="128">
        <v>0</v>
      </c>
      <c r="N126" s="128">
        <v>0</v>
      </c>
      <c r="O126" s="128">
        <v>0</v>
      </c>
      <c r="P126" s="128">
        <v>0</v>
      </c>
      <c r="Q126" s="128">
        <v>0</v>
      </c>
      <c r="R126" s="128">
        <v>0</v>
      </c>
      <c r="S126" s="128">
        <v>0</v>
      </c>
      <c r="T126" s="128">
        <v>0</v>
      </c>
      <c r="U126" s="128">
        <v>0</v>
      </c>
      <c r="V126" s="128">
        <v>0</v>
      </c>
      <c r="W126" s="128">
        <v>0</v>
      </c>
      <c r="X126" s="128">
        <v>0</v>
      </c>
      <c r="Y126" s="128">
        <v>0</v>
      </c>
      <c r="Z126" s="128">
        <v>0</v>
      </c>
      <c r="AA126" s="128">
        <v>0</v>
      </c>
      <c r="AB126" s="128">
        <v>0</v>
      </c>
      <c r="AC126" s="128">
        <v>0</v>
      </c>
      <c r="AD126" s="128">
        <v>0</v>
      </c>
      <c r="AE126" s="128">
        <v>0</v>
      </c>
      <c r="AF126" s="128">
        <v>0</v>
      </c>
      <c r="AG126" s="128">
        <v>0</v>
      </c>
      <c r="AH126" s="128">
        <v>0</v>
      </c>
      <c r="AI126" s="128">
        <v>0</v>
      </c>
      <c r="AJ126" s="128">
        <v>0</v>
      </c>
      <c r="AK126" s="128">
        <v>0</v>
      </c>
      <c r="AL126" s="128">
        <v>0</v>
      </c>
      <c r="AM126" s="128">
        <v>0</v>
      </c>
      <c r="AN126" s="128">
        <v>0</v>
      </c>
      <c r="AO126" s="128">
        <v>0</v>
      </c>
      <c r="AP126" s="128">
        <v>0</v>
      </c>
      <c r="AQ126" s="128">
        <v>0</v>
      </c>
      <c r="AR126" s="128">
        <v>0</v>
      </c>
      <c r="AS126" s="128">
        <v>0</v>
      </c>
      <c r="AT126" s="128">
        <v>0</v>
      </c>
      <c r="AU126" s="128">
        <v>0</v>
      </c>
      <c r="AV126" s="128">
        <v>0</v>
      </c>
      <c r="AW126" s="128">
        <v>0</v>
      </c>
      <c r="AX126" s="128">
        <v>0</v>
      </c>
      <c r="AY126" s="128">
        <v>0</v>
      </c>
      <c r="AZ126" s="128">
        <v>0</v>
      </c>
      <c r="BA126" s="128">
        <v>0</v>
      </c>
      <c r="BB126" s="128">
        <v>0</v>
      </c>
      <c r="BC126" s="128">
        <v>0</v>
      </c>
      <c r="BD126" s="128">
        <v>0</v>
      </c>
      <c r="BE126" s="128">
        <v>0</v>
      </c>
      <c r="BF126" s="128">
        <v>0</v>
      </c>
      <c r="BG126" s="128">
        <v>0</v>
      </c>
      <c r="BH126" s="128">
        <v>0</v>
      </c>
      <c r="BI126" s="128">
        <v>0</v>
      </c>
      <c r="BJ126" s="128">
        <v>0</v>
      </c>
      <c r="BK126" s="128">
        <v>0</v>
      </c>
      <c r="BL126" s="128">
        <v>0</v>
      </c>
      <c r="BM126" s="128">
        <v>0</v>
      </c>
      <c r="BN126" s="128">
        <v>0</v>
      </c>
      <c r="BO126" s="128">
        <v>0</v>
      </c>
      <c r="BP126" s="132"/>
    </row>
    <row r="127" spans="2:68" s="111" customFormat="1" ht="12" customHeight="1" outlineLevel="1">
      <c r="C127" s="165" t="s">
        <v>43</v>
      </c>
      <c r="D127" s="165"/>
      <c r="E127" s="166"/>
      <c r="F127" s="109" t="s">
        <v>9</v>
      </c>
      <c r="G127" s="191"/>
      <c r="H127" s="192">
        <f t="shared" ref="H127:AM127" si="22">SUM(H121:H126)</f>
        <v>270595.44886363635</v>
      </c>
      <c r="I127" s="192">
        <f t="shared" si="22"/>
        <v>287613.40738636366</v>
      </c>
      <c r="J127" s="192">
        <f t="shared" si="22"/>
        <v>310756.84943181818</v>
      </c>
      <c r="K127" s="192">
        <f t="shared" si="22"/>
        <v>335455.01250000001</v>
      </c>
      <c r="L127" s="192">
        <f t="shared" si="22"/>
        <v>358598.45454545453</v>
      </c>
      <c r="M127" s="192">
        <f t="shared" si="22"/>
        <v>293738.89090909093</v>
      </c>
      <c r="N127" s="192">
        <f t="shared" si="22"/>
        <v>296754.93238636368</v>
      </c>
      <c r="O127" s="192">
        <f t="shared" si="22"/>
        <v>351251.64545454551</v>
      </c>
      <c r="P127" s="192">
        <f t="shared" si="22"/>
        <v>364826.76647727273</v>
      </c>
      <c r="Q127" s="192">
        <f t="shared" si="22"/>
        <v>442177.29204545455</v>
      </c>
      <c r="R127" s="192">
        <f t="shared" si="22"/>
        <v>503500.61761363642</v>
      </c>
      <c r="S127" s="192">
        <f t="shared" si="22"/>
        <v>278708.72635227273</v>
      </c>
      <c r="T127" s="192">
        <f t="shared" si="22"/>
        <v>288569.90053073864</v>
      </c>
      <c r="U127" s="192">
        <f t="shared" si="22"/>
        <v>306757.53887676133</v>
      </c>
      <c r="V127" s="192">
        <f t="shared" si="22"/>
        <v>331630.48485255678</v>
      </c>
      <c r="W127" s="192">
        <f t="shared" si="22"/>
        <v>358003.34321625001</v>
      </c>
      <c r="X127" s="192">
        <f t="shared" si="22"/>
        <v>382876.28919204546</v>
      </c>
      <c r="Y127" s="192">
        <f t="shared" si="22"/>
        <v>313442.84650653409</v>
      </c>
      <c r="Z127" s="192">
        <f t="shared" si="22"/>
        <v>317128.32936051133</v>
      </c>
      <c r="AA127" s="192">
        <f t="shared" si="22"/>
        <v>375255.09763670457</v>
      </c>
      <c r="AB127" s="192">
        <f t="shared" si="22"/>
        <v>389878.88274460228</v>
      </c>
      <c r="AC127" s="192">
        <f t="shared" si="22"/>
        <v>473932.62723017047</v>
      </c>
      <c r="AD127" s="192">
        <f t="shared" si="22"/>
        <v>540487.87475573865</v>
      </c>
      <c r="AE127" s="192">
        <f t="shared" si="22"/>
        <v>292867.09837826417</v>
      </c>
      <c r="AF127" s="192">
        <f t="shared" si="22"/>
        <v>303325.73754728056</v>
      </c>
      <c r="AG127" s="192">
        <f t="shared" si="22"/>
        <v>322457.07327984966</v>
      </c>
      <c r="AH127" s="192">
        <f t="shared" si="22"/>
        <v>348782.22684790648</v>
      </c>
      <c r="AI127" s="192">
        <f t="shared" si="22"/>
        <v>376780.00663363165</v>
      </c>
      <c r="AJ127" s="192">
        <f t="shared" si="22"/>
        <v>403105.16020168841</v>
      </c>
      <c r="AK127" s="192">
        <f t="shared" si="22"/>
        <v>329650.89111533738</v>
      </c>
      <c r="AL127" s="192">
        <f t="shared" si="22"/>
        <v>333499.45651548816</v>
      </c>
      <c r="AM127" s="192">
        <f t="shared" si="22"/>
        <v>394564.23254846438</v>
      </c>
      <c r="AN127" s="192">
        <f t="shared" ref="AN127:BS127" si="23">SUM(AN121:AN126)</f>
        <v>410024.79944576486</v>
      </c>
      <c r="AO127" s="192">
        <f t="shared" si="23"/>
        <v>498695.53356783721</v>
      </c>
      <c r="AP127" s="192">
        <f t="shared" si="23"/>
        <v>568982.34678373369</v>
      </c>
      <c r="AQ127" s="192">
        <f t="shared" si="23"/>
        <v>302339.73035238899</v>
      </c>
      <c r="AR127" s="192">
        <f t="shared" si="23"/>
        <v>313227.76640412724</v>
      </c>
      <c r="AS127" s="192">
        <f t="shared" si="23"/>
        <v>332990.27242663829</v>
      </c>
      <c r="AT127" s="192">
        <f t="shared" si="23"/>
        <v>360295.25887567305</v>
      </c>
      <c r="AU127" s="192">
        <f t="shared" si="23"/>
        <v>389418.08946587454</v>
      </c>
      <c r="AV127" s="192">
        <f t="shared" si="23"/>
        <v>416723.07591490925</v>
      </c>
      <c r="AW127" s="192">
        <f t="shared" si="23"/>
        <v>340532.752853162</v>
      </c>
      <c r="AX127" s="192">
        <f t="shared" si="23"/>
        <v>344439.54499735252</v>
      </c>
      <c r="AY127" s="192">
        <f t="shared" si="23"/>
        <v>407470.14604620938</v>
      </c>
      <c r="AZ127" s="192">
        <f t="shared" si="23"/>
        <v>423489.56908739702</v>
      </c>
      <c r="BA127" s="192">
        <f t="shared" si="23"/>
        <v>515143.35156303924</v>
      </c>
      <c r="BB127" s="192">
        <f t="shared" si="23"/>
        <v>587861.69550532033</v>
      </c>
      <c r="BC127" s="192">
        <f t="shared" si="23"/>
        <v>310966.10039314593</v>
      </c>
      <c r="BD127" s="192">
        <f t="shared" si="23"/>
        <v>322210.23923589243</v>
      </c>
      <c r="BE127" s="192">
        <f t="shared" si="23"/>
        <v>342550.56617256801</v>
      </c>
      <c r="BF127" s="192">
        <f t="shared" si="23"/>
        <v>370760.25494617491</v>
      </c>
      <c r="BG127" s="192">
        <f t="shared" si="23"/>
        <v>400885.0995507341</v>
      </c>
      <c r="BH127" s="192">
        <f t="shared" si="23"/>
        <v>429094.78832434095</v>
      </c>
      <c r="BI127" s="192">
        <f t="shared" si="23"/>
        <v>350419.92800949939</v>
      </c>
      <c r="BJ127" s="192">
        <f t="shared" si="23"/>
        <v>354458.9781845265</v>
      </c>
      <c r="BK127" s="192">
        <f t="shared" si="23"/>
        <v>419277.50383325492</v>
      </c>
      <c r="BL127" s="192">
        <f t="shared" si="23"/>
        <v>435820.28593122866</v>
      </c>
      <c r="BM127" s="192">
        <f t="shared" si="23"/>
        <v>530409.84160985332</v>
      </c>
      <c r="BN127" s="192">
        <f t="shared" si="23"/>
        <v>605495.89559911611</v>
      </c>
      <c r="BO127" s="192">
        <f t="shared" si="23"/>
        <v>320145.11758476391</v>
      </c>
      <c r="BP127" s="191">
        <f t="shared" si="23"/>
        <v>0</v>
      </c>
    </row>
    <row r="128" spans="2:68" s="111" customFormat="1" ht="12" customHeight="1" outlineLevel="1">
      <c r="E128" s="112"/>
      <c r="F128" s="113"/>
      <c r="G128" s="193"/>
      <c r="H128" s="193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  <c r="AA128" s="193"/>
      <c r="AB128" s="193"/>
      <c r="AC128" s="193"/>
      <c r="AD128" s="193"/>
      <c r="AE128" s="193"/>
      <c r="AF128" s="193"/>
      <c r="AG128" s="193"/>
      <c r="AH128" s="193"/>
      <c r="AI128" s="193"/>
      <c r="AJ128" s="193"/>
      <c r="AK128" s="193"/>
      <c r="AL128" s="193"/>
      <c r="AM128" s="193"/>
      <c r="AN128" s="193"/>
      <c r="AO128" s="193"/>
      <c r="AP128" s="193"/>
      <c r="AQ128" s="193"/>
      <c r="AR128" s="193"/>
      <c r="AS128" s="193"/>
      <c r="AT128" s="193"/>
      <c r="AU128" s="193"/>
      <c r="AV128" s="193"/>
      <c r="AW128" s="193"/>
      <c r="AX128" s="193"/>
      <c r="AY128" s="193"/>
      <c r="AZ128" s="193"/>
      <c r="BA128" s="193"/>
      <c r="BB128" s="193"/>
      <c r="BC128" s="193"/>
      <c r="BD128" s="193"/>
      <c r="BE128" s="193"/>
      <c r="BF128" s="193"/>
      <c r="BG128" s="193"/>
      <c r="BH128" s="193"/>
      <c r="BI128" s="193"/>
      <c r="BJ128" s="193"/>
      <c r="BK128" s="193"/>
      <c r="BL128" s="193"/>
      <c r="BM128" s="193"/>
      <c r="BN128" s="193"/>
      <c r="BO128" s="193"/>
      <c r="BP128" s="194"/>
    </row>
    <row r="129" spans="2:68" ht="12" customHeight="1" outlineLevel="1">
      <c r="B129" s="112" t="s">
        <v>44</v>
      </c>
    </row>
    <row r="130" spans="2:68" ht="12" customHeight="1" outlineLevel="1">
      <c r="B130" s="160" t="s">
        <v>44</v>
      </c>
    </row>
    <row r="131" spans="2:68" outlineLevel="1">
      <c r="C131" s="101" t="s">
        <v>45</v>
      </c>
      <c r="D131" s="195">
        <f>Assumptions!D17</f>
        <v>0.35</v>
      </c>
      <c r="E131" s="196" t="s">
        <v>40</v>
      </c>
      <c r="F131" s="109" t="s">
        <v>9</v>
      </c>
      <c r="G131" s="144"/>
      <c r="H131" s="121">
        <f t="array" ref="H131:BO131">$D$131*_xlfn.ANCHORARRAY(H31)</f>
        <v>0.35</v>
      </c>
      <c r="I131" s="121">
        <v>0.35</v>
      </c>
      <c r="J131" s="121">
        <v>0.35</v>
      </c>
      <c r="K131" s="121">
        <v>0.35</v>
      </c>
      <c r="L131" s="121">
        <v>0.35</v>
      </c>
      <c r="M131" s="121">
        <v>0.35</v>
      </c>
      <c r="N131" s="121">
        <v>0.35</v>
      </c>
      <c r="O131" s="121">
        <v>0.35</v>
      </c>
      <c r="P131" s="121">
        <v>0.35</v>
      </c>
      <c r="Q131" s="121">
        <v>0.35</v>
      </c>
      <c r="R131" s="121">
        <v>0.35</v>
      </c>
      <c r="S131" s="121">
        <v>0.35</v>
      </c>
      <c r="T131" s="121">
        <v>0.36049999999999999</v>
      </c>
      <c r="U131" s="121">
        <v>0.36049999999999999</v>
      </c>
      <c r="V131" s="121">
        <v>0.36049999999999999</v>
      </c>
      <c r="W131" s="121">
        <v>0.36049999999999999</v>
      </c>
      <c r="X131" s="121">
        <v>0.36049999999999999</v>
      </c>
      <c r="Y131" s="121">
        <v>0.36049999999999999</v>
      </c>
      <c r="Z131" s="121">
        <v>0.36049999999999999</v>
      </c>
      <c r="AA131" s="121">
        <v>0.36049999999999999</v>
      </c>
      <c r="AB131" s="121">
        <v>0.36049999999999999</v>
      </c>
      <c r="AC131" s="121">
        <v>0.36049999999999999</v>
      </c>
      <c r="AD131" s="121">
        <v>0.36049999999999999</v>
      </c>
      <c r="AE131" s="121">
        <v>0.36049999999999999</v>
      </c>
      <c r="AF131" s="121">
        <v>0.37131499999999995</v>
      </c>
      <c r="AG131" s="121">
        <v>0.37131499999999995</v>
      </c>
      <c r="AH131" s="121">
        <v>0.37131499999999995</v>
      </c>
      <c r="AI131" s="121">
        <v>0.37131499999999995</v>
      </c>
      <c r="AJ131" s="121">
        <v>0.37131499999999995</v>
      </c>
      <c r="AK131" s="121">
        <v>0.37131499999999995</v>
      </c>
      <c r="AL131" s="121">
        <v>0.37131499999999995</v>
      </c>
      <c r="AM131" s="121">
        <v>0.37131499999999995</v>
      </c>
      <c r="AN131" s="121">
        <v>0.37131499999999995</v>
      </c>
      <c r="AO131" s="121">
        <v>0.37131499999999995</v>
      </c>
      <c r="AP131" s="121">
        <v>0.37131499999999995</v>
      </c>
      <c r="AQ131" s="121">
        <v>0.37131499999999995</v>
      </c>
      <c r="AR131" s="121">
        <v>0.38245445</v>
      </c>
      <c r="AS131" s="121">
        <v>0.38245445</v>
      </c>
      <c r="AT131" s="121">
        <v>0.38245445</v>
      </c>
      <c r="AU131" s="121">
        <v>0.38245445</v>
      </c>
      <c r="AV131" s="121">
        <v>0.38245445</v>
      </c>
      <c r="AW131" s="121">
        <v>0.38245445</v>
      </c>
      <c r="AX131" s="121">
        <v>0.38245445</v>
      </c>
      <c r="AY131" s="121">
        <v>0.38245445</v>
      </c>
      <c r="AZ131" s="121">
        <v>0.38245445</v>
      </c>
      <c r="BA131" s="121">
        <v>0.38245445</v>
      </c>
      <c r="BB131" s="121">
        <v>0.38245445</v>
      </c>
      <c r="BC131" s="121">
        <v>0.38245445</v>
      </c>
      <c r="BD131" s="121">
        <v>0.39392808349999997</v>
      </c>
      <c r="BE131" s="121">
        <v>0.39392808349999997</v>
      </c>
      <c r="BF131" s="121">
        <v>0.39392808349999997</v>
      </c>
      <c r="BG131" s="121">
        <v>0.39392808349999997</v>
      </c>
      <c r="BH131" s="121">
        <v>0.39392808349999997</v>
      </c>
      <c r="BI131" s="121">
        <v>0.39392808349999997</v>
      </c>
      <c r="BJ131" s="121">
        <v>0.39392808349999997</v>
      </c>
      <c r="BK131" s="121">
        <v>0.39392808349999997</v>
      </c>
      <c r="BL131" s="121">
        <v>0.39392808349999997</v>
      </c>
      <c r="BM131" s="121">
        <v>0.39392808349999997</v>
      </c>
      <c r="BN131" s="121">
        <v>0.39392808349999997</v>
      </c>
      <c r="BO131" s="121">
        <v>0.39392808349999997</v>
      </c>
      <c r="BP131" s="144"/>
    </row>
    <row r="132" spans="2:68" outlineLevel="1"/>
    <row r="133" spans="2:68" ht="12" customHeight="1" outlineLevel="1">
      <c r="B133" s="160" t="s">
        <v>46</v>
      </c>
    </row>
    <row r="134" spans="2:68" outlineLevel="1">
      <c r="C134" s="101" t="str">
        <f t="array" ref="C134:C139">cust</f>
        <v>Michael’s Market Goods</v>
      </c>
      <c r="F134" s="109" t="str">
        <f t="array" ref="F134:BP134">_xlfn.XLOOKUP(C134,_xlfn.ANCHORARRAY($C$71),$F$71:$BP$76)</f>
        <v>[parcel]</v>
      </c>
      <c r="G134" s="132">
        <v>0</v>
      </c>
      <c r="H134" s="128">
        <v>300937.5</v>
      </c>
      <c r="I134" s="128">
        <v>321000</v>
      </c>
      <c r="J134" s="128">
        <v>341062.5</v>
      </c>
      <c r="K134" s="128">
        <v>381187.5</v>
      </c>
      <c r="L134" s="128">
        <v>441375.00000000006</v>
      </c>
      <c r="M134" s="128">
        <v>481500</v>
      </c>
      <c r="N134" s="128">
        <v>361125</v>
      </c>
      <c r="O134" s="128">
        <v>341062.5</v>
      </c>
      <c r="P134" s="128">
        <v>401250</v>
      </c>
      <c r="Q134" s="128">
        <v>421312.5</v>
      </c>
      <c r="R134" s="128">
        <v>481500</v>
      </c>
      <c r="S134" s="128">
        <v>541687.5</v>
      </c>
      <c r="T134" s="128">
        <v>315984.375</v>
      </c>
      <c r="U134" s="128">
        <v>337050</v>
      </c>
      <c r="V134" s="128">
        <v>358115.625</v>
      </c>
      <c r="W134" s="128">
        <v>400246.875</v>
      </c>
      <c r="X134" s="128">
        <v>463443.75000000006</v>
      </c>
      <c r="Y134" s="128">
        <v>505575</v>
      </c>
      <c r="Z134" s="128">
        <v>379181.25</v>
      </c>
      <c r="AA134" s="128">
        <v>358115.625</v>
      </c>
      <c r="AB134" s="128">
        <v>421312.5</v>
      </c>
      <c r="AC134" s="128">
        <v>442378.125</v>
      </c>
      <c r="AD134" s="128">
        <v>505575</v>
      </c>
      <c r="AE134" s="128">
        <v>568771.875</v>
      </c>
      <c r="AF134" s="128">
        <v>331783.59375</v>
      </c>
      <c r="AG134" s="128">
        <v>353902.5</v>
      </c>
      <c r="AH134" s="128">
        <v>376021.40625</v>
      </c>
      <c r="AI134" s="128">
        <v>420259.21875</v>
      </c>
      <c r="AJ134" s="128">
        <v>486615.93750000006</v>
      </c>
      <c r="AK134" s="128">
        <v>530853.75</v>
      </c>
      <c r="AL134" s="128">
        <v>398140.3125</v>
      </c>
      <c r="AM134" s="128">
        <v>376021.40625</v>
      </c>
      <c r="AN134" s="128">
        <v>442378.125</v>
      </c>
      <c r="AO134" s="128">
        <v>464497.03125</v>
      </c>
      <c r="AP134" s="128">
        <v>530853.75</v>
      </c>
      <c r="AQ134" s="128">
        <v>597210.46875</v>
      </c>
      <c r="AR134" s="128">
        <v>341737.1015625</v>
      </c>
      <c r="AS134" s="128">
        <v>364519.57500000001</v>
      </c>
      <c r="AT134" s="128">
        <v>387302.04843749997</v>
      </c>
      <c r="AU134" s="128">
        <v>432866.99531249999</v>
      </c>
      <c r="AV134" s="128">
        <v>501214.41562500002</v>
      </c>
      <c r="AW134" s="128">
        <v>546779.36249999993</v>
      </c>
      <c r="AX134" s="128">
        <v>410084.52187500003</v>
      </c>
      <c r="AY134" s="128">
        <v>387302.04843749997</v>
      </c>
      <c r="AZ134" s="128">
        <v>455649.46875</v>
      </c>
      <c r="BA134" s="128">
        <v>478431.94218750001</v>
      </c>
      <c r="BB134" s="128">
        <v>546779.36249999993</v>
      </c>
      <c r="BC134" s="128">
        <v>615126.78281250002</v>
      </c>
      <c r="BD134" s="128">
        <v>348571.84359375003</v>
      </c>
      <c r="BE134" s="128">
        <v>371809.96650000004</v>
      </c>
      <c r="BF134" s="128">
        <v>395048.08940624999</v>
      </c>
      <c r="BG134" s="128">
        <v>441524.33521875</v>
      </c>
      <c r="BH134" s="128">
        <v>511238.70393750007</v>
      </c>
      <c r="BI134" s="128">
        <v>557714.94975000003</v>
      </c>
      <c r="BJ134" s="128">
        <v>418286.21231249999</v>
      </c>
      <c r="BK134" s="128">
        <v>395048.08940624999</v>
      </c>
      <c r="BL134" s="128">
        <v>464762.458125</v>
      </c>
      <c r="BM134" s="128">
        <v>488000.58103125001</v>
      </c>
      <c r="BN134" s="128">
        <v>557714.94975000003</v>
      </c>
      <c r="BO134" s="128">
        <v>627429.31846875011</v>
      </c>
      <c r="BP134" s="132">
        <v>355543.28046562499</v>
      </c>
    </row>
    <row r="135" spans="2:68" outlineLevel="1">
      <c r="C135" s="101" t="str">
        <v>Andrew Digital Commerce</v>
      </c>
      <c r="F135" s="109" t="str">
        <f t="array" ref="F135:BP135">_xlfn.XLOOKUP(C135,_xlfn.ANCHORARRAY($C$71),$F$71:$BP$76)</f>
        <v>[parcel]</v>
      </c>
      <c r="G135" s="197">
        <v>0</v>
      </c>
      <c r="H135" s="185">
        <v>378000.00000000006</v>
      </c>
      <c r="I135" s="185">
        <v>327600.00000000006</v>
      </c>
      <c r="J135" s="185">
        <v>352800</v>
      </c>
      <c r="K135" s="185">
        <v>378000.00000000006</v>
      </c>
      <c r="L135" s="185">
        <v>352800.00000000006</v>
      </c>
      <c r="M135" s="185">
        <v>378000.00000000006</v>
      </c>
      <c r="N135" s="185">
        <v>352800.00000000006</v>
      </c>
      <c r="O135" s="185">
        <v>453600.00000000006</v>
      </c>
      <c r="P135" s="185">
        <v>529200.00000000012</v>
      </c>
      <c r="Q135" s="185">
        <v>554400.00000000012</v>
      </c>
      <c r="R135" s="185">
        <v>882000.00000000012</v>
      </c>
      <c r="S135" s="185">
        <v>1108800.0000000002</v>
      </c>
      <c r="T135" s="185">
        <v>400680.00000000012</v>
      </c>
      <c r="U135" s="185">
        <v>347256.00000000012</v>
      </c>
      <c r="V135" s="185">
        <v>373968.00000000006</v>
      </c>
      <c r="W135" s="185">
        <v>400680.00000000012</v>
      </c>
      <c r="X135" s="185">
        <v>373968.00000000012</v>
      </c>
      <c r="Y135" s="185">
        <v>400680.00000000012</v>
      </c>
      <c r="Z135" s="185">
        <v>373968.00000000012</v>
      </c>
      <c r="AA135" s="185">
        <v>480816.00000000012</v>
      </c>
      <c r="AB135" s="185">
        <v>560952.00000000012</v>
      </c>
      <c r="AC135" s="185">
        <v>587664.00000000023</v>
      </c>
      <c r="AD135" s="185">
        <v>934920.00000000023</v>
      </c>
      <c r="AE135" s="185">
        <v>1175328.0000000005</v>
      </c>
      <c r="AF135" s="185">
        <v>408693.60000000009</v>
      </c>
      <c r="AG135" s="185">
        <v>354201.12000000011</v>
      </c>
      <c r="AH135" s="185">
        <v>381447.3600000001</v>
      </c>
      <c r="AI135" s="185">
        <v>408693.60000000009</v>
      </c>
      <c r="AJ135" s="185">
        <v>381447.36000000016</v>
      </c>
      <c r="AK135" s="185">
        <v>408693.60000000009</v>
      </c>
      <c r="AL135" s="185">
        <v>381447.36000000016</v>
      </c>
      <c r="AM135" s="185">
        <v>490432.32000000018</v>
      </c>
      <c r="AN135" s="185">
        <v>572171.04000000015</v>
      </c>
      <c r="AO135" s="185">
        <v>599417.28000000026</v>
      </c>
      <c r="AP135" s="185">
        <v>953618.40000000026</v>
      </c>
      <c r="AQ135" s="185">
        <v>1198834.5600000005</v>
      </c>
      <c r="AR135" s="185">
        <v>408693.60000000009</v>
      </c>
      <c r="AS135" s="185">
        <v>354201.12000000011</v>
      </c>
      <c r="AT135" s="185">
        <v>381447.3600000001</v>
      </c>
      <c r="AU135" s="185">
        <v>408693.60000000009</v>
      </c>
      <c r="AV135" s="185">
        <v>381447.36000000016</v>
      </c>
      <c r="AW135" s="185">
        <v>408693.60000000009</v>
      </c>
      <c r="AX135" s="185">
        <v>381447.36000000016</v>
      </c>
      <c r="AY135" s="185">
        <v>490432.32000000018</v>
      </c>
      <c r="AZ135" s="185">
        <v>572171.04000000015</v>
      </c>
      <c r="BA135" s="185">
        <v>599417.28000000026</v>
      </c>
      <c r="BB135" s="185">
        <v>953618.40000000026</v>
      </c>
      <c r="BC135" s="185">
        <v>1198834.5600000005</v>
      </c>
      <c r="BD135" s="185">
        <v>408693.60000000009</v>
      </c>
      <c r="BE135" s="185">
        <v>354201.12000000011</v>
      </c>
      <c r="BF135" s="185">
        <v>381447.3600000001</v>
      </c>
      <c r="BG135" s="185">
        <v>408693.60000000009</v>
      </c>
      <c r="BH135" s="185">
        <v>381447.36000000016</v>
      </c>
      <c r="BI135" s="185">
        <v>408693.60000000009</v>
      </c>
      <c r="BJ135" s="185">
        <v>381447.36000000016</v>
      </c>
      <c r="BK135" s="185">
        <v>490432.32000000018</v>
      </c>
      <c r="BL135" s="185">
        <v>572171.04000000015</v>
      </c>
      <c r="BM135" s="185">
        <v>599417.28000000026</v>
      </c>
      <c r="BN135" s="185">
        <v>953618.40000000026</v>
      </c>
      <c r="BO135" s="185">
        <v>1198834.5600000005</v>
      </c>
      <c r="BP135" s="197">
        <v>408693.60000000009</v>
      </c>
    </row>
    <row r="136" spans="2:68" outlineLevel="1">
      <c r="C136" s="101" t="str">
        <v>Anup Industrial Systems</v>
      </c>
      <c r="F136" s="109" t="str">
        <f t="array" ref="F136:BP136">_xlfn.XLOOKUP(C136,_xlfn.ANCHORARRAY($C$71),$F$71:$BP$76)</f>
        <v>[parcel]</v>
      </c>
      <c r="G136" s="197">
        <v>0</v>
      </c>
      <c r="H136" s="185">
        <v>215887.5</v>
      </c>
      <c r="I136" s="185">
        <v>215887.5</v>
      </c>
      <c r="J136" s="185">
        <v>227250</v>
      </c>
      <c r="K136" s="185">
        <v>227250</v>
      </c>
      <c r="L136" s="185">
        <v>227250</v>
      </c>
      <c r="M136" s="185">
        <v>227250</v>
      </c>
      <c r="N136" s="185">
        <v>215887.5</v>
      </c>
      <c r="O136" s="185">
        <v>204525</v>
      </c>
      <c r="P136" s="185">
        <v>249975.00000000003</v>
      </c>
      <c r="Q136" s="185">
        <v>249975.00000000003</v>
      </c>
      <c r="R136" s="185">
        <v>238612.5</v>
      </c>
      <c r="S136" s="185">
        <v>227250</v>
      </c>
      <c r="T136" s="185">
        <v>216966.93749999997</v>
      </c>
      <c r="U136" s="185">
        <v>216966.93749999997</v>
      </c>
      <c r="V136" s="185">
        <v>228386.24999999997</v>
      </c>
      <c r="W136" s="185">
        <v>228386.24999999997</v>
      </c>
      <c r="X136" s="185">
        <v>228386.24999999997</v>
      </c>
      <c r="Y136" s="185">
        <v>228386.24999999997</v>
      </c>
      <c r="Z136" s="185">
        <v>216966.93749999997</v>
      </c>
      <c r="AA136" s="185">
        <v>205547.62499999997</v>
      </c>
      <c r="AB136" s="185">
        <v>251224.875</v>
      </c>
      <c r="AC136" s="185">
        <v>251224.875</v>
      </c>
      <c r="AD136" s="185">
        <v>239805.56249999997</v>
      </c>
      <c r="AE136" s="185">
        <v>228386.24999999997</v>
      </c>
      <c r="AF136" s="185">
        <v>216966.93749999997</v>
      </c>
      <c r="AG136" s="185">
        <v>216966.93749999997</v>
      </c>
      <c r="AH136" s="185">
        <v>228386.24999999997</v>
      </c>
      <c r="AI136" s="185">
        <v>228386.24999999997</v>
      </c>
      <c r="AJ136" s="185">
        <v>228386.24999999997</v>
      </c>
      <c r="AK136" s="185">
        <v>228386.24999999997</v>
      </c>
      <c r="AL136" s="185">
        <v>216966.93749999997</v>
      </c>
      <c r="AM136" s="185">
        <v>205547.62499999997</v>
      </c>
      <c r="AN136" s="185">
        <v>251224.875</v>
      </c>
      <c r="AO136" s="185">
        <v>251224.875</v>
      </c>
      <c r="AP136" s="185">
        <v>239805.56249999997</v>
      </c>
      <c r="AQ136" s="185">
        <v>228386.24999999997</v>
      </c>
      <c r="AR136" s="185">
        <v>214797.26812499997</v>
      </c>
      <c r="AS136" s="185">
        <v>214797.26812499997</v>
      </c>
      <c r="AT136" s="185">
        <v>226102.38749999998</v>
      </c>
      <c r="AU136" s="185">
        <v>226102.38749999998</v>
      </c>
      <c r="AV136" s="185">
        <v>226102.38749999998</v>
      </c>
      <c r="AW136" s="185">
        <v>226102.38749999998</v>
      </c>
      <c r="AX136" s="185">
        <v>214797.26812499997</v>
      </c>
      <c r="AY136" s="185">
        <v>203492.14874999999</v>
      </c>
      <c r="AZ136" s="185">
        <v>248712.62625</v>
      </c>
      <c r="BA136" s="185">
        <v>248712.62625</v>
      </c>
      <c r="BB136" s="185">
        <v>237407.50687499999</v>
      </c>
      <c r="BC136" s="185">
        <v>226102.38749999998</v>
      </c>
      <c r="BD136" s="185">
        <v>211575.30910312498</v>
      </c>
      <c r="BE136" s="185">
        <v>211575.30910312498</v>
      </c>
      <c r="BF136" s="185">
        <v>222710.85168749999</v>
      </c>
      <c r="BG136" s="185">
        <v>222710.85168749999</v>
      </c>
      <c r="BH136" s="185">
        <v>222710.85168749999</v>
      </c>
      <c r="BI136" s="185">
        <v>222710.85168749999</v>
      </c>
      <c r="BJ136" s="185">
        <v>211575.30910312498</v>
      </c>
      <c r="BK136" s="185">
        <v>200439.76651875</v>
      </c>
      <c r="BL136" s="185">
        <v>244981.93685625002</v>
      </c>
      <c r="BM136" s="185">
        <v>244981.93685625002</v>
      </c>
      <c r="BN136" s="185">
        <v>233846.394271875</v>
      </c>
      <c r="BO136" s="185">
        <v>222710.85168749999</v>
      </c>
      <c r="BP136" s="197">
        <v>208401.67946657812</v>
      </c>
    </row>
    <row r="137" spans="2:68" outlineLevel="1">
      <c r="C137" s="101" t="str">
        <v>Joseph Retail Group</v>
      </c>
      <c r="F137" s="109" t="str">
        <f t="array" ref="F137:BP137">_xlfn.XLOOKUP(C137,_xlfn.ANCHORARRAY($C$71),$F$71:$BP$76)</f>
        <v>[parcel]</v>
      </c>
      <c r="G137" s="197">
        <v>0</v>
      </c>
      <c r="H137" s="185">
        <v>207000</v>
      </c>
      <c r="I137" s="185">
        <v>220800</v>
      </c>
      <c r="J137" s="185">
        <v>234600</v>
      </c>
      <c r="K137" s="185">
        <v>262200</v>
      </c>
      <c r="L137" s="185">
        <v>303600</v>
      </c>
      <c r="M137" s="185">
        <v>331200</v>
      </c>
      <c r="N137" s="185">
        <v>248400</v>
      </c>
      <c r="O137" s="185">
        <v>234600</v>
      </c>
      <c r="P137" s="185">
        <v>276000</v>
      </c>
      <c r="Q137" s="185">
        <v>289800</v>
      </c>
      <c r="R137" s="185">
        <v>331200</v>
      </c>
      <c r="S137" s="185">
        <v>372600</v>
      </c>
      <c r="T137" s="185">
        <v>198720</v>
      </c>
      <c r="U137" s="185">
        <v>211968</v>
      </c>
      <c r="V137" s="185">
        <v>225216</v>
      </c>
      <c r="W137" s="185">
        <v>251712</v>
      </c>
      <c r="X137" s="185">
        <v>291456</v>
      </c>
      <c r="Y137" s="185">
        <v>317952</v>
      </c>
      <c r="Z137" s="185">
        <v>238464</v>
      </c>
      <c r="AA137" s="185">
        <v>225216</v>
      </c>
      <c r="AB137" s="185">
        <v>264960</v>
      </c>
      <c r="AC137" s="185">
        <v>278208</v>
      </c>
      <c r="AD137" s="185">
        <v>317952</v>
      </c>
      <c r="AE137" s="185">
        <v>357696</v>
      </c>
      <c r="AF137" s="185">
        <v>186796.79999999999</v>
      </c>
      <c r="AG137" s="185">
        <v>199249.92000000001</v>
      </c>
      <c r="AH137" s="185">
        <v>211703.03999999998</v>
      </c>
      <c r="AI137" s="185">
        <v>236609.27999999997</v>
      </c>
      <c r="AJ137" s="185">
        <v>273968.64000000001</v>
      </c>
      <c r="AK137" s="185">
        <v>298874.88</v>
      </c>
      <c r="AL137" s="185">
        <v>224156.16</v>
      </c>
      <c r="AM137" s="185">
        <v>211703.03999999998</v>
      </c>
      <c r="AN137" s="185">
        <v>249062.39999999999</v>
      </c>
      <c r="AO137" s="185">
        <v>261515.52000000002</v>
      </c>
      <c r="AP137" s="185">
        <v>298874.88</v>
      </c>
      <c r="AQ137" s="185">
        <v>336234.23999999999</v>
      </c>
      <c r="AR137" s="185">
        <v>171853.05599999998</v>
      </c>
      <c r="AS137" s="185">
        <v>183309.9264</v>
      </c>
      <c r="AT137" s="185">
        <v>194766.79679999998</v>
      </c>
      <c r="AU137" s="185">
        <v>217680.53759999998</v>
      </c>
      <c r="AV137" s="185">
        <v>252051.14880000002</v>
      </c>
      <c r="AW137" s="185">
        <v>274964.88959999999</v>
      </c>
      <c r="AX137" s="185">
        <v>206223.6672</v>
      </c>
      <c r="AY137" s="185">
        <v>194766.79679999998</v>
      </c>
      <c r="AZ137" s="185">
        <v>229137.408</v>
      </c>
      <c r="BA137" s="185">
        <v>240594.27840000001</v>
      </c>
      <c r="BB137" s="185">
        <v>274964.88959999999</v>
      </c>
      <c r="BC137" s="185">
        <v>309335.50080000004</v>
      </c>
      <c r="BD137" s="185">
        <v>159823.34208</v>
      </c>
      <c r="BE137" s="185">
        <v>170478.23155200001</v>
      </c>
      <c r="BF137" s="185">
        <v>181133.12102399999</v>
      </c>
      <c r="BG137" s="185">
        <v>202442.89996799998</v>
      </c>
      <c r="BH137" s="185">
        <v>234407.56838400001</v>
      </c>
      <c r="BI137" s="185">
        <v>255717.34732799997</v>
      </c>
      <c r="BJ137" s="185">
        <v>191788.010496</v>
      </c>
      <c r="BK137" s="185">
        <v>181133.12102399999</v>
      </c>
      <c r="BL137" s="185">
        <v>213097.78943999999</v>
      </c>
      <c r="BM137" s="185">
        <v>223752.678912</v>
      </c>
      <c r="BN137" s="185">
        <v>255717.34732799997</v>
      </c>
      <c r="BO137" s="185">
        <v>287682.01574400003</v>
      </c>
      <c r="BP137" s="197">
        <v>148635.70813439999</v>
      </c>
    </row>
    <row r="138" spans="2:68" outlineLevel="1">
      <c r="C138" s="101" t="str">
        <v>Dim Collective</v>
      </c>
      <c r="F138" s="109" t="str">
        <f t="array" ref="F138:BP138">_xlfn.XLOOKUP(C138,_xlfn.ANCHORARRAY($C$71),$F$71:$BP$76)</f>
        <v>[parcel]</v>
      </c>
      <c r="G138" s="197">
        <v>0</v>
      </c>
      <c r="H138" s="185">
        <v>121875</v>
      </c>
      <c r="I138" s="185">
        <v>130000</v>
      </c>
      <c r="J138" s="185">
        <v>138125</v>
      </c>
      <c r="K138" s="185">
        <v>154375</v>
      </c>
      <c r="L138" s="185">
        <v>178750</v>
      </c>
      <c r="M138" s="185">
        <v>195000</v>
      </c>
      <c r="N138" s="185">
        <v>146250</v>
      </c>
      <c r="O138" s="185">
        <v>138125</v>
      </c>
      <c r="P138" s="185">
        <v>162500</v>
      </c>
      <c r="Q138" s="185">
        <v>170625</v>
      </c>
      <c r="R138" s="185">
        <v>195000</v>
      </c>
      <c r="S138" s="185">
        <v>219375</v>
      </c>
      <c r="T138" s="185">
        <v>140156.25</v>
      </c>
      <c r="U138" s="185">
        <v>149500</v>
      </c>
      <c r="V138" s="185">
        <v>158843.75</v>
      </c>
      <c r="W138" s="185">
        <v>177531.25</v>
      </c>
      <c r="X138" s="185">
        <v>205562.50000000003</v>
      </c>
      <c r="Y138" s="185">
        <v>224250</v>
      </c>
      <c r="Z138" s="185">
        <v>168187.5</v>
      </c>
      <c r="AA138" s="185">
        <v>158843.75</v>
      </c>
      <c r="AB138" s="185">
        <v>186875</v>
      </c>
      <c r="AC138" s="185">
        <v>196218.75</v>
      </c>
      <c r="AD138" s="185">
        <v>224250</v>
      </c>
      <c r="AE138" s="185">
        <v>252281.25000000003</v>
      </c>
      <c r="AF138" s="185">
        <v>154171.87500000003</v>
      </c>
      <c r="AG138" s="185">
        <v>164450.00000000003</v>
      </c>
      <c r="AH138" s="185">
        <v>174728.12500000003</v>
      </c>
      <c r="AI138" s="185">
        <v>195284.37500000003</v>
      </c>
      <c r="AJ138" s="185">
        <v>226118.75000000006</v>
      </c>
      <c r="AK138" s="185">
        <v>246675.00000000003</v>
      </c>
      <c r="AL138" s="185">
        <v>185006.25000000003</v>
      </c>
      <c r="AM138" s="185">
        <v>174728.12500000003</v>
      </c>
      <c r="AN138" s="185">
        <v>205562.50000000003</v>
      </c>
      <c r="AO138" s="185">
        <v>215840.62500000003</v>
      </c>
      <c r="AP138" s="185">
        <v>246675.00000000003</v>
      </c>
      <c r="AQ138" s="185">
        <v>277509.37500000006</v>
      </c>
      <c r="AR138" s="185">
        <v>163422.18750000003</v>
      </c>
      <c r="AS138" s="185">
        <v>174317.00000000003</v>
      </c>
      <c r="AT138" s="185">
        <v>185211.81250000003</v>
      </c>
      <c r="AU138" s="185">
        <v>207001.43750000003</v>
      </c>
      <c r="AV138" s="185">
        <v>239685.87500000006</v>
      </c>
      <c r="AW138" s="185">
        <v>261475.50000000003</v>
      </c>
      <c r="AX138" s="185">
        <v>196106.62500000003</v>
      </c>
      <c r="AY138" s="185">
        <v>185211.81250000003</v>
      </c>
      <c r="AZ138" s="185">
        <v>217896.25000000003</v>
      </c>
      <c r="BA138" s="185">
        <v>228791.06250000003</v>
      </c>
      <c r="BB138" s="185">
        <v>261475.50000000003</v>
      </c>
      <c r="BC138" s="185">
        <v>294159.93750000006</v>
      </c>
      <c r="BD138" s="185">
        <v>169959.07500000001</v>
      </c>
      <c r="BE138" s="185">
        <v>181289.68000000005</v>
      </c>
      <c r="BF138" s="185">
        <v>192620.28500000003</v>
      </c>
      <c r="BG138" s="185">
        <v>215281.49500000002</v>
      </c>
      <c r="BH138" s="185">
        <v>249273.31000000006</v>
      </c>
      <c r="BI138" s="185">
        <v>271934.52</v>
      </c>
      <c r="BJ138" s="185">
        <v>203950.89000000004</v>
      </c>
      <c r="BK138" s="185">
        <v>192620.28500000003</v>
      </c>
      <c r="BL138" s="185">
        <v>226612.10000000003</v>
      </c>
      <c r="BM138" s="185">
        <v>237942.70500000005</v>
      </c>
      <c r="BN138" s="185">
        <v>271934.52</v>
      </c>
      <c r="BO138" s="185">
        <v>305926.33500000008</v>
      </c>
      <c r="BP138" s="197">
        <v>176757.43800000002</v>
      </c>
    </row>
    <row r="139" spans="2:68" outlineLevel="1">
      <c r="C139" s="101" t="str">
        <v>Tim Forward Brands</v>
      </c>
      <c r="F139" s="109" t="str">
        <f t="array" ref="F139:BP139">_xlfn.XLOOKUP(C139,_xlfn.ANCHORARRAY($C$71),$F$71:$BP$76)</f>
        <v>[parcel]</v>
      </c>
      <c r="G139" s="197">
        <v>0</v>
      </c>
      <c r="H139" s="185">
        <v>0</v>
      </c>
      <c r="I139" s="185">
        <v>0</v>
      </c>
      <c r="J139" s="185">
        <v>0</v>
      </c>
      <c r="K139" s="185">
        <v>0</v>
      </c>
      <c r="L139" s="185">
        <v>0</v>
      </c>
      <c r="M139" s="185">
        <v>0</v>
      </c>
      <c r="N139" s="185">
        <v>0</v>
      </c>
      <c r="O139" s="185">
        <v>0</v>
      </c>
      <c r="P139" s="185">
        <v>0</v>
      </c>
      <c r="Q139" s="185">
        <v>0</v>
      </c>
      <c r="R139" s="185">
        <v>0</v>
      </c>
      <c r="S139" s="185">
        <v>0</v>
      </c>
      <c r="T139" s="185">
        <v>0</v>
      </c>
      <c r="U139" s="185">
        <v>0</v>
      </c>
      <c r="V139" s="185">
        <v>0</v>
      </c>
      <c r="W139" s="185">
        <v>0</v>
      </c>
      <c r="X139" s="185">
        <v>0</v>
      </c>
      <c r="Y139" s="185">
        <v>0</v>
      </c>
      <c r="Z139" s="185">
        <v>0</v>
      </c>
      <c r="AA139" s="185">
        <v>0</v>
      </c>
      <c r="AB139" s="185">
        <v>0</v>
      </c>
      <c r="AC139" s="185">
        <v>0</v>
      </c>
      <c r="AD139" s="185">
        <v>0</v>
      </c>
      <c r="AE139" s="185">
        <v>0</v>
      </c>
      <c r="AF139" s="185">
        <v>0</v>
      </c>
      <c r="AG139" s="185">
        <v>0</v>
      </c>
      <c r="AH139" s="185">
        <v>0</v>
      </c>
      <c r="AI139" s="185">
        <v>0</v>
      </c>
      <c r="AJ139" s="185">
        <v>0</v>
      </c>
      <c r="AK139" s="185">
        <v>0</v>
      </c>
      <c r="AL139" s="185">
        <v>0</v>
      </c>
      <c r="AM139" s="185">
        <v>0</v>
      </c>
      <c r="AN139" s="185">
        <v>0</v>
      </c>
      <c r="AO139" s="185">
        <v>0</v>
      </c>
      <c r="AP139" s="185">
        <v>0</v>
      </c>
      <c r="AQ139" s="185">
        <v>0</v>
      </c>
      <c r="AR139" s="185">
        <v>0</v>
      </c>
      <c r="AS139" s="185">
        <v>0</v>
      </c>
      <c r="AT139" s="185">
        <v>0</v>
      </c>
      <c r="AU139" s="185">
        <v>0</v>
      </c>
      <c r="AV139" s="185">
        <v>0</v>
      </c>
      <c r="AW139" s="185">
        <v>0</v>
      </c>
      <c r="AX139" s="185">
        <v>0</v>
      </c>
      <c r="AY139" s="185">
        <v>0</v>
      </c>
      <c r="AZ139" s="185">
        <v>0</v>
      </c>
      <c r="BA139" s="185">
        <v>0</v>
      </c>
      <c r="BB139" s="185">
        <v>0</v>
      </c>
      <c r="BC139" s="185">
        <v>0</v>
      </c>
      <c r="BD139" s="185">
        <v>0</v>
      </c>
      <c r="BE139" s="185">
        <v>0</v>
      </c>
      <c r="BF139" s="185">
        <v>0</v>
      </c>
      <c r="BG139" s="185">
        <v>0</v>
      </c>
      <c r="BH139" s="185">
        <v>0</v>
      </c>
      <c r="BI139" s="185">
        <v>0</v>
      </c>
      <c r="BJ139" s="185">
        <v>0</v>
      </c>
      <c r="BK139" s="185">
        <v>0</v>
      </c>
      <c r="BL139" s="185">
        <v>0</v>
      </c>
      <c r="BM139" s="185">
        <v>0</v>
      </c>
      <c r="BN139" s="185">
        <v>0</v>
      </c>
      <c r="BO139" s="185">
        <v>0</v>
      </c>
      <c r="BP139" s="197">
        <v>0</v>
      </c>
    </row>
    <row r="140" spans="2:68" outlineLevel="1"/>
    <row r="141" spans="2:68" ht="12" customHeight="1" outlineLevel="1">
      <c r="B141" s="160" t="s">
        <v>47</v>
      </c>
    </row>
    <row r="142" spans="2:68" outlineLevel="1">
      <c r="C142" s="101" t="str">
        <f t="array" ref="C142:C147">cust</f>
        <v>Michael’s Market Goods</v>
      </c>
      <c r="F142" s="109" t="s">
        <v>9</v>
      </c>
      <c r="G142" s="132"/>
      <c r="H142" s="128">
        <f t="array" ref="H142:BO147">_xlfn.ANCHORARRAY(H131)*H134:BO139*H35:BO40</f>
        <v>105328.125</v>
      </c>
      <c r="I142" s="128">
        <v>112350</v>
      </c>
      <c r="J142" s="128">
        <v>119371.87499999999</v>
      </c>
      <c r="K142" s="128">
        <v>133415.625</v>
      </c>
      <c r="L142" s="128">
        <v>154481.25</v>
      </c>
      <c r="M142" s="128">
        <v>168525</v>
      </c>
      <c r="N142" s="128">
        <v>126393.74999999999</v>
      </c>
      <c r="O142" s="128">
        <v>119371.87499999999</v>
      </c>
      <c r="P142" s="128">
        <v>140437.5</v>
      </c>
      <c r="Q142" s="128">
        <v>147459.375</v>
      </c>
      <c r="R142" s="128">
        <v>168525</v>
      </c>
      <c r="S142" s="128">
        <v>189590.625</v>
      </c>
      <c r="T142" s="128">
        <v>113912.3671875</v>
      </c>
      <c r="U142" s="128">
        <v>121506.52499999999</v>
      </c>
      <c r="V142" s="128">
        <v>129100.68281249999</v>
      </c>
      <c r="W142" s="128">
        <v>144288.99843750001</v>
      </c>
      <c r="X142" s="128">
        <v>167071.47187500002</v>
      </c>
      <c r="Y142" s="128">
        <v>182259.78750000001</v>
      </c>
      <c r="Z142" s="128">
        <v>136694.84062499998</v>
      </c>
      <c r="AA142" s="128">
        <v>129100.68281249999</v>
      </c>
      <c r="AB142" s="128">
        <v>151883.15625</v>
      </c>
      <c r="AC142" s="128">
        <v>159477.31406249999</v>
      </c>
      <c r="AD142" s="128">
        <v>182259.78750000001</v>
      </c>
      <c r="AE142" s="128">
        <v>205042.26093749999</v>
      </c>
      <c r="AF142" s="128">
        <v>123196.22511328124</v>
      </c>
      <c r="AG142" s="128">
        <v>131409.30678749998</v>
      </c>
      <c r="AH142" s="128">
        <v>139622.38846171874</v>
      </c>
      <c r="AI142" s="128">
        <v>156048.55181015623</v>
      </c>
      <c r="AJ142" s="128">
        <v>180687.79683281248</v>
      </c>
      <c r="AK142" s="128">
        <v>197113.96018124997</v>
      </c>
      <c r="AL142" s="128">
        <v>147835.47013593747</v>
      </c>
      <c r="AM142" s="128">
        <v>139622.38846171874</v>
      </c>
      <c r="AN142" s="128">
        <v>164261.63348437496</v>
      </c>
      <c r="AO142" s="128">
        <v>172474.71515859372</v>
      </c>
      <c r="AP142" s="128">
        <v>197113.96018124997</v>
      </c>
      <c r="AQ142" s="128">
        <v>221753.20520390623</v>
      </c>
      <c r="AR142" s="128">
        <v>130698.87522268007</v>
      </c>
      <c r="AS142" s="128">
        <v>139412.13357085874</v>
      </c>
      <c r="AT142" s="128">
        <v>148125.39191903741</v>
      </c>
      <c r="AU142" s="128">
        <v>165551.90861539476</v>
      </c>
      <c r="AV142" s="128">
        <v>191691.6836599308</v>
      </c>
      <c r="AW142" s="128">
        <v>209118.20035628809</v>
      </c>
      <c r="AX142" s="128">
        <v>156838.65026721612</v>
      </c>
      <c r="AY142" s="128">
        <v>148125.39191903741</v>
      </c>
      <c r="AZ142" s="128">
        <v>174265.16696357343</v>
      </c>
      <c r="BA142" s="128">
        <v>182978.4253117521</v>
      </c>
      <c r="BB142" s="128">
        <v>209118.20035628809</v>
      </c>
      <c r="BC142" s="128">
        <v>235257.97540082416</v>
      </c>
      <c r="BD142" s="128">
        <v>137312.23830894768</v>
      </c>
      <c r="BE142" s="128">
        <v>146466.38752954421</v>
      </c>
      <c r="BF142" s="128">
        <v>155620.53675014069</v>
      </c>
      <c r="BG142" s="128">
        <v>173928.83519133372</v>
      </c>
      <c r="BH142" s="128">
        <v>201391.2828531233</v>
      </c>
      <c r="BI142" s="128">
        <v>219699.5812943163</v>
      </c>
      <c r="BJ142" s="128">
        <v>164774.68597073722</v>
      </c>
      <c r="BK142" s="128">
        <v>155620.53675014069</v>
      </c>
      <c r="BL142" s="128">
        <v>183082.98441193023</v>
      </c>
      <c r="BM142" s="128">
        <v>192237.13363252676</v>
      </c>
      <c r="BN142" s="128">
        <v>219699.5812943163</v>
      </c>
      <c r="BO142" s="128">
        <v>247162.02895610587</v>
      </c>
      <c r="BP142" s="132"/>
    </row>
    <row r="143" spans="2:68" outlineLevel="1">
      <c r="C143" s="101" t="str">
        <v>Andrew Digital Commerce</v>
      </c>
      <c r="F143" s="109" t="s">
        <v>9</v>
      </c>
      <c r="G143" s="132"/>
      <c r="H143" s="128">
        <v>132300</v>
      </c>
      <c r="I143" s="128">
        <v>114660.00000000001</v>
      </c>
      <c r="J143" s="128">
        <v>123479.99999999999</v>
      </c>
      <c r="K143" s="128">
        <v>132300</v>
      </c>
      <c r="L143" s="128">
        <v>123480.00000000001</v>
      </c>
      <c r="M143" s="128">
        <v>132300</v>
      </c>
      <c r="N143" s="128">
        <v>123480.00000000001</v>
      </c>
      <c r="O143" s="128">
        <v>158760</v>
      </c>
      <c r="P143" s="128">
        <v>185220.00000000003</v>
      </c>
      <c r="Q143" s="128">
        <v>194040.00000000003</v>
      </c>
      <c r="R143" s="128">
        <v>308700</v>
      </c>
      <c r="S143" s="128">
        <v>388080.00000000006</v>
      </c>
      <c r="T143" s="128">
        <v>144445.14000000004</v>
      </c>
      <c r="U143" s="128">
        <v>125185.78800000004</v>
      </c>
      <c r="V143" s="128">
        <v>134815.46400000001</v>
      </c>
      <c r="W143" s="128">
        <v>144445.14000000004</v>
      </c>
      <c r="X143" s="128">
        <v>134815.46400000004</v>
      </c>
      <c r="Y143" s="128">
        <v>144445.14000000004</v>
      </c>
      <c r="Z143" s="128">
        <v>134815.46400000004</v>
      </c>
      <c r="AA143" s="128">
        <v>173334.16800000003</v>
      </c>
      <c r="AB143" s="128">
        <v>202223.19600000003</v>
      </c>
      <c r="AC143" s="128">
        <v>211852.87200000009</v>
      </c>
      <c r="AD143" s="128">
        <v>337038.66000000009</v>
      </c>
      <c r="AE143" s="128">
        <v>423705.74400000018</v>
      </c>
      <c r="AF143" s="128">
        <v>151754.06408400001</v>
      </c>
      <c r="AG143" s="128">
        <v>131520.18887280003</v>
      </c>
      <c r="AH143" s="128">
        <v>141637.12647840002</v>
      </c>
      <c r="AI143" s="128">
        <v>151754.06408400001</v>
      </c>
      <c r="AJ143" s="128">
        <v>141637.12647840005</v>
      </c>
      <c r="AK143" s="128">
        <v>151754.06408400001</v>
      </c>
      <c r="AL143" s="128">
        <v>141637.12647840005</v>
      </c>
      <c r="AM143" s="128">
        <v>182104.87690080004</v>
      </c>
      <c r="AN143" s="128">
        <v>212455.68971760003</v>
      </c>
      <c r="AO143" s="128">
        <v>222572.62732320005</v>
      </c>
      <c r="AP143" s="128">
        <v>354092.81619600003</v>
      </c>
      <c r="AQ143" s="128">
        <v>445145.25464640011</v>
      </c>
      <c r="AR143" s="128">
        <v>156306.68600652003</v>
      </c>
      <c r="AS143" s="128">
        <v>135465.79453898405</v>
      </c>
      <c r="AT143" s="128">
        <v>145886.24027275204</v>
      </c>
      <c r="AU143" s="128">
        <v>156306.68600652003</v>
      </c>
      <c r="AV143" s="128">
        <v>145886.24027275207</v>
      </c>
      <c r="AW143" s="128">
        <v>156306.68600652003</v>
      </c>
      <c r="AX143" s="128">
        <v>145886.24027275207</v>
      </c>
      <c r="AY143" s="128">
        <v>187568.02320782407</v>
      </c>
      <c r="AZ143" s="128">
        <v>218829.36040912807</v>
      </c>
      <c r="BA143" s="128">
        <v>229249.80614289609</v>
      </c>
      <c r="BB143" s="128">
        <v>364715.60068188008</v>
      </c>
      <c r="BC143" s="128">
        <v>458499.61228579219</v>
      </c>
      <c r="BD143" s="128">
        <v>160995.88658671561</v>
      </c>
      <c r="BE143" s="128">
        <v>139529.76837515357</v>
      </c>
      <c r="BF143" s="128">
        <v>150262.82748093459</v>
      </c>
      <c r="BG143" s="128">
        <v>160995.88658671561</v>
      </c>
      <c r="BH143" s="128">
        <v>150262.82748093462</v>
      </c>
      <c r="BI143" s="128">
        <v>160995.88658671561</v>
      </c>
      <c r="BJ143" s="128">
        <v>150262.82748093462</v>
      </c>
      <c r="BK143" s="128">
        <v>193195.06390405877</v>
      </c>
      <c r="BL143" s="128">
        <v>225394.24122140187</v>
      </c>
      <c r="BM143" s="128">
        <v>236127.30032718295</v>
      </c>
      <c r="BN143" s="128">
        <v>375657.06870233646</v>
      </c>
      <c r="BO143" s="128">
        <v>472254.6006543659</v>
      </c>
      <c r="BP143" s="132"/>
    </row>
    <row r="144" spans="2:68" outlineLevel="1">
      <c r="C144" s="101" t="str">
        <v>Anup Industrial Systems</v>
      </c>
      <c r="F144" s="109" t="s">
        <v>9</v>
      </c>
      <c r="G144" s="132"/>
      <c r="H144" s="128">
        <v>75560.625</v>
      </c>
      <c r="I144" s="128">
        <v>75560.625</v>
      </c>
      <c r="J144" s="128">
        <v>79537.5</v>
      </c>
      <c r="K144" s="128">
        <v>79537.5</v>
      </c>
      <c r="L144" s="128">
        <v>79537.5</v>
      </c>
      <c r="M144" s="128">
        <v>79537.5</v>
      </c>
      <c r="N144" s="128">
        <v>75560.625</v>
      </c>
      <c r="O144" s="128">
        <v>71583.75</v>
      </c>
      <c r="P144" s="128">
        <v>87491.25</v>
      </c>
      <c r="Q144" s="128">
        <v>87491.25</v>
      </c>
      <c r="R144" s="128">
        <v>83514.375</v>
      </c>
      <c r="S144" s="128">
        <v>79537.5</v>
      </c>
      <c r="T144" s="128">
        <v>78216.580968749986</v>
      </c>
      <c r="U144" s="128">
        <v>78216.580968749986</v>
      </c>
      <c r="V144" s="128">
        <v>82333.243124999994</v>
      </c>
      <c r="W144" s="128">
        <v>82333.243124999994</v>
      </c>
      <c r="X144" s="128">
        <v>82333.243124999994</v>
      </c>
      <c r="Y144" s="128">
        <v>82333.243124999994</v>
      </c>
      <c r="Z144" s="128">
        <v>78216.580968749986</v>
      </c>
      <c r="AA144" s="128">
        <v>74099.918812499993</v>
      </c>
      <c r="AB144" s="128">
        <v>90566.567437499994</v>
      </c>
      <c r="AC144" s="128">
        <v>90566.567437499994</v>
      </c>
      <c r="AD144" s="128">
        <v>86449.905281249987</v>
      </c>
      <c r="AE144" s="128">
        <v>82333.243124999994</v>
      </c>
      <c r="AF144" s="128">
        <v>80563.078397812482</v>
      </c>
      <c r="AG144" s="128">
        <v>80563.078397812482</v>
      </c>
      <c r="AH144" s="128">
        <v>84803.240418749978</v>
      </c>
      <c r="AI144" s="128">
        <v>84803.240418749978</v>
      </c>
      <c r="AJ144" s="128">
        <v>84803.240418749978</v>
      </c>
      <c r="AK144" s="128">
        <v>84803.240418749978</v>
      </c>
      <c r="AL144" s="128">
        <v>80563.078397812482</v>
      </c>
      <c r="AM144" s="128">
        <v>76322.916376874986</v>
      </c>
      <c r="AN144" s="128">
        <v>93283.564460624984</v>
      </c>
      <c r="AO144" s="128">
        <v>93283.564460624984</v>
      </c>
      <c r="AP144" s="128">
        <v>89043.402439687474</v>
      </c>
      <c r="AQ144" s="128">
        <v>84803.240418749978</v>
      </c>
      <c r="AR144" s="128">
        <v>82150.171042249392</v>
      </c>
      <c r="AS144" s="128">
        <v>82150.171042249392</v>
      </c>
      <c r="AT144" s="128">
        <v>86473.864254999367</v>
      </c>
      <c r="AU144" s="128">
        <v>86473.864254999367</v>
      </c>
      <c r="AV144" s="128">
        <v>86473.864254999367</v>
      </c>
      <c r="AW144" s="128">
        <v>86473.864254999367</v>
      </c>
      <c r="AX144" s="128">
        <v>82150.171042249392</v>
      </c>
      <c r="AY144" s="128">
        <v>77826.477829499432</v>
      </c>
      <c r="AZ144" s="128">
        <v>95121.250680499317</v>
      </c>
      <c r="BA144" s="128">
        <v>95121.250680499317</v>
      </c>
      <c r="BB144" s="128">
        <v>90797.557467749342</v>
      </c>
      <c r="BC144" s="128">
        <v>86473.864254999367</v>
      </c>
      <c r="BD144" s="128">
        <v>83345.456030914123</v>
      </c>
      <c r="BE144" s="128">
        <v>83345.456030914123</v>
      </c>
      <c r="BF144" s="128">
        <v>87732.058979909605</v>
      </c>
      <c r="BG144" s="128">
        <v>87732.058979909605</v>
      </c>
      <c r="BH144" s="128">
        <v>87732.058979909605</v>
      </c>
      <c r="BI144" s="128">
        <v>87732.058979909605</v>
      </c>
      <c r="BJ144" s="128">
        <v>83345.456030914123</v>
      </c>
      <c r="BK144" s="128">
        <v>78958.853081918642</v>
      </c>
      <c r="BL144" s="128">
        <v>96505.264877900583</v>
      </c>
      <c r="BM144" s="128">
        <v>96505.264877900583</v>
      </c>
      <c r="BN144" s="128">
        <v>92118.661928905087</v>
      </c>
      <c r="BO144" s="128">
        <v>87732.058979909605</v>
      </c>
      <c r="BP144" s="132"/>
    </row>
    <row r="145" spans="2:68" outlineLevel="1">
      <c r="C145" s="101" t="str">
        <v>Joseph Retail Group</v>
      </c>
      <c r="F145" s="109" t="s">
        <v>9</v>
      </c>
      <c r="G145" s="132"/>
      <c r="H145" s="128">
        <v>72450</v>
      </c>
      <c r="I145" s="128">
        <v>77280</v>
      </c>
      <c r="J145" s="128">
        <v>82110</v>
      </c>
      <c r="K145" s="128">
        <v>91770</v>
      </c>
      <c r="L145" s="128">
        <v>106260</v>
      </c>
      <c r="M145" s="128">
        <v>115919.99999999999</v>
      </c>
      <c r="N145" s="128">
        <v>86940</v>
      </c>
      <c r="O145" s="128">
        <v>82110</v>
      </c>
      <c r="P145" s="128">
        <v>96600</v>
      </c>
      <c r="Q145" s="128">
        <v>101430</v>
      </c>
      <c r="R145" s="128">
        <v>115919.99999999999</v>
      </c>
      <c r="S145" s="128">
        <v>130409.99999999999</v>
      </c>
      <c r="T145" s="128">
        <v>71638.559999999998</v>
      </c>
      <c r="U145" s="128">
        <v>76414.463999999993</v>
      </c>
      <c r="V145" s="128">
        <v>81190.368000000002</v>
      </c>
      <c r="W145" s="128">
        <v>90742.175999999992</v>
      </c>
      <c r="X145" s="128">
        <v>105069.88799999999</v>
      </c>
      <c r="Y145" s="128">
        <v>114621.696</v>
      </c>
      <c r="Z145" s="128">
        <v>85966.271999999997</v>
      </c>
      <c r="AA145" s="128">
        <v>81190.368000000002</v>
      </c>
      <c r="AB145" s="128">
        <v>95518.080000000002</v>
      </c>
      <c r="AC145" s="128">
        <v>100293.984</v>
      </c>
      <c r="AD145" s="128">
        <v>114621.696</v>
      </c>
      <c r="AE145" s="128">
        <v>128949.408</v>
      </c>
      <c r="AF145" s="128">
        <v>69360.453791999986</v>
      </c>
      <c r="AG145" s="128">
        <v>73984.484044799989</v>
      </c>
      <c r="AH145" s="128">
        <v>78608.514297599977</v>
      </c>
      <c r="AI145" s="128">
        <v>87856.574803199983</v>
      </c>
      <c r="AJ145" s="128">
        <v>101728.66556159999</v>
      </c>
      <c r="AK145" s="128">
        <v>110976.72606719998</v>
      </c>
      <c r="AL145" s="128">
        <v>83232.544550399994</v>
      </c>
      <c r="AM145" s="128">
        <v>78608.514297599977</v>
      </c>
      <c r="AN145" s="128">
        <v>92480.605055999986</v>
      </c>
      <c r="AO145" s="128">
        <v>97104.635308799989</v>
      </c>
      <c r="AP145" s="128">
        <v>110976.72606719998</v>
      </c>
      <c r="AQ145" s="128">
        <v>124848.81682559998</v>
      </c>
      <c r="AR145" s="128">
        <v>65725.966013299199</v>
      </c>
      <c r="AS145" s="128">
        <v>70107.697080852478</v>
      </c>
      <c r="AT145" s="128">
        <v>74489.428148405757</v>
      </c>
      <c r="AU145" s="128">
        <v>83252.890283512315</v>
      </c>
      <c r="AV145" s="128">
        <v>96398.083486172167</v>
      </c>
      <c r="AW145" s="128">
        <v>105161.54562127872</v>
      </c>
      <c r="AX145" s="128">
        <v>78871.159215959036</v>
      </c>
      <c r="AY145" s="128">
        <v>74489.428148405757</v>
      </c>
      <c r="AZ145" s="128">
        <v>87634.621351065594</v>
      </c>
      <c r="BA145" s="128">
        <v>92016.352418618888</v>
      </c>
      <c r="BB145" s="128">
        <v>105161.54562127872</v>
      </c>
      <c r="BC145" s="128">
        <v>118306.73882393858</v>
      </c>
      <c r="BD145" s="128">
        <v>62958.902844139302</v>
      </c>
      <c r="BE145" s="128">
        <v>67156.163033748584</v>
      </c>
      <c r="BF145" s="128">
        <v>71353.423223357866</v>
      </c>
      <c r="BG145" s="128">
        <v>79747.943602576444</v>
      </c>
      <c r="BH145" s="128">
        <v>92339.724171404305</v>
      </c>
      <c r="BI145" s="128">
        <v>100734.24455062287</v>
      </c>
      <c r="BJ145" s="128">
        <v>75550.683412967162</v>
      </c>
      <c r="BK145" s="128">
        <v>71353.423223357866</v>
      </c>
      <c r="BL145" s="128">
        <v>83945.203792185726</v>
      </c>
      <c r="BM145" s="128">
        <v>88142.463981795023</v>
      </c>
      <c r="BN145" s="128">
        <v>100734.24455062287</v>
      </c>
      <c r="BO145" s="128">
        <v>113326.02511945076</v>
      </c>
      <c r="BP145" s="132"/>
    </row>
    <row r="146" spans="2:68" outlineLevel="1">
      <c r="C146" s="101" t="str">
        <v>Dim Collective</v>
      </c>
      <c r="F146" s="109" t="s">
        <v>9</v>
      </c>
      <c r="G146" s="132"/>
      <c r="H146" s="128">
        <v>42656.25</v>
      </c>
      <c r="I146" s="128">
        <v>45500</v>
      </c>
      <c r="J146" s="128">
        <v>48343.75</v>
      </c>
      <c r="K146" s="128">
        <v>54031.25</v>
      </c>
      <c r="L146" s="128">
        <v>62562.499999999993</v>
      </c>
      <c r="M146" s="128">
        <v>68250</v>
      </c>
      <c r="N146" s="128">
        <v>51187.5</v>
      </c>
      <c r="O146" s="128">
        <v>48343.75</v>
      </c>
      <c r="P146" s="128">
        <v>56875</v>
      </c>
      <c r="Q146" s="128">
        <v>59718.749999999993</v>
      </c>
      <c r="R146" s="128">
        <v>68250</v>
      </c>
      <c r="S146" s="128">
        <v>76781.25</v>
      </c>
      <c r="T146" s="128">
        <v>50526.328125</v>
      </c>
      <c r="U146" s="128">
        <v>53894.75</v>
      </c>
      <c r="V146" s="128">
        <v>57263.171875</v>
      </c>
      <c r="W146" s="128">
        <v>64000.015625</v>
      </c>
      <c r="X146" s="128">
        <v>74105.281250000015</v>
      </c>
      <c r="Y146" s="128">
        <v>80842.125</v>
      </c>
      <c r="Z146" s="128">
        <v>60631.59375</v>
      </c>
      <c r="AA146" s="128">
        <v>57263.171875</v>
      </c>
      <c r="AB146" s="128">
        <v>67368.4375</v>
      </c>
      <c r="AC146" s="128">
        <v>70736.859375</v>
      </c>
      <c r="AD146" s="128">
        <v>80842.125</v>
      </c>
      <c r="AE146" s="128">
        <v>90947.390625</v>
      </c>
      <c r="AF146" s="128">
        <v>57246.329765625</v>
      </c>
      <c r="AG146" s="128">
        <v>61062.751750000003</v>
      </c>
      <c r="AH146" s="128">
        <v>64879.173734374999</v>
      </c>
      <c r="AI146" s="128">
        <v>72512.017703125006</v>
      </c>
      <c r="AJ146" s="128">
        <v>83961.283656250016</v>
      </c>
      <c r="AK146" s="128">
        <v>91594.127624999994</v>
      </c>
      <c r="AL146" s="128">
        <v>68695.595718750003</v>
      </c>
      <c r="AM146" s="128">
        <v>64879.173734374999</v>
      </c>
      <c r="AN146" s="128">
        <v>76328.439687499995</v>
      </c>
      <c r="AO146" s="128">
        <v>80144.861671874998</v>
      </c>
      <c r="AP146" s="128">
        <v>91594.127624999994</v>
      </c>
      <c r="AQ146" s="128">
        <v>103043.393578125</v>
      </c>
      <c r="AR146" s="128">
        <v>62501.542838109388</v>
      </c>
      <c r="AS146" s="128">
        <v>66668.312360650016</v>
      </c>
      <c r="AT146" s="128">
        <v>70835.081883190636</v>
      </c>
      <c r="AU146" s="128">
        <v>79168.620928271892</v>
      </c>
      <c r="AV146" s="128">
        <v>91668.929495893768</v>
      </c>
      <c r="AW146" s="128">
        <v>100002.46854097501</v>
      </c>
      <c r="AX146" s="128">
        <v>75001.851405731257</v>
      </c>
      <c r="AY146" s="128">
        <v>70835.081883190636</v>
      </c>
      <c r="AZ146" s="128">
        <v>83335.390450812512</v>
      </c>
      <c r="BA146" s="128">
        <v>87502.159973353133</v>
      </c>
      <c r="BB146" s="128">
        <v>100002.46854097501</v>
      </c>
      <c r="BC146" s="128">
        <v>112502.7771085969</v>
      </c>
      <c r="BD146" s="128">
        <v>66951.652688182759</v>
      </c>
      <c r="BE146" s="128">
        <v>71415.096200728294</v>
      </c>
      <c r="BF146" s="128">
        <v>75878.5397132738</v>
      </c>
      <c r="BG146" s="128">
        <v>84805.42673836484</v>
      </c>
      <c r="BH146" s="128">
        <v>98195.757276001401</v>
      </c>
      <c r="BI146" s="128">
        <v>107122.64430109241</v>
      </c>
      <c r="BJ146" s="128">
        <v>80341.98322581932</v>
      </c>
      <c r="BK146" s="128">
        <v>75878.5397132738</v>
      </c>
      <c r="BL146" s="128">
        <v>89268.87025091036</v>
      </c>
      <c r="BM146" s="128">
        <v>93732.313763455881</v>
      </c>
      <c r="BN146" s="128">
        <v>107122.64430109241</v>
      </c>
      <c r="BO146" s="128">
        <v>120512.97483872899</v>
      </c>
      <c r="BP146" s="132"/>
    </row>
    <row r="147" spans="2:68" outlineLevel="1">
      <c r="C147" s="101" t="str">
        <v>Tim Forward Brands</v>
      </c>
      <c r="F147" s="190" t="s">
        <v>9</v>
      </c>
      <c r="G147" s="132"/>
      <c r="H147" s="128">
        <v>0</v>
      </c>
      <c r="I147" s="128">
        <v>0</v>
      </c>
      <c r="J147" s="128">
        <v>0</v>
      </c>
      <c r="K147" s="128">
        <v>0</v>
      </c>
      <c r="L147" s="128">
        <v>0</v>
      </c>
      <c r="M147" s="128">
        <v>0</v>
      </c>
      <c r="N147" s="128">
        <v>0</v>
      </c>
      <c r="O147" s="128">
        <v>0</v>
      </c>
      <c r="P147" s="128">
        <v>0</v>
      </c>
      <c r="Q147" s="128">
        <v>0</v>
      </c>
      <c r="R147" s="128">
        <v>0</v>
      </c>
      <c r="S147" s="128">
        <v>0</v>
      </c>
      <c r="T147" s="128">
        <v>0</v>
      </c>
      <c r="U147" s="128">
        <v>0</v>
      </c>
      <c r="V147" s="128">
        <v>0</v>
      </c>
      <c r="W147" s="128">
        <v>0</v>
      </c>
      <c r="X147" s="128">
        <v>0</v>
      </c>
      <c r="Y147" s="128">
        <v>0</v>
      </c>
      <c r="Z147" s="128">
        <v>0</v>
      </c>
      <c r="AA147" s="128">
        <v>0</v>
      </c>
      <c r="AB147" s="128">
        <v>0</v>
      </c>
      <c r="AC147" s="128">
        <v>0</v>
      </c>
      <c r="AD147" s="128">
        <v>0</v>
      </c>
      <c r="AE147" s="128">
        <v>0</v>
      </c>
      <c r="AF147" s="128">
        <v>0</v>
      </c>
      <c r="AG147" s="128">
        <v>0</v>
      </c>
      <c r="AH147" s="128">
        <v>0</v>
      </c>
      <c r="AI147" s="128">
        <v>0</v>
      </c>
      <c r="AJ147" s="128">
        <v>0</v>
      </c>
      <c r="AK147" s="128">
        <v>0</v>
      </c>
      <c r="AL147" s="128">
        <v>0</v>
      </c>
      <c r="AM147" s="128">
        <v>0</v>
      </c>
      <c r="AN147" s="128">
        <v>0</v>
      </c>
      <c r="AO147" s="128">
        <v>0</v>
      </c>
      <c r="AP147" s="128">
        <v>0</v>
      </c>
      <c r="AQ147" s="128">
        <v>0</v>
      </c>
      <c r="AR147" s="128">
        <v>0</v>
      </c>
      <c r="AS147" s="128">
        <v>0</v>
      </c>
      <c r="AT147" s="128">
        <v>0</v>
      </c>
      <c r="AU147" s="128">
        <v>0</v>
      </c>
      <c r="AV147" s="128">
        <v>0</v>
      </c>
      <c r="AW147" s="128">
        <v>0</v>
      </c>
      <c r="AX147" s="128">
        <v>0</v>
      </c>
      <c r="AY147" s="128">
        <v>0</v>
      </c>
      <c r="AZ147" s="128">
        <v>0</v>
      </c>
      <c r="BA147" s="128">
        <v>0</v>
      </c>
      <c r="BB147" s="128">
        <v>0</v>
      </c>
      <c r="BC147" s="128">
        <v>0</v>
      </c>
      <c r="BD147" s="128">
        <v>0</v>
      </c>
      <c r="BE147" s="128">
        <v>0</v>
      </c>
      <c r="BF147" s="128">
        <v>0</v>
      </c>
      <c r="BG147" s="128">
        <v>0</v>
      </c>
      <c r="BH147" s="128">
        <v>0</v>
      </c>
      <c r="BI147" s="128">
        <v>0</v>
      </c>
      <c r="BJ147" s="128">
        <v>0</v>
      </c>
      <c r="BK147" s="128">
        <v>0</v>
      </c>
      <c r="BL147" s="128">
        <v>0</v>
      </c>
      <c r="BM147" s="128">
        <v>0</v>
      </c>
      <c r="BN147" s="128">
        <v>0</v>
      </c>
      <c r="BO147" s="128">
        <v>0</v>
      </c>
      <c r="BP147" s="132"/>
    </row>
    <row r="148" spans="2:68" ht="12" customHeight="1" outlineLevel="1">
      <c r="C148" s="165" t="s">
        <v>48</v>
      </c>
      <c r="D148" s="165"/>
      <c r="E148" s="166"/>
      <c r="F148" s="109" t="s">
        <v>9</v>
      </c>
      <c r="G148" s="191"/>
      <c r="H148" s="192">
        <f t="shared" ref="H148:AM148" si="24">SUM(H142:H147)</f>
        <v>428295</v>
      </c>
      <c r="I148" s="192">
        <f t="shared" si="24"/>
        <v>425350.625</v>
      </c>
      <c r="J148" s="192">
        <f t="shared" si="24"/>
        <v>452843.125</v>
      </c>
      <c r="K148" s="192">
        <f t="shared" si="24"/>
        <v>491054.375</v>
      </c>
      <c r="L148" s="192">
        <f t="shared" si="24"/>
        <v>526321.25</v>
      </c>
      <c r="M148" s="192">
        <f t="shared" si="24"/>
        <v>564532.5</v>
      </c>
      <c r="N148" s="192">
        <f t="shared" si="24"/>
        <v>463561.875</v>
      </c>
      <c r="O148" s="192">
        <f t="shared" si="24"/>
        <v>480169.375</v>
      </c>
      <c r="P148" s="192">
        <f t="shared" si="24"/>
        <v>566623.75</v>
      </c>
      <c r="Q148" s="192">
        <f t="shared" si="24"/>
        <v>590139.375</v>
      </c>
      <c r="R148" s="192">
        <f t="shared" si="24"/>
        <v>744909.375</v>
      </c>
      <c r="S148" s="192">
        <f t="shared" si="24"/>
        <v>864399.375</v>
      </c>
      <c r="T148" s="192">
        <f t="shared" si="24"/>
        <v>458738.97628125001</v>
      </c>
      <c r="U148" s="192">
        <f t="shared" si="24"/>
        <v>455218.10796875</v>
      </c>
      <c r="V148" s="192">
        <f t="shared" si="24"/>
        <v>484702.92981249996</v>
      </c>
      <c r="W148" s="192">
        <f t="shared" si="24"/>
        <v>525809.57318750001</v>
      </c>
      <c r="X148" s="192">
        <f t="shared" si="24"/>
        <v>563395.34825000004</v>
      </c>
      <c r="Y148" s="192">
        <f t="shared" si="24"/>
        <v>604501.99162500002</v>
      </c>
      <c r="Z148" s="192">
        <f t="shared" si="24"/>
        <v>496324.75134374999</v>
      </c>
      <c r="AA148" s="192">
        <f t="shared" si="24"/>
        <v>514988.30949999997</v>
      </c>
      <c r="AB148" s="192">
        <f t="shared" si="24"/>
        <v>607559.43718749995</v>
      </c>
      <c r="AC148" s="192">
        <f t="shared" si="24"/>
        <v>632927.59687500005</v>
      </c>
      <c r="AD148" s="192">
        <f t="shared" si="24"/>
        <v>801212.17378125014</v>
      </c>
      <c r="AE148" s="192">
        <f t="shared" si="24"/>
        <v>930978.04668750032</v>
      </c>
      <c r="AF148" s="192">
        <f t="shared" si="24"/>
        <v>482120.15115271875</v>
      </c>
      <c r="AG148" s="192">
        <f t="shared" si="24"/>
        <v>478539.8098529125</v>
      </c>
      <c r="AH148" s="192">
        <f t="shared" si="24"/>
        <v>509550.44339084369</v>
      </c>
      <c r="AI148" s="192">
        <f t="shared" si="24"/>
        <v>552974.44881923124</v>
      </c>
      <c r="AJ148" s="192">
        <f t="shared" si="24"/>
        <v>592818.11294781254</v>
      </c>
      <c r="AK148" s="192">
        <f t="shared" si="24"/>
        <v>636242.11837619985</v>
      </c>
      <c r="AL148" s="192">
        <f t="shared" si="24"/>
        <v>521963.81528129999</v>
      </c>
      <c r="AM148" s="192">
        <f t="shared" si="24"/>
        <v>541537.86977136869</v>
      </c>
      <c r="AN148" s="192">
        <f t="shared" ref="AN148:BS148" si="25">SUM(AN142:AN147)</f>
        <v>638809.93240609998</v>
      </c>
      <c r="AO148" s="192">
        <f t="shared" si="25"/>
        <v>665580.40392309381</v>
      </c>
      <c r="AP148" s="192">
        <f t="shared" si="25"/>
        <v>842821.03250913741</v>
      </c>
      <c r="AQ148" s="192">
        <f t="shared" si="25"/>
        <v>979593.91067278141</v>
      </c>
      <c r="AR148" s="192">
        <f t="shared" si="25"/>
        <v>497383.24112285807</v>
      </c>
      <c r="AS148" s="192">
        <f t="shared" si="25"/>
        <v>493804.10859359475</v>
      </c>
      <c r="AT148" s="192">
        <f t="shared" si="25"/>
        <v>525810.00647838518</v>
      </c>
      <c r="AU148" s="192">
        <f t="shared" si="25"/>
        <v>570753.97008869832</v>
      </c>
      <c r="AV148" s="192">
        <f t="shared" si="25"/>
        <v>612118.80116974819</v>
      </c>
      <c r="AW148" s="192">
        <f t="shared" si="25"/>
        <v>657062.7647800612</v>
      </c>
      <c r="AX148" s="192">
        <f t="shared" si="25"/>
        <v>538748.07220390788</v>
      </c>
      <c r="AY148" s="192">
        <f t="shared" si="25"/>
        <v>558844.40298795735</v>
      </c>
      <c r="AZ148" s="192">
        <f t="shared" si="25"/>
        <v>659185.78985507891</v>
      </c>
      <c r="BA148" s="192">
        <f t="shared" si="25"/>
        <v>686867.99452711956</v>
      </c>
      <c r="BB148" s="192">
        <f t="shared" si="25"/>
        <v>869795.37266817119</v>
      </c>
      <c r="BC148" s="192">
        <f t="shared" si="25"/>
        <v>1011040.9678741511</v>
      </c>
      <c r="BD148" s="192">
        <f t="shared" si="25"/>
        <v>511564.13645889953</v>
      </c>
      <c r="BE148" s="192">
        <f t="shared" si="25"/>
        <v>507912.87117008877</v>
      </c>
      <c r="BF148" s="192">
        <f t="shared" si="25"/>
        <v>540847.38614761655</v>
      </c>
      <c r="BG148" s="192">
        <f t="shared" si="25"/>
        <v>587210.15109890024</v>
      </c>
      <c r="BH148" s="192">
        <f t="shared" si="25"/>
        <v>629921.65076137322</v>
      </c>
      <c r="BI148" s="192">
        <f t="shared" si="25"/>
        <v>676284.4157126568</v>
      </c>
      <c r="BJ148" s="192">
        <f t="shared" si="25"/>
        <v>554275.63612137234</v>
      </c>
      <c r="BK148" s="192">
        <f t="shared" si="25"/>
        <v>575006.41667274979</v>
      </c>
      <c r="BL148" s="192">
        <f t="shared" si="25"/>
        <v>678196.5645543288</v>
      </c>
      <c r="BM148" s="192">
        <f t="shared" si="25"/>
        <v>706744.47658286116</v>
      </c>
      <c r="BN148" s="192">
        <f t="shared" si="25"/>
        <v>895332.20077727304</v>
      </c>
      <c r="BO148" s="192">
        <f t="shared" si="25"/>
        <v>1040987.6885485612</v>
      </c>
      <c r="BP148" s="191">
        <f t="shared" si="25"/>
        <v>0</v>
      </c>
    </row>
    <row r="149" spans="2:68" outlineLevel="1"/>
    <row r="150" spans="2:68" ht="12" customHeight="1" outlineLevel="1">
      <c r="B150" s="112" t="s">
        <v>49</v>
      </c>
    </row>
    <row r="151" spans="2:68" ht="12" customHeight="1" outlineLevel="1">
      <c r="B151" s="160" t="s">
        <v>50</v>
      </c>
    </row>
    <row r="152" spans="2:68" outlineLevel="1">
      <c r="C152" s="101" t="s">
        <v>51</v>
      </c>
      <c r="D152" s="195">
        <f>Assumptions!D18</f>
        <v>5</v>
      </c>
      <c r="E152" s="196" t="s">
        <v>40</v>
      </c>
      <c r="F152" s="109" t="s">
        <v>9</v>
      </c>
      <c r="G152" s="144"/>
      <c r="H152" s="121">
        <f t="array" ref="H152:BO152">$D$152*_xlfn.ANCHORARRAY(H31)</f>
        <v>5</v>
      </c>
      <c r="I152" s="121">
        <v>5</v>
      </c>
      <c r="J152" s="121">
        <v>5</v>
      </c>
      <c r="K152" s="121">
        <v>5</v>
      </c>
      <c r="L152" s="121">
        <v>5</v>
      </c>
      <c r="M152" s="121">
        <v>5</v>
      </c>
      <c r="N152" s="121">
        <v>5</v>
      </c>
      <c r="O152" s="121">
        <v>5</v>
      </c>
      <c r="P152" s="121">
        <v>5</v>
      </c>
      <c r="Q152" s="121">
        <v>5</v>
      </c>
      <c r="R152" s="121">
        <v>5</v>
      </c>
      <c r="S152" s="121">
        <v>5</v>
      </c>
      <c r="T152" s="121">
        <v>5.15</v>
      </c>
      <c r="U152" s="121">
        <v>5.15</v>
      </c>
      <c r="V152" s="121">
        <v>5.15</v>
      </c>
      <c r="W152" s="121">
        <v>5.15</v>
      </c>
      <c r="X152" s="121">
        <v>5.15</v>
      </c>
      <c r="Y152" s="121">
        <v>5.15</v>
      </c>
      <c r="Z152" s="121">
        <v>5.15</v>
      </c>
      <c r="AA152" s="121">
        <v>5.15</v>
      </c>
      <c r="AB152" s="121">
        <v>5.15</v>
      </c>
      <c r="AC152" s="121">
        <v>5.15</v>
      </c>
      <c r="AD152" s="121">
        <v>5.15</v>
      </c>
      <c r="AE152" s="121">
        <v>5.15</v>
      </c>
      <c r="AF152" s="121">
        <v>5.3045</v>
      </c>
      <c r="AG152" s="121">
        <v>5.3045</v>
      </c>
      <c r="AH152" s="121">
        <v>5.3045</v>
      </c>
      <c r="AI152" s="121">
        <v>5.3045</v>
      </c>
      <c r="AJ152" s="121">
        <v>5.3045</v>
      </c>
      <c r="AK152" s="121">
        <v>5.3045</v>
      </c>
      <c r="AL152" s="121">
        <v>5.3045</v>
      </c>
      <c r="AM152" s="121">
        <v>5.3045</v>
      </c>
      <c r="AN152" s="121">
        <v>5.3045</v>
      </c>
      <c r="AO152" s="121">
        <v>5.3045</v>
      </c>
      <c r="AP152" s="121">
        <v>5.3045</v>
      </c>
      <c r="AQ152" s="121">
        <v>5.3045</v>
      </c>
      <c r="AR152" s="121">
        <v>5.463635</v>
      </c>
      <c r="AS152" s="121">
        <v>5.463635</v>
      </c>
      <c r="AT152" s="121">
        <v>5.463635</v>
      </c>
      <c r="AU152" s="121">
        <v>5.463635</v>
      </c>
      <c r="AV152" s="121">
        <v>5.463635</v>
      </c>
      <c r="AW152" s="121">
        <v>5.463635</v>
      </c>
      <c r="AX152" s="121">
        <v>5.463635</v>
      </c>
      <c r="AY152" s="121">
        <v>5.463635</v>
      </c>
      <c r="AZ152" s="121">
        <v>5.463635</v>
      </c>
      <c r="BA152" s="121">
        <v>5.463635</v>
      </c>
      <c r="BB152" s="121">
        <v>5.463635</v>
      </c>
      <c r="BC152" s="121">
        <v>5.463635</v>
      </c>
      <c r="BD152" s="121">
        <v>5.6275440499999991</v>
      </c>
      <c r="BE152" s="121">
        <v>5.6275440499999991</v>
      </c>
      <c r="BF152" s="121">
        <v>5.6275440499999991</v>
      </c>
      <c r="BG152" s="121">
        <v>5.6275440499999991</v>
      </c>
      <c r="BH152" s="121">
        <v>5.6275440499999991</v>
      </c>
      <c r="BI152" s="121">
        <v>5.6275440499999991</v>
      </c>
      <c r="BJ152" s="121">
        <v>5.6275440499999991</v>
      </c>
      <c r="BK152" s="121">
        <v>5.6275440499999991</v>
      </c>
      <c r="BL152" s="121">
        <v>5.6275440499999991</v>
      </c>
      <c r="BM152" s="121">
        <v>5.6275440499999991</v>
      </c>
      <c r="BN152" s="121">
        <v>5.6275440499999991</v>
      </c>
      <c r="BO152" s="121">
        <v>5.6275440499999991</v>
      </c>
      <c r="BP152" s="144"/>
    </row>
    <row r="153" spans="2:68" outlineLevel="1"/>
    <row r="154" spans="2:68" ht="12" customHeight="1" outlineLevel="1">
      <c r="B154" s="160" t="s">
        <v>52</v>
      </c>
    </row>
    <row r="155" spans="2:68" outlineLevel="1">
      <c r="C155" s="101" t="str">
        <f t="array" ref="C155:C160">cust</f>
        <v>Michael’s Market Goods</v>
      </c>
      <c r="F155" s="131" t="str">
        <f t="array" ref="F155:BP155">_xlfn.XLOOKUP(C155,_xlfn.ANCHORARRAY($C$80),$F$80:$BP$85)</f>
        <v>[pallet]</v>
      </c>
      <c r="G155" s="132">
        <v>0</v>
      </c>
      <c r="H155" s="128">
        <v>16718.75</v>
      </c>
      <c r="I155" s="128">
        <v>17833.333333333332</v>
      </c>
      <c r="J155" s="128">
        <v>18947.916666666668</v>
      </c>
      <c r="K155" s="128">
        <v>21177.083333333332</v>
      </c>
      <c r="L155" s="128">
        <v>24520.833333333336</v>
      </c>
      <c r="M155" s="128">
        <v>26750</v>
      </c>
      <c r="N155" s="128">
        <v>20062.5</v>
      </c>
      <c r="O155" s="128">
        <v>18947.916666666668</v>
      </c>
      <c r="P155" s="128">
        <v>22291.666666666668</v>
      </c>
      <c r="Q155" s="128">
        <v>23406.25</v>
      </c>
      <c r="R155" s="128">
        <v>26750</v>
      </c>
      <c r="S155" s="128">
        <v>30093.75</v>
      </c>
      <c r="T155" s="128">
        <v>17554.6875</v>
      </c>
      <c r="U155" s="128">
        <v>18725</v>
      </c>
      <c r="V155" s="128">
        <v>19895.3125</v>
      </c>
      <c r="W155" s="128">
        <v>22235.9375</v>
      </c>
      <c r="X155" s="128">
        <v>25746.875000000004</v>
      </c>
      <c r="Y155" s="128">
        <v>28087.5</v>
      </c>
      <c r="Z155" s="128">
        <v>21065.625</v>
      </c>
      <c r="AA155" s="128">
        <v>19895.3125</v>
      </c>
      <c r="AB155" s="128">
        <v>23406.25</v>
      </c>
      <c r="AC155" s="128">
        <v>24576.5625</v>
      </c>
      <c r="AD155" s="128">
        <v>28087.5</v>
      </c>
      <c r="AE155" s="128">
        <v>31598.4375</v>
      </c>
      <c r="AF155" s="128">
        <v>18432.421875</v>
      </c>
      <c r="AG155" s="128">
        <v>19661.25</v>
      </c>
      <c r="AH155" s="128">
        <v>20890.078125</v>
      </c>
      <c r="AI155" s="128">
        <v>23347.734375</v>
      </c>
      <c r="AJ155" s="128">
        <v>27034.218750000004</v>
      </c>
      <c r="AK155" s="128">
        <v>29491.875</v>
      </c>
      <c r="AL155" s="128">
        <v>22118.90625</v>
      </c>
      <c r="AM155" s="128">
        <v>20890.078125</v>
      </c>
      <c r="AN155" s="128">
        <v>24576.5625</v>
      </c>
      <c r="AO155" s="128">
        <v>25805.390625</v>
      </c>
      <c r="AP155" s="128">
        <v>29491.875</v>
      </c>
      <c r="AQ155" s="128">
        <v>33178.359375</v>
      </c>
      <c r="AR155" s="128">
        <v>18985.39453125</v>
      </c>
      <c r="AS155" s="128">
        <v>20251.087500000001</v>
      </c>
      <c r="AT155" s="128">
        <v>21516.780468749999</v>
      </c>
      <c r="AU155" s="128">
        <v>24048.166406249999</v>
      </c>
      <c r="AV155" s="128">
        <v>27845.245312500003</v>
      </c>
      <c r="AW155" s="128">
        <v>30376.631249999995</v>
      </c>
      <c r="AX155" s="128">
        <v>22782.473437500001</v>
      </c>
      <c r="AY155" s="128">
        <v>21516.780468749999</v>
      </c>
      <c r="AZ155" s="128">
        <v>25313.859375</v>
      </c>
      <c r="BA155" s="128">
        <v>26579.552343750001</v>
      </c>
      <c r="BB155" s="128">
        <v>30376.631249999995</v>
      </c>
      <c r="BC155" s="128">
        <v>34173.710156250003</v>
      </c>
      <c r="BD155" s="128">
        <v>19365.102421875003</v>
      </c>
      <c r="BE155" s="128">
        <v>20656.109250000001</v>
      </c>
      <c r="BF155" s="128">
        <v>21947.116078125</v>
      </c>
      <c r="BG155" s="128">
        <v>24529.129734375001</v>
      </c>
      <c r="BH155" s="128">
        <v>28402.150218750005</v>
      </c>
      <c r="BI155" s="128">
        <v>30984.163875000002</v>
      </c>
      <c r="BJ155" s="128">
        <v>23238.122906249999</v>
      </c>
      <c r="BK155" s="128">
        <v>21947.116078125</v>
      </c>
      <c r="BL155" s="128">
        <v>25820.1365625</v>
      </c>
      <c r="BM155" s="128">
        <v>27111.143390625002</v>
      </c>
      <c r="BN155" s="128">
        <v>30984.163875000002</v>
      </c>
      <c r="BO155" s="128">
        <v>34857.184359375009</v>
      </c>
      <c r="BP155" s="132">
        <v>19752.4044703125</v>
      </c>
    </row>
    <row r="156" spans="2:68" outlineLevel="1">
      <c r="C156" s="101" t="str">
        <v>Andrew Digital Commerce</v>
      </c>
      <c r="F156" s="131" t="str">
        <f t="array" ref="F156:BP156">_xlfn.XLOOKUP(C156,_xlfn.ANCHORARRAY($C$80),$F$80:$BP$85)</f>
        <v>[pallet]</v>
      </c>
      <c r="G156" s="132">
        <v>0</v>
      </c>
      <c r="H156" s="128">
        <v>12600.000000000002</v>
      </c>
      <c r="I156" s="128">
        <v>10920.000000000002</v>
      </c>
      <c r="J156" s="128">
        <v>11760</v>
      </c>
      <c r="K156" s="128">
        <v>12600.000000000002</v>
      </c>
      <c r="L156" s="128">
        <v>11760.000000000002</v>
      </c>
      <c r="M156" s="128">
        <v>12600.000000000002</v>
      </c>
      <c r="N156" s="128">
        <v>11760.000000000002</v>
      </c>
      <c r="O156" s="128">
        <v>15120.000000000002</v>
      </c>
      <c r="P156" s="128">
        <v>17640.000000000004</v>
      </c>
      <c r="Q156" s="128">
        <v>18480.000000000004</v>
      </c>
      <c r="R156" s="128">
        <v>29400.000000000004</v>
      </c>
      <c r="S156" s="128">
        <v>36960.000000000007</v>
      </c>
      <c r="T156" s="128">
        <v>13356.000000000004</v>
      </c>
      <c r="U156" s="128">
        <v>11575.200000000004</v>
      </c>
      <c r="V156" s="128">
        <v>12465.600000000002</v>
      </c>
      <c r="W156" s="128">
        <v>13356.000000000004</v>
      </c>
      <c r="X156" s="128">
        <v>12465.600000000004</v>
      </c>
      <c r="Y156" s="128">
        <v>13356.000000000004</v>
      </c>
      <c r="Z156" s="128">
        <v>12465.600000000004</v>
      </c>
      <c r="AA156" s="128">
        <v>16027.200000000004</v>
      </c>
      <c r="AB156" s="128">
        <v>18698.400000000005</v>
      </c>
      <c r="AC156" s="128">
        <v>19588.800000000007</v>
      </c>
      <c r="AD156" s="128">
        <v>31164.000000000007</v>
      </c>
      <c r="AE156" s="128">
        <v>39177.600000000013</v>
      </c>
      <c r="AF156" s="128">
        <v>13623.120000000003</v>
      </c>
      <c r="AG156" s="128">
        <v>11806.704000000003</v>
      </c>
      <c r="AH156" s="128">
        <v>12714.912000000004</v>
      </c>
      <c r="AI156" s="128">
        <v>13623.120000000003</v>
      </c>
      <c r="AJ156" s="128">
        <v>12714.912000000006</v>
      </c>
      <c r="AK156" s="128">
        <v>13623.120000000003</v>
      </c>
      <c r="AL156" s="128">
        <v>12714.912000000006</v>
      </c>
      <c r="AM156" s="128">
        <v>16347.744000000006</v>
      </c>
      <c r="AN156" s="128">
        <v>19072.368000000006</v>
      </c>
      <c r="AO156" s="128">
        <v>19980.576000000008</v>
      </c>
      <c r="AP156" s="128">
        <v>31787.28000000001</v>
      </c>
      <c r="AQ156" s="128">
        <v>39961.152000000016</v>
      </c>
      <c r="AR156" s="128">
        <v>13623.120000000003</v>
      </c>
      <c r="AS156" s="128">
        <v>11806.704000000003</v>
      </c>
      <c r="AT156" s="128">
        <v>12714.912000000004</v>
      </c>
      <c r="AU156" s="128">
        <v>13623.120000000003</v>
      </c>
      <c r="AV156" s="128">
        <v>12714.912000000006</v>
      </c>
      <c r="AW156" s="128">
        <v>13623.120000000003</v>
      </c>
      <c r="AX156" s="128">
        <v>12714.912000000006</v>
      </c>
      <c r="AY156" s="128">
        <v>16347.744000000006</v>
      </c>
      <c r="AZ156" s="128">
        <v>19072.368000000006</v>
      </c>
      <c r="BA156" s="128">
        <v>19980.576000000008</v>
      </c>
      <c r="BB156" s="128">
        <v>31787.28000000001</v>
      </c>
      <c r="BC156" s="128">
        <v>39961.152000000016</v>
      </c>
      <c r="BD156" s="128">
        <v>13623.120000000003</v>
      </c>
      <c r="BE156" s="128">
        <v>11806.704000000003</v>
      </c>
      <c r="BF156" s="128">
        <v>12714.912000000004</v>
      </c>
      <c r="BG156" s="128">
        <v>13623.120000000003</v>
      </c>
      <c r="BH156" s="128">
        <v>12714.912000000006</v>
      </c>
      <c r="BI156" s="128">
        <v>13623.120000000003</v>
      </c>
      <c r="BJ156" s="128">
        <v>12714.912000000006</v>
      </c>
      <c r="BK156" s="128">
        <v>16347.744000000006</v>
      </c>
      <c r="BL156" s="128">
        <v>19072.368000000006</v>
      </c>
      <c r="BM156" s="128">
        <v>19980.576000000008</v>
      </c>
      <c r="BN156" s="128">
        <v>31787.28000000001</v>
      </c>
      <c r="BO156" s="128">
        <v>39961.152000000016</v>
      </c>
      <c r="BP156" s="132">
        <v>13623.120000000003</v>
      </c>
    </row>
    <row r="157" spans="2:68" outlineLevel="1">
      <c r="C157" s="101" t="str">
        <v>Anup Industrial Systems</v>
      </c>
      <c r="F157" s="131" t="str">
        <f t="array" ref="F157:BP157">_xlfn.XLOOKUP(C157,_xlfn.ANCHORARRAY($C$80),$F$80:$BP$85)</f>
        <v>[pallet]</v>
      </c>
      <c r="G157" s="132">
        <v>0</v>
      </c>
      <c r="H157" s="128">
        <v>14392.5</v>
      </c>
      <c r="I157" s="128">
        <v>14392.5</v>
      </c>
      <c r="J157" s="128">
        <v>15150</v>
      </c>
      <c r="K157" s="128">
        <v>15150</v>
      </c>
      <c r="L157" s="128">
        <v>15150</v>
      </c>
      <c r="M157" s="128">
        <v>15150</v>
      </c>
      <c r="N157" s="128">
        <v>14392.5</v>
      </c>
      <c r="O157" s="128">
        <v>13635</v>
      </c>
      <c r="P157" s="128">
        <v>16665.000000000004</v>
      </c>
      <c r="Q157" s="128">
        <v>16665.000000000004</v>
      </c>
      <c r="R157" s="128">
        <v>15907.5</v>
      </c>
      <c r="S157" s="128">
        <v>15150</v>
      </c>
      <c r="T157" s="128">
        <v>14464.462499999998</v>
      </c>
      <c r="U157" s="128">
        <v>14464.462499999998</v>
      </c>
      <c r="V157" s="128">
        <v>15225.749999999998</v>
      </c>
      <c r="W157" s="128">
        <v>15225.749999999998</v>
      </c>
      <c r="X157" s="128">
        <v>15225.749999999998</v>
      </c>
      <c r="Y157" s="128">
        <v>15225.749999999998</v>
      </c>
      <c r="Z157" s="128">
        <v>14464.462499999998</v>
      </c>
      <c r="AA157" s="128">
        <v>13703.174999999997</v>
      </c>
      <c r="AB157" s="128">
        <v>16748.325000000001</v>
      </c>
      <c r="AC157" s="128">
        <v>16748.325000000001</v>
      </c>
      <c r="AD157" s="128">
        <v>15987.037499999999</v>
      </c>
      <c r="AE157" s="128">
        <v>15225.749999999998</v>
      </c>
      <c r="AF157" s="128">
        <v>14464.462499999998</v>
      </c>
      <c r="AG157" s="128">
        <v>14464.462499999998</v>
      </c>
      <c r="AH157" s="128">
        <v>15225.749999999998</v>
      </c>
      <c r="AI157" s="128">
        <v>15225.749999999998</v>
      </c>
      <c r="AJ157" s="128">
        <v>15225.749999999998</v>
      </c>
      <c r="AK157" s="128">
        <v>15225.749999999998</v>
      </c>
      <c r="AL157" s="128">
        <v>14464.462499999998</v>
      </c>
      <c r="AM157" s="128">
        <v>13703.174999999997</v>
      </c>
      <c r="AN157" s="128">
        <v>16748.325000000001</v>
      </c>
      <c r="AO157" s="128">
        <v>16748.325000000001</v>
      </c>
      <c r="AP157" s="128">
        <v>15987.037499999999</v>
      </c>
      <c r="AQ157" s="128">
        <v>15225.749999999998</v>
      </c>
      <c r="AR157" s="128">
        <v>14319.817874999999</v>
      </c>
      <c r="AS157" s="128">
        <v>14319.817874999999</v>
      </c>
      <c r="AT157" s="128">
        <v>15073.492499999998</v>
      </c>
      <c r="AU157" s="128">
        <v>15073.492499999998</v>
      </c>
      <c r="AV157" s="128">
        <v>15073.492499999998</v>
      </c>
      <c r="AW157" s="128">
        <v>15073.492499999998</v>
      </c>
      <c r="AX157" s="128">
        <v>14319.817874999999</v>
      </c>
      <c r="AY157" s="128">
        <v>13566.143249999999</v>
      </c>
      <c r="AZ157" s="128">
        <v>16580.84175</v>
      </c>
      <c r="BA157" s="128">
        <v>16580.84175</v>
      </c>
      <c r="BB157" s="128">
        <v>15827.167125</v>
      </c>
      <c r="BC157" s="128">
        <v>15073.492499999998</v>
      </c>
      <c r="BD157" s="128">
        <v>14105.020606874999</v>
      </c>
      <c r="BE157" s="128">
        <v>14105.020606874999</v>
      </c>
      <c r="BF157" s="128">
        <v>14847.390112499999</v>
      </c>
      <c r="BG157" s="128">
        <v>14847.390112499999</v>
      </c>
      <c r="BH157" s="128">
        <v>14847.390112499999</v>
      </c>
      <c r="BI157" s="128">
        <v>14847.390112499999</v>
      </c>
      <c r="BJ157" s="128">
        <v>14105.020606874999</v>
      </c>
      <c r="BK157" s="128">
        <v>13362.65110125</v>
      </c>
      <c r="BL157" s="128">
        <v>16332.129123750001</v>
      </c>
      <c r="BM157" s="128">
        <v>16332.129123750001</v>
      </c>
      <c r="BN157" s="128">
        <v>15589.759618125001</v>
      </c>
      <c r="BO157" s="128">
        <v>14847.390112499999</v>
      </c>
      <c r="BP157" s="132">
        <v>13893.445297771874</v>
      </c>
    </row>
    <row r="158" spans="2:68" outlineLevel="1">
      <c r="C158" s="101" t="str">
        <v>Joseph Retail Group</v>
      </c>
      <c r="F158" s="131" t="str">
        <f t="array" ref="F158:BP158">_xlfn.XLOOKUP(C158,_xlfn.ANCHORARRAY($C$80),$F$80:$BP$85)</f>
        <v>[pallet]</v>
      </c>
      <c r="G158" s="132">
        <v>0</v>
      </c>
      <c r="H158" s="128">
        <v>9409.0909090909099</v>
      </c>
      <c r="I158" s="128">
        <v>10036.363636363636</v>
      </c>
      <c r="J158" s="128">
        <v>10663.636363636364</v>
      </c>
      <c r="K158" s="128">
        <v>11918.181818181818</v>
      </c>
      <c r="L158" s="128">
        <v>13800</v>
      </c>
      <c r="M158" s="128">
        <v>15054.545454545454</v>
      </c>
      <c r="N158" s="128">
        <v>11290.90909090909</v>
      </c>
      <c r="O158" s="128">
        <v>10663.636363636364</v>
      </c>
      <c r="P158" s="128">
        <v>12545.454545454546</v>
      </c>
      <c r="Q158" s="128">
        <v>13172.727272727272</v>
      </c>
      <c r="R158" s="128">
        <v>15054.545454545454</v>
      </c>
      <c r="S158" s="128">
        <v>16936.363636363636</v>
      </c>
      <c r="T158" s="128">
        <v>9032.7272727272721</v>
      </c>
      <c r="U158" s="128">
        <v>9634.9090909090901</v>
      </c>
      <c r="V158" s="128">
        <v>10237.09090909091</v>
      </c>
      <c r="W158" s="128">
        <v>11441.454545454546</v>
      </c>
      <c r="X158" s="128">
        <v>13248</v>
      </c>
      <c r="Y158" s="128">
        <v>14452.363636363636</v>
      </c>
      <c r="Z158" s="128">
        <v>10839.272727272728</v>
      </c>
      <c r="AA158" s="128">
        <v>10237.09090909091</v>
      </c>
      <c r="AB158" s="128">
        <v>12043.636363636364</v>
      </c>
      <c r="AC158" s="128">
        <v>12645.818181818182</v>
      </c>
      <c r="AD158" s="128">
        <v>14452.363636363636</v>
      </c>
      <c r="AE158" s="128">
        <v>16258.90909090909</v>
      </c>
      <c r="AF158" s="128">
        <v>8490.7636363636357</v>
      </c>
      <c r="AG158" s="128">
        <v>9056.8145454545465</v>
      </c>
      <c r="AH158" s="128">
        <v>9622.8654545454538</v>
      </c>
      <c r="AI158" s="128">
        <v>10754.967272727272</v>
      </c>
      <c r="AJ158" s="128">
        <v>12453.12</v>
      </c>
      <c r="AK158" s="128">
        <v>13585.221818181819</v>
      </c>
      <c r="AL158" s="128">
        <v>10188.916363636365</v>
      </c>
      <c r="AM158" s="128">
        <v>9622.8654545454538</v>
      </c>
      <c r="AN158" s="128">
        <v>11321.018181818181</v>
      </c>
      <c r="AO158" s="128">
        <v>11887.069090909092</v>
      </c>
      <c r="AP158" s="128">
        <v>13585.221818181819</v>
      </c>
      <c r="AQ158" s="128">
        <v>15283.374545454544</v>
      </c>
      <c r="AR158" s="128">
        <v>7811.5025454545448</v>
      </c>
      <c r="AS158" s="128">
        <v>8332.2693818181815</v>
      </c>
      <c r="AT158" s="128">
        <v>8853.0362181818182</v>
      </c>
      <c r="AU158" s="128">
        <v>9894.5698909090897</v>
      </c>
      <c r="AV158" s="128">
        <v>11456.870400000002</v>
      </c>
      <c r="AW158" s="128">
        <v>12498.404072727273</v>
      </c>
      <c r="AX158" s="128">
        <v>9373.8030545454549</v>
      </c>
      <c r="AY158" s="128">
        <v>8853.0362181818182</v>
      </c>
      <c r="AZ158" s="128">
        <v>10415.336727272726</v>
      </c>
      <c r="BA158" s="128">
        <v>10936.103563636365</v>
      </c>
      <c r="BB158" s="128">
        <v>12498.404072727273</v>
      </c>
      <c r="BC158" s="128">
        <v>14060.704581818183</v>
      </c>
      <c r="BD158" s="128">
        <v>7264.6973672727272</v>
      </c>
      <c r="BE158" s="128">
        <v>7749.0105250909101</v>
      </c>
      <c r="BF158" s="128">
        <v>8233.3236829090911</v>
      </c>
      <c r="BG158" s="128">
        <v>9201.9499985454531</v>
      </c>
      <c r="BH158" s="128">
        <v>10654.889472000001</v>
      </c>
      <c r="BI158" s="128">
        <v>11623.515787636363</v>
      </c>
      <c r="BJ158" s="128">
        <v>8717.636840727273</v>
      </c>
      <c r="BK158" s="128">
        <v>8233.3236829090911</v>
      </c>
      <c r="BL158" s="128">
        <v>9686.2631563636369</v>
      </c>
      <c r="BM158" s="128">
        <v>10170.576314181819</v>
      </c>
      <c r="BN158" s="128">
        <v>11623.515787636363</v>
      </c>
      <c r="BO158" s="128">
        <v>13076.45526109091</v>
      </c>
      <c r="BP158" s="132">
        <v>6756.1685515636354</v>
      </c>
    </row>
    <row r="159" spans="2:68" outlineLevel="1">
      <c r="C159" s="101" t="str">
        <v>Dim Collective</v>
      </c>
      <c r="F159" s="131" t="str">
        <f t="array" ref="F159:BP159">_xlfn.XLOOKUP(C159,_xlfn.ANCHORARRAY($C$80),$F$80:$BP$85)</f>
        <v>[pallet]</v>
      </c>
      <c r="G159" s="132">
        <v>0</v>
      </c>
      <c r="H159" s="128">
        <v>4875</v>
      </c>
      <c r="I159" s="128">
        <v>5200</v>
      </c>
      <c r="J159" s="128">
        <v>5525</v>
      </c>
      <c r="K159" s="128">
        <v>6175</v>
      </c>
      <c r="L159" s="128">
        <v>7150</v>
      </c>
      <c r="M159" s="128">
        <v>7800</v>
      </c>
      <c r="N159" s="128">
        <v>5850</v>
      </c>
      <c r="O159" s="128">
        <v>5525</v>
      </c>
      <c r="P159" s="128">
        <v>6500</v>
      </c>
      <c r="Q159" s="128">
        <v>6825</v>
      </c>
      <c r="R159" s="128">
        <v>7800</v>
      </c>
      <c r="S159" s="128">
        <v>8775</v>
      </c>
      <c r="T159" s="128">
        <v>5606.25</v>
      </c>
      <c r="U159" s="128">
        <v>5980</v>
      </c>
      <c r="V159" s="128">
        <v>6353.75</v>
      </c>
      <c r="W159" s="128">
        <v>7101.25</v>
      </c>
      <c r="X159" s="128">
        <v>8222.5000000000018</v>
      </c>
      <c r="Y159" s="128">
        <v>8970</v>
      </c>
      <c r="Z159" s="128">
        <v>6727.5</v>
      </c>
      <c r="AA159" s="128">
        <v>6353.75</v>
      </c>
      <c r="AB159" s="128">
        <v>7475</v>
      </c>
      <c r="AC159" s="128">
        <v>7848.75</v>
      </c>
      <c r="AD159" s="128">
        <v>8970</v>
      </c>
      <c r="AE159" s="128">
        <v>10091.250000000002</v>
      </c>
      <c r="AF159" s="128">
        <v>6166.8750000000009</v>
      </c>
      <c r="AG159" s="128">
        <v>6578.0000000000009</v>
      </c>
      <c r="AH159" s="128">
        <v>6989.1250000000009</v>
      </c>
      <c r="AI159" s="128">
        <v>7811.3750000000009</v>
      </c>
      <c r="AJ159" s="128">
        <v>9044.7500000000018</v>
      </c>
      <c r="AK159" s="128">
        <v>9867.0000000000018</v>
      </c>
      <c r="AL159" s="128">
        <v>7400.2500000000009</v>
      </c>
      <c r="AM159" s="128">
        <v>6989.1250000000009</v>
      </c>
      <c r="AN159" s="128">
        <v>8222.5000000000018</v>
      </c>
      <c r="AO159" s="128">
        <v>8633.6250000000018</v>
      </c>
      <c r="AP159" s="128">
        <v>9867.0000000000018</v>
      </c>
      <c r="AQ159" s="128">
        <v>11100.375000000002</v>
      </c>
      <c r="AR159" s="128">
        <v>6536.8875000000007</v>
      </c>
      <c r="AS159" s="128">
        <v>6972.6800000000012</v>
      </c>
      <c r="AT159" s="128">
        <v>7408.4725000000008</v>
      </c>
      <c r="AU159" s="128">
        <v>8280.0575000000008</v>
      </c>
      <c r="AV159" s="128">
        <v>9587.4350000000031</v>
      </c>
      <c r="AW159" s="128">
        <v>10459.02</v>
      </c>
      <c r="AX159" s="128">
        <v>7844.2650000000012</v>
      </c>
      <c r="AY159" s="128">
        <v>7408.4725000000008</v>
      </c>
      <c r="AZ159" s="128">
        <v>8715.85</v>
      </c>
      <c r="BA159" s="128">
        <v>9151.6425000000017</v>
      </c>
      <c r="BB159" s="128">
        <v>10459.02</v>
      </c>
      <c r="BC159" s="128">
        <v>11766.397500000003</v>
      </c>
      <c r="BD159" s="128">
        <v>6798.3630000000003</v>
      </c>
      <c r="BE159" s="128">
        <v>7251.5872000000018</v>
      </c>
      <c r="BF159" s="128">
        <v>7704.8114000000014</v>
      </c>
      <c r="BG159" s="128">
        <v>8611.2598000000016</v>
      </c>
      <c r="BH159" s="128">
        <v>9970.9324000000015</v>
      </c>
      <c r="BI159" s="128">
        <v>10877.380800000001</v>
      </c>
      <c r="BJ159" s="128">
        <v>8158.035600000002</v>
      </c>
      <c r="BK159" s="128">
        <v>7704.8114000000014</v>
      </c>
      <c r="BL159" s="128">
        <v>9064.4840000000022</v>
      </c>
      <c r="BM159" s="128">
        <v>9517.7082000000009</v>
      </c>
      <c r="BN159" s="128">
        <v>10877.380800000001</v>
      </c>
      <c r="BO159" s="128">
        <v>12237.053400000003</v>
      </c>
      <c r="BP159" s="132">
        <v>7070.297520000001</v>
      </c>
    </row>
    <row r="160" spans="2:68" outlineLevel="1">
      <c r="C160" s="101" t="str">
        <v>Tim Forward Brands</v>
      </c>
      <c r="F160" s="131" t="str">
        <f t="array" ref="F160:BP160">_xlfn.XLOOKUP(C160,_xlfn.ANCHORARRAY($C$80),$F$80:$BP$85)</f>
        <v>[pallet]</v>
      </c>
      <c r="G160" s="132">
        <v>0</v>
      </c>
      <c r="H160" s="128">
        <v>0</v>
      </c>
      <c r="I160" s="128">
        <v>0</v>
      </c>
      <c r="J160" s="128">
        <v>0</v>
      </c>
      <c r="K160" s="128">
        <v>0</v>
      </c>
      <c r="L160" s="128">
        <v>0</v>
      </c>
      <c r="M160" s="128">
        <v>0</v>
      </c>
      <c r="N160" s="128">
        <v>0</v>
      </c>
      <c r="O160" s="128">
        <v>0</v>
      </c>
      <c r="P160" s="128">
        <v>0</v>
      </c>
      <c r="Q160" s="128">
        <v>0</v>
      </c>
      <c r="R160" s="128">
        <v>0</v>
      </c>
      <c r="S160" s="128">
        <v>0</v>
      </c>
      <c r="T160" s="128">
        <v>0</v>
      </c>
      <c r="U160" s="128">
        <v>0</v>
      </c>
      <c r="V160" s="128">
        <v>0</v>
      </c>
      <c r="W160" s="128">
        <v>0</v>
      </c>
      <c r="X160" s="128">
        <v>0</v>
      </c>
      <c r="Y160" s="128">
        <v>0</v>
      </c>
      <c r="Z160" s="128">
        <v>0</v>
      </c>
      <c r="AA160" s="128">
        <v>0</v>
      </c>
      <c r="AB160" s="128">
        <v>0</v>
      </c>
      <c r="AC160" s="128">
        <v>0</v>
      </c>
      <c r="AD160" s="128">
        <v>0</v>
      </c>
      <c r="AE160" s="128">
        <v>0</v>
      </c>
      <c r="AF160" s="128">
        <v>0</v>
      </c>
      <c r="AG160" s="128">
        <v>0</v>
      </c>
      <c r="AH160" s="128">
        <v>0</v>
      </c>
      <c r="AI160" s="128">
        <v>0</v>
      </c>
      <c r="AJ160" s="128">
        <v>0</v>
      </c>
      <c r="AK160" s="128">
        <v>0</v>
      </c>
      <c r="AL160" s="128">
        <v>0</v>
      </c>
      <c r="AM160" s="128">
        <v>0</v>
      </c>
      <c r="AN160" s="128">
        <v>0</v>
      </c>
      <c r="AO160" s="128">
        <v>0</v>
      </c>
      <c r="AP160" s="128">
        <v>0</v>
      </c>
      <c r="AQ160" s="128">
        <v>0</v>
      </c>
      <c r="AR160" s="128">
        <v>0</v>
      </c>
      <c r="AS160" s="128">
        <v>0</v>
      </c>
      <c r="AT160" s="128">
        <v>0</v>
      </c>
      <c r="AU160" s="128">
        <v>0</v>
      </c>
      <c r="AV160" s="128">
        <v>0</v>
      </c>
      <c r="AW160" s="128">
        <v>0</v>
      </c>
      <c r="AX160" s="128">
        <v>0</v>
      </c>
      <c r="AY160" s="128">
        <v>0</v>
      </c>
      <c r="AZ160" s="128">
        <v>0</v>
      </c>
      <c r="BA160" s="128">
        <v>0</v>
      </c>
      <c r="BB160" s="128">
        <v>0</v>
      </c>
      <c r="BC160" s="128">
        <v>0</v>
      </c>
      <c r="BD160" s="128">
        <v>0</v>
      </c>
      <c r="BE160" s="128">
        <v>0</v>
      </c>
      <c r="BF160" s="128">
        <v>0</v>
      </c>
      <c r="BG160" s="128">
        <v>0</v>
      </c>
      <c r="BH160" s="128">
        <v>0</v>
      </c>
      <c r="BI160" s="128">
        <v>0</v>
      </c>
      <c r="BJ160" s="128">
        <v>0</v>
      </c>
      <c r="BK160" s="128">
        <v>0</v>
      </c>
      <c r="BL160" s="128">
        <v>0</v>
      </c>
      <c r="BM160" s="128">
        <v>0</v>
      </c>
      <c r="BN160" s="128">
        <v>0</v>
      </c>
      <c r="BO160" s="128">
        <v>0</v>
      </c>
      <c r="BP160" s="132">
        <v>0</v>
      </c>
    </row>
    <row r="161" spans="2:68" outlineLevel="1"/>
    <row r="162" spans="2:68" ht="12" customHeight="1" outlineLevel="1">
      <c r="B162" s="160" t="s">
        <v>53</v>
      </c>
    </row>
    <row r="163" spans="2:68" outlineLevel="1">
      <c r="C163" s="101" t="str">
        <f t="array" ref="C163:C168">cust</f>
        <v>Michael’s Market Goods</v>
      </c>
      <c r="F163" s="109" t="s">
        <v>9</v>
      </c>
      <c r="G163" s="132"/>
      <c r="H163" s="128">
        <f t="array" ref="H163:BO168">_xlfn.ANCHORARRAY(H152)*H155:BO160*H35:BO40</f>
        <v>83593.75</v>
      </c>
      <c r="I163" s="128">
        <v>89166.666666666657</v>
      </c>
      <c r="J163" s="128">
        <v>94739.583333333343</v>
      </c>
      <c r="K163" s="128">
        <v>105885.41666666666</v>
      </c>
      <c r="L163" s="128">
        <v>122604.16666666669</v>
      </c>
      <c r="M163" s="128">
        <v>133750</v>
      </c>
      <c r="N163" s="128">
        <v>100312.5</v>
      </c>
      <c r="O163" s="128">
        <v>94739.583333333343</v>
      </c>
      <c r="P163" s="128">
        <v>111458.33333333334</v>
      </c>
      <c r="Q163" s="128">
        <v>117031.25</v>
      </c>
      <c r="R163" s="128">
        <v>133750</v>
      </c>
      <c r="S163" s="128">
        <v>150468.75</v>
      </c>
      <c r="T163" s="128">
        <v>90406.640625</v>
      </c>
      <c r="U163" s="128">
        <v>96433.75</v>
      </c>
      <c r="V163" s="128">
        <v>102460.859375</v>
      </c>
      <c r="W163" s="128">
        <v>114515.07812500001</v>
      </c>
      <c r="X163" s="128">
        <v>132596.40625000003</v>
      </c>
      <c r="Y163" s="128">
        <v>144650.625</v>
      </c>
      <c r="Z163" s="128">
        <v>108487.96875000001</v>
      </c>
      <c r="AA163" s="128">
        <v>102460.859375</v>
      </c>
      <c r="AB163" s="128">
        <v>120542.18750000001</v>
      </c>
      <c r="AC163" s="128">
        <v>126569.29687500001</v>
      </c>
      <c r="AD163" s="128">
        <v>144650.625</v>
      </c>
      <c r="AE163" s="128">
        <v>162731.953125</v>
      </c>
      <c r="AF163" s="128">
        <v>97774.781835937494</v>
      </c>
      <c r="AG163" s="128">
        <v>104293.10062500001</v>
      </c>
      <c r="AH163" s="128">
        <v>110811.4194140625</v>
      </c>
      <c r="AI163" s="128">
        <v>123848.0569921875</v>
      </c>
      <c r="AJ163" s="128">
        <v>143403.01335937501</v>
      </c>
      <c r="AK163" s="128">
        <v>156439.6509375</v>
      </c>
      <c r="AL163" s="128">
        <v>117329.738203125</v>
      </c>
      <c r="AM163" s="128">
        <v>110811.4194140625</v>
      </c>
      <c r="AN163" s="128">
        <v>130366.37578125</v>
      </c>
      <c r="AO163" s="128">
        <v>136884.69457031251</v>
      </c>
      <c r="AP163" s="128">
        <v>156439.6509375</v>
      </c>
      <c r="AQ163" s="128">
        <v>175994.6073046875</v>
      </c>
      <c r="AR163" s="128">
        <v>103729.26604974609</v>
      </c>
      <c r="AS163" s="128">
        <v>110644.5504530625</v>
      </c>
      <c r="AT163" s="128">
        <v>117559.8348563789</v>
      </c>
      <c r="AU163" s="128">
        <v>131390.4036630117</v>
      </c>
      <c r="AV163" s="128">
        <v>152136.25687296095</v>
      </c>
      <c r="AW163" s="128">
        <v>165966.82567959372</v>
      </c>
      <c r="AX163" s="128">
        <v>124475.11925969532</v>
      </c>
      <c r="AY163" s="128">
        <v>117559.8348563789</v>
      </c>
      <c r="AZ163" s="128">
        <v>138305.68806632812</v>
      </c>
      <c r="BA163" s="128">
        <v>145220.97246964453</v>
      </c>
      <c r="BB163" s="128">
        <v>165966.82567959372</v>
      </c>
      <c r="BC163" s="128">
        <v>186712.67888954299</v>
      </c>
      <c r="BD163" s="128">
        <v>108977.96691186324</v>
      </c>
      <c r="BE163" s="128">
        <v>116243.16470598745</v>
      </c>
      <c r="BF163" s="128">
        <v>123508.36250011166</v>
      </c>
      <c r="BG163" s="128">
        <v>138038.7580883601</v>
      </c>
      <c r="BH163" s="128">
        <v>159834.35147073277</v>
      </c>
      <c r="BI163" s="128">
        <v>174364.74705898119</v>
      </c>
      <c r="BJ163" s="128">
        <v>130773.56029423587</v>
      </c>
      <c r="BK163" s="128">
        <v>123508.36250011166</v>
      </c>
      <c r="BL163" s="128">
        <v>145303.9558824843</v>
      </c>
      <c r="BM163" s="128">
        <v>152569.15367660852</v>
      </c>
      <c r="BN163" s="128">
        <v>174364.74705898119</v>
      </c>
      <c r="BO163" s="128">
        <v>196160.34044135385</v>
      </c>
      <c r="BP163" s="132"/>
    </row>
    <row r="164" spans="2:68" outlineLevel="1">
      <c r="C164" s="101" t="str">
        <v>Andrew Digital Commerce</v>
      </c>
      <c r="F164" s="109" t="s">
        <v>9</v>
      </c>
      <c r="G164" s="132"/>
      <c r="H164" s="128">
        <v>63000.000000000007</v>
      </c>
      <c r="I164" s="128">
        <v>54600.000000000007</v>
      </c>
      <c r="J164" s="128">
        <v>58800</v>
      </c>
      <c r="K164" s="128">
        <v>63000.000000000007</v>
      </c>
      <c r="L164" s="128">
        <v>58800.000000000007</v>
      </c>
      <c r="M164" s="128">
        <v>63000.000000000007</v>
      </c>
      <c r="N164" s="128">
        <v>58800.000000000007</v>
      </c>
      <c r="O164" s="128">
        <v>75600.000000000015</v>
      </c>
      <c r="P164" s="128">
        <v>88200.000000000015</v>
      </c>
      <c r="Q164" s="128">
        <v>92400.000000000015</v>
      </c>
      <c r="R164" s="128">
        <v>147000.00000000003</v>
      </c>
      <c r="S164" s="128">
        <v>184800.00000000003</v>
      </c>
      <c r="T164" s="128">
        <v>68783.400000000023</v>
      </c>
      <c r="U164" s="128">
        <v>59612.280000000028</v>
      </c>
      <c r="V164" s="128">
        <v>64197.840000000018</v>
      </c>
      <c r="W164" s="128">
        <v>68783.400000000023</v>
      </c>
      <c r="X164" s="128">
        <v>64197.840000000026</v>
      </c>
      <c r="Y164" s="128">
        <v>68783.400000000023</v>
      </c>
      <c r="Z164" s="128">
        <v>64197.840000000026</v>
      </c>
      <c r="AA164" s="128">
        <v>82540.080000000031</v>
      </c>
      <c r="AB164" s="128">
        <v>96296.760000000038</v>
      </c>
      <c r="AC164" s="128">
        <v>100882.32000000004</v>
      </c>
      <c r="AD164" s="128">
        <v>160494.60000000003</v>
      </c>
      <c r="AE164" s="128">
        <v>201764.64000000007</v>
      </c>
      <c r="AF164" s="128">
        <v>72263.84004000001</v>
      </c>
      <c r="AG164" s="128">
        <v>62628.661368000016</v>
      </c>
      <c r="AH164" s="128">
        <v>67446.25070400002</v>
      </c>
      <c r="AI164" s="128">
        <v>72263.84004000001</v>
      </c>
      <c r="AJ164" s="128">
        <v>67446.250704000035</v>
      </c>
      <c r="AK164" s="128">
        <v>72263.84004000001</v>
      </c>
      <c r="AL164" s="128">
        <v>67446.250704000035</v>
      </c>
      <c r="AM164" s="128">
        <v>86716.608048000038</v>
      </c>
      <c r="AN164" s="128">
        <v>101169.37605600004</v>
      </c>
      <c r="AO164" s="128">
        <v>105986.96539200004</v>
      </c>
      <c r="AP164" s="128">
        <v>168615.62676000004</v>
      </c>
      <c r="AQ164" s="128">
        <v>211973.93078400008</v>
      </c>
      <c r="AR164" s="128">
        <v>74431.755241200008</v>
      </c>
      <c r="AS164" s="128">
        <v>64507.521209040016</v>
      </c>
      <c r="AT164" s="128">
        <v>69469.638225120027</v>
      </c>
      <c r="AU164" s="128">
        <v>74431.755241200008</v>
      </c>
      <c r="AV164" s="128">
        <v>69469.638225120027</v>
      </c>
      <c r="AW164" s="128">
        <v>74431.755241200008</v>
      </c>
      <c r="AX164" s="128">
        <v>69469.638225120027</v>
      </c>
      <c r="AY164" s="128">
        <v>89318.106289440038</v>
      </c>
      <c r="AZ164" s="128">
        <v>104204.45733768003</v>
      </c>
      <c r="BA164" s="128">
        <v>109166.57435376005</v>
      </c>
      <c r="BB164" s="128">
        <v>173674.09556280007</v>
      </c>
      <c r="BC164" s="128">
        <v>218333.1487075201</v>
      </c>
      <c r="BD164" s="128">
        <v>76664.707898435998</v>
      </c>
      <c r="BE164" s="128">
        <v>66442.746845311209</v>
      </c>
      <c r="BF164" s="128">
        <v>71553.727371873611</v>
      </c>
      <c r="BG164" s="128">
        <v>76664.707898435998</v>
      </c>
      <c r="BH164" s="128">
        <v>71553.727371873625</v>
      </c>
      <c r="BI164" s="128">
        <v>76664.707898435998</v>
      </c>
      <c r="BJ164" s="128">
        <v>71553.727371873625</v>
      </c>
      <c r="BK164" s="128">
        <v>91997.649478123218</v>
      </c>
      <c r="BL164" s="128">
        <v>107330.59105781042</v>
      </c>
      <c r="BM164" s="128">
        <v>112441.57158437282</v>
      </c>
      <c r="BN164" s="128">
        <v>178884.31842968403</v>
      </c>
      <c r="BO164" s="128">
        <v>224883.14316874565</v>
      </c>
      <c r="BP164" s="132"/>
    </row>
    <row r="165" spans="2:68" outlineLevel="1">
      <c r="C165" s="101" t="str">
        <v>Anup Industrial Systems</v>
      </c>
      <c r="F165" s="109" t="s">
        <v>9</v>
      </c>
      <c r="G165" s="132"/>
      <c r="H165" s="128">
        <v>71962.5</v>
      </c>
      <c r="I165" s="128">
        <v>71962.5</v>
      </c>
      <c r="J165" s="128">
        <v>75750</v>
      </c>
      <c r="K165" s="128">
        <v>75750</v>
      </c>
      <c r="L165" s="128">
        <v>75750</v>
      </c>
      <c r="M165" s="128">
        <v>75750</v>
      </c>
      <c r="N165" s="128">
        <v>71962.5</v>
      </c>
      <c r="O165" s="128">
        <v>68175</v>
      </c>
      <c r="P165" s="128">
        <v>83325.000000000015</v>
      </c>
      <c r="Q165" s="128">
        <v>83325.000000000015</v>
      </c>
      <c r="R165" s="128">
        <v>79537.5</v>
      </c>
      <c r="S165" s="128">
        <v>75750</v>
      </c>
      <c r="T165" s="128">
        <v>74491.981874999998</v>
      </c>
      <c r="U165" s="128">
        <v>74491.981874999998</v>
      </c>
      <c r="V165" s="128">
        <v>78412.612500000003</v>
      </c>
      <c r="W165" s="128">
        <v>78412.612500000003</v>
      </c>
      <c r="X165" s="128">
        <v>78412.612500000003</v>
      </c>
      <c r="Y165" s="128">
        <v>78412.612500000003</v>
      </c>
      <c r="Z165" s="128">
        <v>74491.981874999998</v>
      </c>
      <c r="AA165" s="128">
        <v>70571.351249999992</v>
      </c>
      <c r="AB165" s="128">
        <v>86253.873750000013</v>
      </c>
      <c r="AC165" s="128">
        <v>86253.873750000013</v>
      </c>
      <c r="AD165" s="128">
        <v>82333.243124999994</v>
      </c>
      <c r="AE165" s="128">
        <v>78412.612500000003</v>
      </c>
      <c r="AF165" s="128">
        <v>76726.741331249985</v>
      </c>
      <c r="AG165" s="128">
        <v>76726.741331249985</v>
      </c>
      <c r="AH165" s="128">
        <v>80764.990874999989</v>
      </c>
      <c r="AI165" s="128">
        <v>80764.990874999989</v>
      </c>
      <c r="AJ165" s="128">
        <v>80764.990874999989</v>
      </c>
      <c r="AK165" s="128">
        <v>80764.990874999989</v>
      </c>
      <c r="AL165" s="128">
        <v>76726.741331249985</v>
      </c>
      <c r="AM165" s="128">
        <v>72688.491787499981</v>
      </c>
      <c r="AN165" s="128">
        <v>88841.489962500011</v>
      </c>
      <c r="AO165" s="128">
        <v>88841.489962500011</v>
      </c>
      <c r="AP165" s="128">
        <v>84803.240418749992</v>
      </c>
      <c r="AQ165" s="128">
        <v>80764.990874999989</v>
      </c>
      <c r="AR165" s="128">
        <v>78238.258135475626</v>
      </c>
      <c r="AS165" s="128">
        <v>78238.258135475626</v>
      </c>
      <c r="AT165" s="128">
        <v>82356.061195237489</v>
      </c>
      <c r="AU165" s="128">
        <v>82356.061195237489</v>
      </c>
      <c r="AV165" s="128">
        <v>82356.061195237489</v>
      </c>
      <c r="AW165" s="128">
        <v>82356.061195237489</v>
      </c>
      <c r="AX165" s="128">
        <v>78238.258135475626</v>
      </c>
      <c r="AY165" s="128">
        <v>74120.455075713748</v>
      </c>
      <c r="AZ165" s="128">
        <v>90591.667314761246</v>
      </c>
      <c r="BA165" s="128">
        <v>90591.667314761246</v>
      </c>
      <c r="BB165" s="128">
        <v>86473.864254999382</v>
      </c>
      <c r="BC165" s="128">
        <v>82356.061195237489</v>
      </c>
      <c r="BD165" s="128">
        <v>79376.624791346781</v>
      </c>
      <c r="BE165" s="128">
        <v>79376.624791346781</v>
      </c>
      <c r="BF165" s="128">
        <v>83554.341885628193</v>
      </c>
      <c r="BG165" s="128">
        <v>83554.341885628193</v>
      </c>
      <c r="BH165" s="128">
        <v>83554.341885628193</v>
      </c>
      <c r="BI165" s="128">
        <v>83554.341885628193</v>
      </c>
      <c r="BJ165" s="128">
        <v>79376.624791346781</v>
      </c>
      <c r="BK165" s="128">
        <v>75198.90769706537</v>
      </c>
      <c r="BL165" s="128">
        <v>91909.776074191017</v>
      </c>
      <c r="BM165" s="128">
        <v>91909.776074191017</v>
      </c>
      <c r="BN165" s="128">
        <v>87732.058979909605</v>
      </c>
      <c r="BO165" s="128">
        <v>83554.341885628193</v>
      </c>
      <c r="BP165" s="132"/>
    </row>
    <row r="166" spans="2:68" outlineLevel="1">
      <c r="C166" s="101" t="str">
        <v>Joseph Retail Group</v>
      </c>
      <c r="F166" s="109" t="s">
        <v>9</v>
      </c>
      <c r="G166" s="132"/>
      <c r="H166" s="128">
        <v>47045.454545454551</v>
      </c>
      <c r="I166" s="128">
        <v>50181.818181818177</v>
      </c>
      <c r="J166" s="128">
        <v>53318.181818181823</v>
      </c>
      <c r="K166" s="128">
        <v>59590.909090909088</v>
      </c>
      <c r="L166" s="128">
        <v>69000</v>
      </c>
      <c r="M166" s="128">
        <v>75272.727272727265</v>
      </c>
      <c r="N166" s="128">
        <v>56454.545454545449</v>
      </c>
      <c r="O166" s="128">
        <v>53318.181818181823</v>
      </c>
      <c r="P166" s="128">
        <v>62727.272727272728</v>
      </c>
      <c r="Q166" s="128">
        <v>65863.636363636353</v>
      </c>
      <c r="R166" s="128">
        <v>75272.727272727265</v>
      </c>
      <c r="S166" s="128">
        <v>84681.818181818177</v>
      </c>
      <c r="T166" s="128">
        <v>46518.545454545456</v>
      </c>
      <c r="U166" s="128">
        <v>49619.781818181815</v>
      </c>
      <c r="V166" s="128">
        <v>52721.018181818188</v>
      </c>
      <c r="W166" s="128">
        <v>58923.490909090913</v>
      </c>
      <c r="X166" s="128">
        <v>68227.200000000012</v>
      </c>
      <c r="Y166" s="128">
        <v>74429.672727272729</v>
      </c>
      <c r="Z166" s="128">
        <v>55822.254545454554</v>
      </c>
      <c r="AA166" s="128">
        <v>52721.018181818188</v>
      </c>
      <c r="AB166" s="128">
        <v>62024.727272727279</v>
      </c>
      <c r="AC166" s="128">
        <v>65125.963636363638</v>
      </c>
      <c r="AD166" s="128">
        <v>74429.672727272729</v>
      </c>
      <c r="AE166" s="128">
        <v>83733.381818181821</v>
      </c>
      <c r="AF166" s="128">
        <v>45039.255709090903</v>
      </c>
      <c r="AG166" s="128">
        <v>48041.872756363642</v>
      </c>
      <c r="AH166" s="128">
        <v>51044.489803636359</v>
      </c>
      <c r="AI166" s="128">
        <v>57049.723898181815</v>
      </c>
      <c r="AJ166" s="128">
        <v>66057.575040000011</v>
      </c>
      <c r="AK166" s="128">
        <v>72062.80913454546</v>
      </c>
      <c r="AL166" s="128">
        <v>54047.106850909098</v>
      </c>
      <c r="AM166" s="128">
        <v>51044.489803636359</v>
      </c>
      <c r="AN166" s="128">
        <v>60052.34094545454</v>
      </c>
      <c r="AO166" s="128">
        <v>63054.957992727279</v>
      </c>
      <c r="AP166" s="128">
        <v>72062.80913454546</v>
      </c>
      <c r="AQ166" s="128">
        <v>81070.660276363633</v>
      </c>
      <c r="AR166" s="128">
        <v>42679.198709934542</v>
      </c>
      <c r="AS166" s="128">
        <v>45524.478623930183</v>
      </c>
      <c r="AT166" s="128">
        <v>48369.758537925816</v>
      </c>
      <c r="AU166" s="128">
        <v>54060.318365917083</v>
      </c>
      <c r="AV166" s="128">
        <v>62596.158107904012</v>
      </c>
      <c r="AW166" s="128">
        <v>68286.717935895271</v>
      </c>
      <c r="AX166" s="128">
        <v>51215.038451921457</v>
      </c>
      <c r="AY166" s="128">
        <v>48369.758537925816</v>
      </c>
      <c r="AZ166" s="128">
        <v>56905.598279912723</v>
      </c>
      <c r="BA166" s="128">
        <v>59750.878193908371</v>
      </c>
      <c r="BB166" s="128">
        <v>68286.717935895271</v>
      </c>
      <c r="BC166" s="128">
        <v>76822.557677882185</v>
      </c>
      <c r="BD166" s="128">
        <v>40882.404444246291</v>
      </c>
      <c r="BE166" s="128">
        <v>43607.898073862722</v>
      </c>
      <c r="BF166" s="128">
        <v>46333.391703479138</v>
      </c>
      <c r="BG166" s="128">
        <v>51784.378962711962</v>
      </c>
      <c r="BH166" s="128">
        <v>59960.859851561239</v>
      </c>
      <c r="BI166" s="128">
        <v>65411.847110794064</v>
      </c>
      <c r="BJ166" s="128">
        <v>49058.885333095554</v>
      </c>
      <c r="BK166" s="128">
        <v>46333.391703479138</v>
      </c>
      <c r="BL166" s="128">
        <v>54509.872592328393</v>
      </c>
      <c r="BM166" s="128">
        <v>57235.366221944816</v>
      </c>
      <c r="BN166" s="128">
        <v>65411.847110794064</v>
      </c>
      <c r="BO166" s="128">
        <v>73588.327999643341</v>
      </c>
      <c r="BP166" s="132"/>
    </row>
    <row r="167" spans="2:68" outlineLevel="1">
      <c r="C167" s="101" t="str">
        <v>Dim Collective</v>
      </c>
      <c r="F167" s="109" t="s">
        <v>9</v>
      </c>
      <c r="G167" s="132"/>
      <c r="H167" s="128">
        <v>24375</v>
      </c>
      <c r="I167" s="128">
        <v>26000</v>
      </c>
      <c r="J167" s="128">
        <v>27625</v>
      </c>
      <c r="K167" s="128">
        <v>30875</v>
      </c>
      <c r="L167" s="128">
        <v>35750</v>
      </c>
      <c r="M167" s="128">
        <v>39000</v>
      </c>
      <c r="N167" s="128">
        <v>29250</v>
      </c>
      <c r="O167" s="128">
        <v>27625</v>
      </c>
      <c r="P167" s="128">
        <v>32500</v>
      </c>
      <c r="Q167" s="128">
        <v>34125</v>
      </c>
      <c r="R167" s="128">
        <v>39000</v>
      </c>
      <c r="S167" s="128">
        <v>43875</v>
      </c>
      <c r="T167" s="128">
        <v>28872.187500000004</v>
      </c>
      <c r="U167" s="128">
        <v>30797.000000000004</v>
      </c>
      <c r="V167" s="128">
        <v>32721.812500000004</v>
      </c>
      <c r="W167" s="128">
        <v>36571.4375</v>
      </c>
      <c r="X167" s="128">
        <v>42345.875000000015</v>
      </c>
      <c r="Y167" s="128">
        <v>46195.5</v>
      </c>
      <c r="Z167" s="128">
        <v>34646.625</v>
      </c>
      <c r="AA167" s="128">
        <v>32721.812500000004</v>
      </c>
      <c r="AB167" s="128">
        <v>38496.25</v>
      </c>
      <c r="AC167" s="128">
        <v>40421.0625</v>
      </c>
      <c r="AD167" s="128">
        <v>46195.5</v>
      </c>
      <c r="AE167" s="128">
        <v>51969.937500000015</v>
      </c>
      <c r="AF167" s="128">
        <v>32712.188437500005</v>
      </c>
      <c r="AG167" s="128">
        <v>34893.001000000004</v>
      </c>
      <c r="AH167" s="128">
        <v>37073.813562500007</v>
      </c>
      <c r="AI167" s="128">
        <v>41435.438687500005</v>
      </c>
      <c r="AJ167" s="128">
        <v>47977.876375000007</v>
      </c>
      <c r="AK167" s="128">
        <v>52339.501500000013</v>
      </c>
      <c r="AL167" s="128">
        <v>39254.626125000003</v>
      </c>
      <c r="AM167" s="128">
        <v>37073.813562500007</v>
      </c>
      <c r="AN167" s="128">
        <v>43616.251250000008</v>
      </c>
      <c r="AO167" s="128">
        <v>45797.063812500011</v>
      </c>
      <c r="AP167" s="128">
        <v>52339.501500000013</v>
      </c>
      <c r="AQ167" s="128">
        <v>58881.939187500007</v>
      </c>
      <c r="AR167" s="128">
        <v>35715.167336062506</v>
      </c>
      <c r="AS167" s="128">
        <v>38096.178491800005</v>
      </c>
      <c r="AT167" s="128">
        <v>40477.189647537503</v>
      </c>
      <c r="AU167" s="128">
        <v>45239.211959012508</v>
      </c>
      <c r="AV167" s="128">
        <v>52382.245426225018</v>
      </c>
      <c r="AW167" s="128">
        <v>57144.2677377</v>
      </c>
      <c r="AX167" s="128">
        <v>42858.200803275009</v>
      </c>
      <c r="AY167" s="128">
        <v>40477.189647537503</v>
      </c>
      <c r="AZ167" s="128">
        <v>47620.223114749999</v>
      </c>
      <c r="BA167" s="128">
        <v>50001.234270487512</v>
      </c>
      <c r="BB167" s="128">
        <v>57144.2677377</v>
      </c>
      <c r="BC167" s="128">
        <v>64287.301204912517</v>
      </c>
      <c r="BD167" s="128">
        <v>38258.087250390148</v>
      </c>
      <c r="BE167" s="128">
        <v>40808.626400416164</v>
      </c>
      <c r="BF167" s="128">
        <v>43359.165550442172</v>
      </c>
      <c r="BG167" s="128">
        <v>48460.243850494189</v>
      </c>
      <c r="BH167" s="128">
        <v>56111.861300572222</v>
      </c>
      <c r="BI167" s="128">
        <v>61212.939600624239</v>
      </c>
      <c r="BJ167" s="128">
        <v>45909.704700468181</v>
      </c>
      <c r="BK167" s="128">
        <v>43359.165550442172</v>
      </c>
      <c r="BL167" s="128">
        <v>51010.783000520205</v>
      </c>
      <c r="BM167" s="128">
        <v>53561.322150546206</v>
      </c>
      <c r="BN167" s="128">
        <v>61212.939600624239</v>
      </c>
      <c r="BO167" s="128">
        <v>68864.557050702279</v>
      </c>
      <c r="BP167" s="132"/>
    </row>
    <row r="168" spans="2:68" outlineLevel="1">
      <c r="C168" s="101" t="str">
        <v>Tim Forward Brands</v>
      </c>
      <c r="F168" s="190" t="s">
        <v>9</v>
      </c>
      <c r="G168" s="132"/>
      <c r="H168" s="128">
        <v>0</v>
      </c>
      <c r="I168" s="128">
        <v>0</v>
      </c>
      <c r="J168" s="128">
        <v>0</v>
      </c>
      <c r="K168" s="128">
        <v>0</v>
      </c>
      <c r="L168" s="128">
        <v>0</v>
      </c>
      <c r="M168" s="128">
        <v>0</v>
      </c>
      <c r="N168" s="128">
        <v>0</v>
      </c>
      <c r="O168" s="128">
        <v>0</v>
      </c>
      <c r="P168" s="128">
        <v>0</v>
      </c>
      <c r="Q168" s="128">
        <v>0</v>
      </c>
      <c r="R168" s="128">
        <v>0</v>
      </c>
      <c r="S168" s="128">
        <v>0</v>
      </c>
      <c r="T168" s="128">
        <v>0</v>
      </c>
      <c r="U168" s="128">
        <v>0</v>
      </c>
      <c r="V168" s="128">
        <v>0</v>
      </c>
      <c r="W168" s="128">
        <v>0</v>
      </c>
      <c r="X168" s="128">
        <v>0</v>
      </c>
      <c r="Y168" s="128">
        <v>0</v>
      </c>
      <c r="Z168" s="128">
        <v>0</v>
      </c>
      <c r="AA168" s="128">
        <v>0</v>
      </c>
      <c r="AB168" s="128">
        <v>0</v>
      </c>
      <c r="AC168" s="128">
        <v>0</v>
      </c>
      <c r="AD168" s="128">
        <v>0</v>
      </c>
      <c r="AE168" s="128">
        <v>0</v>
      </c>
      <c r="AF168" s="128">
        <v>0</v>
      </c>
      <c r="AG168" s="128">
        <v>0</v>
      </c>
      <c r="AH168" s="128">
        <v>0</v>
      </c>
      <c r="AI168" s="128">
        <v>0</v>
      </c>
      <c r="AJ168" s="128">
        <v>0</v>
      </c>
      <c r="AK168" s="128">
        <v>0</v>
      </c>
      <c r="AL168" s="128">
        <v>0</v>
      </c>
      <c r="AM168" s="128">
        <v>0</v>
      </c>
      <c r="AN168" s="128">
        <v>0</v>
      </c>
      <c r="AO168" s="128">
        <v>0</v>
      </c>
      <c r="AP168" s="128">
        <v>0</v>
      </c>
      <c r="AQ168" s="128">
        <v>0</v>
      </c>
      <c r="AR168" s="128">
        <v>0</v>
      </c>
      <c r="AS168" s="128">
        <v>0</v>
      </c>
      <c r="AT168" s="128">
        <v>0</v>
      </c>
      <c r="AU168" s="128">
        <v>0</v>
      </c>
      <c r="AV168" s="128">
        <v>0</v>
      </c>
      <c r="AW168" s="128">
        <v>0</v>
      </c>
      <c r="AX168" s="128">
        <v>0</v>
      </c>
      <c r="AY168" s="128">
        <v>0</v>
      </c>
      <c r="AZ168" s="128">
        <v>0</v>
      </c>
      <c r="BA168" s="128">
        <v>0</v>
      </c>
      <c r="BB168" s="128">
        <v>0</v>
      </c>
      <c r="BC168" s="128">
        <v>0</v>
      </c>
      <c r="BD168" s="128">
        <v>0</v>
      </c>
      <c r="BE168" s="128">
        <v>0</v>
      </c>
      <c r="BF168" s="128">
        <v>0</v>
      </c>
      <c r="BG168" s="128">
        <v>0</v>
      </c>
      <c r="BH168" s="128">
        <v>0</v>
      </c>
      <c r="BI168" s="128">
        <v>0</v>
      </c>
      <c r="BJ168" s="128">
        <v>0</v>
      </c>
      <c r="BK168" s="128">
        <v>0</v>
      </c>
      <c r="BL168" s="128">
        <v>0</v>
      </c>
      <c r="BM168" s="128">
        <v>0</v>
      </c>
      <c r="BN168" s="128">
        <v>0</v>
      </c>
      <c r="BO168" s="128">
        <v>0</v>
      </c>
      <c r="BP168" s="132"/>
    </row>
    <row r="169" spans="2:68" ht="12" customHeight="1" outlineLevel="1">
      <c r="C169" s="165" t="s">
        <v>54</v>
      </c>
      <c r="D169" s="165"/>
      <c r="E169" s="166"/>
      <c r="F169" s="109" t="s">
        <v>9</v>
      </c>
      <c r="G169" s="191"/>
      <c r="H169" s="192">
        <f t="shared" ref="H169:AM169" si="26">SUM(H163:H168)</f>
        <v>289976.70454545453</v>
      </c>
      <c r="I169" s="192">
        <f t="shared" si="26"/>
        <v>291910.98484848486</v>
      </c>
      <c r="J169" s="192">
        <f t="shared" si="26"/>
        <v>310232.76515151514</v>
      </c>
      <c r="K169" s="192">
        <f t="shared" si="26"/>
        <v>335101.32575757575</v>
      </c>
      <c r="L169" s="192">
        <f t="shared" si="26"/>
        <v>361904.16666666669</v>
      </c>
      <c r="M169" s="192">
        <f t="shared" si="26"/>
        <v>386772.72727272729</v>
      </c>
      <c r="N169" s="192">
        <f t="shared" si="26"/>
        <v>316779.54545454547</v>
      </c>
      <c r="O169" s="192">
        <f t="shared" si="26"/>
        <v>319457.7651515152</v>
      </c>
      <c r="P169" s="192">
        <f t="shared" si="26"/>
        <v>378210.60606060608</v>
      </c>
      <c r="Q169" s="192">
        <f t="shared" si="26"/>
        <v>392744.88636363635</v>
      </c>
      <c r="R169" s="192">
        <f t="shared" si="26"/>
        <v>474560.22727272729</v>
      </c>
      <c r="S169" s="192">
        <f t="shared" si="26"/>
        <v>539575.56818181812</v>
      </c>
      <c r="T169" s="192">
        <f t="shared" si="26"/>
        <v>309072.75545454549</v>
      </c>
      <c r="U169" s="192">
        <f t="shared" si="26"/>
        <v>310954.79369318183</v>
      </c>
      <c r="V169" s="192">
        <f t="shared" si="26"/>
        <v>330514.1425568182</v>
      </c>
      <c r="W169" s="192">
        <f t="shared" si="26"/>
        <v>357206.01903409092</v>
      </c>
      <c r="X169" s="192">
        <f t="shared" si="26"/>
        <v>385779.93375000008</v>
      </c>
      <c r="Y169" s="192">
        <f t="shared" si="26"/>
        <v>412471.81022727274</v>
      </c>
      <c r="Z169" s="192">
        <f t="shared" si="26"/>
        <v>337646.6701704546</v>
      </c>
      <c r="AA169" s="192">
        <f t="shared" si="26"/>
        <v>341015.12130681821</v>
      </c>
      <c r="AB169" s="192">
        <f t="shared" si="26"/>
        <v>403613.79852272739</v>
      </c>
      <c r="AC169" s="192">
        <f t="shared" si="26"/>
        <v>419252.51676136372</v>
      </c>
      <c r="AD169" s="192">
        <f t="shared" si="26"/>
        <v>508103.64085227274</v>
      </c>
      <c r="AE169" s="192">
        <f t="shared" si="26"/>
        <v>578612.5249431819</v>
      </c>
      <c r="AF169" s="192">
        <f t="shared" si="26"/>
        <v>324516.80735377839</v>
      </c>
      <c r="AG169" s="192">
        <f t="shared" si="26"/>
        <v>326583.37708061363</v>
      </c>
      <c r="AH169" s="192">
        <f t="shared" si="26"/>
        <v>347140.96435919887</v>
      </c>
      <c r="AI169" s="192">
        <f t="shared" si="26"/>
        <v>375362.05049286928</v>
      </c>
      <c r="AJ169" s="192">
        <f t="shared" si="26"/>
        <v>405649.70635337505</v>
      </c>
      <c r="AK169" s="192">
        <f t="shared" si="26"/>
        <v>433870.79248704546</v>
      </c>
      <c r="AL169" s="192">
        <f t="shared" si="26"/>
        <v>354804.4632142841</v>
      </c>
      <c r="AM169" s="192">
        <f t="shared" si="26"/>
        <v>358334.82261569885</v>
      </c>
      <c r="AN169" s="192">
        <f t="shared" ref="AN169:BS169" si="27">SUM(AN163:AN168)</f>
        <v>424045.83399520459</v>
      </c>
      <c r="AO169" s="192">
        <f t="shared" si="27"/>
        <v>440565.17173003987</v>
      </c>
      <c r="AP169" s="192">
        <f t="shared" si="27"/>
        <v>534260.82875079545</v>
      </c>
      <c r="AQ169" s="192">
        <f t="shared" si="27"/>
        <v>608686.12842755124</v>
      </c>
      <c r="AR169" s="192">
        <f t="shared" si="27"/>
        <v>334793.64547241881</v>
      </c>
      <c r="AS169" s="192">
        <f t="shared" si="27"/>
        <v>337010.98691330838</v>
      </c>
      <c r="AT169" s="192">
        <f t="shared" si="27"/>
        <v>358232.48246219975</v>
      </c>
      <c r="AU169" s="192">
        <f t="shared" si="27"/>
        <v>387477.75042437878</v>
      </c>
      <c r="AV169" s="192">
        <f t="shared" si="27"/>
        <v>418940.35982744751</v>
      </c>
      <c r="AW169" s="192">
        <f t="shared" si="27"/>
        <v>448185.62778962648</v>
      </c>
      <c r="AX169" s="192">
        <f t="shared" si="27"/>
        <v>366256.25487548742</v>
      </c>
      <c r="AY169" s="192">
        <f t="shared" si="27"/>
        <v>369845.34440699604</v>
      </c>
      <c r="AZ169" s="192">
        <f t="shared" si="27"/>
        <v>437627.63411343214</v>
      </c>
      <c r="BA169" s="192">
        <f t="shared" si="27"/>
        <v>454731.32660256169</v>
      </c>
      <c r="BB169" s="192">
        <f t="shared" si="27"/>
        <v>551545.77117098845</v>
      </c>
      <c r="BC169" s="192">
        <f t="shared" si="27"/>
        <v>628511.74767509522</v>
      </c>
      <c r="BD169" s="192">
        <f t="shared" si="27"/>
        <v>344159.79129628249</v>
      </c>
      <c r="BE169" s="192">
        <f t="shared" si="27"/>
        <v>346479.06081692432</v>
      </c>
      <c r="BF169" s="192">
        <f t="shared" si="27"/>
        <v>368308.98901153472</v>
      </c>
      <c r="BG169" s="192">
        <f t="shared" si="27"/>
        <v>398502.43068563048</v>
      </c>
      <c r="BH169" s="192">
        <f t="shared" si="27"/>
        <v>431015.14188036806</v>
      </c>
      <c r="BI169" s="192">
        <f t="shared" si="27"/>
        <v>461208.58355446369</v>
      </c>
      <c r="BJ169" s="192">
        <f t="shared" si="27"/>
        <v>376672.50249102002</v>
      </c>
      <c r="BK169" s="192">
        <f t="shared" si="27"/>
        <v>380397.47692922154</v>
      </c>
      <c r="BL169" s="192">
        <f t="shared" si="27"/>
        <v>450064.97860733437</v>
      </c>
      <c r="BM169" s="192">
        <f t="shared" si="27"/>
        <v>467717.18970766338</v>
      </c>
      <c r="BN169" s="192">
        <f t="shared" si="27"/>
        <v>567605.91117999319</v>
      </c>
      <c r="BO169" s="192">
        <f t="shared" si="27"/>
        <v>647050.71054607339</v>
      </c>
      <c r="BP169" s="191">
        <f t="shared" si="27"/>
        <v>0</v>
      </c>
    </row>
    <row r="170" spans="2:68" outlineLevel="1"/>
    <row r="171" spans="2:68" ht="12" customHeight="1" outlineLevel="1">
      <c r="B171" s="112" t="s">
        <v>55</v>
      </c>
    </row>
    <row r="172" spans="2:68" ht="12" customHeight="1" outlineLevel="1">
      <c r="B172" s="160" t="s">
        <v>56</v>
      </c>
    </row>
    <row r="173" spans="2:68" outlineLevel="1">
      <c r="C173" s="101" t="s">
        <v>56</v>
      </c>
      <c r="D173" s="195">
        <f>Assumptions!D19</f>
        <v>6</v>
      </c>
      <c r="E173" s="196" t="s">
        <v>40</v>
      </c>
      <c r="F173" s="109" t="s">
        <v>9</v>
      </c>
      <c r="G173" s="144"/>
      <c r="H173" s="121">
        <f t="array" ref="H173:BO173">$D$173*_xlfn.ANCHORARRAY(H31)</f>
        <v>6</v>
      </c>
      <c r="I173" s="121">
        <v>6</v>
      </c>
      <c r="J173" s="121">
        <v>6</v>
      </c>
      <c r="K173" s="121">
        <v>6</v>
      </c>
      <c r="L173" s="121">
        <v>6</v>
      </c>
      <c r="M173" s="121">
        <v>6</v>
      </c>
      <c r="N173" s="121">
        <v>6</v>
      </c>
      <c r="O173" s="121">
        <v>6</v>
      </c>
      <c r="P173" s="121">
        <v>6</v>
      </c>
      <c r="Q173" s="121">
        <v>6</v>
      </c>
      <c r="R173" s="121">
        <v>6</v>
      </c>
      <c r="S173" s="121">
        <v>6</v>
      </c>
      <c r="T173" s="121">
        <v>6.18</v>
      </c>
      <c r="U173" s="121">
        <v>6.18</v>
      </c>
      <c r="V173" s="121">
        <v>6.18</v>
      </c>
      <c r="W173" s="121">
        <v>6.18</v>
      </c>
      <c r="X173" s="121">
        <v>6.18</v>
      </c>
      <c r="Y173" s="121">
        <v>6.18</v>
      </c>
      <c r="Z173" s="121">
        <v>6.18</v>
      </c>
      <c r="AA173" s="121">
        <v>6.18</v>
      </c>
      <c r="AB173" s="121">
        <v>6.18</v>
      </c>
      <c r="AC173" s="121">
        <v>6.18</v>
      </c>
      <c r="AD173" s="121">
        <v>6.18</v>
      </c>
      <c r="AE173" s="121">
        <v>6.18</v>
      </c>
      <c r="AF173" s="121">
        <v>6.3653999999999993</v>
      </c>
      <c r="AG173" s="121">
        <v>6.3653999999999993</v>
      </c>
      <c r="AH173" s="121">
        <v>6.3653999999999993</v>
      </c>
      <c r="AI173" s="121">
        <v>6.3653999999999993</v>
      </c>
      <c r="AJ173" s="121">
        <v>6.3653999999999993</v>
      </c>
      <c r="AK173" s="121">
        <v>6.3653999999999993</v>
      </c>
      <c r="AL173" s="121">
        <v>6.3653999999999993</v>
      </c>
      <c r="AM173" s="121">
        <v>6.3653999999999993</v>
      </c>
      <c r="AN173" s="121">
        <v>6.3653999999999993</v>
      </c>
      <c r="AO173" s="121">
        <v>6.3653999999999993</v>
      </c>
      <c r="AP173" s="121">
        <v>6.3653999999999993</v>
      </c>
      <c r="AQ173" s="121">
        <v>6.3653999999999993</v>
      </c>
      <c r="AR173" s="121">
        <v>6.556362</v>
      </c>
      <c r="AS173" s="121">
        <v>6.556362</v>
      </c>
      <c r="AT173" s="121">
        <v>6.556362</v>
      </c>
      <c r="AU173" s="121">
        <v>6.556362</v>
      </c>
      <c r="AV173" s="121">
        <v>6.556362</v>
      </c>
      <c r="AW173" s="121">
        <v>6.556362</v>
      </c>
      <c r="AX173" s="121">
        <v>6.556362</v>
      </c>
      <c r="AY173" s="121">
        <v>6.556362</v>
      </c>
      <c r="AZ173" s="121">
        <v>6.556362</v>
      </c>
      <c r="BA173" s="121">
        <v>6.556362</v>
      </c>
      <c r="BB173" s="121">
        <v>6.556362</v>
      </c>
      <c r="BC173" s="121">
        <v>6.556362</v>
      </c>
      <c r="BD173" s="121">
        <v>6.7530528599999995</v>
      </c>
      <c r="BE173" s="121">
        <v>6.7530528599999995</v>
      </c>
      <c r="BF173" s="121">
        <v>6.7530528599999995</v>
      </c>
      <c r="BG173" s="121">
        <v>6.7530528599999995</v>
      </c>
      <c r="BH173" s="121">
        <v>6.7530528599999995</v>
      </c>
      <c r="BI173" s="121">
        <v>6.7530528599999995</v>
      </c>
      <c r="BJ173" s="121">
        <v>6.7530528599999995</v>
      </c>
      <c r="BK173" s="121">
        <v>6.7530528599999995</v>
      </c>
      <c r="BL173" s="121">
        <v>6.7530528599999995</v>
      </c>
      <c r="BM173" s="121">
        <v>6.7530528599999995</v>
      </c>
      <c r="BN173" s="121">
        <v>6.7530528599999995</v>
      </c>
      <c r="BO173" s="121">
        <v>6.7530528599999995</v>
      </c>
      <c r="BP173" s="144"/>
    </row>
    <row r="174" spans="2:68" outlineLevel="1"/>
    <row r="175" spans="2:68" ht="12" customHeight="1" outlineLevel="1">
      <c r="B175" s="160" t="s">
        <v>57</v>
      </c>
    </row>
    <row r="176" spans="2:68" outlineLevel="1">
      <c r="C176" s="101" t="str">
        <f t="array" ref="C176:C181">cust</f>
        <v>Michael’s Market Goods</v>
      </c>
      <c r="F176" s="109" t="str">
        <f t="array" ref="F176:BP176">_xlfn.XLOOKUP(C176,_xlfn.ANCHORARRAY($C$98),$F$98:$BP$103)</f>
        <v>[pallet]</v>
      </c>
      <c r="G176" s="132">
        <v>2400</v>
      </c>
      <c r="H176" s="128">
        <v>4049.5833333333321</v>
      </c>
      <c r="I176" s="128">
        <v>5732.6041666666679</v>
      </c>
      <c r="J176" s="128">
        <v>8597.0833333333321</v>
      </c>
      <c r="K176" s="128">
        <v>12676.458333333339</v>
      </c>
      <c r="L176" s="128">
        <v>15708.125000000007</v>
      </c>
      <c r="M176" s="128">
        <v>9622.5000000000073</v>
      </c>
      <c r="N176" s="128">
        <v>9076.3541666666752</v>
      </c>
      <c r="O176" s="128">
        <v>13088.854166666675</v>
      </c>
      <c r="P176" s="128">
        <v>14905.625000000004</v>
      </c>
      <c r="Q176" s="128">
        <v>19051.875</v>
      </c>
      <c r="R176" s="128">
        <v>23298.4375</v>
      </c>
      <c r="S176" s="128">
        <v>11286.015625</v>
      </c>
      <c r="T176" s="128">
        <v>13018.078125</v>
      </c>
      <c r="U176" s="128">
        <v>14785.25</v>
      </c>
      <c r="V176" s="128">
        <v>17792.953125</v>
      </c>
      <c r="W176" s="128">
        <v>22076.296875</v>
      </c>
      <c r="X176" s="128">
        <v>25259.546874999996</v>
      </c>
      <c r="Y176" s="128">
        <v>18869.640625</v>
      </c>
      <c r="Z176" s="128">
        <v>18296.1875</v>
      </c>
      <c r="AA176" s="128">
        <v>22509.3125</v>
      </c>
      <c r="AB176" s="128">
        <v>24416.921875</v>
      </c>
      <c r="AC176" s="128">
        <v>28770.484375</v>
      </c>
      <c r="AD176" s="128">
        <v>33229.375</v>
      </c>
      <c r="AE176" s="128">
        <v>20616.33203125</v>
      </c>
      <c r="AF176" s="128">
        <v>22434.997656250001</v>
      </c>
      <c r="AG176" s="128">
        <v>24290.528124999997</v>
      </c>
      <c r="AH176" s="128">
        <v>27448.616406250003</v>
      </c>
      <c r="AI176" s="128">
        <v>31946.127343750006</v>
      </c>
      <c r="AJ176" s="128">
        <v>35288.539843750012</v>
      </c>
      <c r="AK176" s="128">
        <v>28579.138281250009</v>
      </c>
      <c r="AL176" s="128">
        <v>27977.012500000012</v>
      </c>
      <c r="AM176" s="128">
        <v>32400.793750000012</v>
      </c>
      <c r="AN176" s="128">
        <v>34403.783593750013</v>
      </c>
      <c r="AO176" s="128">
        <v>38975.024218750012</v>
      </c>
      <c r="AP176" s="128">
        <v>43656.859375000015</v>
      </c>
      <c r="AQ176" s="128">
        <v>30033.456367187515</v>
      </c>
      <c r="AR176" s="128">
        <v>31906.681960937516</v>
      </c>
      <c r="AS176" s="128">
        <v>33817.878343750017</v>
      </c>
      <c r="AT176" s="128">
        <v>37070.709273437518</v>
      </c>
      <c r="AU176" s="128">
        <v>41703.145539062527</v>
      </c>
      <c r="AV176" s="128">
        <v>45145.830414062526</v>
      </c>
      <c r="AW176" s="128">
        <v>38235.146804687538</v>
      </c>
      <c r="AX176" s="128">
        <v>37614.957250000036</v>
      </c>
      <c r="AY176" s="128">
        <v>42171.451937500038</v>
      </c>
      <c r="AZ176" s="128">
        <v>44234.531476562537</v>
      </c>
      <c r="BA176" s="128">
        <v>48942.90932031253</v>
      </c>
      <c r="BB176" s="128">
        <v>53765.199531250037</v>
      </c>
      <c r="BC176" s="128">
        <v>39537.544869531281</v>
      </c>
      <c r="BD176" s="128">
        <v>41448.23497515628</v>
      </c>
      <c r="BE176" s="128">
        <v>43397.655285625027</v>
      </c>
      <c r="BF176" s="128">
        <v>46715.542833906271</v>
      </c>
      <c r="BG176" s="128">
        <v>51440.627824843774</v>
      </c>
      <c r="BH176" s="128">
        <v>54952.166397343768</v>
      </c>
      <c r="BI176" s="128">
        <v>47903.269115781266</v>
      </c>
      <c r="BJ176" s="128">
        <v>47270.675770000009</v>
      </c>
      <c r="BK176" s="128">
        <v>51918.300351250007</v>
      </c>
      <c r="BL176" s="128">
        <v>54022.641481093757</v>
      </c>
      <c r="BM176" s="128">
        <v>58825.186881718764</v>
      </c>
      <c r="BN176" s="128">
        <v>63743.922896875025</v>
      </c>
      <c r="BO176" s="128">
        <v>49231.715141921886</v>
      </c>
      <c r="BP176" s="132">
        <v>0</v>
      </c>
    </row>
    <row r="177" spans="2:68" outlineLevel="1">
      <c r="C177" s="101" t="str">
        <v>Andrew Digital Commerce</v>
      </c>
      <c r="F177" s="109" t="str">
        <f t="array" ref="F177:BP177">_xlfn.XLOOKUP(C177,_xlfn.ANCHORARRAY($C$98),$F$98:$BP$103)</f>
        <v>[pallet]</v>
      </c>
      <c r="G177" s="132">
        <v>2100</v>
      </c>
      <c r="H177" s="128">
        <v>1075.2000000000007</v>
      </c>
      <c r="I177" s="128">
        <v>2620.7999999999993</v>
      </c>
      <c r="J177" s="128">
        <v>4216.8000000000011</v>
      </c>
      <c r="K177" s="128">
        <v>4082.3999999999996</v>
      </c>
      <c r="L177" s="128">
        <v>5678.4</v>
      </c>
      <c r="M177" s="128">
        <v>5543.9999999999982</v>
      </c>
      <c r="N177" s="128">
        <v>9811.1999999999989</v>
      </c>
      <c r="O177" s="128">
        <v>13389.600000000004</v>
      </c>
      <c r="P177" s="128">
        <v>15338.400000000005</v>
      </c>
      <c r="Q177" s="128">
        <v>28022.400000000005</v>
      </c>
      <c r="R177" s="128">
        <v>37800.000000000015</v>
      </c>
      <c r="S177" s="128">
        <v>14997.360000000008</v>
      </c>
      <c r="T177" s="128">
        <v>13911.072000000011</v>
      </c>
      <c r="U177" s="128">
        <v>15549.40800000001</v>
      </c>
      <c r="V177" s="128">
        <v>17241.168000000012</v>
      </c>
      <c r="W177" s="128">
        <v>17098.704000000016</v>
      </c>
      <c r="X177" s="128">
        <v>18790.464000000014</v>
      </c>
      <c r="Y177" s="128">
        <v>18648.000000000018</v>
      </c>
      <c r="Z177" s="128">
        <v>23171.232000000018</v>
      </c>
      <c r="AA177" s="128">
        <v>26964.336000000018</v>
      </c>
      <c r="AB177" s="128">
        <v>29030.064000000017</v>
      </c>
      <c r="AC177" s="128">
        <v>42475.104000000021</v>
      </c>
      <c r="AD177" s="128">
        <v>52839.360000000037</v>
      </c>
      <c r="AE177" s="128">
        <v>28102.267200000024</v>
      </c>
      <c r="AF177" s="128">
        <v>26994.253440000022</v>
      </c>
      <c r="AG177" s="128">
        <v>28665.356160000018</v>
      </c>
      <c r="AH177" s="128">
        <v>30390.951360000014</v>
      </c>
      <c r="AI177" s="128">
        <v>30245.638080000019</v>
      </c>
      <c r="AJ177" s="128">
        <v>31971.233280000022</v>
      </c>
      <c r="AK177" s="128">
        <v>31825.920000000027</v>
      </c>
      <c r="AL177" s="128">
        <v>36439.616640000029</v>
      </c>
      <c r="AM177" s="128">
        <v>40308.582720000035</v>
      </c>
      <c r="AN177" s="128">
        <v>42415.625280000037</v>
      </c>
      <c r="AO177" s="128">
        <v>56129.566080000041</v>
      </c>
      <c r="AP177" s="128">
        <v>66701.107200000042</v>
      </c>
      <c r="AQ177" s="128">
        <v>41180.462400000033</v>
      </c>
      <c r="AR177" s="128">
        <v>40072.448640000039</v>
      </c>
      <c r="AS177" s="128">
        <v>41743.551360000034</v>
      </c>
      <c r="AT177" s="128">
        <v>43469.14656000003</v>
      </c>
      <c r="AU177" s="128">
        <v>43323.833280000035</v>
      </c>
      <c r="AV177" s="128">
        <v>45049.428480000039</v>
      </c>
      <c r="AW177" s="128">
        <v>44904.115200000044</v>
      </c>
      <c r="AX177" s="128">
        <v>49517.811840000046</v>
      </c>
      <c r="AY177" s="128">
        <v>53386.777920000051</v>
      </c>
      <c r="AZ177" s="128">
        <v>55493.820480000068</v>
      </c>
      <c r="BA177" s="128">
        <v>69207.761280000064</v>
      </c>
      <c r="BB177" s="128">
        <v>79779.302400000073</v>
      </c>
      <c r="BC177" s="128">
        <v>54258.657600000064</v>
      </c>
      <c r="BD177" s="128">
        <v>53150.64384000007</v>
      </c>
      <c r="BE177" s="128">
        <v>54821.746560000065</v>
      </c>
      <c r="BF177" s="128">
        <v>56547.341760000061</v>
      </c>
      <c r="BG177" s="128">
        <v>56402.028480000059</v>
      </c>
      <c r="BH177" s="128">
        <v>58127.623680000055</v>
      </c>
      <c r="BI177" s="128">
        <v>57982.310400000053</v>
      </c>
      <c r="BJ177" s="128">
        <v>62596.007040000062</v>
      </c>
      <c r="BK177" s="128">
        <v>66464.973120000068</v>
      </c>
      <c r="BL177" s="128">
        <v>68572.015680000084</v>
      </c>
      <c r="BM177" s="128">
        <v>82285.956480000081</v>
      </c>
      <c r="BN177" s="128">
        <v>92857.49760000009</v>
      </c>
      <c r="BO177" s="128">
        <v>67336.852800000081</v>
      </c>
      <c r="BP177" s="132">
        <v>0</v>
      </c>
    </row>
    <row r="178" spans="2:68" outlineLevel="1">
      <c r="C178" s="101" t="str">
        <v>Anup Industrial Systems</v>
      </c>
      <c r="F178" s="109" t="str">
        <f t="array" ref="F178:BP178">_xlfn.XLOOKUP(C178,_xlfn.ANCHORARRAY($C$98),$F$98:$BP$103)</f>
        <v>[pallet]</v>
      </c>
      <c r="G178" s="132">
        <v>1800</v>
      </c>
      <c r="H178" s="128">
        <v>1943.9249999999993</v>
      </c>
      <c r="I178" s="128">
        <v>2852.9249999999993</v>
      </c>
      <c r="J178" s="128">
        <v>3004.4249999999993</v>
      </c>
      <c r="K178" s="128">
        <v>3155.9249999999993</v>
      </c>
      <c r="L178" s="128">
        <v>3307.4249999999993</v>
      </c>
      <c r="M178" s="128">
        <v>2693.8499999999985</v>
      </c>
      <c r="N178" s="128">
        <v>2072.6999999999971</v>
      </c>
      <c r="O178" s="128">
        <v>5269.3500000000022</v>
      </c>
      <c r="P178" s="128">
        <v>5436.0000000000036</v>
      </c>
      <c r="Q178" s="128">
        <v>4837.5750000000007</v>
      </c>
      <c r="R178" s="128">
        <v>4231.5750000000007</v>
      </c>
      <c r="S178" s="128">
        <v>3690.6821249999994</v>
      </c>
      <c r="T178" s="128">
        <v>3835.3267500000002</v>
      </c>
      <c r="U178" s="128">
        <v>4748.8717500000021</v>
      </c>
      <c r="V178" s="128">
        <v>4901.12925</v>
      </c>
      <c r="W178" s="128">
        <v>5053.3867499999997</v>
      </c>
      <c r="X178" s="128">
        <v>5205.6442499999994</v>
      </c>
      <c r="Y178" s="128">
        <v>4589.0013750000016</v>
      </c>
      <c r="Z178" s="128">
        <v>3964.7456249999996</v>
      </c>
      <c r="AA178" s="128">
        <v>7177.378875000004</v>
      </c>
      <c r="AB178" s="128">
        <v>7344.8621250000033</v>
      </c>
      <c r="AC178" s="128">
        <v>6743.4450000000033</v>
      </c>
      <c r="AD178" s="128">
        <v>6134.4150000000009</v>
      </c>
      <c r="AE178" s="128">
        <v>5517.7721250000013</v>
      </c>
      <c r="AF178" s="128">
        <v>5662.4167500000003</v>
      </c>
      <c r="AG178" s="128">
        <v>6575.9617499999986</v>
      </c>
      <c r="AH178" s="128">
        <v>6728.2192499999965</v>
      </c>
      <c r="AI178" s="128">
        <v>6880.4767499999962</v>
      </c>
      <c r="AJ178" s="128">
        <v>7032.7342499999959</v>
      </c>
      <c r="AK178" s="128">
        <v>6416.0913749999982</v>
      </c>
      <c r="AL178" s="128">
        <v>5791.8356249999961</v>
      </c>
      <c r="AM178" s="128">
        <v>9004.4688750000005</v>
      </c>
      <c r="AN178" s="128">
        <v>9171.9521249999998</v>
      </c>
      <c r="AO178" s="128">
        <v>8570.5349999999999</v>
      </c>
      <c r="AP178" s="128">
        <v>7961.5049999999974</v>
      </c>
      <c r="AQ178" s="128">
        <v>7198.771053749997</v>
      </c>
      <c r="AR178" s="128">
        <v>7341.9692324999978</v>
      </c>
      <c r="AS178" s="128">
        <v>8246.3787824999981</v>
      </c>
      <c r="AT178" s="128">
        <v>8397.1137074999988</v>
      </c>
      <c r="AU178" s="128">
        <v>8547.8486324999994</v>
      </c>
      <c r="AV178" s="128">
        <v>8698.5835575000001</v>
      </c>
      <c r="AW178" s="128">
        <v>8088.1071112500013</v>
      </c>
      <c r="AX178" s="128">
        <v>7470.0939187500026</v>
      </c>
      <c r="AY178" s="128">
        <v>10650.600836250002</v>
      </c>
      <c r="AZ178" s="128">
        <v>10816.409253750004</v>
      </c>
      <c r="BA178" s="128">
        <v>10221.006300000005</v>
      </c>
      <c r="BB178" s="128">
        <v>9618.0666000000056</v>
      </c>
      <c r="BC178" s="128">
        <v>8790.6449129437551</v>
      </c>
      <c r="BD178" s="128">
        <v>8931.6951190125055</v>
      </c>
      <c r="BE178" s="128">
        <v>9822.5385257625076</v>
      </c>
      <c r="BF178" s="128">
        <v>9971.0124268875061</v>
      </c>
      <c r="BG178" s="128">
        <v>10119.486328012505</v>
      </c>
      <c r="BH178" s="128">
        <v>10267.960229137503</v>
      </c>
      <c r="BI178" s="128">
        <v>9666.6409295812537</v>
      </c>
      <c r="BJ178" s="128">
        <v>9057.8979349687561</v>
      </c>
      <c r="BK178" s="128">
        <v>12190.697248706258</v>
      </c>
      <c r="BL178" s="128">
        <v>12354.018539943758</v>
      </c>
      <c r="BM178" s="128">
        <v>11767.546630500008</v>
      </c>
      <c r="BN178" s="128">
        <v>11173.651026000007</v>
      </c>
      <c r="BO178" s="128">
        <v>10358.640664249599</v>
      </c>
      <c r="BP178" s="132">
        <v>0</v>
      </c>
    </row>
    <row r="179" spans="2:68" outlineLevel="1">
      <c r="C179" s="101" t="str">
        <v>Joseph Retail Group</v>
      </c>
      <c r="F179" s="109" t="str">
        <f t="array" ref="F179:BP179">_xlfn.XLOOKUP(C179,_xlfn.ANCHORARRAY($C$98),$F$98:$BP$103)</f>
        <v>[pallet]</v>
      </c>
      <c r="G179" s="132">
        <v>2700</v>
      </c>
      <c r="H179" s="128">
        <v>3327.2727272727261</v>
      </c>
      <c r="I179" s="128">
        <v>3954.545454545454</v>
      </c>
      <c r="J179" s="128">
        <v>5209.0909090909081</v>
      </c>
      <c r="K179" s="128">
        <v>7090.9090909090901</v>
      </c>
      <c r="L179" s="128">
        <v>8345.4545454545441</v>
      </c>
      <c r="M179" s="128">
        <v>4581.8181818181783</v>
      </c>
      <c r="N179" s="128">
        <v>3954.5454545454522</v>
      </c>
      <c r="O179" s="128">
        <v>5836.363636363636</v>
      </c>
      <c r="P179" s="128">
        <v>6463.6363636363621</v>
      </c>
      <c r="Q179" s="128">
        <v>8345.4545454545441</v>
      </c>
      <c r="R179" s="128">
        <v>10227.272727272726</v>
      </c>
      <c r="S179" s="128">
        <v>2323.636363636364</v>
      </c>
      <c r="T179" s="128">
        <v>2925.818181818182</v>
      </c>
      <c r="U179" s="128">
        <v>3528.0000000000018</v>
      </c>
      <c r="V179" s="128">
        <v>4732.3636363636379</v>
      </c>
      <c r="W179" s="128">
        <v>6538.9090909090937</v>
      </c>
      <c r="X179" s="128">
        <v>7743.2727272727279</v>
      </c>
      <c r="Y179" s="128">
        <v>4130.1818181818198</v>
      </c>
      <c r="Z179" s="128">
        <v>3528.0000000000018</v>
      </c>
      <c r="AA179" s="128">
        <v>5334.5454545454559</v>
      </c>
      <c r="AB179" s="128">
        <v>5936.7272727272757</v>
      </c>
      <c r="AC179" s="128">
        <v>7743.2727272727298</v>
      </c>
      <c r="AD179" s="128">
        <v>9549.8181818181838</v>
      </c>
      <c r="AE179" s="128">
        <v>1781.6727272727276</v>
      </c>
      <c r="AF179" s="128">
        <v>2347.7236363636384</v>
      </c>
      <c r="AG179" s="128">
        <v>2913.7745454545457</v>
      </c>
      <c r="AH179" s="128">
        <v>4045.8763636363637</v>
      </c>
      <c r="AI179" s="128">
        <v>5744.0290909090927</v>
      </c>
      <c r="AJ179" s="128">
        <v>6876.1309090909108</v>
      </c>
      <c r="AK179" s="128">
        <v>3479.8254545454565</v>
      </c>
      <c r="AL179" s="128">
        <v>2913.7745454545457</v>
      </c>
      <c r="AM179" s="128">
        <v>4611.9272727272728</v>
      </c>
      <c r="AN179" s="128">
        <v>5177.9781818181837</v>
      </c>
      <c r="AO179" s="128">
        <v>6876.1309090909126</v>
      </c>
      <c r="AP179" s="128">
        <v>8574.2836363636361</v>
      </c>
      <c r="AQ179" s="128">
        <v>1102.4116363636367</v>
      </c>
      <c r="AR179" s="128">
        <v>1623.1784727272734</v>
      </c>
      <c r="AS179" s="128">
        <v>2143.9453090909101</v>
      </c>
      <c r="AT179" s="128">
        <v>3185.4789818181816</v>
      </c>
      <c r="AU179" s="128">
        <v>4747.7794909090935</v>
      </c>
      <c r="AV179" s="128">
        <v>5789.3131636363669</v>
      </c>
      <c r="AW179" s="128">
        <v>2664.7121454545486</v>
      </c>
      <c r="AX179" s="128">
        <v>2143.9453090909119</v>
      </c>
      <c r="AY179" s="128">
        <v>3706.2458181818201</v>
      </c>
      <c r="AZ179" s="128">
        <v>4227.0126545454586</v>
      </c>
      <c r="BA179" s="128">
        <v>5789.3131636363669</v>
      </c>
      <c r="BB179" s="128">
        <v>7351.6136727272751</v>
      </c>
      <c r="BC179" s="128">
        <v>555.60645818181911</v>
      </c>
      <c r="BD179" s="128">
        <v>1039.919616000001</v>
      </c>
      <c r="BE179" s="128">
        <v>1524.2327738181821</v>
      </c>
      <c r="BF179" s="128">
        <v>2492.8590894545432</v>
      </c>
      <c r="BG179" s="128">
        <v>3945.7985629090908</v>
      </c>
      <c r="BH179" s="128">
        <v>4914.4248785454529</v>
      </c>
      <c r="BI179" s="128">
        <v>2008.5459316363631</v>
      </c>
      <c r="BJ179" s="128">
        <v>1524.2327738181812</v>
      </c>
      <c r="BK179" s="128">
        <v>2977.172247272727</v>
      </c>
      <c r="BL179" s="128">
        <v>3461.4854050909089</v>
      </c>
      <c r="BM179" s="128">
        <v>4914.4248785454529</v>
      </c>
      <c r="BN179" s="128">
        <v>6367.3643520000005</v>
      </c>
      <c r="BO179" s="128">
        <v>47.077642472724619</v>
      </c>
      <c r="BP179" s="132">
        <v>0</v>
      </c>
    </row>
    <row r="180" spans="2:68" outlineLevel="1">
      <c r="C180" s="101" t="str">
        <v>Dim Collective</v>
      </c>
      <c r="F180" s="109" t="str">
        <f t="array" ref="F180:BP180">_xlfn.XLOOKUP(C180,_xlfn.ANCHORARRAY($C$98),$F$98:$BP$103)</f>
        <v>[pallet]</v>
      </c>
      <c r="G180" s="132">
        <v>900</v>
      </c>
      <c r="H180" s="128">
        <v>1641</v>
      </c>
      <c r="I180" s="128">
        <v>2408</v>
      </c>
      <c r="J180" s="128">
        <v>3552</v>
      </c>
      <c r="K180" s="128">
        <v>5099</v>
      </c>
      <c r="L180" s="128">
        <v>6373</v>
      </c>
      <c r="M180" s="128">
        <v>4891</v>
      </c>
      <c r="N180" s="128">
        <v>5008</v>
      </c>
      <c r="O180" s="128">
        <v>6503</v>
      </c>
      <c r="P180" s="128">
        <v>7374</v>
      </c>
      <c r="Q180" s="128">
        <v>8973</v>
      </c>
      <c r="R180" s="128">
        <v>10650</v>
      </c>
      <c r="S180" s="128">
        <v>7929.75</v>
      </c>
      <c r="T180" s="128">
        <v>8781.9000000000015</v>
      </c>
      <c r="U180" s="128">
        <v>9663.9500000000007</v>
      </c>
      <c r="V180" s="128">
        <v>10979.550000000003</v>
      </c>
      <c r="W180" s="128">
        <v>12758.600000000006</v>
      </c>
      <c r="X180" s="128">
        <v>14223.700000000003</v>
      </c>
      <c r="Y180" s="128">
        <v>12519.400000000001</v>
      </c>
      <c r="Z180" s="128">
        <v>12653.95</v>
      </c>
      <c r="AA180" s="128">
        <v>14373.2</v>
      </c>
      <c r="AB180" s="128">
        <v>15374.850000000002</v>
      </c>
      <c r="AC180" s="128">
        <v>17213.700000000004</v>
      </c>
      <c r="AD180" s="128">
        <v>19142.250000000007</v>
      </c>
      <c r="AE180" s="128">
        <v>15711.225000000008</v>
      </c>
      <c r="AF180" s="128">
        <v>16648.590000000011</v>
      </c>
      <c r="AG180" s="128">
        <v>17618.845000000012</v>
      </c>
      <c r="AH180" s="128">
        <v>19066.005000000012</v>
      </c>
      <c r="AI180" s="128">
        <v>21022.960000000014</v>
      </c>
      <c r="AJ180" s="128">
        <v>22634.570000000014</v>
      </c>
      <c r="AK180" s="128">
        <v>20759.840000000011</v>
      </c>
      <c r="AL180" s="128">
        <v>20907.845000000012</v>
      </c>
      <c r="AM180" s="128">
        <v>22799.020000000015</v>
      </c>
      <c r="AN180" s="128">
        <v>23900.835000000014</v>
      </c>
      <c r="AO180" s="128">
        <v>25923.570000000014</v>
      </c>
      <c r="AP180" s="128">
        <v>28044.97500000002</v>
      </c>
      <c r="AQ180" s="128">
        <v>24004.438500000018</v>
      </c>
      <c r="AR180" s="128">
        <v>24998.045400000021</v>
      </c>
      <c r="AS180" s="128">
        <v>26026.515700000025</v>
      </c>
      <c r="AT180" s="128">
        <v>27560.505300000023</v>
      </c>
      <c r="AU180" s="128">
        <v>29634.877600000022</v>
      </c>
      <c r="AV180" s="128">
        <v>31343.184200000018</v>
      </c>
      <c r="AW180" s="128">
        <v>29355.970400000024</v>
      </c>
      <c r="AX180" s="128">
        <v>29512.855700000029</v>
      </c>
      <c r="AY180" s="128">
        <v>31517.501200000032</v>
      </c>
      <c r="AZ180" s="128">
        <v>32685.425100000037</v>
      </c>
      <c r="BA180" s="128">
        <v>34829.524200000036</v>
      </c>
      <c r="BB180" s="128">
        <v>37078.213500000042</v>
      </c>
      <c r="BC180" s="128">
        <v>32654.048040000042</v>
      </c>
      <c r="BD180" s="128">
        <v>33687.399216000049</v>
      </c>
      <c r="BE180" s="128">
        <v>34757.008328000047</v>
      </c>
      <c r="BF180" s="128">
        <v>36352.357512000053</v>
      </c>
      <c r="BG180" s="128">
        <v>38509.704704000054</v>
      </c>
      <c r="BH180" s="128">
        <v>40286.343568000055</v>
      </c>
      <c r="BI180" s="128">
        <v>38219.641216000062</v>
      </c>
      <c r="BJ180" s="128">
        <v>38382.801928000059</v>
      </c>
      <c r="BK180" s="128">
        <v>40467.633248000064</v>
      </c>
      <c r="BL180" s="128">
        <v>41682.274104000062</v>
      </c>
      <c r="BM180" s="128">
        <v>43912.137168000067</v>
      </c>
      <c r="BN180" s="128">
        <v>46250.774040000069</v>
      </c>
      <c r="BO180" s="128">
        <v>41649.641961600064</v>
      </c>
      <c r="BP180" s="132">
        <v>0</v>
      </c>
    </row>
    <row r="181" spans="2:68" outlineLevel="1">
      <c r="C181" s="101" t="str">
        <v>Tim Forward Brands</v>
      </c>
      <c r="F181" s="109" t="str">
        <f t="array" ref="F181:BP181">_xlfn.XLOOKUP(C181,_xlfn.ANCHORARRAY($C$98),$F$98:$BP$103)</f>
        <v>[pallet]</v>
      </c>
      <c r="G181" s="132">
        <v>1500</v>
      </c>
      <c r="H181" s="128">
        <v>0</v>
      </c>
      <c r="I181" s="128">
        <v>0</v>
      </c>
      <c r="J181" s="128">
        <v>0</v>
      </c>
      <c r="K181" s="128">
        <v>0</v>
      </c>
      <c r="L181" s="128">
        <v>0</v>
      </c>
      <c r="M181" s="128">
        <v>0</v>
      </c>
      <c r="N181" s="128">
        <v>0</v>
      </c>
      <c r="O181" s="128">
        <v>0</v>
      </c>
      <c r="P181" s="128">
        <v>0</v>
      </c>
      <c r="Q181" s="128">
        <v>0</v>
      </c>
      <c r="R181" s="128">
        <v>0</v>
      </c>
      <c r="S181" s="128">
        <v>0</v>
      </c>
      <c r="T181" s="128">
        <v>0</v>
      </c>
      <c r="U181" s="128">
        <v>0</v>
      </c>
      <c r="V181" s="128">
        <v>0</v>
      </c>
      <c r="W181" s="128">
        <v>0</v>
      </c>
      <c r="X181" s="128">
        <v>0</v>
      </c>
      <c r="Y181" s="128">
        <v>0</v>
      </c>
      <c r="Z181" s="128">
        <v>0</v>
      </c>
      <c r="AA181" s="128">
        <v>0</v>
      </c>
      <c r="AB181" s="128">
        <v>0</v>
      </c>
      <c r="AC181" s="128">
        <v>0</v>
      </c>
      <c r="AD181" s="128">
        <v>0</v>
      </c>
      <c r="AE181" s="128">
        <v>0</v>
      </c>
      <c r="AF181" s="128">
        <v>0</v>
      </c>
      <c r="AG181" s="128">
        <v>0</v>
      </c>
      <c r="AH181" s="128">
        <v>0</v>
      </c>
      <c r="AI181" s="128">
        <v>0</v>
      </c>
      <c r="AJ181" s="128">
        <v>0</v>
      </c>
      <c r="AK181" s="128">
        <v>0</v>
      </c>
      <c r="AL181" s="128">
        <v>0</v>
      </c>
      <c r="AM181" s="128">
        <v>0</v>
      </c>
      <c r="AN181" s="128">
        <v>0</v>
      </c>
      <c r="AO181" s="128">
        <v>0</v>
      </c>
      <c r="AP181" s="128">
        <v>0</v>
      </c>
      <c r="AQ181" s="128">
        <v>0</v>
      </c>
      <c r="AR181" s="128">
        <v>0</v>
      </c>
      <c r="AS181" s="128">
        <v>0</v>
      </c>
      <c r="AT181" s="128">
        <v>0</v>
      </c>
      <c r="AU181" s="128">
        <v>0</v>
      </c>
      <c r="AV181" s="128">
        <v>0</v>
      </c>
      <c r="AW181" s="128">
        <v>0</v>
      </c>
      <c r="AX181" s="128">
        <v>0</v>
      </c>
      <c r="AY181" s="128">
        <v>0</v>
      </c>
      <c r="AZ181" s="128">
        <v>0</v>
      </c>
      <c r="BA181" s="128">
        <v>0</v>
      </c>
      <c r="BB181" s="128">
        <v>0</v>
      </c>
      <c r="BC181" s="128">
        <v>0</v>
      </c>
      <c r="BD181" s="128">
        <v>0</v>
      </c>
      <c r="BE181" s="128">
        <v>0</v>
      </c>
      <c r="BF181" s="128">
        <v>0</v>
      </c>
      <c r="BG181" s="128">
        <v>0</v>
      </c>
      <c r="BH181" s="128">
        <v>0</v>
      </c>
      <c r="BI181" s="128">
        <v>0</v>
      </c>
      <c r="BJ181" s="128">
        <v>0</v>
      </c>
      <c r="BK181" s="128">
        <v>0</v>
      </c>
      <c r="BL181" s="128">
        <v>0</v>
      </c>
      <c r="BM181" s="128">
        <v>0</v>
      </c>
      <c r="BN181" s="128">
        <v>0</v>
      </c>
      <c r="BO181" s="128">
        <v>0</v>
      </c>
      <c r="BP181" s="132">
        <v>0</v>
      </c>
    </row>
    <row r="182" spans="2:68" outlineLevel="1"/>
    <row r="183" spans="2:68" ht="12" customHeight="1" outlineLevel="1">
      <c r="B183" s="160" t="s">
        <v>58</v>
      </c>
    </row>
    <row r="184" spans="2:68" outlineLevel="1">
      <c r="C184" s="101" t="str">
        <f t="array" ref="C184:C189">cust</f>
        <v>Michael’s Market Goods</v>
      </c>
      <c r="F184" s="109" t="s">
        <v>9</v>
      </c>
      <c r="G184" s="132"/>
      <c r="H184" s="128">
        <f t="array" ref="H184:BO189">_xlfn.ANCHORARRAY(H173)*H176:BO181*H35:BO40</f>
        <v>24297.499999999993</v>
      </c>
      <c r="I184" s="128">
        <v>34395.625000000007</v>
      </c>
      <c r="J184" s="128">
        <v>51582.499999999993</v>
      </c>
      <c r="K184" s="128">
        <v>76058.750000000029</v>
      </c>
      <c r="L184" s="128">
        <v>94248.750000000044</v>
      </c>
      <c r="M184" s="128">
        <v>57735.000000000044</v>
      </c>
      <c r="N184" s="128">
        <v>54458.125000000051</v>
      </c>
      <c r="O184" s="128">
        <v>78533.125000000058</v>
      </c>
      <c r="P184" s="128">
        <v>89433.750000000029</v>
      </c>
      <c r="Q184" s="128">
        <v>114311.25</v>
      </c>
      <c r="R184" s="128">
        <v>139790.625</v>
      </c>
      <c r="S184" s="128">
        <v>67716.09375</v>
      </c>
      <c r="T184" s="128">
        <v>80451.722812499997</v>
      </c>
      <c r="U184" s="128">
        <v>91372.845000000001</v>
      </c>
      <c r="V184" s="128">
        <v>109960.45031249999</v>
      </c>
      <c r="W184" s="128">
        <v>136431.51468749999</v>
      </c>
      <c r="X184" s="128">
        <v>156103.99968749998</v>
      </c>
      <c r="Y184" s="128">
        <v>116614.3790625</v>
      </c>
      <c r="Z184" s="128">
        <v>113070.43875</v>
      </c>
      <c r="AA184" s="128">
        <v>139107.55124999999</v>
      </c>
      <c r="AB184" s="128">
        <v>150896.57718749999</v>
      </c>
      <c r="AC184" s="128">
        <v>177801.59343749998</v>
      </c>
      <c r="AD184" s="128">
        <v>205357.53749999998</v>
      </c>
      <c r="AE184" s="128">
        <v>127408.93195312499</v>
      </c>
      <c r="AF184" s="128">
        <v>142807.73408109375</v>
      </c>
      <c r="AG184" s="128">
        <v>154618.92772687497</v>
      </c>
      <c r="AH184" s="128">
        <v>174721.42287234374</v>
      </c>
      <c r="AI184" s="128">
        <v>203349.87899390626</v>
      </c>
      <c r="AJ184" s="128">
        <v>224625.6715214063</v>
      </c>
      <c r="AK184" s="128">
        <v>181917.64681546879</v>
      </c>
      <c r="AL184" s="128">
        <v>178084.87536750006</v>
      </c>
      <c r="AM184" s="128">
        <v>206244.01253625005</v>
      </c>
      <c r="AN184" s="128">
        <v>218993.8440876563</v>
      </c>
      <c r="AO184" s="128">
        <v>248091.6191620313</v>
      </c>
      <c r="AP184" s="128">
        <v>277893.37266562507</v>
      </c>
      <c r="AQ184" s="128">
        <v>191174.96315969538</v>
      </c>
      <c r="AR184" s="128">
        <v>209191.75715477622</v>
      </c>
      <c r="AS184" s="128">
        <v>221722.25249358555</v>
      </c>
      <c r="AT184" s="128">
        <v>243048.98959341337</v>
      </c>
      <c r="AU184" s="128">
        <v>273420.91869277909</v>
      </c>
      <c r="AV184" s="128">
        <v>295992.40698520379</v>
      </c>
      <c r="AW184" s="128">
        <v>250683.4635746748</v>
      </c>
      <c r="AX184" s="128">
        <v>246617.27634552473</v>
      </c>
      <c r="AY184" s="128">
        <v>276491.30496785161</v>
      </c>
      <c r="AZ184" s="128">
        <v>290017.60126073851</v>
      </c>
      <c r="BA184" s="128">
        <v>320887.43083714292</v>
      </c>
      <c r="BB184" s="128">
        <v>352504.11112910556</v>
      </c>
      <c r="BC184" s="128">
        <v>259222.45675588984</v>
      </c>
      <c r="BD184" s="128">
        <v>279902.12174093112</v>
      </c>
      <c r="BE184" s="128">
        <v>293066.66014388419</v>
      </c>
      <c r="BF184" s="128">
        <v>315472.53014096321</v>
      </c>
      <c r="BG184" s="128">
        <v>347381.27885275678</v>
      </c>
      <c r="BH184" s="128">
        <v>371094.88445277821</v>
      </c>
      <c r="BI184" s="128">
        <v>323493.30850567634</v>
      </c>
      <c r="BJ184" s="128">
        <v>319221.37220273126</v>
      </c>
      <c r="BK184" s="128">
        <v>350607.02667334786</v>
      </c>
      <c r="BL184" s="128">
        <v>364817.7535586548</v>
      </c>
      <c r="BM184" s="128">
        <v>397249.59651162534</v>
      </c>
      <c r="BN184" s="128">
        <v>430466.08082636131</v>
      </c>
      <c r="BO184" s="128">
        <v>332464.3747418609</v>
      </c>
      <c r="BP184" s="132"/>
    </row>
    <row r="185" spans="2:68" outlineLevel="1">
      <c r="C185" s="101" t="str">
        <v>Andrew Digital Commerce</v>
      </c>
      <c r="F185" s="109" t="s">
        <v>9</v>
      </c>
      <c r="G185" s="132"/>
      <c r="H185" s="128">
        <v>6451.2000000000044</v>
      </c>
      <c r="I185" s="128">
        <v>15724.799999999996</v>
      </c>
      <c r="J185" s="128">
        <v>25300.800000000007</v>
      </c>
      <c r="K185" s="128">
        <v>24494.399999999998</v>
      </c>
      <c r="L185" s="128">
        <v>34070.399999999994</v>
      </c>
      <c r="M185" s="128">
        <v>33263.999999999985</v>
      </c>
      <c r="N185" s="128">
        <v>58867.199999999997</v>
      </c>
      <c r="O185" s="128">
        <v>80337.60000000002</v>
      </c>
      <c r="P185" s="128">
        <v>92030.400000000023</v>
      </c>
      <c r="Q185" s="128">
        <v>168134.40000000002</v>
      </c>
      <c r="R185" s="128">
        <v>226800.00000000009</v>
      </c>
      <c r="S185" s="128">
        <v>89984.160000000047</v>
      </c>
      <c r="T185" s="128">
        <v>85970.424960000062</v>
      </c>
      <c r="U185" s="128">
        <v>96095.341440000062</v>
      </c>
      <c r="V185" s="128">
        <v>106550.41824000007</v>
      </c>
      <c r="W185" s="128">
        <v>105669.99072000009</v>
      </c>
      <c r="X185" s="128">
        <v>116125.06752000008</v>
      </c>
      <c r="Y185" s="128">
        <v>115244.6400000001</v>
      </c>
      <c r="Z185" s="128">
        <v>143198.2137600001</v>
      </c>
      <c r="AA185" s="128">
        <v>166639.59648000009</v>
      </c>
      <c r="AB185" s="128">
        <v>179405.7955200001</v>
      </c>
      <c r="AC185" s="128">
        <v>262496.14272000012</v>
      </c>
      <c r="AD185" s="128">
        <v>326547.24480000022</v>
      </c>
      <c r="AE185" s="128">
        <v>173672.01129600013</v>
      </c>
      <c r="AF185" s="128">
        <v>171829.22084697612</v>
      </c>
      <c r="AG185" s="128">
        <v>182466.45810086408</v>
      </c>
      <c r="AH185" s="128">
        <v>193450.56178694408</v>
      </c>
      <c r="AI185" s="128">
        <v>192525.5846344321</v>
      </c>
      <c r="AJ185" s="128">
        <v>203509.68832051213</v>
      </c>
      <c r="AK185" s="128">
        <v>202584.71116800015</v>
      </c>
      <c r="AL185" s="128">
        <v>231952.73576025615</v>
      </c>
      <c r="AM185" s="128">
        <v>256580.25244588818</v>
      </c>
      <c r="AN185" s="128">
        <v>269992.42115731223</v>
      </c>
      <c r="AO185" s="128">
        <v>357287.13992563222</v>
      </c>
      <c r="AP185" s="128">
        <v>424579.22777088021</v>
      </c>
      <c r="AQ185" s="128">
        <v>262130.11536096019</v>
      </c>
      <c r="AR185" s="128">
        <v>262729.47951024794</v>
      </c>
      <c r="AS185" s="128">
        <v>273685.83388175257</v>
      </c>
      <c r="AT185" s="128">
        <v>284999.46067841491</v>
      </c>
      <c r="AU185" s="128">
        <v>284046.73421132757</v>
      </c>
      <c r="AV185" s="128">
        <v>295360.36100799002</v>
      </c>
      <c r="AW185" s="128">
        <v>294407.63454090268</v>
      </c>
      <c r="AX185" s="128">
        <v>324656.69987092639</v>
      </c>
      <c r="AY185" s="128">
        <v>350023.0420571274</v>
      </c>
      <c r="AZ185" s="128">
        <v>363837.57582989422</v>
      </c>
      <c r="BA185" s="128">
        <v>453751.1361612638</v>
      </c>
      <c r="BB185" s="128">
        <v>523061.9866418693</v>
      </c>
      <c r="BC185" s="128">
        <v>355739.40085965162</v>
      </c>
      <c r="BD185" s="128">
        <v>358929.10739455384</v>
      </c>
      <c r="BE185" s="128">
        <v>370214.15239720355</v>
      </c>
      <c r="BF185" s="128">
        <v>381867.18799776584</v>
      </c>
      <c r="BG185" s="128">
        <v>380885.87973666581</v>
      </c>
      <c r="BH185" s="128">
        <v>392538.91533722804</v>
      </c>
      <c r="BI185" s="128">
        <v>391557.60707612807</v>
      </c>
      <c r="BJ185" s="128">
        <v>422714.14436605253</v>
      </c>
      <c r="BK185" s="128">
        <v>448841.47681783955</v>
      </c>
      <c r="BL185" s="128">
        <v>463070.4466037894</v>
      </c>
      <c r="BM185" s="128">
        <v>555681.41374510003</v>
      </c>
      <c r="BN185" s="128">
        <v>627071.58974012372</v>
      </c>
      <c r="BO185" s="128">
        <v>454729.32638443954</v>
      </c>
      <c r="BP185" s="132"/>
    </row>
    <row r="186" spans="2:68" outlineLevel="1">
      <c r="C186" s="101" t="str">
        <v>Anup Industrial Systems</v>
      </c>
      <c r="F186" s="109" t="s">
        <v>9</v>
      </c>
      <c r="G186" s="132"/>
      <c r="H186" s="128">
        <v>11663.549999999996</v>
      </c>
      <c r="I186" s="128">
        <v>17117.549999999996</v>
      </c>
      <c r="J186" s="128">
        <v>18026.549999999996</v>
      </c>
      <c r="K186" s="128">
        <v>18935.549999999996</v>
      </c>
      <c r="L186" s="128">
        <v>19844.549999999996</v>
      </c>
      <c r="M186" s="128">
        <v>16163.099999999991</v>
      </c>
      <c r="N186" s="128">
        <v>12436.199999999983</v>
      </c>
      <c r="O186" s="128">
        <v>31616.100000000013</v>
      </c>
      <c r="P186" s="128">
        <v>32616.000000000022</v>
      </c>
      <c r="Q186" s="128">
        <v>29025.450000000004</v>
      </c>
      <c r="R186" s="128">
        <v>25389.450000000004</v>
      </c>
      <c r="S186" s="128">
        <v>22144.092749999996</v>
      </c>
      <c r="T186" s="128">
        <v>23702.319315000001</v>
      </c>
      <c r="U186" s="128">
        <v>29348.027415000011</v>
      </c>
      <c r="V186" s="128">
        <v>30288.978765</v>
      </c>
      <c r="W186" s="128">
        <v>31229.930114999996</v>
      </c>
      <c r="X186" s="128">
        <v>32170.881464999995</v>
      </c>
      <c r="Y186" s="128">
        <v>28360.02849750001</v>
      </c>
      <c r="Z186" s="128">
        <v>24502.127962499995</v>
      </c>
      <c r="AA186" s="128">
        <v>44356.201447500025</v>
      </c>
      <c r="AB186" s="128">
        <v>45391.247932500017</v>
      </c>
      <c r="AC186" s="128">
        <v>41674.490100000017</v>
      </c>
      <c r="AD186" s="128">
        <v>37910.684700000005</v>
      </c>
      <c r="AE186" s="128">
        <v>34099.83173250001</v>
      </c>
      <c r="AF186" s="128">
        <v>36043.547580449995</v>
      </c>
      <c r="AG186" s="128">
        <v>41858.626923449985</v>
      </c>
      <c r="AH186" s="128">
        <v>42827.806813949974</v>
      </c>
      <c r="AI186" s="128">
        <v>43796.98670444997</v>
      </c>
      <c r="AJ186" s="128">
        <v>44766.166594949966</v>
      </c>
      <c r="AK186" s="128">
        <v>40840.988038424985</v>
      </c>
      <c r="AL186" s="128">
        <v>36867.35048737497</v>
      </c>
      <c r="AM186" s="128">
        <v>57317.046176924996</v>
      </c>
      <c r="AN186" s="128">
        <v>58383.144056474994</v>
      </c>
      <c r="AO186" s="128">
        <v>54554.883488999993</v>
      </c>
      <c r="AP186" s="128">
        <v>50678.16392699998</v>
      </c>
      <c r="AQ186" s="128">
        <v>45823.057265540228</v>
      </c>
      <c r="AR186" s="128">
        <v>48136.608081132152</v>
      </c>
      <c r="AS186" s="128">
        <v>54066.244487189251</v>
      </c>
      <c r="AT186" s="128">
        <v>55054.517221532107</v>
      </c>
      <c r="AU186" s="128">
        <v>56042.789955874963</v>
      </c>
      <c r="AV186" s="128">
        <v>57031.062690217819</v>
      </c>
      <c r="AW186" s="128">
        <v>53028.558116129279</v>
      </c>
      <c r="AX186" s="128">
        <v>48976.639905323602</v>
      </c>
      <c r="AY186" s="128">
        <v>69829.194599957729</v>
      </c>
      <c r="AZ186" s="128">
        <v>70916.294607734875</v>
      </c>
      <c r="BA186" s="128">
        <v>67012.617307080625</v>
      </c>
      <c r="BB186" s="128">
        <v>63059.526369709238</v>
      </c>
      <c r="BC186" s="128">
        <v>57634.650262717747</v>
      </c>
      <c r="BD186" s="128">
        <v>60316.209268095437</v>
      </c>
      <c r="BE186" s="128">
        <v>66332.121883860687</v>
      </c>
      <c r="BF186" s="128">
        <v>67334.773986488202</v>
      </c>
      <c r="BG186" s="128">
        <v>68337.426089115732</v>
      </c>
      <c r="BH186" s="128">
        <v>69340.078191743261</v>
      </c>
      <c r="BI186" s="128">
        <v>65279.337176101741</v>
      </c>
      <c r="BJ186" s="128">
        <v>61168.463555328846</v>
      </c>
      <c r="BK186" s="128">
        <v>82324.422920769925</v>
      </c>
      <c r="BL186" s="128">
        <v>83427.340233660216</v>
      </c>
      <c r="BM186" s="128">
        <v>79466.864428281435</v>
      </c>
      <c r="BN186" s="128">
        <v>75456.256017771273</v>
      </c>
      <c r="BO186" s="128">
        <v>69952.447963423052</v>
      </c>
      <c r="BP186" s="132"/>
    </row>
    <row r="187" spans="2:68" outlineLevel="1">
      <c r="C187" s="101" t="str">
        <v>Joseph Retail Group</v>
      </c>
      <c r="F187" s="109" t="s">
        <v>9</v>
      </c>
      <c r="G187" s="132"/>
      <c r="H187" s="128">
        <v>19963.636363636357</v>
      </c>
      <c r="I187" s="128">
        <v>23727.272727272724</v>
      </c>
      <c r="J187" s="128">
        <v>31254.545454545449</v>
      </c>
      <c r="K187" s="128">
        <v>42545.454545454544</v>
      </c>
      <c r="L187" s="128">
        <v>50072.727272727265</v>
      </c>
      <c r="M187" s="128">
        <v>27490.90909090907</v>
      </c>
      <c r="N187" s="128">
        <v>23727.272727272713</v>
      </c>
      <c r="O187" s="128">
        <v>35018.181818181816</v>
      </c>
      <c r="P187" s="128">
        <v>38781.818181818177</v>
      </c>
      <c r="Q187" s="128">
        <v>50072.727272727265</v>
      </c>
      <c r="R187" s="128">
        <v>61363.636363636353</v>
      </c>
      <c r="S187" s="128">
        <v>13941.818181818184</v>
      </c>
      <c r="T187" s="128">
        <v>18081.556363636362</v>
      </c>
      <c r="U187" s="128">
        <v>21803.040000000012</v>
      </c>
      <c r="V187" s="128">
        <v>29246.007272727282</v>
      </c>
      <c r="W187" s="128">
        <v>40410.458181818198</v>
      </c>
      <c r="X187" s="128">
        <v>47853.425454545453</v>
      </c>
      <c r="Y187" s="128">
        <v>25524.523636363647</v>
      </c>
      <c r="Z187" s="128">
        <v>21803.040000000012</v>
      </c>
      <c r="AA187" s="128">
        <v>32967.490909090913</v>
      </c>
      <c r="AB187" s="128">
        <v>36688.974545454563</v>
      </c>
      <c r="AC187" s="128">
        <v>47853.425454545468</v>
      </c>
      <c r="AD187" s="128">
        <v>59017.876363636373</v>
      </c>
      <c r="AE187" s="128">
        <v>11010.737454545457</v>
      </c>
      <c r="AF187" s="128">
        <v>14944.200034909103</v>
      </c>
      <c r="AG187" s="128">
        <v>18547.340491636362</v>
      </c>
      <c r="AH187" s="128">
        <v>25753.621405090908</v>
      </c>
      <c r="AI187" s="128">
        <v>36563.042775272734</v>
      </c>
      <c r="AJ187" s="128">
        <v>43769.32368872728</v>
      </c>
      <c r="AK187" s="128">
        <v>22150.480948363645</v>
      </c>
      <c r="AL187" s="128">
        <v>18547.340491636362</v>
      </c>
      <c r="AM187" s="128">
        <v>29356.76186181818</v>
      </c>
      <c r="AN187" s="128">
        <v>32959.902318545464</v>
      </c>
      <c r="AO187" s="128">
        <v>43769.323688727287</v>
      </c>
      <c r="AP187" s="128">
        <v>54578.74505890908</v>
      </c>
      <c r="AQ187" s="128">
        <v>7017.2910301090924</v>
      </c>
      <c r="AR187" s="128">
        <v>10642.145657807132</v>
      </c>
      <c r="AS187" s="128">
        <v>14056.481554601898</v>
      </c>
      <c r="AT187" s="128">
        <v>20885.153348191416</v>
      </c>
      <c r="AU187" s="128">
        <v>31128.161038575727</v>
      </c>
      <c r="AV187" s="128">
        <v>37956.832832165259</v>
      </c>
      <c r="AW187" s="128">
        <v>17470.817451396677</v>
      </c>
      <c r="AX187" s="128">
        <v>14056.481554601909</v>
      </c>
      <c r="AY187" s="128">
        <v>24299.489244986195</v>
      </c>
      <c r="AZ187" s="128">
        <v>27713.825141780973</v>
      </c>
      <c r="BA187" s="128">
        <v>37956.832832165259</v>
      </c>
      <c r="BB187" s="128">
        <v>48199.840522549544</v>
      </c>
      <c r="BC187" s="128">
        <v>3642.757069377868</v>
      </c>
      <c r="BD187" s="128">
        <v>7022.6321369989082</v>
      </c>
      <c r="BE187" s="128">
        <v>10293.224492538608</v>
      </c>
      <c r="BF187" s="128">
        <v>16834.409203617997</v>
      </c>
      <c r="BG187" s="128">
        <v>26646.186270237125</v>
      </c>
      <c r="BH187" s="128">
        <v>33187.370981316519</v>
      </c>
      <c r="BI187" s="128">
        <v>13563.816848078306</v>
      </c>
      <c r="BJ187" s="128">
        <v>10293.2244925386</v>
      </c>
      <c r="BK187" s="128">
        <v>20105.001559157714</v>
      </c>
      <c r="BL187" s="128">
        <v>23375.59391469742</v>
      </c>
      <c r="BM187" s="128">
        <v>33187.370981316519</v>
      </c>
      <c r="BN187" s="128">
        <v>42999.148047935647</v>
      </c>
      <c r="BO187" s="128">
        <v>317.91780814249046</v>
      </c>
      <c r="BP187" s="132"/>
    </row>
    <row r="188" spans="2:68" outlineLevel="1">
      <c r="C188" s="101" t="str">
        <v>Dim Collective</v>
      </c>
      <c r="F188" s="109" t="s">
        <v>9</v>
      </c>
      <c r="G188" s="132"/>
      <c r="H188" s="128">
        <v>9846</v>
      </c>
      <c r="I188" s="128">
        <v>14448</v>
      </c>
      <c r="J188" s="128">
        <v>21312</v>
      </c>
      <c r="K188" s="128">
        <v>30594</v>
      </c>
      <c r="L188" s="128">
        <v>38238</v>
      </c>
      <c r="M188" s="128">
        <v>29346</v>
      </c>
      <c r="N188" s="128">
        <v>30048</v>
      </c>
      <c r="O188" s="128">
        <v>39018</v>
      </c>
      <c r="P188" s="128">
        <v>44244</v>
      </c>
      <c r="Q188" s="128">
        <v>53838</v>
      </c>
      <c r="R188" s="128">
        <v>63900</v>
      </c>
      <c r="S188" s="128">
        <v>47578.5</v>
      </c>
      <c r="T188" s="128">
        <v>54272.142000000007</v>
      </c>
      <c r="U188" s="128">
        <v>59723.211000000003</v>
      </c>
      <c r="V188" s="128">
        <v>67853.619000000021</v>
      </c>
      <c r="W188" s="128">
        <v>78848.14800000003</v>
      </c>
      <c r="X188" s="128">
        <v>87902.466000000015</v>
      </c>
      <c r="Y188" s="128">
        <v>77369.892000000007</v>
      </c>
      <c r="Z188" s="128">
        <v>78201.411000000007</v>
      </c>
      <c r="AA188" s="128">
        <v>88826.376000000004</v>
      </c>
      <c r="AB188" s="128">
        <v>95016.573000000004</v>
      </c>
      <c r="AC188" s="128">
        <v>106380.66600000003</v>
      </c>
      <c r="AD188" s="128">
        <v>118299.10500000004</v>
      </c>
      <c r="AE188" s="128">
        <v>97095.370500000048</v>
      </c>
      <c r="AF188" s="128">
        <v>105974.93478600006</v>
      </c>
      <c r="AG188" s="128">
        <v>112150.99596300007</v>
      </c>
      <c r="AH188" s="128">
        <v>121362.74822700006</v>
      </c>
      <c r="AI188" s="128">
        <v>133819.54958400008</v>
      </c>
      <c r="AJ188" s="128">
        <v>144078.09187800006</v>
      </c>
      <c r="AK188" s="128">
        <v>132144.68553600006</v>
      </c>
      <c r="AL188" s="128">
        <v>133086.79656300007</v>
      </c>
      <c r="AM188" s="128">
        <v>145124.88190800007</v>
      </c>
      <c r="AN188" s="128">
        <v>152138.37510900007</v>
      </c>
      <c r="AO188" s="128">
        <v>165013.89247800008</v>
      </c>
      <c r="AP188" s="128">
        <v>178517.4838650001</v>
      </c>
      <c r="AQ188" s="128">
        <v>152797.85282790009</v>
      </c>
      <c r="AR188" s="128">
        <v>163896.23493483494</v>
      </c>
      <c r="AS188" s="128">
        <v>170639.25852788356</v>
      </c>
      <c r="AT188" s="128">
        <v>180696.64964971875</v>
      </c>
      <c r="AU188" s="128">
        <v>194296.98537129135</v>
      </c>
      <c r="AV188" s="128">
        <v>205497.26184788052</v>
      </c>
      <c r="AW188" s="128">
        <v>192468.36880368495</v>
      </c>
      <c r="AX188" s="128">
        <v>193496.96562296359</v>
      </c>
      <c r="AY188" s="128">
        <v>206640.1472026346</v>
      </c>
      <c r="AZ188" s="128">
        <v>214297.47907948645</v>
      </c>
      <c r="BA188" s="128">
        <v>228354.96894296064</v>
      </c>
      <c r="BB188" s="128">
        <v>243098.19001928729</v>
      </c>
      <c r="BC188" s="128">
        <v>214091.75971563076</v>
      </c>
      <c r="BD188" s="128">
        <v>227492.78762157087</v>
      </c>
      <c r="BE188" s="128">
        <v>234715.91449444453</v>
      </c>
      <c r="BF188" s="128">
        <v>245489.39186415443</v>
      </c>
      <c r="BG188" s="128">
        <v>260058.07148910299</v>
      </c>
      <c r="BH188" s="128">
        <v>272055.80765082536</v>
      </c>
      <c r="BI188" s="128">
        <v>258099.25742188309</v>
      </c>
      <c r="BJ188" s="128">
        <v>259201.09033469428</v>
      </c>
      <c r="BK188" s="128">
        <v>273280.06644283788</v>
      </c>
      <c r="BL188" s="128">
        <v>281482.60034932155</v>
      </c>
      <c r="BM188" s="128">
        <v>296540.98349107511</v>
      </c>
      <c r="BN188" s="128">
        <v>312333.92190803622</v>
      </c>
      <c r="BO188" s="128">
        <v>281262.23376675928</v>
      </c>
      <c r="BP188" s="132"/>
    </row>
    <row r="189" spans="2:68" outlineLevel="1">
      <c r="C189" s="101" t="str">
        <v>Tim Forward Brands</v>
      </c>
      <c r="F189" s="190" t="s">
        <v>9</v>
      </c>
      <c r="G189" s="132"/>
      <c r="H189" s="128">
        <v>0</v>
      </c>
      <c r="I189" s="128">
        <v>0</v>
      </c>
      <c r="J189" s="128">
        <v>0</v>
      </c>
      <c r="K189" s="128">
        <v>0</v>
      </c>
      <c r="L189" s="128">
        <v>0</v>
      </c>
      <c r="M189" s="128">
        <v>0</v>
      </c>
      <c r="N189" s="128">
        <v>0</v>
      </c>
      <c r="O189" s="128">
        <v>0</v>
      </c>
      <c r="P189" s="128">
        <v>0</v>
      </c>
      <c r="Q189" s="128">
        <v>0</v>
      </c>
      <c r="R189" s="128">
        <v>0</v>
      </c>
      <c r="S189" s="128">
        <v>0</v>
      </c>
      <c r="T189" s="128">
        <v>0</v>
      </c>
      <c r="U189" s="128">
        <v>0</v>
      </c>
      <c r="V189" s="128">
        <v>0</v>
      </c>
      <c r="W189" s="128">
        <v>0</v>
      </c>
      <c r="X189" s="128">
        <v>0</v>
      </c>
      <c r="Y189" s="128">
        <v>0</v>
      </c>
      <c r="Z189" s="128">
        <v>0</v>
      </c>
      <c r="AA189" s="128">
        <v>0</v>
      </c>
      <c r="AB189" s="128">
        <v>0</v>
      </c>
      <c r="AC189" s="128">
        <v>0</v>
      </c>
      <c r="AD189" s="128">
        <v>0</v>
      </c>
      <c r="AE189" s="128">
        <v>0</v>
      </c>
      <c r="AF189" s="128">
        <v>0</v>
      </c>
      <c r="AG189" s="128">
        <v>0</v>
      </c>
      <c r="AH189" s="128">
        <v>0</v>
      </c>
      <c r="AI189" s="128">
        <v>0</v>
      </c>
      <c r="AJ189" s="128">
        <v>0</v>
      </c>
      <c r="AK189" s="128">
        <v>0</v>
      </c>
      <c r="AL189" s="128">
        <v>0</v>
      </c>
      <c r="AM189" s="128">
        <v>0</v>
      </c>
      <c r="AN189" s="128">
        <v>0</v>
      </c>
      <c r="AO189" s="128">
        <v>0</v>
      </c>
      <c r="AP189" s="128">
        <v>0</v>
      </c>
      <c r="AQ189" s="128">
        <v>0</v>
      </c>
      <c r="AR189" s="128">
        <v>0</v>
      </c>
      <c r="AS189" s="128">
        <v>0</v>
      </c>
      <c r="AT189" s="128">
        <v>0</v>
      </c>
      <c r="AU189" s="128">
        <v>0</v>
      </c>
      <c r="AV189" s="128">
        <v>0</v>
      </c>
      <c r="AW189" s="128">
        <v>0</v>
      </c>
      <c r="AX189" s="128">
        <v>0</v>
      </c>
      <c r="AY189" s="128">
        <v>0</v>
      </c>
      <c r="AZ189" s="128">
        <v>0</v>
      </c>
      <c r="BA189" s="128">
        <v>0</v>
      </c>
      <c r="BB189" s="128">
        <v>0</v>
      </c>
      <c r="BC189" s="128">
        <v>0</v>
      </c>
      <c r="BD189" s="128">
        <v>0</v>
      </c>
      <c r="BE189" s="128">
        <v>0</v>
      </c>
      <c r="BF189" s="128">
        <v>0</v>
      </c>
      <c r="BG189" s="128">
        <v>0</v>
      </c>
      <c r="BH189" s="128">
        <v>0</v>
      </c>
      <c r="BI189" s="128">
        <v>0</v>
      </c>
      <c r="BJ189" s="128">
        <v>0</v>
      </c>
      <c r="BK189" s="128">
        <v>0</v>
      </c>
      <c r="BL189" s="128">
        <v>0</v>
      </c>
      <c r="BM189" s="128">
        <v>0</v>
      </c>
      <c r="BN189" s="128">
        <v>0</v>
      </c>
      <c r="BO189" s="128">
        <v>0</v>
      </c>
      <c r="BP189" s="132"/>
    </row>
    <row r="190" spans="2:68" ht="12" customHeight="1" outlineLevel="1">
      <c r="C190" s="165" t="s">
        <v>59</v>
      </c>
      <c r="D190" s="165"/>
      <c r="E190" s="166"/>
      <c r="F190" s="109" t="s">
        <v>9</v>
      </c>
      <c r="G190" s="191"/>
      <c r="H190" s="192">
        <f t="shared" ref="H190:AM190" si="28">SUM(H184:H189)</f>
        <v>72221.886363636353</v>
      </c>
      <c r="I190" s="192">
        <f t="shared" si="28"/>
        <v>105413.24772727273</v>
      </c>
      <c r="J190" s="192">
        <f t="shared" si="28"/>
        <v>147476.39545454545</v>
      </c>
      <c r="K190" s="192">
        <f t="shared" si="28"/>
        <v>192628.15454545454</v>
      </c>
      <c r="L190" s="192">
        <f t="shared" si="28"/>
        <v>236474.42727272731</v>
      </c>
      <c r="M190" s="192">
        <f t="shared" si="28"/>
        <v>163999.00909090909</v>
      </c>
      <c r="N190" s="192">
        <f t="shared" si="28"/>
        <v>179536.79772727273</v>
      </c>
      <c r="O190" s="192">
        <f t="shared" si="28"/>
        <v>264523.00681818195</v>
      </c>
      <c r="P190" s="192">
        <f t="shared" si="28"/>
        <v>297105.96818181826</v>
      </c>
      <c r="Q190" s="192">
        <f t="shared" si="28"/>
        <v>415381.82727272727</v>
      </c>
      <c r="R190" s="192">
        <f t="shared" si="28"/>
        <v>517243.71136363648</v>
      </c>
      <c r="S190" s="192">
        <f t="shared" si="28"/>
        <v>241364.66468181822</v>
      </c>
      <c r="T190" s="192">
        <f t="shared" si="28"/>
        <v>262478.16545113642</v>
      </c>
      <c r="U190" s="192">
        <f t="shared" si="28"/>
        <v>298342.46485500009</v>
      </c>
      <c r="V190" s="192">
        <f t="shared" si="28"/>
        <v>343899.47359022737</v>
      </c>
      <c r="W190" s="192">
        <f t="shared" si="28"/>
        <v>392590.04170431831</v>
      </c>
      <c r="X190" s="192">
        <f t="shared" si="28"/>
        <v>440155.84012704552</v>
      </c>
      <c r="Y190" s="192">
        <f t="shared" si="28"/>
        <v>363113.46319636371</v>
      </c>
      <c r="Z190" s="192">
        <f t="shared" si="28"/>
        <v>380775.23147250013</v>
      </c>
      <c r="AA190" s="192">
        <f t="shared" si="28"/>
        <v>471897.21608659101</v>
      </c>
      <c r="AB190" s="192">
        <f t="shared" si="28"/>
        <v>507399.16818545468</v>
      </c>
      <c r="AC190" s="192">
        <f t="shared" si="28"/>
        <v>636206.31771204551</v>
      </c>
      <c r="AD190" s="192">
        <f t="shared" si="28"/>
        <v>747132.44836363662</v>
      </c>
      <c r="AE190" s="192">
        <f t="shared" si="28"/>
        <v>443286.88293617067</v>
      </c>
      <c r="AF190" s="192">
        <f t="shared" si="28"/>
        <v>471599.63732942904</v>
      </c>
      <c r="AG190" s="192">
        <f t="shared" si="28"/>
        <v>509642.34920582542</v>
      </c>
      <c r="AH190" s="192">
        <f t="shared" si="28"/>
        <v>558116.16110532871</v>
      </c>
      <c r="AI190" s="192">
        <f t="shared" si="28"/>
        <v>610055.04269206116</v>
      </c>
      <c r="AJ190" s="192">
        <f t="shared" si="28"/>
        <v>660748.94200359576</v>
      </c>
      <c r="AK190" s="192">
        <f t="shared" si="28"/>
        <v>579638.51250625763</v>
      </c>
      <c r="AL190" s="192">
        <f t="shared" si="28"/>
        <v>598539.09866976761</v>
      </c>
      <c r="AM190" s="192">
        <f t="shared" si="28"/>
        <v>694622.95492888149</v>
      </c>
      <c r="AN190" s="192">
        <f t="shared" ref="AN190:BS190" si="29">SUM(AN184:AN189)</f>
        <v>732467.68672898901</v>
      </c>
      <c r="AO190" s="192">
        <f t="shared" si="29"/>
        <v>868716.858743391</v>
      </c>
      <c r="AP190" s="192">
        <f t="shared" si="29"/>
        <v>986246.99328741443</v>
      </c>
      <c r="AQ190" s="192">
        <f t="shared" si="29"/>
        <v>658943.279644205</v>
      </c>
      <c r="AR190" s="192">
        <f t="shared" si="29"/>
        <v>694596.22533879848</v>
      </c>
      <c r="AS190" s="192">
        <f t="shared" si="29"/>
        <v>734170.07094501285</v>
      </c>
      <c r="AT190" s="192">
        <f t="shared" si="29"/>
        <v>784684.77049127058</v>
      </c>
      <c r="AU190" s="192">
        <f t="shared" si="29"/>
        <v>838935.58926984877</v>
      </c>
      <c r="AV190" s="192">
        <f t="shared" si="29"/>
        <v>891837.92536345753</v>
      </c>
      <c r="AW190" s="192">
        <f t="shared" si="29"/>
        <v>808058.8424867884</v>
      </c>
      <c r="AX190" s="192">
        <f t="shared" si="29"/>
        <v>827804.06329934031</v>
      </c>
      <c r="AY190" s="192">
        <f t="shared" si="29"/>
        <v>927283.17807255755</v>
      </c>
      <c r="AZ190" s="192">
        <f t="shared" si="29"/>
        <v>966782.77591963508</v>
      </c>
      <c r="BA190" s="192">
        <f t="shared" si="29"/>
        <v>1107962.9860806135</v>
      </c>
      <c r="BB190" s="192">
        <f t="shared" si="29"/>
        <v>1229923.654682521</v>
      </c>
      <c r="BC190" s="192">
        <f t="shared" si="29"/>
        <v>890331.02466326777</v>
      </c>
      <c r="BD190" s="192">
        <f t="shared" si="29"/>
        <v>933662.85816215014</v>
      </c>
      <c r="BE190" s="192">
        <f t="shared" si="29"/>
        <v>974622.07341193152</v>
      </c>
      <c r="BF190" s="192">
        <f t="shared" si="29"/>
        <v>1026998.2931929897</v>
      </c>
      <c r="BG190" s="192">
        <f t="shared" si="29"/>
        <v>1083308.8424378785</v>
      </c>
      <c r="BH190" s="192">
        <f t="shared" si="29"/>
        <v>1138217.0566138914</v>
      </c>
      <c r="BI190" s="192">
        <f t="shared" si="29"/>
        <v>1051993.3270278675</v>
      </c>
      <c r="BJ190" s="192">
        <f t="shared" si="29"/>
        <v>1072598.2949513455</v>
      </c>
      <c r="BK190" s="192">
        <f t="shared" si="29"/>
        <v>1175157.994413953</v>
      </c>
      <c r="BL190" s="192">
        <f t="shared" si="29"/>
        <v>1216173.7346601235</v>
      </c>
      <c r="BM190" s="192">
        <f t="shared" si="29"/>
        <v>1362126.2291573985</v>
      </c>
      <c r="BN190" s="192">
        <f t="shared" si="29"/>
        <v>1488326.9965402284</v>
      </c>
      <c r="BO190" s="192">
        <f t="shared" si="29"/>
        <v>1138726.3006646254</v>
      </c>
      <c r="BP190" s="191">
        <f t="shared" si="29"/>
        <v>0</v>
      </c>
    </row>
    <row r="191" spans="2:68" ht="7.5" customHeight="1" outlineLevel="1">
      <c r="C191" s="111"/>
      <c r="D191" s="111"/>
      <c r="E191" s="112"/>
      <c r="F191" s="113"/>
      <c r="G191" s="194"/>
      <c r="H191" s="193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  <c r="AA191" s="193"/>
      <c r="AB191" s="193"/>
      <c r="AC191" s="193"/>
      <c r="AD191" s="193"/>
      <c r="AE191" s="193"/>
      <c r="AF191" s="193"/>
      <c r="AG191" s="193"/>
      <c r="AH191" s="193"/>
      <c r="AI191" s="193"/>
      <c r="AJ191" s="193"/>
      <c r="AK191" s="193"/>
      <c r="AL191" s="193"/>
      <c r="AM191" s="193"/>
      <c r="AN191" s="193"/>
      <c r="AO191" s="193"/>
      <c r="AP191" s="193"/>
      <c r="AQ191" s="193"/>
      <c r="AR191" s="193"/>
      <c r="AS191" s="193"/>
      <c r="AT191" s="193"/>
      <c r="AU191" s="193"/>
      <c r="AV191" s="193"/>
      <c r="AW191" s="193"/>
      <c r="AX191" s="193"/>
      <c r="AY191" s="193"/>
      <c r="AZ191" s="193"/>
      <c r="BA191" s="193"/>
      <c r="BB191" s="193"/>
      <c r="BC191" s="193"/>
      <c r="BD191" s="193"/>
      <c r="BE191" s="193"/>
      <c r="BF191" s="193"/>
      <c r="BG191" s="193"/>
      <c r="BH191" s="193"/>
      <c r="BI191" s="193"/>
      <c r="BJ191" s="193"/>
      <c r="BK191" s="193"/>
      <c r="BL191" s="193"/>
      <c r="BM191" s="193"/>
      <c r="BN191" s="193"/>
      <c r="BO191" s="193"/>
      <c r="BP191" s="194"/>
    </row>
    <row r="192" spans="2:68" ht="12" customHeight="1" outlineLevel="1">
      <c r="B192" s="160" t="s">
        <v>60</v>
      </c>
      <c r="E192" s="170"/>
    </row>
    <row r="193" spans="2:69" outlineLevel="1">
      <c r="C193" s="198" t="s">
        <v>61</v>
      </c>
      <c r="D193" s="198"/>
      <c r="E193" s="199"/>
      <c r="F193" s="200" t="str">
        <f t="array" ref="F193:BP193">F127:BP127</f>
        <v>[$]</v>
      </c>
      <c r="G193" s="201">
        <v>0</v>
      </c>
      <c r="H193" s="202">
        <v>270595.44886363635</v>
      </c>
      <c r="I193" s="202">
        <v>287613.40738636366</v>
      </c>
      <c r="J193" s="202">
        <v>310756.84943181818</v>
      </c>
      <c r="K193" s="202">
        <v>335455.01250000001</v>
      </c>
      <c r="L193" s="202">
        <v>358598.45454545453</v>
      </c>
      <c r="M193" s="202">
        <v>293738.89090909093</v>
      </c>
      <c r="N193" s="202">
        <v>296754.93238636368</v>
      </c>
      <c r="O193" s="202">
        <v>351251.64545454551</v>
      </c>
      <c r="P193" s="202">
        <v>364826.76647727273</v>
      </c>
      <c r="Q193" s="202">
        <v>442177.29204545455</v>
      </c>
      <c r="R193" s="202">
        <v>503500.61761363642</v>
      </c>
      <c r="S193" s="202">
        <v>278708.72635227273</v>
      </c>
      <c r="T193" s="202">
        <v>288569.90053073864</v>
      </c>
      <c r="U193" s="202">
        <v>306757.53887676133</v>
      </c>
      <c r="V193" s="202">
        <v>331630.48485255678</v>
      </c>
      <c r="W193" s="202">
        <v>358003.34321625001</v>
      </c>
      <c r="X193" s="202">
        <v>382876.28919204546</v>
      </c>
      <c r="Y193" s="202">
        <v>313442.84650653409</v>
      </c>
      <c r="Z193" s="202">
        <v>317128.32936051133</v>
      </c>
      <c r="AA193" s="202">
        <v>375255.09763670457</v>
      </c>
      <c r="AB193" s="202">
        <v>389878.88274460228</v>
      </c>
      <c r="AC193" s="202">
        <v>473932.62723017047</v>
      </c>
      <c r="AD193" s="202">
        <v>540487.87475573865</v>
      </c>
      <c r="AE193" s="202">
        <v>292867.09837826417</v>
      </c>
      <c r="AF193" s="202">
        <v>303325.73754728056</v>
      </c>
      <c r="AG193" s="202">
        <v>322457.07327984966</v>
      </c>
      <c r="AH193" s="202">
        <v>348782.22684790648</v>
      </c>
      <c r="AI193" s="202">
        <v>376780.00663363165</v>
      </c>
      <c r="AJ193" s="202">
        <v>403105.16020168841</v>
      </c>
      <c r="AK193" s="202">
        <v>329650.89111533738</v>
      </c>
      <c r="AL193" s="202">
        <v>333499.45651548816</v>
      </c>
      <c r="AM193" s="202">
        <v>394564.23254846438</v>
      </c>
      <c r="AN193" s="202">
        <v>410024.79944576486</v>
      </c>
      <c r="AO193" s="202">
        <v>498695.53356783721</v>
      </c>
      <c r="AP193" s="202">
        <v>568982.34678373369</v>
      </c>
      <c r="AQ193" s="202">
        <v>302339.73035238899</v>
      </c>
      <c r="AR193" s="202">
        <v>313227.76640412724</v>
      </c>
      <c r="AS193" s="202">
        <v>332990.27242663829</v>
      </c>
      <c r="AT193" s="202">
        <v>360295.25887567305</v>
      </c>
      <c r="AU193" s="202">
        <v>389418.08946587454</v>
      </c>
      <c r="AV193" s="202">
        <v>416723.07591490925</v>
      </c>
      <c r="AW193" s="202">
        <v>340532.752853162</v>
      </c>
      <c r="AX193" s="202">
        <v>344439.54499735252</v>
      </c>
      <c r="AY193" s="202">
        <v>407470.14604620938</v>
      </c>
      <c r="AZ193" s="202">
        <v>423489.56908739702</v>
      </c>
      <c r="BA193" s="202">
        <v>515143.35156303924</v>
      </c>
      <c r="BB193" s="202">
        <v>587861.69550532033</v>
      </c>
      <c r="BC193" s="202">
        <v>310966.10039314593</v>
      </c>
      <c r="BD193" s="202">
        <v>322210.23923589243</v>
      </c>
      <c r="BE193" s="202">
        <v>342550.56617256801</v>
      </c>
      <c r="BF193" s="202">
        <v>370760.25494617491</v>
      </c>
      <c r="BG193" s="202">
        <v>400885.0995507341</v>
      </c>
      <c r="BH193" s="202">
        <v>429094.78832434095</v>
      </c>
      <c r="BI193" s="202">
        <v>350419.92800949939</v>
      </c>
      <c r="BJ193" s="202">
        <v>354458.9781845265</v>
      </c>
      <c r="BK193" s="202">
        <v>419277.50383325492</v>
      </c>
      <c r="BL193" s="202">
        <v>435820.28593122866</v>
      </c>
      <c r="BM193" s="202">
        <v>530409.84160985332</v>
      </c>
      <c r="BN193" s="202">
        <v>605495.89559911611</v>
      </c>
      <c r="BO193" s="202">
        <v>320145.11758476391</v>
      </c>
      <c r="BP193" s="201">
        <v>0</v>
      </c>
    </row>
    <row r="194" spans="2:69" outlineLevel="1">
      <c r="C194" s="101" t="s">
        <v>44</v>
      </c>
      <c r="E194" s="199"/>
      <c r="F194" s="109" t="str">
        <f t="array" ref="F194:BP194">F148:BP148</f>
        <v>[$]</v>
      </c>
      <c r="G194" s="197">
        <v>0</v>
      </c>
      <c r="H194" s="185">
        <v>428295</v>
      </c>
      <c r="I194" s="185">
        <v>425350.625</v>
      </c>
      <c r="J194" s="185">
        <v>452843.125</v>
      </c>
      <c r="K194" s="185">
        <v>491054.375</v>
      </c>
      <c r="L194" s="185">
        <v>526321.25</v>
      </c>
      <c r="M194" s="185">
        <v>564532.5</v>
      </c>
      <c r="N194" s="185">
        <v>463561.875</v>
      </c>
      <c r="O194" s="185">
        <v>480169.375</v>
      </c>
      <c r="P194" s="185">
        <v>566623.75</v>
      </c>
      <c r="Q194" s="185">
        <v>590139.375</v>
      </c>
      <c r="R194" s="185">
        <v>744909.375</v>
      </c>
      <c r="S194" s="185">
        <v>864399.375</v>
      </c>
      <c r="T194" s="185">
        <v>458738.97628125001</v>
      </c>
      <c r="U194" s="185">
        <v>455218.10796875</v>
      </c>
      <c r="V194" s="185">
        <v>484702.92981249996</v>
      </c>
      <c r="W194" s="185">
        <v>525809.57318750001</v>
      </c>
      <c r="X194" s="185">
        <v>563395.34825000004</v>
      </c>
      <c r="Y194" s="185">
        <v>604501.99162500002</v>
      </c>
      <c r="Z194" s="185">
        <v>496324.75134374999</v>
      </c>
      <c r="AA194" s="185">
        <v>514988.30949999997</v>
      </c>
      <c r="AB194" s="185">
        <v>607559.43718749995</v>
      </c>
      <c r="AC194" s="185">
        <v>632927.59687500005</v>
      </c>
      <c r="AD194" s="185">
        <v>801212.17378125014</v>
      </c>
      <c r="AE194" s="185">
        <v>930978.04668750032</v>
      </c>
      <c r="AF194" s="185">
        <v>482120.15115271875</v>
      </c>
      <c r="AG194" s="185">
        <v>478539.8098529125</v>
      </c>
      <c r="AH194" s="185">
        <v>509550.44339084369</v>
      </c>
      <c r="AI194" s="185">
        <v>552974.44881923124</v>
      </c>
      <c r="AJ194" s="185">
        <v>592818.11294781254</v>
      </c>
      <c r="AK194" s="185">
        <v>636242.11837619985</v>
      </c>
      <c r="AL194" s="185">
        <v>521963.81528129999</v>
      </c>
      <c r="AM194" s="185">
        <v>541537.86977136869</v>
      </c>
      <c r="AN194" s="185">
        <v>638809.93240609998</v>
      </c>
      <c r="AO194" s="185">
        <v>665580.40392309381</v>
      </c>
      <c r="AP194" s="185">
        <v>842821.03250913741</v>
      </c>
      <c r="AQ194" s="185">
        <v>979593.91067278141</v>
      </c>
      <c r="AR194" s="185">
        <v>497383.24112285807</v>
      </c>
      <c r="AS194" s="185">
        <v>493804.10859359475</v>
      </c>
      <c r="AT194" s="185">
        <v>525810.00647838518</v>
      </c>
      <c r="AU194" s="185">
        <v>570753.97008869832</v>
      </c>
      <c r="AV194" s="185">
        <v>612118.80116974819</v>
      </c>
      <c r="AW194" s="185">
        <v>657062.7647800612</v>
      </c>
      <c r="AX194" s="185">
        <v>538748.07220390788</v>
      </c>
      <c r="AY194" s="185">
        <v>558844.40298795735</v>
      </c>
      <c r="AZ194" s="185">
        <v>659185.78985507891</v>
      </c>
      <c r="BA194" s="185">
        <v>686867.99452711956</v>
      </c>
      <c r="BB194" s="185">
        <v>869795.37266817119</v>
      </c>
      <c r="BC194" s="185">
        <v>1011040.9678741511</v>
      </c>
      <c r="BD194" s="185">
        <v>511564.13645889953</v>
      </c>
      <c r="BE194" s="185">
        <v>507912.87117008877</v>
      </c>
      <c r="BF194" s="185">
        <v>540847.38614761655</v>
      </c>
      <c r="BG194" s="185">
        <v>587210.15109890024</v>
      </c>
      <c r="BH194" s="185">
        <v>629921.65076137322</v>
      </c>
      <c r="BI194" s="185">
        <v>676284.4157126568</v>
      </c>
      <c r="BJ194" s="185">
        <v>554275.63612137234</v>
      </c>
      <c r="BK194" s="185">
        <v>575006.41667274979</v>
      </c>
      <c r="BL194" s="185">
        <v>678196.5645543288</v>
      </c>
      <c r="BM194" s="185">
        <v>706744.47658286116</v>
      </c>
      <c r="BN194" s="185">
        <v>895332.20077727304</v>
      </c>
      <c r="BO194" s="185">
        <v>1040987.6885485612</v>
      </c>
      <c r="BP194" s="197">
        <v>0</v>
      </c>
    </row>
    <row r="195" spans="2:69" outlineLevel="1">
      <c r="C195" s="101" t="s">
        <v>49</v>
      </c>
      <c r="E195" s="199"/>
      <c r="F195" s="109" t="str">
        <f t="array" ref="F195:BP195">F169:BP169</f>
        <v>[$]</v>
      </c>
      <c r="G195" s="197">
        <v>0</v>
      </c>
      <c r="H195" s="185">
        <v>289976.70454545453</v>
      </c>
      <c r="I195" s="185">
        <v>291910.98484848486</v>
      </c>
      <c r="J195" s="185">
        <v>310232.76515151514</v>
      </c>
      <c r="K195" s="185">
        <v>335101.32575757575</v>
      </c>
      <c r="L195" s="185">
        <v>361904.16666666669</v>
      </c>
      <c r="M195" s="185">
        <v>386772.72727272729</v>
      </c>
      <c r="N195" s="185">
        <v>316779.54545454547</v>
      </c>
      <c r="O195" s="185">
        <v>319457.7651515152</v>
      </c>
      <c r="P195" s="185">
        <v>378210.60606060608</v>
      </c>
      <c r="Q195" s="185">
        <v>392744.88636363635</v>
      </c>
      <c r="R195" s="185">
        <v>474560.22727272729</v>
      </c>
      <c r="S195" s="185">
        <v>539575.56818181812</v>
      </c>
      <c r="T195" s="185">
        <v>309072.75545454549</v>
      </c>
      <c r="U195" s="185">
        <v>310954.79369318183</v>
      </c>
      <c r="V195" s="185">
        <v>330514.1425568182</v>
      </c>
      <c r="W195" s="185">
        <v>357206.01903409092</v>
      </c>
      <c r="X195" s="185">
        <v>385779.93375000008</v>
      </c>
      <c r="Y195" s="185">
        <v>412471.81022727274</v>
      </c>
      <c r="Z195" s="185">
        <v>337646.6701704546</v>
      </c>
      <c r="AA195" s="185">
        <v>341015.12130681821</v>
      </c>
      <c r="AB195" s="185">
        <v>403613.79852272739</v>
      </c>
      <c r="AC195" s="185">
        <v>419252.51676136372</v>
      </c>
      <c r="AD195" s="185">
        <v>508103.64085227274</v>
      </c>
      <c r="AE195" s="185">
        <v>578612.5249431819</v>
      </c>
      <c r="AF195" s="185">
        <v>324516.80735377839</v>
      </c>
      <c r="AG195" s="185">
        <v>326583.37708061363</v>
      </c>
      <c r="AH195" s="185">
        <v>347140.96435919887</v>
      </c>
      <c r="AI195" s="185">
        <v>375362.05049286928</v>
      </c>
      <c r="AJ195" s="185">
        <v>405649.70635337505</v>
      </c>
      <c r="AK195" s="185">
        <v>433870.79248704546</v>
      </c>
      <c r="AL195" s="185">
        <v>354804.4632142841</v>
      </c>
      <c r="AM195" s="185">
        <v>358334.82261569885</v>
      </c>
      <c r="AN195" s="185">
        <v>424045.83399520459</v>
      </c>
      <c r="AO195" s="185">
        <v>440565.17173003987</v>
      </c>
      <c r="AP195" s="185">
        <v>534260.82875079545</v>
      </c>
      <c r="AQ195" s="185">
        <v>608686.12842755124</v>
      </c>
      <c r="AR195" s="185">
        <v>334793.64547241881</v>
      </c>
      <c r="AS195" s="185">
        <v>337010.98691330838</v>
      </c>
      <c r="AT195" s="185">
        <v>358232.48246219975</v>
      </c>
      <c r="AU195" s="185">
        <v>387477.75042437878</v>
      </c>
      <c r="AV195" s="185">
        <v>418940.35982744751</v>
      </c>
      <c r="AW195" s="185">
        <v>448185.62778962648</v>
      </c>
      <c r="AX195" s="185">
        <v>366256.25487548742</v>
      </c>
      <c r="AY195" s="185">
        <v>369845.34440699604</v>
      </c>
      <c r="AZ195" s="185">
        <v>437627.63411343214</v>
      </c>
      <c r="BA195" s="185">
        <v>454731.32660256169</v>
      </c>
      <c r="BB195" s="185">
        <v>551545.77117098845</v>
      </c>
      <c r="BC195" s="185">
        <v>628511.74767509522</v>
      </c>
      <c r="BD195" s="185">
        <v>344159.79129628249</v>
      </c>
      <c r="BE195" s="185">
        <v>346479.06081692432</v>
      </c>
      <c r="BF195" s="185">
        <v>368308.98901153472</v>
      </c>
      <c r="BG195" s="185">
        <v>398502.43068563048</v>
      </c>
      <c r="BH195" s="185">
        <v>431015.14188036806</v>
      </c>
      <c r="BI195" s="185">
        <v>461208.58355446369</v>
      </c>
      <c r="BJ195" s="185">
        <v>376672.50249102002</v>
      </c>
      <c r="BK195" s="185">
        <v>380397.47692922154</v>
      </c>
      <c r="BL195" s="185">
        <v>450064.97860733437</v>
      </c>
      <c r="BM195" s="185">
        <v>467717.18970766338</v>
      </c>
      <c r="BN195" s="185">
        <v>567605.91117999319</v>
      </c>
      <c r="BO195" s="185">
        <v>647050.71054607339</v>
      </c>
      <c r="BP195" s="197">
        <v>0</v>
      </c>
    </row>
    <row r="196" spans="2:69" outlineLevel="1">
      <c r="C196" s="170" t="s">
        <v>55</v>
      </c>
      <c r="D196" s="170"/>
      <c r="E196" s="203"/>
      <c r="F196" s="190" t="str">
        <f t="array" ref="F196:BP196">F190:BP190</f>
        <v>[$]</v>
      </c>
      <c r="G196" s="204">
        <v>0</v>
      </c>
      <c r="H196" s="205">
        <v>72221.886363636353</v>
      </c>
      <c r="I196" s="205">
        <v>105413.24772727273</v>
      </c>
      <c r="J196" s="205">
        <v>147476.39545454545</v>
      </c>
      <c r="K196" s="205">
        <v>192628.15454545454</v>
      </c>
      <c r="L196" s="205">
        <v>236474.42727272731</v>
      </c>
      <c r="M196" s="205">
        <v>163999.00909090909</v>
      </c>
      <c r="N196" s="205">
        <v>179536.79772727273</v>
      </c>
      <c r="O196" s="205">
        <v>264523.00681818195</v>
      </c>
      <c r="P196" s="205">
        <v>297105.96818181826</v>
      </c>
      <c r="Q196" s="205">
        <v>415381.82727272727</v>
      </c>
      <c r="R196" s="205">
        <v>517243.71136363648</v>
      </c>
      <c r="S196" s="205">
        <v>241364.66468181822</v>
      </c>
      <c r="T196" s="205">
        <v>262478.16545113642</v>
      </c>
      <c r="U196" s="205">
        <v>298342.46485500009</v>
      </c>
      <c r="V196" s="205">
        <v>343899.47359022737</v>
      </c>
      <c r="W196" s="205">
        <v>392590.04170431831</v>
      </c>
      <c r="X196" s="205">
        <v>440155.84012704552</v>
      </c>
      <c r="Y196" s="205">
        <v>363113.46319636371</v>
      </c>
      <c r="Z196" s="205">
        <v>380775.23147250013</v>
      </c>
      <c r="AA196" s="205">
        <v>471897.21608659101</v>
      </c>
      <c r="AB196" s="205">
        <v>507399.16818545468</v>
      </c>
      <c r="AC196" s="205">
        <v>636206.31771204551</v>
      </c>
      <c r="AD196" s="205">
        <v>747132.44836363662</v>
      </c>
      <c r="AE196" s="205">
        <v>443286.88293617067</v>
      </c>
      <c r="AF196" s="205">
        <v>471599.63732942904</v>
      </c>
      <c r="AG196" s="205">
        <v>509642.34920582542</v>
      </c>
      <c r="AH196" s="205">
        <v>558116.16110532871</v>
      </c>
      <c r="AI196" s="205">
        <v>610055.04269206116</v>
      </c>
      <c r="AJ196" s="205">
        <v>660748.94200359576</v>
      </c>
      <c r="AK196" s="205">
        <v>579638.51250625763</v>
      </c>
      <c r="AL196" s="205">
        <v>598539.09866976761</v>
      </c>
      <c r="AM196" s="205">
        <v>694622.95492888149</v>
      </c>
      <c r="AN196" s="205">
        <v>732467.68672898901</v>
      </c>
      <c r="AO196" s="205">
        <v>868716.858743391</v>
      </c>
      <c r="AP196" s="205">
        <v>986246.99328741443</v>
      </c>
      <c r="AQ196" s="205">
        <v>658943.279644205</v>
      </c>
      <c r="AR196" s="205">
        <v>694596.22533879848</v>
      </c>
      <c r="AS196" s="205">
        <v>734170.07094501285</v>
      </c>
      <c r="AT196" s="205">
        <v>784684.77049127058</v>
      </c>
      <c r="AU196" s="205">
        <v>838935.58926984877</v>
      </c>
      <c r="AV196" s="205">
        <v>891837.92536345753</v>
      </c>
      <c r="AW196" s="205">
        <v>808058.8424867884</v>
      </c>
      <c r="AX196" s="205">
        <v>827804.06329934031</v>
      </c>
      <c r="AY196" s="205">
        <v>927283.17807255755</v>
      </c>
      <c r="AZ196" s="205">
        <v>966782.77591963508</v>
      </c>
      <c r="BA196" s="205">
        <v>1107962.9860806135</v>
      </c>
      <c r="BB196" s="205">
        <v>1229923.654682521</v>
      </c>
      <c r="BC196" s="205">
        <v>890331.02466326777</v>
      </c>
      <c r="BD196" s="205">
        <v>933662.85816215014</v>
      </c>
      <c r="BE196" s="205">
        <v>974622.07341193152</v>
      </c>
      <c r="BF196" s="205">
        <v>1026998.2931929897</v>
      </c>
      <c r="BG196" s="205">
        <v>1083308.8424378785</v>
      </c>
      <c r="BH196" s="205">
        <v>1138217.0566138914</v>
      </c>
      <c r="BI196" s="205">
        <v>1051993.3270278675</v>
      </c>
      <c r="BJ196" s="205">
        <v>1072598.2949513455</v>
      </c>
      <c r="BK196" s="205">
        <v>1175157.994413953</v>
      </c>
      <c r="BL196" s="205">
        <v>1216173.7346601235</v>
      </c>
      <c r="BM196" s="205">
        <v>1362126.2291573985</v>
      </c>
      <c r="BN196" s="205">
        <v>1488326.9965402284</v>
      </c>
      <c r="BO196" s="205">
        <v>1138726.3006646254</v>
      </c>
      <c r="BP196" s="204">
        <v>0</v>
      </c>
    </row>
    <row r="197" spans="2:69" s="111" customFormat="1" ht="12.65" customHeight="1" outlineLevel="1" thickBot="1">
      <c r="B197" s="112"/>
      <c r="C197" s="206" t="s">
        <v>62</v>
      </c>
      <c r="D197" s="207"/>
      <c r="E197" s="208"/>
      <c r="F197" s="209"/>
      <c r="G197" s="207"/>
      <c r="H197" s="207">
        <f t="array" ref="H197:BP197">H127:BP127+H148:BP148+H169:BP169+H190:BP190</f>
        <v>1061089.0397727271</v>
      </c>
      <c r="I197" s="207">
        <v>1110288.2649621214</v>
      </c>
      <c r="J197" s="207">
        <v>1221309.1350378788</v>
      </c>
      <c r="K197" s="207">
        <v>1354238.8678030302</v>
      </c>
      <c r="L197" s="207">
        <v>1483298.2984848486</v>
      </c>
      <c r="M197" s="207">
        <v>1409043.1272727272</v>
      </c>
      <c r="N197" s="207">
        <v>1256633.1505681816</v>
      </c>
      <c r="O197" s="207">
        <v>1415401.7924242425</v>
      </c>
      <c r="P197" s="207">
        <v>1606767.0907196971</v>
      </c>
      <c r="Q197" s="207">
        <v>1840443.3806818179</v>
      </c>
      <c r="R197" s="207">
        <v>2240213.9312500004</v>
      </c>
      <c r="S197" s="207">
        <v>1924048.3342159092</v>
      </c>
      <c r="T197" s="207">
        <v>1318859.7977176704</v>
      </c>
      <c r="U197" s="207">
        <v>1371272.9053936934</v>
      </c>
      <c r="V197" s="207">
        <v>1490747.0308121024</v>
      </c>
      <c r="W197" s="207">
        <v>1633608.9771421591</v>
      </c>
      <c r="X197" s="207">
        <v>1772207.4113190912</v>
      </c>
      <c r="Y197" s="207">
        <v>1693530.1115551707</v>
      </c>
      <c r="Z197" s="207">
        <v>1531874.982347216</v>
      </c>
      <c r="AA197" s="207">
        <v>1703155.7445301139</v>
      </c>
      <c r="AB197" s="207">
        <v>1908451.2866402841</v>
      </c>
      <c r="AC197" s="207">
        <v>2162319.0585785797</v>
      </c>
      <c r="AD197" s="207">
        <v>2596936.137752898</v>
      </c>
      <c r="AE197" s="207">
        <v>2245744.552945117</v>
      </c>
      <c r="AF197" s="207">
        <v>1581562.3333832067</v>
      </c>
      <c r="AG197" s="207">
        <v>1637222.6094192013</v>
      </c>
      <c r="AH197" s="207">
        <v>1763589.7957032777</v>
      </c>
      <c r="AI197" s="207">
        <v>1915171.5486377934</v>
      </c>
      <c r="AJ197" s="207">
        <v>2062321.9215064719</v>
      </c>
      <c r="AK197" s="207">
        <v>1979402.3144848403</v>
      </c>
      <c r="AL197" s="207">
        <v>1808806.8336808397</v>
      </c>
      <c r="AM197" s="207">
        <v>1989059.8798644135</v>
      </c>
      <c r="AN197" s="207">
        <v>2205348.2525760587</v>
      </c>
      <c r="AO197" s="207">
        <v>2473557.9679643619</v>
      </c>
      <c r="AP197" s="207">
        <v>2932311.2013310809</v>
      </c>
      <c r="AQ197" s="207">
        <v>2549563.049096927</v>
      </c>
      <c r="AR197" s="207">
        <v>1840000.8783382026</v>
      </c>
      <c r="AS197" s="207">
        <v>1897975.4388785544</v>
      </c>
      <c r="AT197" s="207">
        <v>2029022.5183075287</v>
      </c>
      <c r="AU197" s="207">
        <v>2186585.3992488002</v>
      </c>
      <c r="AV197" s="207">
        <v>2339620.1622755625</v>
      </c>
      <c r="AW197" s="207">
        <v>2253839.9879096383</v>
      </c>
      <c r="AX197" s="207">
        <v>2077247.9353760881</v>
      </c>
      <c r="AY197" s="207">
        <v>2263443.0715137203</v>
      </c>
      <c r="AZ197" s="207">
        <v>2487085.7689755429</v>
      </c>
      <c r="BA197" s="207">
        <v>2764705.6587733338</v>
      </c>
      <c r="BB197" s="207">
        <v>3239126.4940270009</v>
      </c>
      <c r="BC197" s="207">
        <v>2840849.8406056599</v>
      </c>
      <c r="BD197" s="207">
        <v>2111597.0251532248</v>
      </c>
      <c r="BE197" s="207">
        <v>2171564.5715715126</v>
      </c>
      <c r="BF197" s="207">
        <v>2306914.9232983161</v>
      </c>
      <c r="BG197" s="207">
        <v>2469906.5237731431</v>
      </c>
      <c r="BH197" s="207">
        <v>2628248.6375799738</v>
      </c>
      <c r="BI197" s="207">
        <v>2539906.2543044873</v>
      </c>
      <c r="BJ197" s="207">
        <v>2358005.411748264</v>
      </c>
      <c r="BK197" s="207">
        <v>2549839.3918491793</v>
      </c>
      <c r="BL197" s="207">
        <v>2780255.5637530154</v>
      </c>
      <c r="BM197" s="207">
        <v>3066997.7370577762</v>
      </c>
      <c r="BN197" s="207">
        <v>3556761.0040966109</v>
      </c>
      <c r="BO197" s="207">
        <v>3146909.8173440238</v>
      </c>
      <c r="BP197" s="207">
        <v>0</v>
      </c>
    </row>
    <row r="198" spans="2:69" ht="12" customHeight="1" outlineLevel="1" thickTop="1"/>
    <row r="199" spans="2:69" s="102" customFormat="1" ht="13.75" customHeight="1" thickBot="1">
      <c r="B199" s="138" t="s">
        <v>63</v>
      </c>
      <c r="C199" s="139"/>
      <c r="D199" s="139"/>
      <c r="E199" s="140"/>
      <c r="F199" s="141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  <c r="Y199" s="139"/>
      <c r="Z199" s="139"/>
      <c r="AA199" s="139"/>
      <c r="AB199" s="139"/>
      <c r="AC199" s="139"/>
      <c r="AD199" s="139"/>
      <c r="AE199" s="139"/>
      <c r="AF199" s="139"/>
      <c r="AG199" s="139"/>
      <c r="AH199" s="139"/>
      <c r="AI199" s="139"/>
      <c r="AJ199" s="139"/>
      <c r="AK199" s="139"/>
      <c r="AL199" s="139"/>
      <c r="AM199" s="139"/>
      <c r="AN199" s="139"/>
      <c r="AO199" s="139"/>
      <c r="AP199" s="139"/>
      <c r="AQ199" s="139"/>
      <c r="AR199" s="139"/>
      <c r="AS199" s="139"/>
      <c r="AT199" s="139"/>
      <c r="AU199" s="139"/>
      <c r="AV199" s="139"/>
      <c r="AW199" s="139"/>
      <c r="AX199" s="139"/>
      <c r="AY199" s="139"/>
      <c r="AZ199" s="139"/>
      <c r="BA199" s="139"/>
      <c r="BB199" s="139"/>
      <c r="BC199" s="139"/>
      <c r="BD199" s="139"/>
      <c r="BE199" s="139"/>
      <c r="BF199" s="139"/>
      <c r="BG199" s="139"/>
      <c r="BH199" s="139"/>
      <c r="BI199" s="139"/>
      <c r="BJ199" s="139"/>
      <c r="BK199" s="139"/>
      <c r="BL199" s="139"/>
      <c r="BM199" s="139"/>
      <c r="BN199" s="139"/>
      <c r="BO199" s="139"/>
      <c r="BP199" s="139"/>
    </row>
    <row r="200" spans="2:69" ht="12" customHeight="1" outlineLevel="1" thickTop="1"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</row>
    <row r="201" spans="2:69" ht="12" customHeight="1" outlineLevel="1">
      <c r="B201" s="112" t="s">
        <v>64</v>
      </c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</row>
    <row r="202" spans="2:69" ht="12" customHeight="1" outlineLevel="1">
      <c r="B202" s="160" t="s">
        <v>65</v>
      </c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</row>
    <row r="203" spans="2:69" outlineLevel="1">
      <c r="C203" s="101" t="str">
        <f t="array" ref="C203:C207">Assumptions!F64:F68</f>
        <v>Inbound unloading</v>
      </c>
      <c r="F203" s="109" t="s">
        <v>66</v>
      </c>
      <c r="G203" s="132"/>
      <c r="H203" s="128">
        <f t="array" ref="H203:BP203">H95:BP95</f>
        <v>60132.321969696961</v>
      </c>
      <c r="I203" s="128">
        <v>63914.09053030303</v>
      </c>
      <c r="J203" s="128">
        <v>69057.077651515152</v>
      </c>
      <c r="K203" s="128">
        <v>74545.558333333334</v>
      </c>
      <c r="L203" s="128">
        <v>79688.545454545456</v>
      </c>
      <c r="M203" s="128">
        <v>65275.309090909097</v>
      </c>
      <c r="N203" s="128">
        <v>65945.540530303027</v>
      </c>
      <c r="O203" s="128">
        <v>78055.921212121219</v>
      </c>
      <c r="P203" s="128">
        <v>81072.614772727276</v>
      </c>
      <c r="Q203" s="128">
        <v>98261.620454545453</v>
      </c>
      <c r="R203" s="128">
        <v>111889.02613636364</v>
      </c>
      <c r="S203" s="128">
        <v>61935.272522727275</v>
      </c>
      <c r="T203" s="128">
        <v>62258.878215909099</v>
      </c>
      <c r="U203" s="128">
        <v>66182.856284090914</v>
      </c>
      <c r="V203" s="128">
        <v>71549.187670454543</v>
      </c>
      <c r="W203" s="128">
        <v>77239.124750000003</v>
      </c>
      <c r="X203" s="128">
        <v>82605.456136363646</v>
      </c>
      <c r="Y203" s="128">
        <v>67625.209602272735</v>
      </c>
      <c r="Z203" s="128">
        <v>68420.351534090922</v>
      </c>
      <c r="AA203" s="128">
        <v>80961.186113636373</v>
      </c>
      <c r="AB203" s="128">
        <v>84116.263806818199</v>
      </c>
      <c r="AC203" s="128">
        <v>102250.83651136365</v>
      </c>
      <c r="AD203" s="128">
        <v>116610.11321590911</v>
      </c>
      <c r="AE203" s="128">
        <v>63185.997492613635</v>
      </c>
      <c r="AF203" s="128">
        <v>63536.355410454547</v>
      </c>
      <c r="AG203" s="128">
        <v>67543.715143295456</v>
      </c>
      <c r="AH203" s="128">
        <v>73057.933378977279</v>
      </c>
      <c r="AI203" s="128">
        <v>78922.509532500015</v>
      </c>
      <c r="AJ203" s="128">
        <v>84436.727768181823</v>
      </c>
      <c r="AK203" s="128">
        <v>69050.57364613637</v>
      </c>
      <c r="AL203" s="128">
        <v>69856.716313295459</v>
      </c>
      <c r="AM203" s="128">
        <v>82647.695886818183</v>
      </c>
      <c r="AN203" s="128">
        <v>85886.155244659109</v>
      </c>
      <c r="AO203" s="128">
        <v>104459.63774318184</v>
      </c>
      <c r="AP203" s="128">
        <v>119182.31832170456</v>
      </c>
      <c r="AQ203" s="128">
        <v>63329.820666392043</v>
      </c>
      <c r="AR203" s="128">
        <v>63699.50620056819</v>
      </c>
      <c r="AS203" s="128">
        <v>67718.504545994321</v>
      </c>
      <c r="AT203" s="128">
        <v>73271.378014346599</v>
      </c>
      <c r="AU203" s="128">
        <v>79193.937016875003</v>
      </c>
      <c r="AV203" s="128">
        <v>84746.810485227266</v>
      </c>
      <c r="AW203" s="128">
        <v>69252.379668920461</v>
      </c>
      <c r="AX203" s="128">
        <v>70046.88372349432</v>
      </c>
      <c r="AY203" s="128">
        <v>82865.090131022749</v>
      </c>
      <c r="AZ203" s="128">
        <v>86122.877105198888</v>
      </c>
      <c r="BA203" s="128">
        <v>104762.0314564773</v>
      </c>
      <c r="BB203" s="128">
        <v>119550.38388775571</v>
      </c>
      <c r="BC203" s="128">
        <v>63239.56291474773</v>
      </c>
      <c r="BD203" s="128">
        <v>63617.69428153467</v>
      </c>
      <c r="BE203" s="128">
        <v>67633.720289002842</v>
      </c>
      <c r="BF203" s="128">
        <v>73203.485422576719</v>
      </c>
      <c r="BG203" s="128">
        <v>79151.381922937508</v>
      </c>
      <c r="BH203" s="128">
        <v>84721.14705651137</v>
      </c>
      <c r="BI203" s="128">
        <v>69187.459415108533</v>
      </c>
      <c r="BJ203" s="128">
        <v>69984.935807640344</v>
      </c>
      <c r="BK203" s="128">
        <v>82782.807030726151</v>
      </c>
      <c r="BL203" s="128">
        <v>86049.03983751309</v>
      </c>
      <c r="BM203" s="128">
        <v>104724.94985719262</v>
      </c>
      <c r="BN203" s="128">
        <v>119550.0579568722</v>
      </c>
      <c r="BO203" s="128">
        <v>63209.953428335102</v>
      </c>
      <c r="BP203" s="132">
        <v>0</v>
      </c>
      <c r="BQ203" s="128"/>
    </row>
    <row r="204" spans="2:69" outlineLevel="1">
      <c r="C204" s="101" t="str">
        <v>Putaway to rack</v>
      </c>
      <c r="F204" s="109" t="s">
        <v>66</v>
      </c>
      <c r="G204" s="132"/>
      <c r="H204" s="128">
        <f t="array" ref="H204:BP204">H95:BP95</f>
        <v>60132.321969696961</v>
      </c>
      <c r="I204" s="128">
        <v>63914.09053030303</v>
      </c>
      <c r="J204" s="128">
        <v>69057.077651515152</v>
      </c>
      <c r="K204" s="128">
        <v>74545.558333333334</v>
      </c>
      <c r="L204" s="128">
        <v>79688.545454545456</v>
      </c>
      <c r="M204" s="128">
        <v>65275.309090909097</v>
      </c>
      <c r="N204" s="128">
        <v>65945.540530303027</v>
      </c>
      <c r="O204" s="128">
        <v>78055.921212121219</v>
      </c>
      <c r="P204" s="128">
        <v>81072.614772727276</v>
      </c>
      <c r="Q204" s="128">
        <v>98261.620454545453</v>
      </c>
      <c r="R204" s="128">
        <v>111889.02613636364</v>
      </c>
      <c r="S204" s="128">
        <v>61935.272522727275</v>
      </c>
      <c r="T204" s="128">
        <v>62258.878215909099</v>
      </c>
      <c r="U204" s="128">
        <v>66182.856284090914</v>
      </c>
      <c r="V204" s="128">
        <v>71549.187670454543</v>
      </c>
      <c r="W204" s="128">
        <v>77239.124750000003</v>
      </c>
      <c r="X204" s="128">
        <v>82605.456136363646</v>
      </c>
      <c r="Y204" s="128">
        <v>67625.209602272735</v>
      </c>
      <c r="Z204" s="128">
        <v>68420.351534090922</v>
      </c>
      <c r="AA204" s="128">
        <v>80961.186113636373</v>
      </c>
      <c r="AB204" s="128">
        <v>84116.263806818199</v>
      </c>
      <c r="AC204" s="128">
        <v>102250.83651136365</v>
      </c>
      <c r="AD204" s="128">
        <v>116610.11321590911</v>
      </c>
      <c r="AE204" s="128">
        <v>63185.997492613635</v>
      </c>
      <c r="AF204" s="128">
        <v>63536.355410454547</v>
      </c>
      <c r="AG204" s="128">
        <v>67543.715143295456</v>
      </c>
      <c r="AH204" s="128">
        <v>73057.933378977279</v>
      </c>
      <c r="AI204" s="128">
        <v>78922.509532500015</v>
      </c>
      <c r="AJ204" s="128">
        <v>84436.727768181823</v>
      </c>
      <c r="AK204" s="128">
        <v>69050.57364613637</v>
      </c>
      <c r="AL204" s="128">
        <v>69856.716313295459</v>
      </c>
      <c r="AM204" s="128">
        <v>82647.695886818183</v>
      </c>
      <c r="AN204" s="128">
        <v>85886.155244659109</v>
      </c>
      <c r="AO204" s="128">
        <v>104459.63774318184</v>
      </c>
      <c r="AP204" s="128">
        <v>119182.31832170456</v>
      </c>
      <c r="AQ204" s="128">
        <v>63329.820666392043</v>
      </c>
      <c r="AR204" s="128">
        <v>63699.50620056819</v>
      </c>
      <c r="AS204" s="128">
        <v>67718.504545994321</v>
      </c>
      <c r="AT204" s="128">
        <v>73271.378014346599</v>
      </c>
      <c r="AU204" s="128">
        <v>79193.937016875003</v>
      </c>
      <c r="AV204" s="128">
        <v>84746.810485227266</v>
      </c>
      <c r="AW204" s="128">
        <v>69252.379668920461</v>
      </c>
      <c r="AX204" s="128">
        <v>70046.88372349432</v>
      </c>
      <c r="AY204" s="128">
        <v>82865.090131022749</v>
      </c>
      <c r="AZ204" s="128">
        <v>86122.877105198888</v>
      </c>
      <c r="BA204" s="128">
        <v>104762.0314564773</v>
      </c>
      <c r="BB204" s="128">
        <v>119550.38388775571</v>
      </c>
      <c r="BC204" s="128">
        <v>63239.56291474773</v>
      </c>
      <c r="BD204" s="128">
        <v>63617.69428153467</v>
      </c>
      <c r="BE204" s="128">
        <v>67633.720289002842</v>
      </c>
      <c r="BF204" s="128">
        <v>73203.485422576719</v>
      </c>
      <c r="BG204" s="128">
        <v>79151.381922937508</v>
      </c>
      <c r="BH204" s="128">
        <v>84721.14705651137</v>
      </c>
      <c r="BI204" s="128">
        <v>69187.459415108533</v>
      </c>
      <c r="BJ204" s="128">
        <v>69984.935807640344</v>
      </c>
      <c r="BK204" s="128">
        <v>82782.807030726151</v>
      </c>
      <c r="BL204" s="128">
        <v>86049.03983751309</v>
      </c>
      <c r="BM204" s="128">
        <v>104724.94985719262</v>
      </c>
      <c r="BN204" s="128">
        <v>119550.0579568722</v>
      </c>
      <c r="BO204" s="128">
        <v>63209.953428335102</v>
      </c>
      <c r="BP204" s="132">
        <v>0</v>
      </c>
      <c r="BQ204" s="128"/>
    </row>
    <row r="205" spans="2:69" outlineLevel="1">
      <c r="C205" s="101" t="str">
        <v>Picking</v>
      </c>
      <c r="F205" s="109" t="s">
        <v>67</v>
      </c>
      <c r="G205" s="132"/>
      <c r="H205" s="128">
        <f t="array" ref="H205:BP205">H77:BP77</f>
        <v>1223700</v>
      </c>
      <c r="I205" s="128">
        <v>1215287.5</v>
      </c>
      <c r="J205" s="128">
        <v>1293837.5</v>
      </c>
      <c r="K205" s="128">
        <v>1403012.5</v>
      </c>
      <c r="L205" s="128">
        <v>1503775</v>
      </c>
      <c r="M205" s="128">
        <v>1612950</v>
      </c>
      <c r="N205" s="128">
        <v>1324462.5</v>
      </c>
      <c r="O205" s="128">
        <v>1371912.5</v>
      </c>
      <c r="P205" s="128">
        <v>1618925.0000000002</v>
      </c>
      <c r="Q205" s="128">
        <v>1686112.5000000002</v>
      </c>
      <c r="R205" s="128">
        <v>2128312.5</v>
      </c>
      <c r="S205" s="128">
        <v>2469712.5</v>
      </c>
      <c r="T205" s="128">
        <v>1272507.5625</v>
      </c>
      <c r="U205" s="128">
        <v>1262740.9375</v>
      </c>
      <c r="V205" s="128">
        <v>1344529.625</v>
      </c>
      <c r="W205" s="128">
        <v>1458556.375</v>
      </c>
      <c r="X205" s="128">
        <v>1562816.5000000002</v>
      </c>
      <c r="Y205" s="128">
        <v>1676843.25</v>
      </c>
      <c r="Z205" s="128">
        <v>1376767.6875</v>
      </c>
      <c r="AA205" s="128">
        <v>1428539</v>
      </c>
      <c r="AB205" s="128">
        <v>1685324.375</v>
      </c>
      <c r="AC205" s="128">
        <v>1755693.7500000002</v>
      </c>
      <c r="AD205" s="128">
        <v>2222502.5625</v>
      </c>
      <c r="AE205" s="128">
        <v>2582463.3750000005</v>
      </c>
      <c r="AF205" s="128">
        <v>1298412.8062500001</v>
      </c>
      <c r="AG205" s="128">
        <v>1288770.4775</v>
      </c>
      <c r="AH205" s="128">
        <v>1372286.1812500001</v>
      </c>
      <c r="AI205" s="128">
        <v>1489232.7237500001</v>
      </c>
      <c r="AJ205" s="128">
        <v>1596536.9375</v>
      </c>
      <c r="AK205" s="128">
        <v>1713483.48</v>
      </c>
      <c r="AL205" s="128">
        <v>1405717.02</v>
      </c>
      <c r="AM205" s="128">
        <v>1458432.5162500001</v>
      </c>
      <c r="AN205" s="128">
        <v>1720398.94</v>
      </c>
      <c r="AO205" s="128">
        <v>1792495.3312500003</v>
      </c>
      <c r="AP205" s="128">
        <v>2269827.5925000003</v>
      </c>
      <c r="AQ205" s="128">
        <v>2638174.8937500007</v>
      </c>
      <c r="AR205" s="128">
        <v>1300503.2131874999</v>
      </c>
      <c r="AS205" s="128">
        <v>1291144.889525</v>
      </c>
      <c r="AT205" s="128">
        <v>1374830.4052374999</v>
      </c>
      <c r="AU205" s="128">
        <v>1492344.9579125</v>
      </c>
      <c r="AV205" s="128">
        <v>1600501.1869250003</v>
      </c>
      <c r="AW205" s="128">
        <v>1718015.7396</v>
      </c>
      <c r="AX205" s="128">
        <v>1408659.4422000002</v>
      </c>
      <c r="AY205" s="128">
        <v>1461205.1264875</v>
      </c>
      <c r="AZ205" s="128">
        <v>1723566.7930000003</v>
      </c>
      <c r="BA205" s="128">
        <v>1795947.1893375001</v>
      </c>
      <c r="BB205" s="128">
        <v>2274245.658975</v>
      </c>
      <c r="BC205" s="128">
        <v>2643559.1686125007</v>
      </c>
      <c r="BD205" s="128">
        <v>1298623.1697768751</v>
      </c>
      <c r="BE205" s="128">
        <v>1289354.3071551253</v>
      </c>
      <c r="BF205" s="128">
        <v>1372959.7071177503</v>
      </c>
      <c r="BG205" s="128">
        <v>1490653.1818742501</v>
      </c>
      <c r="BH205" s="128">
        <v>1599077.7940090003</v>
      </c>
      <c r="BI205" s="128">
        <v>1716771.2687655</v>
      </c>
      <c r="BJ205" s="128">
        <v>1407047.7819116253</v>
      </c>
      <c r="BK205" s="128">
        <v>1459673.5819490002</v>
      </c>
      <c r="BL205" s="128">
        <v>1721625.3244212503</v>
      </c>
      <c r="BM205" s="128">
        <v>1794095.1817995005</v>
      </c>
      <c r="BN205" s="128">
        <v>2272831.6113498751</v>
      </c>
      <c r="BO205" s="128">
        <v>2642583.0809002505</v>
      </c>
      <c r="BP205" s="132">
        <v>1298031.7060666033</v>
      </c>
      <c r="BQ205" s="128"/>
    </row>
    <row r="206" spans="2:69" outlineLevel="1">
      <c r="C206" s="101" t="str">
        <v>Replenishment</v>
      </c>
      <c r="F206" s="109" t="s">
        <v>66</v>
      </c>
      <c r="G206" s="132"/>
      <c r="H206" s="128">
        <f t="array" ref="H206:BP206">H86:BP86</f>
        <v>57995.340909090912</v>
      </c>
      <c r="I206" s="128">
        <v>58382.196969696975</v>
      </c>
      <c r="J206" s="128">
        <v>62046.553030303039</v>
      </c>
      <c r="K206" s="128">
        <v>67020.265151515152</v>
      </c>
      <c r="L206" s="128">
        <v>72380.833333333343</v>
      </c>
      <c r="M206" s="128">
        <v>77354.545454545456</v>
      </c>
      <c r="N206" s="128">
        <v>63355.909090909088</v>
      </c>
      <c r="O206" s="128">
        <v>63891.553030303039</v>
      </c>
      <c r="P206" s="128">
        <v>75642.121212121216</v>
      </c>
      <c r="Q206" s="128">
        <v>78548.977272727265</v>
      </c>
      <c r="R206" s="128">
        <v>94912.045454545456</v>
      </c>
      <c r="S206" s="128">
        <v>107915.11363636363</v>
      </c>
      <c r="T206" s="128">
        <v>60014.127272727274</v>
      </c>
      <c r="U206" s="128">
        <v>60379.571590909094</v>
      </c>
      <c r="V206" s="128">
        <v>64177.50340909091</v>
      </c>
      <c r="W206" s="128">
        <v>69360.392045454544</v>
      </c>
      <c r="X206" s="128">
        <v>74908.725000000006</v>
      </c>
      <c r="Y206" s="128">
        <v>80091.613636363632</v>
      </c>
      <c r="Z206" s="128">
        <v>65562.460227272735</v>
      </c>
      <c r="AA206" s="128">
        <v>66216.528409090912</v>
      </c>
      <c r="AB206" s="128">
        <v>78371.611363636373</v>
      </c>
      <c r="AC206" s="128">
        <v>81408.255681818177</v>
      </c>
      <c r="AD206" s="128">
        <v>98660.901136363638</v>
      </c>
      <c r="AE206" s="128">
        <v>112351.94659090909</v>
      </c>
      <c r="AF206" s="128">
        <v>61177.643011363638</v>
      </c>
      <c r="AG206" s="128">
        <v>61567.231045454551</v>
      </c>
      <c r="AH206" s="128">
        <v>65442.730579545459</v>
      </c>
      <c r="AI206" s="128">
        <v>70762.94664772728</v>
      </c>
      <c r="AJ206" s="128">
        <v>76472.750750000007</v>
      </c>
      <c r="AK206" s="128">
        <v>81792.966818181827</v>
      </c>
      <c r="AL206" s="128">
        <v>66887.447113636372</v>
      </c>
      <c r="AM206" s="128">
        <v>67552.987579545457</v>
      </c>
      <c r="AN206" s="128">
        <v>79940.773681818187</v>
      </c>
      <c r="AO206" s="128">
        <v>83054.985715909104</v>
      </c>
      <c r="AP206" s="128">
        <v>100718.41431818182</v>
      </c>
      <c r="AQ206" s="128">
        <v>114749.01092045456</v>
      </c>
      <c r="AR206" s="128">
        <v>61276.722451704554</v>
      </c>
      <c r="AS206" s="128">
        <v>61682.558756818187</v>
      </c>
      <c r="AT206" s="128">
        <v>65566.693686931816</v>
      </c>
      <c r="AU206" s="128">
        <v>70919.40629715909</v>
      </c>
      <c r="AV206" s="128">
        <v>76677.955212500005</v>
      </c>
      <c r="AW206" s="128">
        <v>82030.667822727279</v>
      </c>
      <c r="AX206" s="128">
        <v>67035.271367045469</v>
      </c>
      <c r="AY206" s="128">
        <v>67692.176436931826</v>
      </c>
      <c r="AZ206" s="128">
        <v>80098.255852272734</v>
      </c>
      <c r="BA206" s="128">
        <v>83228.71615738637</v>
      </c>
      <c r="BB206" s="128">
        <v>100948.5024477273</v>
      </c>
      <c r="BC206" s="128">
        <v>115035.4567380682</v>
      </c>
      <c r="BD206" s="128">
        <v>61156.303396022726</v>
      </c>
      <c r="BE206" s="128">
        <v>61568.431581965917</v>
      </c>
      <c r="BF206" s="128">
        <v>65447.553273534089</v>
      </c>
      <c r="BG206" s="128">
        <v>70812.849645420458</v>
      </c>
      <c r="BH206" s="128">
        <v>76590.27420325001</v>
      </c>
      <c r="BI206" s="128">
        <v>81955.570575136371</v>
      </c>
      <c r="BJ206" s="128">
        <v>66933.727953852271</v>
      </c>
      <c r="BK206" s="128">
        <v>67595.646262284092</v>
      </c>
      <c r="BL206" s="128">
        <v>79975.380842613638</v>
      </c>
      <c r="BM206" s="128">
        <v>83112.133028556826</v>
      </c>
      <c r="BN206" s="128">
        <v>100862.10008076137</v>
      </c>
      <c r="BO206" s="128">
        <v>114979.23513296594</v>
      </c>
      <c r="BP206" s="132">
        <v>61095.435839648017</v>
      </c>
      <c r="BQ206" s="128"/>
    </row>
    <row r="207" spans="2:69" outlineLevel="1">
      <c r="C207" s="101" t="str">
        <v>Outbound loading</v>
      </c>
      <c r="F207" s="109" t="s">
        <v>66</v>
      </c>
      <c r="G207" s="132"/>
      <c r="H207" s="128">
        <f t="array" ref="H207:BP207">H86:BP86</f>
        <v>57995.340909090912</v>
      </c>
      <c r="I207" s="128">
        <v>58382.196969696975</v>
      </c>
      <c r="J207" s="128">
        <v>62046.553030303039</v>
      </c>
      <c r="K207" s="128">
        <v>67020.265151515152</v>
      </c>
      <c r="L207" s="128">
        <v>72380.833333333343</v>
      </c>
      <c r="M207" s="128">
        <v>77354.545454545456</v>
      </c>
      <c r="N207" s="128">
        <v>63355.909090909088</v>
      </c>
      <c r="O207" s="128">
        <v>63891.553030303039</v>
      </c>
      <c r="P207" s="128">
        <v>75642.121212121216</v>
      </c>
      <c r="Q207" s="128">
        <v>78548.977272727265</v>
      </c>
      <c r="R207" s="128">
        <v>94912.045454545456</v>
      </c>
      <c r="S207" s="128">
        <v>107915.11363636363</v>
      </c>
      <c r="T207" s="128">
        <v>60014.127272727274</v>
      </c>
      <c r="U207" s="128">
        <v>60379.571590909094</v>
      </c>
      <c r="V207" s="128">
        <v>64177.50340909091</v>
      </c>
      <c r="W207" s="128">
        <v>69360.392045454544</v>
      </c>
      <c r="X207" s="128">
        <v>74908.725000000006</v>
      </c>
      <c r="Y207" s="128">
        <v>80091.613636363632</v>
      </c>
      <c r="Z207" s="128">
        <v>65562.460227272735</v>
      </c>
      <c r="AA207" s="128">
        <v>66216.528409090912</v>
      </c>
      <c r="AB207" s="128">
        <v>78371.611363636373</v>
      </c>
      <c r="AC207" s="128">
        <v>81408.255681818177</v>
      </c>
      <c r="AD207" s="128">
        <v>98660.901136363638</v>
      </c>
      <c r="AE207" s="128">
        <v>112351.94659090909</v>
      </c>
      <c r="AF207" s="128">
        <v>61177.643011363638</v>
      </c>
      <c r="AG207" s="128">
        <v>61567.231045454551</v>
      </c>
      <c r="AH207" s="128">
        <v>65442.730579545459</v>
      </c>
      <c r="AI207" s="128">
        <v>70762.94664772728</v>
      </c>
      <c r="AJ207" s="128">
        <v>76472.750750000007</v>
      </c>
      <c r="AK207" s="128">
        <v>81792.966818181827</v>
      </c>
      <c r="AL207" s="128">
        <v>66887.447113636372</v>
      </c>
      <c r="AM207" s="128">
        <v>67552.987579545457</v>
      </c>
      <c r="AN207" s="128">
        <v>79940.773681818187</v>
      </c>
      <c r="AO207" s="128">
        <v>83054.985715909104</v>
      </c>
      <c r="AP207" s="128">
        <v>100718.41431818182</v>
      </c>
      <c r="AQ207" s="128">
        <v>114749.01092045456</v>
      </c>
      <c r="AR207" s="128">
        <v>61276.722451704554</v>
      </c>
      <c r="AS207" s="128">
        <v>61682.558756818187</v>
      </c>
      <c r="AT207" s="128">
        <v>65566.693686931816</v>
      </c>
      <c r="AU207" s="128">
        <v>70919.40629715909</v>
      </c>
      <c r="AV207" s="128">
        <v>76677.955212500005</v>
      </c>
      <c r="AW207" s="128">
        <v>82030.667822727279</v>
      </c>
      <c r="AX207" s="128">
        <v>67035.271367045469</v>
      </c>
      <c r="AY207" s="128">
        <v>67692.176436931826</v>
      </c>
      <c r="AZ207" s="128">
        <v>80098.255852272734</v>
      </c>
      <c r="BA207" s="128">
        <v>83228.71615738637</v>
      </c>
      <c r="BB207" s="128">
        <v>100948.5024477273</v>
      </c>
      <c r="BC207" s="128">
        <v>115035.4567380682</v>
      </c>
      <c r="BD207" s="128">
        <v>61156.303396022726</v>
      </c>
      <c r="BE207" s="128">
        <v>61568.431581965917</v>
      </c>
      <c r="BF207" s="128">
        <v>65447.553273534089</v>
      </c>
      <c r="BG207" s="128">
        <v>70812.849645420458</v>
      </c>
      <c r="BH207" s="128">
        <v>76590.27420325001</v>
      </c>
      <c r="BI207" s="128">
        <v>81955.570575136371</v>
      </c>
      <c r="BJ207" s="128">
        <v>66933.727953852271</v>
      </c>
      <c r="BK207" s="128">
        <v>67595.646262284092</v>
      </c>
      <c r="BL207" s="128">
        <v>79975.380842613638</v>
      </c>
      <c r="BM207" s="128">
        <v>83112.133028556826</v>
      </c>
      <c r="BN207" s="128">
        <v>100862.10008076137</v>
      </c>
      <c r="BO207" s="128">
        <v>114979.23513296594</v>
      </c>
      <c r="BP207" s="132">
        <v>61095.435839648017</v>
      </c>
      <c r="BQ207" s="128"/>
    </row>
    <row r="208" spans="2:69" outlineLevel="1">
      <c r="G208" s="132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32"/>
      <c r="BQ208" s="128"/>
    </row>
    <row r="209" spans="2:69" ht="12" customHeight="1" outlineLevel="1">
      <c r="B209" s="160" t="s">
        <v>68</v>
      </c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32"/>
      <c r="BQ209" s="128"/>
    </row>
    <row r="210" spans="2:69" ht="12" customHeight="1" outlineLevel="1">
      <c r="B210" s="160"/>
      <c r="C210" s="101" t="s">
        <v>69</v>
      </c>
      <c r="D210" s="184">
        <f t="array" ref="D210:D214">Assumptions!H15:H19</f>
        <v>12</v>
      </c>
      <c r="E210" s="210" t="s">
        <v>70</v>
      </c>
      <c r="F210" s="109" t="s">
        <v>71</v>
      </c>
      <c r="G210" s="132"/>
      <c r="H210" s="121">
        <f t="array" ref="H210:BO214">H203:BO207/_xlfn.ANCHORARRAY(D210)</f>
        <v>5011.0268308080804</v>
      </c>
      <c r="I210" s="121">
        <v>5326.1742108585859</v>
      </c>
      <c r="J210" s="121">
        <v>5754.7564709595963</v>
      </c>
      <c r="K210" s="121">
        <v>6212.1298611111115</v>
      </c>
      <c r="L210" s="121">
        <v>6640.712121212121</v>
      </c>
      <c r="M210" s="121">
        <v>5439.6090909090917</v>
      </c>
      <c r="N210" s="121">
        <v>5495.4617108585853</v>
      </c>
      <c r="O210" s="121">
        <v>6504.6601010101012</v>
      </c>
      <c r="P210" s="121">
        <v>6756.0512310606064</v>
      </c>
      <c r="Q210" s="121">
        <v>8188.4683712121214</v>
      </c>
      <c r="R210" s="121">
        <v>9324.0855113636371</v>
      </c>
      <c r="S210" s="121">
        <v>5161.2727102272729</v>
      </c>
      <c r="T210" s="121">
        <v>5188.2398513257585</v>
      </c>
      <c r="U210" s="121">
        <v>5515.2380236742429</v>
      </c>
      <c r="V210" s="121">
        <v>5962.4323058712116</v>
      </c>
      <c r="W210" s="121">
        <v>6436.5937291666669</v>
      </c>
      <c r="X210" s="121">
        <v>6883.7880113636375</v>
      </c>
      <c r="Y210" s="121">
        <v>5635.4341335227282</v>
      </c>
      <c r="Z210" s="121">
        <v>5701.6959611742432</v>
      </c>
      <c r="AA210" s="121">
        <v>6746.7655094696975</v>
      </c>
      <c r="AB210" s="121">
        <v>7009.6886505681832</v>
      </c>
      <c r="AC210" s="121">
        <v>8520.9030426136378</v>
      </c>
      <c r="AD210" s="121">
        <v>9717.5094346590922</v>
      </c>
      <c r="AE210" s="121">
        <v>5265.4997910511365</v>
      </c>
      <c r="AF210" s="121">
        <v>5294.6962842045459</v>
      </c>
      <c r="AG210" s="121">
        <v>5628.6429286079547</v>
      </c>
      <c r="AH210" s="121">
        <v>6088.161114914773</v>
      </c>
      <c r="AI210" s="121">
        <v>6576.8757943750015</v>
      </c>
      <c r="AJ210" s="121">
        <v>7036.3939806818189</v>
      </c>
      <c r="AK210" s="121">
        <v>5754.2144705113642</v>
      </c>
      <c r="AL210" s="121">
        <v>5821.3930261079549</v>
      </c>
      <c r="AM210" s="121">
        <v>6887.3079905681816</v>
      </c>
      <c r="AN210" s="121">
        <v>7157.1796037215927</v>
      </c>
      <c r="AO210" s="121">
        <v>8704.96981193182</v>
      </c>
      <c r="AP210" s="121">
        <v>9931.8598601420472</v>
      </c>
      <c r="AQ210" s="121">
        <v>5277.4850555326702</v>
      </c>
      <c r="AR210" s="121">
        <v>5308.2921833806822</v>
      </c>
      <c r="AS210" s="121">
        <v>5643.2087121661934</v>
      </c>
      <c r="AT210" s="121">
        <v>6105.9481678622169</v>
      </c>
      <c r="AU210" s="121">
        <v>6599.4947514062505</v>
      </c>
      <c r="AV210" s="121">
        <v>7062.2342071022722</v>
      </c>
      <c r="AW210" s="121">
        <v>5771.0316390767048</v>
      </c>
      <c r="AX210" s="121">
        <v>5837.2403102911931</v>
      </c>
      <c r="AY210" s="121">
        <v>6905.4241775852288</v>
      </c>
      <c r="AZ210" s="121">
        <v>7176.9064254332407</v>
      </c>
      <c r="BA210" s="121">
        <v>8730.169288039775</v>
      </c>
      <c r="BB210" s="121">
        <v>9962.5319906463101</v>
      </c>
      <c r="BC210" s="121">
        <v>5269.9635762289772</v>
      </c>
      <c r="BD210" s="121">
        <v>5301.4745234612228</v>
      </c>
      <c r="BE210" s="121">
        <v>5636.1433574169032</v>
      </c>
      <c r="BF210" s="121">
        <v>6100.290451881393</v>
      </c>
      <c r="BG210" s="121">
        <v>6595.9484935781256</v>
      </c>
      <c r="BH210" s="121">
        <v>7060.0955880426145</v>
      </c>
      <c r="BI210" s="121">
        <v>5765.6216179257108</v>
      </c>
      <c r="BJ210" s="121">
        <v>5832.077983970029</v>
      </c>
      <c r="BK210" s="121">
        <v>6898.5672525605123</v>
      </c>
      <c r="BL210" s="121">
        <v>7170.7533197927578</v>
      </c>
      <c r="BM210" s="121">
        <v>8727.0791547660519</v>
      </c>
      <c r="BN210" s="121">
        <v>9962.5048297393496</v>
      </c>
      <c r="BO210" s="121">
        <v>5267.4961190279255</v>
      </c>
      <c r="BP210" s="132"/>
      <c r="BQ210" s="128"/>
    </row>
    <row r="211" spans="2:69" ht="12" customHeight="1" outlineLevel="1">
      <c r="B211" s="160"/>
      <c r="C211" s="101" t="s">
        <v>72</v>
      </c>
      <c r="D211" s="186">
        <v>10</v>
      </c>
      <c r="E211" s="211" t="s">
        <v>70</v>
      </c>
      <c r="F211" s="109" t="s">
        <v>71</v>
      </c>
      <c r="G211" s="132"/>
      <c r="H211" s="121">
        <v>6013.2321969696959</v>
      </c>
      <c r="I211" s="121">
        <v>6391.4090530303029</v>
      </c>
      <c r="J211" s="121">
        <v>6905.7077651515156</v>
      </c>
      <c r="K211" s="121">
        <v>7454.5558333333338</v>
      </c>
      <c r="L211" s="121">
        <v>7968.8545454545456</v>
      </c>
      <c r="M211" s="121">
        <v>6527.5309090909095</v>
      </c>
      <c r="N211" s="121">
        <v>6594.5540530303024</v>
      </c>
      <c r="O211" s="121">
        <v>7805.592121212122</v>
      </c>
      <c r="P211" s="121">
        <v>8107.2614772727275</v>
      </c>
      <c r="Q211" s="121">
        <v>9826.1620454545446</v>
      </c>
      <c r="R211" s="121">
        <v>11188.902613636365</v>
      </c>
      <c r="S211" s="121">
        <v>6193.5272522727273</v>
      </c>
      <c r="T211" s="121">
        <v>6225.8878215909099</v>
      </c>
      <c r="U211" s="121">
        <v>6618.2856284090913</v>
      </c>
      <c r="V211" s="121">
        <v>7154.9187670454539</v>
      </c>
      <c r="W211" s="121">
        <v>7723.9124750000001</v>
      </c>
      <c r="X211" s="121">
        <v>8260.5456136363646</v>
      </c>
      <c r="Y211" s="121">
        <v>6762.5209602272735</v>
      </c>
      <c r="Z211" s="121">
        <v>6842.0351534090923</v>
      </c>
      <c r="AA211" s="121">
        <v>8096.1186113636377</v>
      </c>
      <c r="AB211" s="121">
        <v>8411.6263806818206</v>
      </c>
      <c r="AC211" s="121">
        <v>10225.083651136365</v>
      </c>
      <c r="AD211" s="121">
        <v>11661.011321590911</v>
      </c>
      <c r="AE211" s="121">
        <v>6318.5997492613633</v>
      </c>
      <c r="AF211" s="121">
        <v>6353.6355410454544</v>
      </c>
      <c r="AG211" s="121">
        <v>6754.3715143295458</v>
      </c>
      <c r="AH211" s="121">
        <v>7305.7933378977277</v>
      </c>
      <c r="AI211" s="121">
        <v>7892.2509532500017</v>
      </c>
      <c r="AJ211" s="121">
        <v>8443.6727768181827</v>
      </c>
      <c r="AK211" s="121">
        <v>6905.0573646136372</v>
      </c>
      <c r="AL211" s="121">
        <v>6985.6716313295456</v>
      </c>
      <c r="AM211" s="121">
        <v>8264.7695886818183</v>
      </c>
      <c r="AN211" s="121">
        <v>8588.6155244659112</v>
      </c>
      <c r="AO211" s="121">
        <v>10445.963774318185</v>
      </c>
      <c r="AP211" s="121">
        <v>11918.231832170455</v>
      </c>
      <c r="AQ211" s="121">
        <v>6332.9820666392043</v>
      </c>
      <c r="AR211" s="121">
        <v>6369.9506200568194</v>
      </c>
      <c r="AS211" s="121">
        <v>6771.8504545994319</v>
      </c>
      <c r="AT211" s="121">
        <v>7327.1378014346601</v>
      </c>
      <c r="AU211" s="121">
        <v>7919.3937016875007</v>
      </c>
      <c r="AV211" s="121">
        <v>8474.681048522727</v>
      </c>
      <c r="AW211" s="121">
        <v>6925.2379668920457</v>
      </c>
      <c r="AX211" s="121">
        <v>7004.688372349432</v>
      </c>
      <c r="AY211" s="121">
        <v>8286.5090131022753</v>
      </c>
      <c r="AZ211" s="121">
        <v>8612.2877105198895</v>
      </c>
      <c r="BA211" s="121">
        <v>10476.203145647731</v>
      </c>
      <c r="BB211" s="121">
        <v>11955.038388775571</v>
      </c>
      <c r="BC211" s="121">
        <v>6323.956291474773</v>
      </c>
      <c r="BD211" s="121">
        <v>6361.7694281534668</v>
      </c>
      <c r="BE211" s="121">
        <v>6763.372028900284</v>
      </c>
      <c r="BF211" s="121">
        <v>7320.3485422576723</v>
      </c>
      <c r="BG211" s="121">
        <v>7915.1381922937508</v>
      </c>
      <c r="BH211" s="121">
        <v>8472.1147056511363</v>
      </c>
      <c r="BI211" s="121">
        <v>6918.7459415108533</v>
      </c>
      <c r="BJ211" s="121">
        <v>6998.493580764034</v>
      </c>
      <c r="BK211" s="121">
        <v>8278.2807030726144</v>
      </c>
      <c r="BL211" s="121">
        <v>8604.9039837513083</v>
      </c>
      <c r="BM211" s="121">
        <v>10472.494985719262</v>
      </c>
      <c r="BN211" s="121">
        <v>11955.005795687221</v>
      </c>
      <c r="BO211" s="121">
        <v>6320.9953428335102</v>
      </c>
      <c r="BP211" s="132"/>
      <c r="BQ211" s="128"/>
    </row>
    <row r="212" spans="2:69" ht="12" customHeight="1" outlineLevel="1">
      <c r="B212" s="160"/>
      <c r="C212" s="101" t="s">
        <v>73</v>
      </c>
      <c r="D212" s="186">
        <v>180</v>
      </c>
      <c r="E212" s="211" t="s">
        <v>74</v>
      </c>
      <c r="F212" s="109" t="s">
        <v>71</v>
      </c>
      <c r="G212" s="132"/>
      <c r="H212" s="121">
        <v>6798.333333333333</v>
      </c>
      <c r="I212" s="121">
        <v>6751.5972222222226</v>
      </c>
      <c r="J212" s="121">
        <v>7187.9861111111113</v>
      </c>
      <c r="K212" s="121">
        <v>7794.5138888888887</v>
      </c>
      <c r="L212" s="121">
        <v>8354.3055555555547</v>
      </c>
      <c r="M212" s="121">
        <v>8960.8333333333339</v>
      </c>
      <c r="N212" s="121">
        <v>7358.125</v>
      </c>
      <c r="O212" s="121">
        <v>7621.7361111111113</v>
      </c>
      <c r="P212" s="121">
        <v>8994.0277777777792</v>
      </c>
      <c r="Q212" s="121">
        <v>9367.2916666666679</v>
      </c>
      <c r="R212" s="121">
        <v>11823.958333333334</v>
      </c>
      <c r="S212" s="121">
        <v>13720.625</v>
      </c>
      <c r="T212" s="121">
        <v>7069.4864583333338</v>
      </c>
      <c r="U212" s="121">
        <v>7015.2274305555557</v>
      </c>
      <c r="V212" s="121">
        <v>7469.6090277777776</v>
      </c>
      <c r="W212" s="121">
        <v>8103.0909722222223</v>
      </c>
      <c r="X212" s="121">
        <v>8682.3138888888898</v>
      </c>
      <c r="Y212" s="121">
        <v>9315.7958333333336</v>
      </c>
      <c r="Z212" s="121">
        <v>7648.7093750000004</v>
      </c>
      <c r="AA212" s="121">
        <v>7936.3277777777776</v>
      </c>
      <c r="AB212" s="121">
        <v>9362.9131944444453</v>
      </c>
      <c r="AC212" s="121">
        <v>9753.8541666666679</v>
      </c>
      <c r="AD212" s="121">
        <v>12347.236458333333</v>
      </c>
      <c r="AE212" s="121">
        <v>14347.018750000003</v>
      </c>
      <c r="AF212" s="121">
        <v>7213.4044791666674</v>
      </c>
      <c r="AG212" s="121">
        <v>7159.8359861111112</v>
      </c>
      <c r="AH212" s="121">
        <v>7623.8121180555563</v>
      </c>
      <c r="AI212" s="121">
        <v>8273.5151319444449</v>
      </c>
      <c r="AJ212" s="121">
        <v>8869.6496527777781</v>
      </c>
      <c r="AK212" s="121">
        <v>9519.3526666666658</v>
      </c>
      <c r="AL212" s="121">
        <v>7809.5389999999998</v>
      </c>
      <c r="AM212" s="121">
        <v>8102.4028680555557</v>
      </c>
      <c r="AN212" s="121">
        <v>9557.7718888888885</v>
      </c>
      <c r="AO212" s="121">
        <v>9958.3073958333352</v>
      </c>
      <c r="AP212" s="121">
        <v>12610.153291666667</v>
      </c>
      <c r="AQ212" s="121">
        <v>14656.527187500003</v>
      </c>
      <c r="AR212" s="121">
        <v>7225.0178510416663</v>
      </c>
      <c r="AS212" s="121">
        <v>7173.0271640277779</v>
      </c>
      <c r="AT212" s="121">
        <v>7637.9466957638879</v>
      </c>
      <c r="AU212" s="121">
        <v>8290.8053217361121</v>
      </c>
      <c r="AV212" s="121">
        <v>8891.6732606944461</v>
      </c>
      <c r="AW212" s="121">
        <v>9544.5318866666657</v>
      </c>
      <c r="AX212" s="121">
        <v>7825.8857900000012</v>
      </c>
      <c r="AY212" s="121">
        <v>8117.8062582638895</v>
      </c>
      <c r="AZ212" s="121">
        <v>9575.371072222224</v>
      </c>
      <c r="BA212" s="121">
        <v>9977.4843852083341</v>
      </c>
      <c r="BB212" s="121">
        <v>12634.698105416666</v>
      </c>
      <c r="BC212" s="121">
        <v>14686.439825625004</v>
      </c>
      <c r="BD212" s="121">
        <v>7214.5731654270839</v>
      </c>
      <c r="BE212" s="121">
        <v>7163.079484195141</v>
      </c>
      <c r="BF212" s="121">
        <v>7627.5539284319466</v>
      </c>
      <c r="BG212" s="121">
        <v>8281.4065659680564</v>
      </c>
      <c r="BH212" s="121">
        <v>8883.7655222722242</v>
      </c>
      <c r="BI212" s="121">
        <v>9537.6181598083331</v>
      </c>
      <c r="BJ212" s="121">
        <v>7816.9321217312518</v>
      </c>
      <c r="BK212" s="121">
        <v>8109.2976774944455</v>
      </c>
      <c r="BL212" s="121">
        <v>9564.585135673613</v>
      </c>
      <c r="BM212" s="121">
        <v>9967.1954544416694</v>
      </c>
      <c r="BN212" s="121">
        <v>12626.842285277084</v>
      </c>
      <c r="BO212" s="121">
        <v>14681.017116112502</v>
      </c>
      <c r="BP212" s="132"/>
      <c r="BQ212" s="128"/>
    </row>
    <row r="213" spans="2:69" ht="12" customHeight="1" outlineLevel="1">
      <c r="B213" s="160"/>
      <c r="C213" s="101" t="s">
        <v>75</v>
      </c>
      <c r="D213" s="186">
        <v>15</v>
      </c>
      <c r="E213" s="211" t="s">
        <v>76</v>
      </c>
      <c r="F213" s="109" t="s">
        <v>71</v>
      </c>
      <c r="G213" s="132"/>
      <c r="H213" s="121">
        <v>3866.356060606061</v>
      </c>
      <c r="I213" s="121">
        <v>3892.1464646464651</v>
      </c>
      <c r="J213" s="121">
        <v>4136.4368686868693</v>
      </c>
      <c r="K213" s="121">
        <v>4468.0176767676767</v>
      </c>
      <c r="L213" s="121">
        <v>4825.3888888888896</v>
      </c>
      <c r="M213" s="121">
        <v>5156.969696969697</v>
      </c>
      <c r="N213" s="121">
        <v>4223.727272727273</v>
      </c>
      <c r="O213" s="121">
        <v>4259.4368686868693</v>
      </c>
      <c r="P213" s="121">
        <v>5042.8080808080813</v>
      </c>
      <c r="Q213" s="121">
        <v>5236.5984848484841</v>
      </c>
      <c r="R213" s="121">
        <v>6327.469696969697</v>
      </c>
      <c r="S213" s="121">
        <v>7194.340909090909</v>
      </c>
      <c r="T213" s="121">
        <v>4000.9418181818182</v>
      </c>
      <c r="U213" s="121">
        <v>4025.3047727272728</v>
      </c>
      <c r="V213" s="121">
        <v>4278.500227272727</v>
      </c>
      <c r="W213" s="121">
        <v>4624.0261363636364</v>
      </c>
      <c r="X213" s="121">
        <v>4993.915</v>
      </c>
      <c r="Y213" s="121">
        <v>5339.4409090909085</v>
      </c>
      <c r="Z213" s="121">
        <v>4370.8306818181827</v>
      </c>
      <c r="AA213" s="121">
        <v>4414.4352272727274</v>
      </c>
      <c r="AB213" s="121">
        <v>5224.7740909090917</v>
      </c>
      <c r="AC213" s="121">
        <v>5427.2170454545449</v>
      </c>
      <c r="AD213" s="121">
        <v>6577.3934090909088</v>
      </c>
      <c r="AE213" s="121">
        <v>7490.1297727272731</v>
      </c>
      <c r="AF213" s="121">
        <v>4078.5095340909093</v>
      </c>
      <c r="AG213" s="121">
        <v>4104.48206969697</v>
      </c>
      <c r="AH213" s="121">
        <v>4362.8487053030303</v>
      </c>
      <c r="AI213" s="121">
        <v>4717.5297765151518</v>
      </c>
      <c r="AJ213" s="121">
        <v>5098.1833833333339</v>
      </c>
      <c r="AK213" s="121">
        <v>5452.8644545454554</v>
      </c>
      <c r="AL213" s="121">
        <v>4459.1631409090915</v>
      </c>
      <c r="AM213" s="121">
        <v>4503.5325053030301</v>
      </c>
      <c r="AN213" s="121">
        <v>5329.3849121212124</v>
      </c>
      <c r="AO213" s="121">
        <v>5536.999047727274</v>
      </c>
      <c r="AP213" s="121">
        <v>6714.5609545454545</v>
      </c>
      <c r="AQ213" s="121">
        <v>7649.9340613636368</v>
      </c>
      <c r="AR213" s="121">
        <v>4085.1148301136368</v>
      </c>
      <c r="AS213" s="121">
        <v>4112.170583787879</v>
      </c>
      <c r="AT213" s="121">
        <v>4371.1129124621211</v>
      </c>
      <c r="AU213" s="121">
        <v>4727.9604198106063</v>
      </c>
      <c r="AV213" s="121">
        <v>5111.863680833334</v>
      </c>
      <c r="AW213" s="121">
        <v>5468.7111881818182</v>
      </c>
      <c r="AX213" s="121">
        <v>4469.018091136365</v>
      </c>
      <c r="AY213" s="121">
        <v>4512.8117624621218</v>
      </c>
      <c r="AZ213" s="121">
        <v>5339.8837234848488</v>
      </c>
      <c r="BA213" s="121">
        <v>5548.5810771590914</v>
      </c>
      <c r="BB213" s="121">
        <v>6729.9001631818201</v>
      </c>
      <c r="BC213" s="121">
        <v>7669.0304492045461</v>
      </c>
      <c r="BD213" s="121">
        <v>4077.0868930681818</v>
      </c>
      <c r="BE213" s="121">
        <v>4104.5621054643943</v>
      </c>
      <c r="BF213" s="121">
        <v>4363.1702182356057</v>
      </c>
      <c r="BG213" s="121">
        <v>4720.8566430280307</v>
      </c>
      <c r="BH213" s="121">
        <v>5106.0182802166673</v>
      </c>
      <c r="BI213" s="121">
        <v>5463.7047050090914</v>
      </c>
      <c r="BJ213" s="121">
        <v>4462.2485302568184</v>
      </c>
      <c r="BK213" s="121">
        <v>4506.376417485606</v>
      </c>
      <c r="BL213" s="121">
        <v>5331.6920561742427</v>
      </c>
      <c r="BM213" s="121">
        <v>5540.8088685704552</v>
      </c>
      <c r="BN213" s="121">
        <v>6724.1400053840916</v>
      </c>
      <c r="BO213" s="121">
        <v>7665.2823421977291</v>
      </c>
      <c r="BP213" s="132"/>
      <c r="BQ213" s="128"/>
    </row>
    <row r="214" spans="2:69" ht="12" customHeight="1" outlineLevel="1">
      <c r="B214" s="160"/>
      <c r="C214" s="101" t="s">
        <v>77</v>
      </c>
      <c r="D214" s="212">
        <v>14</v>
      </c>
      <c r="E214" s="213" t="s">
        <v>76</v>
      </c>
      <c r="F214" s="109" t="s">
        <v>71</v>
      </c>
      <c r="G214" s="132"/>
      <c r="H214" s="121">
        <v>4142.5243506493507</v>
      </c>
      <c r="I214" s="121">
        <v>4170.1569264069267</v>
      </c>
      <c r="J214" s="121">
        <v>4431.8966450216458</v>
      </c>
      <c r="K214" s="121">
        <v>4787.1617965367968</v>
      </c>
      <c r="L214" s="121">
        <v>5170.0595238095248</v>
      </c>
      <c r="M214" s="121">
        <v>5525.3246753246758</v>
      </c>
      <c r="N214" s="121">
        <v>4525.4220779220777</v>
      </c>
      <c r="O214" s="121">
        <v>4563.6823593073595</v>
      </c>
      <c r="P214" s="121">
        <v>5403.0086580086581</v>
      </c>
      <c r="Q214" s="121">
        <v>5610.6412337662332</v>
      </c>
      <c r="R214" s="121">
        <v>6779.431818181818</v>
      </c>
      <c r="S214" s="121">
        <v>7708.2224025974019</v>
      </c>
      <c r="T214" s="121">
        <v>4286.7233766233767</v>
      </c>
      <c r="U214" s="121">
        <v>4312.826542207792</v>
      </c>
      <c r="V214" s="121">
        <v>4584.1073863636366</v>
      </c>
      <c r="W214" s="121">
        <v>4954.3137175324673</v>
      </c>
      <c r="X214" s="121">
        <v>5350.6232142857143</v>
      </c>
      <c r="Y214" s="121">
        <v>5720.829545454545</v>
      </c>
      <c r="Z214" s="121">
        <v>4683.0328733766237</v>
      </c>
      <c r="AA214" s="121">
        <v>4729.7520292207791</v>
      </c>
      <c r="AB214" s="121">
        <v>5597.9722402597408</v>
      </c>
      <c r="AC214" s="121">
        <v>5814.8754058441555</v>
      </c>
      <c r="AD214" s="121">
        <v>7047.207224025974</v>
      </c>
      <c r="AE214" s="121">
        <v>8025.139042207792</v>
      </c>
      <c r="AF214" s="121">
        <v>4369.831643668831</v>
      </c>
      <c r="AG214" s="121">
        <v>4397.6593603896108</v>
      </c>
      <c r="AH214" s="121">
        <v>4674.4807556818187</v>
      </c>
      <c r="AI214" s="121">
        <v>5054.496189123377</v>
      </c>
      <c r="AJ214" s="121">
        <v>5462.3393392857151</v>
      </c>
      <c r="AK214" s="121">
        <v>5842.3547727272735</v>
      </c>
      <c r="AL214" s="121">
        <v>4777.6747938311692</v>
      </c>
      <c r="AM214" s="121">
        <v>4825.213398538961</v>
      </c>
      <c r="AN214" s="121">
        <v>5710.0552629870135</v>
      </c>
      <c r="AO214" s="121">
        <v>5932.4989797077933</v>
      </c>
      <c r="AP214" s="121">
        <v>7194.1724512987012</v>
      </c>
      <c r="AQ214" s="121">
        <v>8196.3579228896106</v>
      </c>
      <c r="AR214" s="121">
        <v>4376.9087465503253</v>
      </c>
      <c r="AS214" s="121">
        <v>4405.8970540584423</v>
      </c>
      <c r="AT214" s="121">
        <v>4683.3352633522727</v>
      </c>
      <c r="AU214" s="121">
        <v>5065.6718783685064</v>
      </c>
      <c r="AV214" s="121">
        <v>5476.9968008928572</v>
      </c>
      <c r="AW214" s="121">
        <v>5859.3334159090909</v>
      </c>
      <c r="AX214" s="121">
        <v>4788.2336690746761</v>
      </c>
      <c r="AY214" s="121">
        <v>4835.1554597808445</v>
      </c>
      <c r="AZ214" s="121">
        <v>5721.3039894480526</v>
      </c>
      <c r="BA214" s="121">
        <v>5944.9082969561696</v>
      </c>
      <c r="BB214" s="121">
        <v>7210.6073176948066</v>
      </c>
      <c r="BC214" s="121">
        <v>8216.8183384334425</v>
      </c>
      <c r="BD214" s="121">
        <v>4368.3073854301947</v>
      </c>
      <c r="BE214" s="121">
        <v>4397.7451129975652</v>
      </c>
      <c r="BF214" s="121">
        <v>4674.8252338238635</v>
      </c>
      <c r="BG214" s="121">
        <v>5058.0606889586043</v>
      </c>
      <c r="BH214" s="121">
        <v>5470.7338716607146</v>
      </c>
      <c r="BI214" s="121">
        <v>5853.9693267954553</v>
      </c>
      <c r="BJ214" s="121">
        <v>4780.9805681323051</v>
      </c>
      <c r="BK214" s="121">
        <v>4828.2604473060064</v>
      </c>
      <c r="BL214" s="121">
        <v>5712.5272030438309</v>
      </c>
      <c r="BM214" s="121">
        <v>5936.5809306112014</v>
      </c>
      <c r="BN214" s="121">
        <v>7204.4357200543836</v>
      </c>
      <c r="BO214" s="121">
        <v>8212.8025094975674</v>
      </c>
      <c r="BP214" s="132"/>
      <c r="BQ214" s="128"/>
    </row>
    <row r="215" spans="2:69" ht="12" customHeight="1" outlineLevel="1">
      <c r="C215" s="165" t="s">
        <v>78</v>
      </c>
      <c r="D215" s="111"/>
      <c r="E215" s="166"/>
      <c r="F215" s="167" t="s">
        <v>71</v>
      </c>
      <c r="G215" s="191"/>
      <c r="H215" s="214">
        <f t="shared" ref="H215:AM215" si="30">SUM(H209:H214)</f>
        <v>25831.47277236652</v>
      </c>
      <c r="I215" s="214">
        <f t="shared" si="30"/>
        <v>26531.483877164505</v>
      </c>
      <c r="J215" s="214">
        <f t="shared" si="30"/>
        <v>28416.783860930736</v>
      </c>
      <c r="K215" s="214">
        <f t="shared" si="30"/>
        <v>30716.379056637808</v>
      </c>
      <c r="L215" s="214">
        <f t="shared" si="30"/>
        <v>32959.320634920638</v>
      </c>
      <c r="M215" s="214">
        <f t="shared" si="30"/>
        <v>31610.267705627706</v>
      </c>
      <c r="N215" s="214">
        <f t="shared" si="30"/>
        <v>28197.290114538238</v>
      </c>
      <c r="O215" s="214">
        <f t="shared" si="30"/>
        <v>30755.107561327564</v>
      </c>
      <c r="P215" s="214">
        <f t="shared" si="30"/>
        <v>34303.157224927854</v>
      </c>
      <c r="Q215" s="214">
        <f t="shared" si="30"/>
        <v>38229.161801948052</v>
      </c>
      <c r="R215" s="214">
        <f t="shared" si="30"/>
        <v>45443.847973484852</v>
      </c>
      <c r="S215" s="214">
        <f t="shared" si="30"/>
        <v>39977.988274188312</v>
      </c>
      <c r="T215" s="214">
        <f t="shared" si="30"/>
        <v>26771.279326055195</v>
      </c>
      <c r="U215" s="214">
        <f t="shared" si="30"/>
        <v>27486.882397573954</v>
      </c>
      <c r="V215" s="214">
        <f t="shared" si="30"/>
        <v>29449.567714330809</v>
      </c>
      <c r="W215" s="214">
        <f t="shared" si="30"/>
        <v>31841.937030284993</v>
      </c>
      <c r="X215" s="214">
        <f t="shared" si="30"/>
        <v>34171.185728174605</v>
      </c>
      <c r="Y215" s="214">
        <f t="shared" si="30"/>
        <v>32774.021381628787</v>
      </c>
      <c r="Z215" s="214">
        <f t="shared" si="30"/>
        <v>29246.304044778139</v>
      </c>
      <c r="AA215" s="214">
        <f t="shared" si="30"/>
        <v>31923.39915510462</v>
      </c>
      <c r="AB215" s="214">
        <f t="shared" si="30"/>
        <v>35606.974556863279</v>
      </c>
      <c r="AC215" s="214">
        <f t="shared" si="30"/>
        <v>39741.933311715373</v>
      </c>
      <c r="AD215" s="214">
        <f t="shared" si="30"/>
        <v>47350.357847700223</v>
      </c>
      <c r="AE215" s="214">
        <f t="shared" si="30"/>
        <v>41446.387105247566</v>
      </c>
      <c r="AF215" s="214">
        <f t="shared" si="30"/>
        <v>27310.077482176406</v>
      </c>
      <c r="AG215" s="214">
        <f t="shared" si="30"/>
        <v>28044.991859135189</v>
      </c>
      <c r="AH215" s="214">
        <f t="shared" si="30"/>
        <v>30055.096031852907</v>
      </c>
      <c r="AI215" s="214">
        <f t="shared" si="30"/>
        <v>32514.667845207976</v>
      </c>
      <c r="AJ215" s="214">
        <f t="shared" si="30"/>
        <v>34910.23913289683</v>
      </c>
      <c r="AK215" s="214">
        <f t="shared" si="30"/>
        <v>33473.843729064392</v>
      </c>
      <c r="AL215" s="214">
        <f t="shared" si="30"/>
        <v>29853.441592177762</v>
      </c>
      <c r="AM215" s="214">
        <f t="shared" si="30"/>
        <v>32583.226351147547</v>
      </c>
      <c r="AN215" s="214">
        <f t="shared" ref="AN215:BS215" si="31">SUM(AN209:AN214)</f>
        <v>36343.007192184617</v>
      </c>
      <c r="AO215" s="214">
        <f t="shared" si="31"/>
        <v>40578.739009518409</v>
      </c>
      <c r="AP215" s="214">
        <f t="shared" si="31"/>
        <v>48368.978389823329</v>
      </c>
      <c r="AQ215" s="214">
        <f t="shared" si="31"/>
        <v>42113.286293925128</v>
      </c>
      <c r="AR215" s="214">
        <f t="shared" si="31"/>
        <v>27365.28423114313</v>
      </c>
      <c r="AS215" s="214">
        <f t="shared" si="31"/>
        <v>28106.153968639726</v>
      </c>
      <c r="AT215" s="214">
        <f t="shared" si="31"/>
        <v>30125.48084087516</v>
      </c>
      <c r="AU215" s="214">
        <f t="shared" si="31"/>
        <v>32603.326073008975</v>
      </c>
      <c r="AV215" s="214">
        <f t="shared" si="31"/>
        <v>35017.448998045635</v>
      </c>
      <c r="AW215" s="214">
        <f t="shared" si="31"/>
        <v>33568.846096726324</v>
      </c>
      <c r="AX215" s="214">
        <f t="shared" si="31"/>
        <v>29925.066232851663</v>
      </c>
      <c r="AY215" s="214">
        <f t="shared" si="31"/>
        <v>32657.706671194363</v>
      </c>
      <c r="AZ215" s="214">
        <f t="shared" si="31"/>
        <v>36425.752921108258</v>
      </c>
      <c r="BA215" s="214">
        <f t="shared" si="31"/>
        <v>40677.346193011101</v>
      </c>
      <c r="BB215" s="214">
        <f t="shared" si="31"/>
        <v>48492.775965715169</v>
      </c>
      <c r="BC215" s="214">
        <f t="shared" si="31"/>
        <v>42166.208480966743</v>
      </c>
      <c r="BD215" s="214">
        <f t="shared" si="31"/>
        <v>27323.211395540151</v>
      </c>
      <c r="BE215" s="214">
        <f t="shared" si="31"/>
        <v>28064.90208897429</v>
      </c>
      <c r="BF215" s="214">
        <f t="shared" si="31"/>
        <v>30086.188374630481</v>
      </c>
      <c r="BG215" s="214">
        <f t="shared" si="31"/>
        <v>32571.410583826568</v>
      </c>
      <c r="BH215" s="214">
        <f t="shared" si="31"/>
        <v>34992.727967843355</v>
      </c>
      <c r="BI215" s="214">
        <f t="shared" si="31"/>
        <v>33539.659751049447</v>
      </c>
      <c r="BJ215" s="214">
        <f t="shared" si="31"/>
        <v>29890.732784854437</v>
      </c>
      <c r="BK215" s="214">
        <f t="shared" si="31"/>
        <v>32620.782497919179</v>
      </c>
      <c r="BL215" s="214">
        <f t="shared" si="31"/>
        <v>36384.461698435749</v>
      </c>
      <c r="BM215" s="214">
        <f t="shared" si="31"/>
        <v>40644.159394108639</v>
      </c>
      <c r="BN215" s="214">
        <f t="shared" si="31"/>
        <v>48472.928636142125</v>
      </c>
      <c r="BO215" s="214">
        <f t="shared" si="31"/>
        <v>42147.593429669236</v>
      </c>
      <c r="BP215" s="215">
        <f t="shared" si="31"/>
        <v>0</v>
      </c>
    </row>
    <row r="216" spans="2:69" ht="12" customHeight="1" outlineLevel="1">
      <c r="B216" s="160"/>
      <c r="D216" s="216"/>
      <c r="E216" s="217"/>
      <c r="G216" s="132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  <c r="AC216" s="121"/>
      <c r="AD216" s="121"/>
      <c r="AE216" s="121"/>
      <c r="AF216" s="121"/>
      <c r="AG216" s="121"/>
      <c r="AH216" s="121"/>
      <c r="AI216" s="121"/>
      <c r="AJ216" s="121"/>
      <c r="AK216" s="121"/>
      <c r="AL216" s="121"/>
      <c r="AM216" s="121"/>
      <c r="AN216" s="121"/>
      <c r="AO216" s="121"/>
      <c r="AP216" s="121"/>
      <c r="AQ216" s="121"/>
      <c r="AR216" s="121"/>
      <c r="AS216" s="121"/>
      <c r="AT216" s="121"/>
      <c r="AU216" s="121"/>
      <c r="AV216" s="121"/>
      <c r="AW216" s="121"/>
      <c r="AX216" s="121"/>
      <c r="AY216" s="121"/>
      <c r="AZ216" s="121"/>
      <c r="BA216" s="121"/>
      <c r="BB216" s="121"/>
      <c r="BC216" s="121"/>
      <c r="BD216" s="121"/>
      <c r="BE216" s="121"/>
      <c r="BF216" s="121"/>
      <c r="BG216" s="121"/>
      <c r="BH216" s="121"/>
      <c r="BI216" s="121"/>
      <c r="BJ216" s="121"/>
      <c r="BK216" s="121"/>
      <c r="BL216" s="121"/>
      <c r="BM216" s="121"/>
      <c r="BN216" s="121"/>
      <c r="BO216" s="121"/>
      <c r="BP216" s="132"/>
      <c r="BQ216" s="128"/>
    </row>
    <row r="217" spans="2:69" outlineLevel="1"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32"/>
      <c r="BQ217" s="128"/>
    </row>
    <row r="218" spans="2:69" ht="12" customHeight="1" outlineLevel="1">
      <c r="B218" s="160" t="s">
        <v>79</v>
      </c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32"/>
      <c r="BQ218" s="128"/>
    </row>
    <row r="219" spans="2:69" ht="12" customHeight="1" outlineLevel="1">
      <c r="B219" s="160"/>
      <c r="C219" s="101" t="s">
        <v>69</v>
      </c>
      <c r="D219" s="184">
        <f>Assumptions!H9</f>
        <v>160</v>
      </c>
      <c r="E219" s="210" t="s">
        <v>80</v>
      </c>
      <c r="F219" s="109" t="s">
        <v>81</v>
      </c>
      <c r="G219" s="132"/>
      <c r="H219" s="121">
        <f t="array" ref="H219:BO223">H210:BO214/_xlfn.ANCHORARRAY(D219)</f>
        <v>31.318917692550503</v>
      </c>
      <c r="I219" s="121">
        <v>33.288588817866163</v>
      </c>
      <c r="J219" s="121">
        <v>35.967227943497477</v>
      </c>
      <c r="K219" s="121">
        <v>38.825811631944447</v>
      </c>
      <c r="L219" s="121">
        <v>41.504450757575754</v>
      </c>
      <c r="M219" s="121">
        <v>33.99755681818182</v>
      </c>
      <c r="N219" s="121">
        <v>34.346635692866158</v>
      </c>
      <c r="O219" s="121">
        <v>40.654125631313136</v>
      </c>
      <c r="P219" s="121">
        <v>42.225320194128791</v>
      </c>
      <c r="Q219" s="121">
        <v>51.17792732007576</v>
      </c>
      <c r="R219" s="121">
        <v>58.275534446022732</v>
      </c>
      <c r="S219" s="121">
        <v>32.257954438920457</v>
      </c>
      <c r="T219" s="121">
        <v>32.426499070785994</v>
      </c>
      <c r="U219" s="121">
        <v>34.470237647964019</v>
      </c>
      <c r="V219" s="121">
        <v>37.265201911695073</v>
      </c>
      <c r="W219" s="121">
        <v>40.228710807291669</v>
      </c>
      <c r="X219" s="121">
        <v>43.023675071022737</v>
      </c>
      <c r="Y219" s="121">
        <v>35.221463334517054</v>
      </c>
      <c r="Z219" s="121">
        <v>35.635599757339023</v>
      </c>
      <c r="AA219" s="121">
        <v>42.167284434185611</v>
      </c>
      <c r="AB219" s="121">
        <v>43.810554066051147</v>
      </c>
      <c r="AC219" s="121">
        <v>53.255644016335239</v>
      </c>
      <c r="AD219" s="121">
        <v>60.734433966619328</v>
      </c>
      <c r="AE219" s="121">
        <v>32.9093736940696</v>
      </c>
      <c r="AF219" s="121">
        <v>33.091851776278411</v>
      </c>
      <c r="AG219" s="121">
        <v>35.179018303799715</v>
      </c>
      <c r="AH219" s="121">
        <v>38.05100696821733</v>
      </c>
      <c r="AI219" s="121">
        <v>41.105473714843761</v>
      </c>
      <c r="AJ219" s="121">
        <v>43.977462379261368</v>
      </c>
      <c r="AK219" s="121">
        <v>35.963840440696025</v>
      </c>
      <c r="AL219" s="121">
        <v>36.383706413174721</v>
      </c>
      <c r="AM219" s="121">
        <v>43.045674941051132</v>
      </c>
      <c r="AN219" s="121">
        <v>44.732372523259954</v>
      </c>
      <c r="AO219" s="121">
        <v>54.406061324573876</v>
      </c>
      <c r="AP219" s="121">
        <v>62.074124125887792</v>
      </c>
      <c r="AQ219" s="121">
        <v>32.984281597079189</v>
      </c>
      <c r="AR219" s="121">
        <v>33.176826146129265</v>
      </c>
      <c r="AS219" s="121">
        <v>35.27005445103871</v>
      </c>
      <c r="AT219" s="121">
        <v>38.162176049138857</v>
      </c>
      <c r="AU219" s="121">
        <v>41.246842196289066</v>
      </c>
      <c r="AV219" s="121">
        <v>44.138963794389198</v>
      </c>
      <c r="AW219" s="121">
        <v>36.068947744229405</v>
      </c>
      <c r="AX219" s="121">
        <v>36.482751939319954</v>
      </c>
      <c r="AY219" s="121">
        <v>43.158901109907681</v>
      </c>
      <c r="AZ219" s="121">
        <v>44.855665158957756</v>
      </c>
      <c r="BA219" s="121">
        <v>54.563558050248595</v>
      </c>
      <c r="BB219" s="121">
        <v>62.265824941539435</v>
      </c>
      <c r="BC219" s="121">
        <v>32.937272351431105</v>
      </c>
      <c r="BD219" s="121">
        <v>33.13421577163264</v>
      </c>
      <c r="BE219" s="121">
        <v>35.225895983855644</v>
      </c>
      <c r="BF219" s="121">
        <v>38.126815324258708</v>
      </c>
      <c r="BG219" s="121">
        <v>41.224678084863285</v>
      </c>
      <c r="BH219" s="121">
        <v>44.125597425266342</v>
      </c>
      <c r="BI219" s="121">
        <v>36.03513511203569</v>
      </c>
      <c r="BJ219" s="121">
        <v>36.45048739981268</v>
      </c>
      <c r="BK219" s="121">
        <v>43.116045328503205</v>
      </c>
      <c r="BL219" s="121">
        <v>44.817208248704738</v>
      </c>
      <c r="BM219" s="121">
        <v>54.544244717287825</v>
      </c>
      <c r="BN219" s="121">
        <v>62.265655185870934</v>
      </c>
      <c r="BO219" s="121">
        <v>32.921850743924537</v>
      </c>
      <c r="BP219" s="132"/>
      <c r="BQ219" s="128"/>
    </row>
    <row r="220" spans="2:69" ht="12" customHeight="1" outlineLevel="1">
      <c r="B220" s="160"/>
      <c r="C220" s="101" t="s">
        <v>72</v>
      </c>
      <c r="D220" s="186">
        <f>Assumptions!H9</f>
        <v>160</v>
      </c>
      <c r="E220" s="211" t="s">
        <v>80</v>
      </c>
      <c r="F220" s="109" t="s">
        <v>81</v>
      </c>
      <c r="G220" s="132"/>
      <c r="H220" s="121">
        <v>37.582701231060597</v>
      </c>
      <c r="I220" s="121">
        <v>39.946306581439394</v>
      </c>
      <c r="J220" s="121">
        <v>43.160673532196974</v>
      </c>
      <c r="K220" s="121">
        <v>46.590973958333336</v>
      </c>
      <c r="L220" s="121">
        <v>49.805340909090908</v>
      </c>
      <c r="M220" s="121">
        <v>40.797068181818183</v>
      </c>
      <c r="N220" s="121">
        <v>41.215962831439391</v>
      </c>
      <c r="O220" s="121">
        <v>48.784950757575764</v>
      </c>
      <c r="P220" s="121">
        <v>50.670384232954547</v>
      </c>
      <c r="Q220" s="121">
        <v>61.413512784090905</v>
      </c>
      <c r="R220" s="121">
        <v>69.930641335227278</v>
      </c>
      <c r="S220" s="121">
        <v>38.709545326704543</v>
      </c>
      <c r="T220" s="121">
        <v>38.911798884943188</v>
      </c>
      <c r="U220" s="121">
        <v>41.364285177556823</v>
      </c>
      <c r="V220" s="121">
        <v>44.718242294034084</v>
      </c>
      <c r="W220" s="121">
        <v>48.274452968749998</v>
      </c>
      <c r="X220" s="121">
        <v>51.62841008522728</v>
      </c>
      <c r="Y220" s="121">
        <v>42.265756001420456</v>
      </c>
      <c r="Z220" s="121">
        <v>42.762719708806827</v>
      </c>
      <c r="AA220" s="121">
        <v>50.600741321022738</v>
      </c>
      <c r="AB220" s="121">
        <v>52.572664879261382</v>
      </c>
      <c r="AC220" s="121">
        <v>63.906772819602281</v>
      </c>
      <c r="AD220" s="121">
        <v>72.881320759943193</v>
      </c>
      <c r="AE220" s="121">
        <v>39.491248432883523</v>
      </c>
      <c r="AF220" s="121">
        <v>39.710222131534088</v>
      </c>
      <c r="AG220" s="121">
        <v>42.214821964559661</v>
      </c>
      <c r="AH220" s="121">
        <v>45.661208361860801</v>
      </c>
      <c r="AI220" s="121">
        <v>49.326568457812513</v>
      </c>
      <c r="AJ220" s="121">
        <v>52.772954855113639</v>
      </c>
      <c r="AK220" s="121">
        <v>43.156608528835235</v>
      </c>
      <c r="AL220" s="121">
        <v>43.660447695809658</v>
      </c>
      <c r="AM220" s="121">
        <v>51.654809929261361</v>
      </c>
      <c r="AN220" s="121">
        <v>53.678847027911942</v>
      </c>
      <c r="AO220" s="121">
        <v>65.287273589488649</v>
      </c>
      <c r="AP220" s="121">
        <v>74.488948951065339</v>
      </c>
      <c r="AQ220" s="121">
        <v>39.581137916495024</v>
      </c>
      <c r="AR220" s="121">
        <v>39.81219137535512</v>
      </c>
      <c r="AS220" s="121">
        <v>42.324065341246452</v>
      </c>
      <c r="AT220" s="121">
        <v>45.794611258966626</v>
      </c>
      <c r="AU220" s="121">
        <v>49.49621063554688</v>
      </c>
      <c r="AV220" s="121">
        <v>52.966756553267047</v>
      </c>
      <c r="AW220" s="121">
        <v>43.282737293075286</v>
      </c>
      <c r="AX220" s="121">
        <v>43.779302327183949</v>
      </c>
      <c r="AY220" s="121">
        <v>51.790681331889218</v>
      </c>
      <c r="AZ220" s="121">
        <v>53.826798190749308</v>
      </c>
      <c r="BA220" s="121">
        <v>65.476269660298314</v>
      </c>
      <c r="BB220" s="121">
        <v>74.718989929847311</v>
      </c>
      <c r="BC220" s="121">
        <v>39.52472682171733</v>
      </c>
      <c r="BD220" s="121">
        <v>39.761058925959169</v>
      </c>
      <c r="BE220" s="121">
        <v>42.271075180626774</v>
      </c>
      <c r="BF220" s="121">
        <v>45.752178389110455</v>
      </c>
      <c r="BG220" s="121">
        <v>49.469613701835939</v>
      </c>
      <c r="BH220" s="121">
        <v>52.950716910319599</v>
      </c>
      <c r="BI220" s="121">
        <v>43.242162134442836</v>
      </c>
      <c r="BJ220" s="121">
        <v>43.740584879775213</v>
      </c>
      <c r="BK220" s="121">
        <v>51.73925439420384</v>
      </c>
      <c r="BL220" s="121">
        <v>53.780649898445674</v>
      </c>
      <c r="BM220" s="121">
        <v>65.453093660745395</v>
      </c>
      <c r="BN220" s="121">
        <v>74.718786223045129</v>
      </c>
      <c r="BO220" s="121">
        <v>39.506220892709436</v>
      </c>
      <c r="BP220" s="132"/>
      <c r="BQ220" s="128"/>
    </row>
    <row r="221" spans="2:69" ht="12" customHeight="1" outlineLevel="1">
      <c r="B221" s="160"/>
      <c r="C221" s="101" t="s">
        <v>73</v>
      </c>
      <c r="D221" s="186">
        <f>Assumptions!H9</f>
        <v>160</v>
      </c>
      <c r="E221" s="211" t="s">
        <v>80</v>
      </c>
      <c r="F221" s="109" t="s">
        <v>81</v>
      </c>
      <c r="G221" s="132"/>
      <c r="H221" s="121">
        <v>42.489583333333329</v>
      </c>
      <c r="I221" s="121">
        <v>42.197482638888893</v>
      </c>
      <c r="J221" s="121">
        <v>44.924913194444443</v>
      </c>
      <c r="K221" s="121">
        <v>48.715711805555557</v>
      </c>
      <c r="L221" s="121">
        <v>52.214409722222214</v>
      </c>
      <c r="M221" s="121">
        <v>56.005208333333336</v>
      </c>
      <c r="N221" s="121">
        <v>45.98828125</v>
      </c>
      <c r="O221" s="121">
        <v>47.635850694444443</v>
      </c>
      <c r="P221" s="121">
        <v>56.212673611111121</v>
      </c>
      <c r="Q221" s="121">
        <v>58.545572916666671</v>
      </c>
      <c r="R221" s="121">
        <v>73.899739583333343</v>
      </c>
      <c r="S221" s="121">
        <v>85.75390625</v>
      </c>
      <c r="T221" s="121">
        <v>44.184290364583333</v>
      </c>
      <c r="U221" s="121">
        <v>43.845171440972223</v>
      </c>
      <c r="V221" s="121">
        <v>46.685056423611108</v>
      </c>
      <c r="W221" s="121">
        <v>50.644318576388891</v>
      </c>
      <c r="X221" s="121">
        <v>54.264461805555563</v>
      </c>
      <c r="Y221" s="121">
        <v>58.223723958333338</v>
      </c>
      <c r="Z221" s="121">
        <v>47.804433593750005</v>
      </c>
      <c r="AA221" s="121">
        <v>49.602048611111108</v>
      </c>
      <c r="AB221" s="121">
        <v>58.518207465277783</v>
      </c>
      <c r="AC221" s="121">
        <v>60.961588541666671</v>
      </c>
      <c r="AD221" s="121">
        <v>77.170227864583325</v>
      </c>
      <c r="AE221" s="121">
        <v>89.668867187500013</v>
      </c>
      <c r="AF221" s="121">
        <v>45.083777994791674</v>
      </c>
      <c r="AG221" s="121">
        <v>44.748974913194445</v>
      </c>
      <c r="AH221" s="121">
        <v>47.648825737847226</v>
      </c>
      <c r="AI221" s="121">
        <v>51.709469574652779</v>
      </c>
      <c r="AJ221" s="121">
        <v>55.43531032986111</v>
      </c>
      <c r="AK221" s="121">
        <v>59.495954166666664</v>
      </c>
      <c r="AL221" s="121">
        <v>48.809618749999998</v>
      </c>
      <c r="AM221" s="121">
        <v>50.640017925347223</v>
      </c>
      <c r="AN221" s="121">
        <v>59.736074305555555</v>
      </c>
      <c r="AO221" s="121">
        <v>62.239421223958345</v>
      </c>
      <c r="AP221" s="121">
        <v>78.813458072916674</v>
      </c>
      <c r="AQ221" s="121">
        <v>91.603294921875019</v>
      </c>
      <c r="AR221" s="121">
        <v>45.156361569010414</v>
      </c>
      <c r="AS221" s="121">
        <v>44.831419775173615</v>
      </c>
      <c r="AT221" s="121">
        <v>47.737166848524296</v>
      </c>
      <c r="AU221" s="121">
        <v>51.817533260850702</v>
      </c>
      <c r="AV221" s="121">
        <v>55.572957879340287</v>
      </c>
      <c r="AW221" s="121">
        <v>59.653324291666664</v>
      </c>
      <c r="AX221" s="121">
        <v>48.911786187500006</v>
      </c>
      <c r="AY221" s="121">
        <v>50.736289114149308</v>
      </c>
      <c r="AZ221" s="121">
        <v>59.8460692013889</v>
      </c>
      <c r="BA221" s="121">
        <v>62.359277407552085</v>
      </c>
      <c r="BB221" s="121">
        <v>78.966863158854167</v>
      </c>
      <c r="BC221" s="121">
        <v>91.790248910156279</v>
      </c>
      <c r="BD221" s="121">
        <v>45.091082283919278</v>
      </c>
      <c r="BE221" s="121">
        <v>44.769246776219632</v>
      </c>
      <c r="BF221" s="121">
        <v>47.672212052699663</v>
      </c>
      <c r="BG221" s="121">
        <v>51.758791037300355</v>
      </c>
      <c r="BH221" s="121">
        <v>55.523534514201401</v>
      </c>
      <c r="BI221" s="121">
        <v>59.610113498802079</v>
      </c>
      <c r="BJ221" s="121">
        <v>48.855825760820323</v>
      </c>
      <c r="BK221" s="121">
        <v>50.683110484340283</v>
      </c>
      <c r="BL221" s="121">
        <v>59.778657097960078</v>
      </c>
      <c r="BM221" s="121">
        <v>62.294971590260431</v>
      </c>
      <c r="BN221" s="121">
        <v>78.917764282981778</v>
      </c>
      <c r="BO221" s="121">
        <v>91.756356975703142</v>
      </c>
      <c r="BP221" s="132"/>
      <c r="BQ221" s="128"/>
    </row>
    <row r="222" spans="2:69" ht="12" customHeight="1" outlineLevel="1">
      <c r="B222" s="160"/>
      <c r="C222" s="101" t="s">
        <v>75</v>
      </c>
      <c r="D222" s="186">
        <f>Assumptions!H9</f>
        <v>160</v>
      </c>
      <c r="E222" s="211" t="s">
        <v>80</v>
      </c>
      <c r="F222" s="109" t="s">
        <v>81</v>
      </c>
      <c r="G222" s="132"/>
      <c r="H222" s="121">
        <v>24.164725378787882</v>
      </c>
      <c r="I222" s="121">
        <v>24.325915404040408</v>
      </c>
      <c r="J222" s="121">
        <v>25.852730429292933</v>
      </c>
      <c r="K222" s="121">
        <v>27.925110479797979</v>
      </c>
      <c r="L222" s="121">
        <v>30.158680555555559</v>
      </c>
      <c r="M222" s="121">
        <v>32.231060606060609</v>
      </c>
      <c r="N222" s="121">
        <v>26.398295454545455</v>
      </c>
      <c r="O222" s="121">
        <v>26.621480429292934</v>
      </c>
      <c r="P222" s="121">
        <v>31.517550505050508</v>
      </c>
      <c r="Q222" s="121">
        <v>32.728740530303028</v>
      </c>
      <c r="R222" s="121">
        <v>39.546685606060606</v>
      </c>
      <c r="S222" s="121">
        <v>44.964630681818178</v>
      </c>
      <c r="T222" s="121">
        <v>25.005886363636364</v>
      </c>
      <c r="U222" s="121">
        <v>25.158154829545456</v>
      </c>
      <c r="V222" s="121">
        <v>26.740626420454543</v>
      </c>
      <c r="W222" s="121">
        <v>28.900163352272727</v>
      </c>
      <c r="X222" s="121">
        <v>31.21196875</v>
      </c>
      <c r="Y222" s="121">
        <v>33.371505681818178</v>
      </c>
      <c r="Z222" s="121">
        <v>27.317691761363641</v>
      </c>
      <c r="AA222" s="121">
        <v>27.590220170454547</v>
      </c>
      <c r="AB222" s="121">
        <v>32.654838068181824</v>
      </c>
      <c r="AC222" s="121">
        <v>33.920106534090905</v>
      </c>
      <c r="AD222" s="121">
        <v>41.108708806818179</v>
      </c>
      <c r="AE222" s="121">
        <v>46.813311079545457</v>
      </c>
      <c r="AF222" s="121">
        <v>25.490684588068184</v>
      </c>
      <c r="AG222" s="121">
        <v>25.653012935606064</v>
      </c>
      <c r="AH222" s="121">
        <v>27.267804408143938</v>
      </c>
      <c r="AI222" s="121">
        <v>29.484561103219697</v>
      </c>
      <c r="AJ222" s="121">
        <v>31.863646145833336</v>
      </c>
      <c r="AK222" s="121">
        <v>34.080402840909095</v>
      </c>
      <c r="AL222" s="121">
        <v>27.869769630681823</v>
      </c>
      <c r="AM222" s="121">
        <v>28.147078158143938</v>
      </c>
      <c r="AN222" s="121">
        <v>33.308655700757576</v>
      </c>
      <c r="AO222" s="121">
        <v>34.606244048295466</v>
      </c>
      <c r="AP222" s="121">
        <v>41.96600596590909</v>
      </c>
      <c r="AQ222" s="121">
        <v>47.812087883522729</v>
      </c>
      <c r="AR222" s="121">
        <v>25.53196768821023</v>
      </c>
      <c r="AS222" s="121">
        <v>25.701066148674244</v>
      </c>
      <c r="AT222" s="121">
        <v>27.319455702888256</v>
      </c>
      <c r="AU222" s="121">
        <v>29.549752623816289</v>
      </c>
      <c r="AV222" s="121">
        <v>31.949148005208336</v>
      </c>
      <c r="AW222" s="121">
        <v>34.179444926136362</v>
      </c>
      <c r="AX222" s="121">
        <v>27.931363069602281</v>
      </c>
      <c r="AY222" s="121">
        <v>28.205073515388261</v>
      </c>
      <c r="AZ222" s="121">
        <v>33.374273271780304</v>
      </c>
      <c r="BA222" s="121">
        <v>34.67863173224432</v>
      </c>
      <c r="BB222" s="121">
        <v>42.061876019886377</v>
      </c>
      <c r="BC222" s="121">
        <v>47.931440307528412</v>
      </c>
      <c r="BD222" s="121">
        <v>25.481793081676138</v>
      </c>
      <c r="BE222" s="121">
        <v>25.653513159152464</v>
      </c>
      <c r="BF222" s="121">
        <v>27.269813863972537</v>
      </c>
      <c r="BG222" s="121">
        <v>29.505354018925193</v>
      </c>
      <c r="BH222" s="121">
        <v>31.912614251354171</v>
      </c>
      <c r="BI222" s="121">
        <v>34.148154406306823</v>
      </c>
      <c r="BJ222" s="121">
        <v>27.889053314105116</v>
      </c>
      <c r="BK222" s="121">
        <v>28.164852609285038</v>
      </c>
      <c r="BL222" s="121">
        <v>33.323075351089017</v>
      </c>
      <c r="BM222" s="121">
        <v>34.630055428565342</v>
      </c>
      <c r="BN222" s="121">
        <v>42.025875033650571</v>
      </c>
      <c r="BO222" s="121">
        <v>47.908014638735807</v>
      </c>
      <c r="BP222" s="132"/>
      <c r="BQ222" s="128"/>
    </row>
    <row r="223" spans="2:69" ht="12" customHeight="1" outlineLevel="1">
      <c r="B223" s="160"/>
      <c r="C223" s="101" t="s">
        <v>77</v>
      </c>
      <c r="D223" s="212">
        <f>Assumptions!H9</f>
        <v>160</v>
      </c>
      <c r="E223" s="213" t="s">
        <v>80</v>
      </c>
      <c r="F223" s="109" t="s">
        <v>81</v>
      </c>
      <c r="G223" s="132"/>
      <c r="H223" s="121">
        <v>25.890777191558442</v>
      </c>
      <c r="I223" s="121">
        <v>26.063480790043293</v>
      </c>
      <c r="J223" s="121">
        <v>27.699354031385287</v>
      </c>
      <c r="K223" s="121">
        <v>29.919761228354979</v>
      </c>
      <c r="L223" s="121">
        <v>32.312872023809533</v>
      </c>
      <c r="M223" s="121">
        <v>34.533279220779221</v>
      </c>
      <c r="N223" s="121">
        <v>28.283887987012985</v>
      </c>
      <c r="O223" s="121">
        <v>28.523014745670999</v>
      </c>
      <c r="P223" s="121">
        <v>33.768804112554115</v>
      </c>
      <c r="Q223" s="121">
        <v>35.066507711038959</v>
      </c>
      <c r="R223" s="121">
        <v>42.37144886363636</v>
      </c>
      <c r="S223" s="121">
        <v>48.176390016233761</v>
      </c>
      <c r="T223" s="121">
        <v>26.792021103896104</v>
      </c>
      <c r="U223" s="121">
        <v>26.9551658887987</v>
      </c>
      <c r="V223" s="121">
        <v>28.650671164772728</v>
      </c>
      <c r="W223" s="121">
        <v>30.964460734577919</v>
      </c>
      <c r="X223" s="121">
        <v>33.441395089285713</v>
      </c>
      <c r="Y223" s="121">
        <v>35.755184659090908</v>
      </c>
      <c r="Z223" s="121">
        <v>29.268955458603898</v>
      </c>
      <c r="AA223" s="121">
        <v>29.56095018262987</v>
      </c>
      <c r="AB223" s="121">
        <v>34.987326501623379</v>
      </c>
      <c r="AC223" s="121">
        <v>36.342971286525973</v>
      </c>
      <c r="AD223" s="121">
        <v>44.045045150162338</v>
      </c>
      <c r="AE223" s="121">
        <v>50.157119013798699</v>
      </c>
      <c r="AF223" s="121">
        <v>27.311447772930194</v>
      </c>
      <c r="AG223" s="121">
        <v>27.485371002435066</v>
      </c>
      <c r="AH223" s="121">
        <v>29.215504723011367</v>
      </c>
      <c r="AI223" s="121">
        <v>31.590601182021107</v>
      </c>
      <c r="AJ223" s="121">
        <v>34.139620870535722</v>
      </c>
      <c r="AK223" s="121">
        <v>36.514717329545462</v>
      </c>
      <c r="AL223" s="121">
        <v>29.860467461444806</v>
      </c>
      <c r="AM223" s="121">
        <v>30.157583740868507</v>
      </c>
      <c r="AN223" s="121">
        <v>35.687845393668837</v>
      </c>
      <c r="AO223" s="121">
        <v>37.078118623173708</v>
      </c>
      <c r="AP223" s="121">
        <v>44.963577820616884</v>
      </c>
      <c r="AQ223" s="121">
        <v>51.227237018060066</v>
      </c>
      <c r="AR223" s="121">
        <v>27.355679665939533</v>
      </c>
      <c r="AS223" s="121">
        <v>27.536856587865266</v>
      </c>
      <c r="AT223" s="121">
        <v>29.270845395951703</v>
      </c>
      <c r="AU223" s="121">
        <v>31.660449239803164</v>
      </c>
      <c r="AV223" s="121">
        <v>34.231230005580358</v>
      </c>
      <c r="AW223" s="121">
        <v>36.620833849431818</v>
      </c>
      <c r="AX223" s="121">
        <v>29.926460431716727</v>
      </c>
      <c r="AY223" s="121">
        <v>30.219721623630278</v>
      </c>
      <c r="AZ223" s="121">
        <v>35.75814993405033</v>
      </c>
      <c r="BA223" s="121">
        <v>37.155676855976061</v>
      </c>
      <c r="BB223" s="121">
        <v>45.06629573559254</v>
      </c>
      <c r="BC223" s="121">
        <v>51.355114615209018</v>
      </c>
      <c r="BD223" s="121">
        <v>27.301921158938718</v>
      </c>
      <c r="BE223" s="121">
        <v>27.485906956234782</v>
      </c>
      <c r="BF223" s="121">
        <v>29.217657711399148</v>
      </c>
      <c r="BG223" s="121">
        <v>31.612879305991278</v>
      </c>
      <c r="BH223" s="121">
        <v>34.192086697879468</v>
      </c>
      <c r="BI223" s="121">
        <v>36.587308292471597</v>
      </c>
      <c r="BJ223" s="121">
        <v>29.881128550826908</v>
      </c>
      <c r="BK223" s="121">
        <v>30.17662779566254</v>
      </c>
      <c r="BL223" s="121">
        <v>35.70329501902394</v>
      </c>
      <c r="BM223" s="121">
        <v>37.103630816320006</v>
      </c>
      <c r="BN223" s="121">
        <v>45.027723250339896</v>
      </c>
      <c r="BO223" s="121">
        <v>51.330015684359793</v>
      </c>
      <c r="BP223" s="132"/>
      <c r="BQ223" s="128"/>
    </row>
    <row r="224" spans="2:69" ht="12" customHeight="1" outlineLevel="1">
      <c r="B224" s="160"/>
      <c r="C224" s="165" t="s">
        <v>82</v>
      </c>
      <c r="D224" s="111"/>
      <c r="E224" s="166"/>
      <c r="F224" s="167" t="s">
        <v>83</v>
      </c>
      <c r="G224" s="191"/>
      <c r="H224" s="214">
        <f t="shared" ref="H224:AM224" si="32">SUM(H218:H223)</f>
        <v>161.44670482729074</v>
      </c>
      <c r="I224" s="214">
        <f t="shared" si="32"/>
        <v>165.82177423227816</v>
      </c>
      <c r="J224" s="214">
        <f t="shared" si="32"/>
        <v>177.60489913081713</v>
      </c>
      <c r="K224" s="214">
        <f t="shared" si="32"/>
        <v>191.97736910398632</v>
      </c>
      <c r="L224" s="214">
        <f t="shared" si="32"/>
        <v>205.99575396825395</v>
      </c>
      <c r="M224" s="214">
        <f t="shared" si="32"/>
        <v>197.56417316017314</v>
      </c>
      <c r="N224" s="214">
        <f t="shared" si="32"/>
        <v>176.23306321586398</v>
      </c>
      <c r="O224" s="214">
        <f t="shared" si="32"/>
        <v>192.2194222582973</v>
      </c>
      <c r="P224" s="214">
        <f t="shared" si="32"/>
        <v>214.39473265579906</v>
      </c>
      <c r="Q224" s="214">
        <f t="shared" si="32"/>
        <v>238.93226126217533</v>
      </c>
      <c r="R224" s="214">
        <f t="shared" si="32"/>
        <v>284.02404983428033</v>
      </c>
      <c r="S224" s="214">
        <f t="shared" si="32"/>
        <v>249.86242671367694</v>
      </c>
      <c r="T224" s="214">
        <f t="shared" si="32"/>
        <v>167.320495787845</v>
      </c>
      <c r="U224" s="214">
        <f t="shared" si="32"/>
        <v>171.79301498483721</v>
      </c>
      <c r="V224" s="214">
        <f t="shared" si="32"/>
        <v>184.05979821456751</v>
      </c>
      <c r="W224" s="214">
        <f t="shared" si="32"/>
        <v>199.01210643928121</v>
      </c>
      <c r="X224" s="214">
        <f t="shared" si="32"/>
        <v>213.56991080109131</v>
      </c>
      <c r="Y224" s="214">
        <f t="shared" si="32"/>
        <v>204.83763363517994</v>
      </c>
      <c r="Z224" s="214">
        <f t="shared" si="32"/>
        <v>182.7894002798634</v>
      </c>
      <c r="AA224" s="214">
        <f t="shared" si="32"/>
        <v>199.52124471940391</v>
      </c>
      <c r="AB224" s="214">
        <f t="shared" si="32"/>
        <v>222.54359098039552</v>
      </c>
      <c r="AC224" s="214">
        <f t="shared" si="32"/>
        <v>248.38708319822106</v>
      </c>
      <c r="AD224" s="214">
        <f t="shared" si="32"/>
        <v>295.93973654812635</v>
      </c>
      <c r="AE224" s="214">
        <f t="shared" si="32"/>
        <v>259.0399194077973</v>
      </c>
      <c r="AF224" s="214">
        <f t="shared" si="32"/>
        <v>170.68798426360254</v>
      </c>
      <c r="AG224" s="214">
        <f t="shared" si="32"/>
        <v>175.28119911959496</v>
      </c>
      <c r="AH224" s="214">
        <f t="shared" si="32"/>
        <v>187.84435019908068</v>
      </c>
      <c r="AI224" s="214">
        <f t="shared" si="32"/>
        <v>203.21667403254989</v>
      </c>
      <c r="AJ224" s="214">
        <f t="shared" si="32"/>
        <v>218.1889945806052</v>
      </c>
      <c r="AK224" s="214">
        <f t="shared" si="32"/>
        <v>209.21152330665245</v>
      </c>
      <c r="AL224" s="214">
        <f t="shared" si="32"/>
        <v>186.584009951111</v>
      </c>
      <c r="AM224" s="214">
        <f t="shared" si="32"/>
        <v>203.64516469467216</v>
      </c>
      <c r="AN224" s="214">
        <f t="shared" ref="AN224:BS224" si="33">SUM(AN218:AN223)</f>
        <v>227.14379495115389</v>
      </c>
      <c r="AO224" s="214">
        <f t="shared" si="33"/>
        <v>253.61711880949005</v>
      </c>
      <c r="AP224" s="214">
        <f t="shared" si="33"/>
        <v>302.30611493639577</v>
      </c>
      <c r="AQ224" s="214">
        <f t="shared" si="33"/>
        <v>263.20803933703201</v>
      </c>
      <c r="AR224" s="214">
        <f t="shared" si="33"/>
        <v>171.03302644464458</v>
      </c>
      <c r="AS224" s="214">
        <f t="shared" si="33"/>
        <v>175.6634623039983</v>
      </c>
      <c r="AT224" s="214">
        <f t="shared" si="33"/>
        <v>188.28425525546976</v>
      </c>
      <c r="AU224" s="214">
        <f t="shared" si="33"/>
        <v>203.77078795630609</v>
      </c>
      <c r="AV224" s="214">
        <f t="shared" si="33"/>
        <v>218.85905623778524</v>
      </c>
      <c r="AW224" s="214">
        <f t="shared" si="33"/>
        <v>209.80528810453956</v>
      </c>
      <c r="AX224" s="214">
        <f t="shared" si="33"/>
        <v>187.0316639553229</v>
      </c>
      <c r="AY224" s="214">
        <f t="shared" si="33"/>
        <v>204.11066669496475</v>
      </c>
      <c r="AZ224" s="214">
        <f t="shared" si="33"/>
        <v>227.6609557569266</v>
      </c>
      <c r="BA224" s="214">
        <f t="shared" si="33"/>
        <v>254.23341370631937</v>
      </c>
      <c r="BB224" s="214">
        <f t="shared" si="33"/>
        <v>303.07984978571977</v>
      </c>
      <c r="BC224" s="214">
        <f t="shared" si="33"/>
        <v>263.53880300604214</v>
      </c>
      <c r="BD224" s="214">
        <f t="shared" si="33"/>
        <v>170.77007122212595</v>
      </c>
      <c r="BE224" s="214">
        <f t="shared" si="33"/>
        <v>175.40563805608929</v>
      </c>
      <c r="BF224" s="214">
        <f t="shared" si="33"/>
        <v>188.03867734144052</v>
      </c>
      <c r="BG224" s="214">
        <f t="shared" si="33"/>
        <v>203.57131614891605</v>
      </c>
      <c r="BH224" s="214">
        <f t="shared" si="33"/>
        <v>218.70454979902098</v>
      </c>
      <c r="BI224" s="214">
        <f t="shared" si="33"/>
        <v>209.622873444059</v>
      </c>
      <c r="BJ224" s="214">
        <f t="shared" si="33"/>
        <v>186.81707990534025</v>
      </c>
      <c r="BK224" s="214">
        <f t="shared" si="33"/>
        <v>203.87989061199491</v>
      </c>
      <c r="BL224" s="214">
        <f t="shared" si="33"/>
        <v>227.40288561522345</v>
      </c>
      <c r="BM224" s="214">
        <f t="shared" si="33"/>
        <v>254.02599621317898</v>
      </c>
      <c r="BN224" s="214">
        <f t="shared" si="33"/>
        <v>302.95580397588827</v>
      </c>
      <c r="BO224" s="214">
        <f t="shared" si="33"/>
        <v>263.4224589354327</v>
      </c>
      <c r="BP224" s="215">
        <f t="shared" si="33"/>
        <v>0</v>
      </c>
      <c r="BQ224" s="128"/>
    </row>
    <row r="225" spans="2:69" ht="12" customHeight="1" outlineLevel="1">
      <c r="B225" s="160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32"/>
      <c r="BQ225" s="128"/>
    </row>
    <row r="226" spans="2:69" ht="12" customHeight="1" outlineLevel="1">
      <c r="B226" s="112" t="s">
        <v>84</v>
      </c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32"/>
      <c r="BQ226" s="128"/>
    </row>
    <row r="227" spans="2:69" ht="12" customHeight="1" outlineLevel="1">
      <c r="B227" s="160" t="s">
        <v>85</v>
      </c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</row>
    <row r="228" spans="2:69" outlineLevel="1">
      <c r="C228" s="101" t="s">
        <v>85</v>
      </c>
      <c r="D228" s="218">
        <f>Assumptions!H8</f>
        <v>174</v>
      </c>
      <c r="E228" s="219" t="s">
        <v>86</v>
      </c>
      <c r="F228" s="109" t="s">
        <v>83</v>
      </c>
      <c r="G228" s="132"/>
      <c r="H228" s="128">
        <f t="array" ref="H228:BO228">G230:BN230</f>
        <v>174</v>
      </c>
      <c r="I228" s="101">
        <v>174</v>
      </c>
      <c r="J228" s="128">
        <v>174</v>
      </c>
      <c r="K228" s="128">
        <v>174</v>
      </c>
      <c r="L228" s="128">
        <v>174</v>
      </c>
      <c r="M228" s="128">
        <v>174</v>
      </c>
      <c r="N228" s="128">
        <v>174</v>
      </c>
      <c r="O228" s="128">
        <v>174</v>
      </c>
      <c r="P228" s="128">
        <v>174</v>
      </c>
      <c r="Q228" s="128">
        <v>174</v>
      </c>
      <c r="R228" s="128">
        <v>174</v>
      </c>
      <c r="S228" s="128">
        <v>174</v>
      </c>
      <c r="T228" s="128">
        <v>174</v>
      </c>
      <c r="U228" s="128">
        <f ca="1"/>
        <v>176</v>
      </c>
      <c r="V228" s="128">
        <f ca="1"/>
        <v>176</v>
      </c>
      <c r="W228" s="128">
        <f ca="1"/>
        <v>176</v>
      </c>
      <c r="X228" s="128">
        <f ca="1"/>
        <v>176</v>
      </c>
      <c r="Y228" s="128">
        <f ca="1"/>
        <v>176</v>
      </c>
      <c r="Z228" s="128">
        <f ca="1"/>
        <v>176</v>
      </c>
      <c r="AA228" s="128">
        <f ca="1"/>
        <v>176</v>
      </c>
      <c r="AB228" s="128">
        <f ca="1"/>
        <v>176</v>
      </c>
      <c r="AC228" s="128">
        <f ca="1"/>
        <v>176</v>
      </c>
      <c r="AD228" s="128">
        <f ca="1"/>
        <v>176</v>
      </c>
      <c r="AE228" s="128">
        <f ca="1"/>
        <v>176</v>
      </c>
      <c r="AF228" s="128">
        <f ca="1"/>
        <v>176</v>
      </c>
      <c r="AG228" s="128">
        <f ca="1"/>
        <v>183</v>
      </c>
      <c r="AH228" s="128">
        <f ca="1"/>
        <v>183</v>
      </c>
      <c r="AI228" s="128">
        <f ca="1"/>
        <v>183</v>
      </c>
      <c r="AJ228" s="128">
        <f ca="1"/>
        <v>183</v>
      </c>
      <c r="AK228" s="128">
        <f ca="1"/>
        <v>183</v>
      </c>
      <c r="AL228" s="128">
        <f ca="1"/>
        <v>183</v>
      </c>
      <c r="AM228" s="128">
        <f ca="1"/>
        <v>183</v>
      </c>
      <c r="AN228" s="128">
        <f ca="1"/>
        <v>183</v>
      </c>
      <c r="AO228" s="128">
        <f ca="1"/>
        <v>183</v>
      </c>
      <c r="AP228" s="128">
        <f ca="1"/>
        <v>183</v>
      </c>
      <c r="AQ228" s="128">
        <f ca="1"/>
        <v>183</v>
      </c>
      <c r="AR228" s="128">
        <f ca="1"/>
        <v>183</v>
      </c>
      <c r="AS228" s="128">
        <f ca="1"/>
        <v>186</v>
      </c>
      <c r="AT228" s="128">
        <f ca="1"/>
        <v>186</v>
      </c>
      <c r="AU228" s="128">
        <f ca="1"/>
        <v>186</v>
      </c>
      <c r="AV228" s="128">
        <f ca="1"/>
        <v>186</v>
      </c>
      <c r="AW228" s="128">
        <f ca="1"/>
        <v>186</v>
      </c>
      <c r="AX228" s="128">
        <f ca="1"/>
        <v>186</v>
      </c>
      <c r="AY228" s="128">
        <f ca="1"/>
        <v>186</v>
      </c>
      <c r="AZ228" s="128">
        <f ca="1"/>
        <v>186</v>
      </c>
      <c r="BA228" s="128">
        <f ca="1"/>
        <v>186</v>
      </c>
      <c r="BB228" s="128">
        <f ca="1"/>
        <v>186</v>
      </c>
      <c r="BC228" s="128">
        <f ca="1"/>
        <v>186</v>
      </c>
      <c r="BD228" s="128">
        <f ca="1"/>
        <v>186</v>
      </c>
      <c r="BE228" s="128">
        <f ca="1"/>
        <v>187</v>
      </c>
      <c r="BF228" s="128">
        <f ca="1"/>
        <v>187</v>
      </c>
      <c r="BG228" s="128">
        <f ca="1"/>
        <v>187</v>
      </c>
      <c r="BH228" s="128">
        <f ca="1"/>
        <v>187</v>
      </c>
      <c r="BI228" s="128">
        <f ca="1"/>
        <v>187</v>
      </c>
      <c r="BJ228" s="128">
        <f ca="1"/>
        <v>187</v>
      </c>
      <c r="BK228" s="128">
        <f ca="1"/>
        <v>187</v>
      </c>
      <c r="BL228" s="128">
        <f ca="1"/>
        <v>187</v>
      </c>
      <c r="BM228" s="128">
        <f ca="1"/>
        <v>187</v>
      </c>
      <c r="BN228" s="128">
        <f ca="1"/>
        <v>187</v>
      </c>
      <c r="BO228" s="128">
        <f ca="1"/>
        <v>187</v>
      </c>
      <c r="BP228" s="132"/>
      <c r="BQ228" s="128"/>
    </row>
    <row r="229" spans="2:69" outlineLevel="1">
      <c r="C229" s="101" t="s">
        <v>87</v>
      </c>
      <c r="D229" s="220"/>
      <c r="F229" s="109" t="s">
        <v>83</v>
      </c>
      <c r="G229" s="132"/>
      <c r="H229" s="128">
        <f t="shared" ref="H229:AM229" si="34">IF(AND(H$10-$G$10&gt;1,H$9=1),_xlfn.XLOOKUP(MAX(H$262:H$272),H$262:H$272,$C$262:$C$272),0)</f>
        <v>0</v>
      </c>
      <c r="I229" s="128">
        <f t="shared" si="34"/>
        <v>0</v>
      </c>
      <c r="J229" s="128">
        <f t="shared" si="34"/>
        <v>0</v>
      </c>
      <c r="K229" s="128">
        <f t="shared" si="34"/>
        <v>0</v>
      </c>
      <c r="L229" s="128">
        <f t="shared" si="34"/>
        <v>0</v>
      </c>
      <c r="M229" s="128">
        <f t="shared" si="34"/>
        <v>0</v>
      </c>
      <c r="N229" s="128">
        <f t="shared" si="34"/>
        <v>0</v>
      </c>
      <c r="O229" s="128">
        <f t="shared" si="34"/>
        <v>0</v>
      </c>
      <c r="P229" s="128">
        <f t="shared" si="34"/>
        <v>0</v>
      </c>
      <c r="Q229" s="128">
        <f t="shared" si="34"/>
        <v>0</v>
      </c>
      <c r="R229" s="128">
        <f t="shared" si="34"/>
        <v>0</v>
      </c>
      <c r="S229" s="128">
        <f t="shared" si="34"/>
        <v>0</v>
      </c>
      <c r="T229" s="128">
        <f t="shared" ca="1" si="34"/>
        <v>2</v>
      </c>
      <c r="U229" s="128">
        <f t="shared" si="34"/>
        <v>0</v>
      </c>
      <c r="V229" s="128">
        <f t="shared" si="34"/>
        <v>0</v>
      </c>
      <c r="W229" s="128">
        <f t="shared" si="34"/>
        <v>0</v>
      </c>
      <c r="X229" s="128">
        <f t="shared" si="34"/>
        <v>0</v>
      </c>
      <c r="Y229" s="128">
        <f t="shared" si="34"/>
        <v>0</v>
      </c>
      <c r="Z229" s="128">
        <f t="shared" si="34"/>
        <v>0</v>
      </c>
      <c r="AA229" s="128">
        <f t="shared" si="34"/>
        <v>0</v>
      </c>
      <c r="AB229" s="128">
        <f t="shared" si="34"/>
        <v>0</v>
      </c>
      <c r="AC229" s="128">
        <f t="shared" si="34"/>
        <v>0</v>
      </c>
      <c r="AD229" s="128">
        <f t="shared" si="34"/>
        <v>0</v>
      </c>
      <c r="AE229" s="128">
        <f t="shared" si="34"/>
        <v>0</v>
      </c>
      <c r="AF229" s="128">
        <f t="shared" ca="1" si="34"/>
        <v>7</v>
      </c>
      <c r="AG229" s="128">
        <f t="shared" si="34"/>
        <v>0</v>
      </c>
      <c r="AH229" s="128">
        <f t="shared" si="34"/>
        <v>0</v>
      </c>
      <c r="AI229" s="128">
        <f t="shared" si="34"/>
        <v>0</v>
      </c>
      <c r="AJ229" s="128">
        <f t="shared" si="34"/>
        <v>0</v>
      </c>
      <c r="AK229" s="128">
        <f t="shared" si="34"/>
        <v>0</v>
      </c>
      <c r="AL229" s="128">
        <f t="shared" si="34"/>
        <v>0</v>
      </c>
      <c r="AM229" s="128">
        <f t="shared" si="34"/>
        <v>0</v>
      </c>
      <c r="AN229" s="128">
        <f t="shared" ref="AN229:BP229" si="35">IF(AND(AN$10-$G$10&gt;1,AN$9=1),_xlfn.XLOOKUP(MAX(AN$262:AN$272),AN$262:AN$272,$C$262:$C$272),0)</f>
        <v>0</v>
      </c>
      <c r="AO229" s="128">
        <f t="shared" si="35"/>
        <v>0</v>
      </c>
      <c r="AP229" s="128">
        <f t="shared" si="35"/>
        <v>0</v>
      </c>
      <c r="AQ229" s="128">
        <f t="shared" si="35"/>
        <v>0</v>
      </c>
      <c r="AR229" s="128">
        <f t="shared" ca="1" si="35"/>
        <v>3</v>
      </c>
      <c r="AS229" s="128">
        <f t="shared" si="35"/>
        <v>0</v>
      </c>
      <c r="AT229" s="128">
        <f t="shared" si="35"/>
        <v>0</v>
      </c>
      <c r="AU229" s="128">
        <f t="shared" si="35"/>
        <v>0</v>
      </c>
      <c r="AV229" s="128">
        <f t="shared" si="35"/>
        <v>0</v>
      </c>
      <c r="AW229" s="128">
        <f t="shared" si="35"/>
        <v>0</v>
      </c>
      <c r="AX229" s="128">
        <f t="shared" si="35"/>
        <v>0</v>
      </c>
      <c r="AY229" s="128">
        <f t="shared" si="35"/>
        <v>0</v>
      </c>
      <c r="AZ229" s="128">
        <f t="shared" si="35"/>
        <v>0</v>
      </c>
      <c r="BA229" s="128">
        <f t="shared" si="35"/>
        <v>0</v>
      </c>
      <c r="BB229" s="128">
        <f t="shared" si="35"/>
        <v>0</v>
      </c>
      <c r="BC229" s="128">
        <f t="shared" si="35"/>
        <v>0</v>
      </c>
      <c r="BD229" s="128">
        <f t="shared" ca="1" si="35"/>
        <v>1</v>
      </c>
      <c r="BE229" s="128">
        <f t="shared" si="35"/>
        <v>0</v>
      </c>
      <c r="BF229" s="128">
        <f t="shared" si="35"/>
        <v>0</v>
      </c>
      <c r="BG229" s="128">
        <f t="shared" si="35"/>
        <v>0</v>
      </c>
      <c r="BH229" s="128">
        <f t="shared" si="35"/>
        <v>0</v>
      </c>
      <c r="BI229" s="128">
        <f t="shared" si="35"/>
        <v>0</v>
      </c>
      <c r="BJ229" s="128">
        <f t="shared" si="35"/>
        <v>0</v>
      </c>
      <c r="BK229" s="128">
        <f t="shared" si="35"/>
        <v>0</v>
      </c>
      <c r="BL229" s="128">
        <f t="shared" si="35"/>
        <v>0</v>
      </c>
      <c r="BM229" s="128">
        <f t="shared" si="35"/>
        <v>0</v>
      </c>
      <c r="BN229" s="128">
        <f t="shared" si="35"/>
        <v>0</v>
      </c>
      <c r="BO229" s="128">
        <f t="shared" si="35"/>
        <v>0</v>
      </c>
      <c r="BP229" s="132">
        <f t="shared" ca="1" si="35"/>
        <v>0</v>
      </c>
      <c r="BQ229" s="128"/>
    </row>
    <row r="230" spans="2:69" ht="12" customHeight="1" outlineLevel="1">
      <c r="C230" s="165" t="s">
        <v>88</v>
      </c>
      <c r="D230" s="165"/>
      <c r="E230" s="166"/>
      <c r="F230" s="167" t="s">
        <v>83</v>
      </c>
      <c r="G230" s="191">
        <f>+D228</f>
        <v>174</v>
      </c>
      <c r="H230" s="169">
        <f t="shared" ref="H230:AM230" si="36">SUM(H228:H229)</f>
        <v>174</v>
      </c>
      <c r="I230" s="169">
        <f t="shared" si="36"/>
        <v>174</v>
      </c>
      <c r="J230" s="169">
        <f t="shared" si="36"/>
        <v>174</v>
      </c>
      <c r="K230" s="169">
        <f t="shared" si="36"/>
        <v>174</v>
      </c>
      <c r="L230" s="169">
        <f t="shared" si="36"/>
        <v>174</v>
      </c>
      <c r="M230" s="169">
        <f t="shared" si="36"/>
        <v>174</v>
      </c>
      <c r="N230" s="169">
        <f t="shared" si="36"/>
        <v>174</v>
      </c>
      <c r="O230" s="169">
        <f t="shared" si="36"/>
        <v>174</v>
      </c>
      <c r="P230" s="169">
        <f t="shared" si="36"/>
        <v>174</v>
      </c>
      <c r="Q230" s="169">
        <f t="shared" si="36"/>
        <v>174</v>
      </c>
      <c r="R230" s="169">
        <f t="shared" si="36"/>
        <v>174</v>
      </c>
      <c r="S230" s="169">
        <f t="shared" si="36"/>
        <v>174</v>
      </c>
      <c r="T230" s="169">
        <f t="shared" ca="1" si="36"/>
        <v>176</v>
      </c>
      <c r="U230" s="169">
        <f t="shared" ca="1" si="36"/>
        <v>176</v>
      </c>
      <c r="V230" s="169">
        <f t="shared" ca="1" si="36"/>
        <v>176</v>
      </c>
      <c r="W230" s="169">
        <f t="shared" ca="1" si="36"/>
        <v>176</v>
      </c>
      <c r="X230" s="169">
        <f t="shared" ca="1" si="36"/>
        <v>176</v>
      </c>
      <c r="Y230" s="169">
        <f t="shared" ca="1" si="36"/>
        <v>176</v>
      </c>
      <c r="Z230" s="169">
        <f t="shared" ca="1" si="36"/>
        <v>176</v>
      </c>
      <c r="AA230" s="169">
        <f t="shared" ca="1" si="36"/>
        <v>176</v>
      </c>
      <c r="AB230" s="169">
        <f t="shared" ca="1" si="36"/>
        <v>176</v>
      </c>
      <c r="AC230" s="169">
        <f t="shared" ca="1" si="36"/>
        <v>176</v>
      </c>
      <c r="AD230" s="169">
        <f t="shared" ca="1" si="36"/>
        <v>176</v>
      </c>
      <c r="AE230" s="169">
        <f t="shared" ca="1" si="36"/>
        <v>176</v>
      </c>
      <c r="AF230" s="169">
        <f t="shared" ca="1" si="36"/>
        <v>183</v>
      </c>
      <c r="AG230" s="169">
        <f t="shared" ca="1" si="36"/>
        <v>183</v>
      </c>
      <c r="AH230" s="169">
        <f t="shared" ca="1" si="36"/>
        <v>183</v>
      </c>
      <c r="AI230" s="169">
        <f t="shared" ca="1" si="36"/>
        <v>183</v>
      </c>
      <c r="AJ230" s="169">
        <f t="shared" ca="1" si="36"/>
        <v>183</v>
      </c>
      <c r="AK230" s="169">
        <f t="shared" ca="1" si="36"/>
        <v>183</v>
      </c>
      <c r="AL230" s="169">
        <f t="shared" ca="1" si="36"/>
        <v>183</v>
      </c>
      <c r="AM230" s="169">
        <f t="shared" ca="1" si="36"/>
        <v>183</v>
      </c>
      <c r="AN230" s="169">
        <f t="shared" ref="AN230:BS230" ca="1" si="37">SUM(AN228:AN229)</f>
        <v>183</v>
      </c>
      <c r="AO230" s="169">
        <f t="shared" ca="1" si="37"/>
        <v>183</v>
      </c>
      <c r="AP230" s="169">
        <f t="shared" ca="1" si="37"/>
        <v>183</v>
      </c>
      <c r="AQ230" s="169">
        <f t="shared" ca="1" si="37"/>
        <v>183</v>
      </c>
      <c r="AR230" s="169">
        <f t="shared" ca="1" si="37"/>
        <v>186</v>
      </c>
      <c r="AS230" s="169">
        <f t="shared" ca="1" si="37"/>
        <v>186</v>
      </c>
      <c r="AT230" s="169">
        <f t="shared" ca="1" si="37"/>
        <v>186</v>
      </c>
      <c r="AU230" s="169">
        <f t="shared" ca="1" si="37"/>
        <v>186</v>
      </c>
      <c r="AV230" s="169">
        <f t="shared" ca="1" si="37"/>
        <v>186</v>
      </c>
      <c r="AW230" s="169">
        <f t="shared" ca="1" si="37"/>
        <v>186</v>
      </c>
      <c r="AX230" s="169">
        <f t="shared" ca="1" si="37"/>
        <v>186</v>
      </c>
      <c r="AY230" s="169">
        <f t="shared" ca="1" si="37"/>
        <v>186</v>
      </c>
      <c r="AZ230" s="169">
        <f t="shared" ca="1" si="37"/>
        <v>186</v>
      </c>
      <c r="BA230" s="169">
        <f t="shared" ca="1" si="37"/>
        <v>186</v>
      </c>
      <c r="BB230" s="169">
        <f t="shared" ca="1" si="37"/>
        <v>186</v>
      </c>
      <c r="BC230" s="169">
        <f t="shared" ca="1" si="37"/>
        <v>186</v>
      </c>
      <c r="BD230" s="169">
        <f t="shared" ca="1" si="37"/>
        <v>187</v>
      </c>
      <c r="BE230" s="169">
        <f t="shared" ca="1" si="37"/>
        <v>187</v>
      </c>
      <c r="BF230" s="169">
        <f t="shared" ca="1" si="37"/>
        <v>187</v>
      </c>
      <c r="BG230" s="169">
        <f t="shared" ca="1" si="37"/>
        <v>187</v>
      </c>
      <c r="BH230" s="169">
        <f t="shared" ca="1" si="37"/>
        <v>187</v>
      </c>
      <c r="BI230" s="169">
        <f t="shared" ca="1" si="37"/>
        <v>187</v>
      </c>
      <c r="BJ230" s="169">
        <f t="shared" ca="1" si="37"/>
        <v>187</v>
      </c>
      <c r="BK230" s="169">
        <f t="shared" ca="1" si="37"/>
        <v>187</v>
      </c>
      <c r="BL230" s="169">
        <f t="shared" ca="1" si="37"/>
        <v>187</v>
      </c>
      <c r="BM230" s="169">
        <f t="shared" ca="1" si="37"/>
        <v>187</v>
      </c>
      <c r="BN230" s="169">
        <f t="shared" ca="1" si="37"/>
        <v>187</v>
      </c>
      <c r="BO230" s="169">
        <f t="shared" ca="1" si="37"/>
        <v>187</v>
      </c>
      <c r="BP230" s="168">
        <f t="shared" ca="1" si="37"/>
        <v>0</v>
      </c>
      <c r="BQ230" s="128"/>
    </row>
    <row r="231" spans="2:69" ht="12" customHeight="1" outlineLevel="1">
      <c r="C231" s="111"/>
      <c r="D231" s="111"/>
      <c r="E231" s="112"/>
      <c r="G231" s="194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  <c r="AB231" s="117"/>
      <c r="AC231" s="117"/>
      <c r="AD231" s="117"/>
      <c r="AE231" s="117"/>
      <c r="AF231" s="117"/>
      <c r="AG231" s="117"/>
      <c r="AH231" s="117"/>
      <c r="AI231" s="117"/>
      <c r="AJ231" s="117"/>
      <c r="AK231" s="117"/>
      <c r="AL231" s="117"/>
      <c r="AM231" s="117"/>
      <c r="AN231" s="117"/>
      <c r="AO231" s="117"/>
      <c r="AP231" s="117"/>
      <c r="AQ231" s="117"/>
      <c r="AR231" s="117"/>
      <c r="AS231" s="117"/>
      <c r="AT231" s="117"/>
      <c r="AU231" s="117"/>
      <c r="AV231" s="117"/>
      <c r="AW231" s="117"/>
      <c r="AX231" s="117"/>
      <c r="AY231" s="117"/>
      <c r="AZ231" s="117"/>
      <c r="BA231" s="117"/>
      <c r="BB231" s="117"/>
      <c r="BC231" s="117"/>
      <c r="BD231" s="117"/>
      <c r="BE231" s="117"/>
      <c r="BF231" s="117"/>
      <c r="BG231" s="117"/>
      <c r="BH231" s="117"/>
      <c r="BI231" s="117"/>
      <c r="BJ231" s="117"/>
      <c r="BK231" s="117"/>
      <c r="BL231" s="117"/>
      <c r="BM231" s="117"/>
      <c r="BN231" s="117"/>
      <c r="BO231" s="117"/>
      <c r="BP231" s="221"/>
      <c r="BQ231" s="128"/>
    </row>
    <row r="232" spans="2:69" ht="12" customHeight="1" outlineLevel="1">
      <c r="B232" s="160" t="s">
        <v>89</v>
      </c>
      <c r="C232" s="111"/>
      <c r="D232" s="111"/>
      <c r="E232" s="112"/>
      <c r="G232" s="194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  <c r="AC232" s="117"/>
      <c r="AD232" s="117"/>
      <c r="AE232" s="117"/>
      <c r="AF232" s="117"/>
      <c r="AG232" s="117"/>
      <c r="AH232" s="117"/>
      <c r="AI232" s="117"/>
      <c r="AJ232" s="117"/>
      <c r="AK232" s="117"/>
      <c r="AL232" s="117"/>
      <c r="AM232" s="117"/>
      <c r="AN232" s="117"/>
      <c r="AO232" s="117"/>
      <c r="AP232" s="117"/>
      <c r="AQ232" s="117"/>
      <c r="AR232" s="117"/>
      <c r="AS232" s="117"/>
      <c r="AT232" s="117"/>
      <c r="AU232" s="117"/>
      <c r="AV232" s="117"/>
      <c r="AW232" s="117"/>
      <c r="AX232" s="117"/>
      <c r="AY232" s="117"/>
      <c r="AZ232" s="117"/>
      <c r="BA232" s="117"/>
      <c r="BB232" s="117"/>
      <c r="BC232" s="117"/>
      <c r="BD232" s="117"/>
      <c r="BE232" s="117"/>
      <c r="BF232" s="117"/>
      <c r="BG232" s="117"/>
      <c r="BH232" s="117"/>
      <c r="BI232" s="117"/>
      <c r="BJ232" s="117"/>
      <c r="BK232" s="117"/>
      <c r="BL232" s="117"/>
      <c r="BM232" s="117"/>
      <c r="BN232" s="117"/>
      <c r="BO232" s="117"/>
      <c r="BP232" s="221"/>
      <c r="BQ232" s="128"/>
    </row>
    <row r="233" spans="2:69" outlineLevel="1">
      <c r="C233" s="101" t="s">
        <v>90</v>
      </c>
      <c r="D233" s="216"/>
      <c r="E233" s="217"/>
      <c r="F233" s="109" t="s">
        <v>83</v>
      </c>
      <c r="G233" s="132"/>
      <c r="H233" s="128">
        <f t="array" ref="H233:BP233">H230:BP230</f>
        <v>174</v>
      </c>
      <c r="I233" s="128">
        <v>174</v>
      </c>
      <c r="J233" s="128">
        <v>174</v>
      </c>
      <c r="K233" s="128">
        <v>174</v>
      </c>
      <c r="L233" s="128">
        <v>174</v>
      </c>
      <c r="M233" s="128">
        <v>174</v>
      </c>
      <c r="N233" s="128">
        <v>174</v>
      </c>
      <c r="O233" s="128">
        <v>174</v>
      </c>
      <c r="P233" s="128">
        <v>174</v>
      </c>
      <c r="Q233" s="128">
        <v>174</v>
      </c>
      <c r="R233" s="128">
        <v>174</v>
      </c>
      <c r="S233" s="128">
        <v>174</v>
      </c>
      <c r="T233" s="128">
        <f ca="1"/>
        <v>176</v>
      </c>
      <c r="U233" s="128">
        <f ca="1"/>
        <v>176</v>
      </c>
      <c r="V233" s="128">
        <f ca="1"/>
        <v>176</v>
      </c>
      <c r="W233" s="128">
        <f ca="1"/>
        <v>176</v>
      </c>
      <c r="X233" s="128">
        <f ca="1"/>
        <v>176</v>
      </c>
      <c r="Y233" s="128">
        <f ca="1"/>
        <v>176</v>
      </c>
      <c r="Z233" s="128">
        <f ca="1"/>
        <v>176</v>
      </c>
      <c r="AA233" s="128">
        <f ca="1"/>
        <v>176</v>
      </c>
      <c r="AB233" s="128">
        <f ca="1"/>
        <v>176</v>
      </c>
      <c r="AC233" s="128">
        <f ca="1"/>
        <v>176</v>
      </c>
      <c r="AD233" s="128">
        <f ca="1"/>
        <v>176</v>
      </c>
      <c r="AE233" s="128">
        <f ca="1"/>
        <v>176</v>
      </c>
      <c r="AF233" s="128">
        <f ca="1"/>
        <v>183</v>
      </c>
      <c r="AG233" s="128">
        <f ca="1"/>
        <v>183</v>
      </c>
      <c r="AH233" s="128">
        <f ca="1"/>
        <v>183</v>
      </c>
      <c r="AI233" s="128">
        <f ca="1"/>
        <v>183</v>
      </c>
      <c r="AJ233" s="128">
        <f ca="1"/>
        <v>183</v>
      </c>
      <c r="AK233" s="128">
        <f ca="1"/>
        <v>183</v>
      </c>
      <c r="AL233" s="128">
        <f ca="1"/>
        <v>183</v>
      </c>
      <c r="AM233" s="128">
        <f ca="1"/>
        <v>183</v>
      </c>
      <c r="AN233" s="128">
        <f ca="1"/>
        <v>183</v>
      </c>
      <c r="AO233" s="128">
        <f ca="1"/>
        <v>183</v>
      </c>
      <c r="AP233" s="128">
        <f ca="1"/>
        <v>183</v>
      </c>
      <c r="AQ233" s="128">
        <f ca="1"/>
        <v>183</v>
      </c>
      <c r="AR233" s="128">
        <f ca="1"/>
        <v>186</v>
      </c>
      <c r="AS233" s="128">
        <f ca="1"/>
        <v>186</v>
      </c>
      <c r="AT233" s="128">
        <f ca="1"/>
        <v>186</v>
      </c>
      <c r="AU233" s="128">
        <f ca="1"/>
        <v>186</v>
      </c>
      <c r="AV233" s="128">
        <f ca="1"/>
        <v>186</v>
      </c>
      <c r="AW233" s="128">
        <f ca="1"/>
        <v>186</v>
      </c>
      <c r="AX233" s="128">
        <f ca="1"/>
        <v>186</v>
      </c>
      <c r="AY233" s="128">
        <f ca="1"/>
        <v>186</v>
      </c>
      <c r="AZ233" s="128">
        <f ca="1"/>
        <v>186</v>
      </c>
      <c r="BA233" s="128">
        <f ca="1"/>
        <v>186</v>
      </c>
      <c r="BB233" s="128">
        <f ca="1"/>
        <v>186</v>
      </c>
      <c r="BC233" s="128">
        <f ca="1"/>
        <v>186</v>
      </c>
      <c r="BD233" s="128">
        <f ca="1"/>
        <v>187</v>
      </c>
      <c r="BE233" s="128">
        <f ca="1"/>
        <v>187</v>
      </c>
      <c r="BF233" s="128">
        <f ca="1"/>
        <v>187</v>
      </c>
      <c r="BG233" s="128">
        <f ca="1"/>
        <v>187</v>
      </c>
      <c r="BH233" s="128">
        <f ca="1"/>
        <v>187</v>
      </c>
      <c r="BI233" s="128">
        <f ca="1"/>
        <v>187</v>
      </c>
      <c r="BJ233" s="128">
        <f ca="1"/>
        <v>187</v>
      </c>
      <c r="BK233" s="128">
        <f ca="1"/>
        <v>187</v>
      </c>
      <c r="BL233" s="128">
        <f ca="1"/>
        <v>187</v>
      </c>
      <c r="BM233" s="128">
        <f ca="1"/>
        <v>187</v>
      </c>
      <c r="BN233" s="128">
        <f ca="1"/>
        <v>187</v>
      </c>
      <c r="BO233" s="128">
        <f ca="1"/>
        <v>187</v>
      </c>
      <c r="BP233" s="132">
        <f ca="1"/>
        <v>0</v>
      </c>
      <c r="BQ233" s="128"/>
    </row>
    <row r="234" spans="2:69" outlineLevel="1">
      <c r="C234" s="101" t="s">
        <v>91</v>
      </c>
      <c r="D234" s="216"/>
      <c r="E234" s="217"/>
      <c r="F234" s="109" t="s">
        <v>83</v>
      </c>
      <c r="G234" s="222"/>
      <c r="H234" s="223">
        <f t="array" ref="H234:BP234">IF(_xlfn.ANCHORARRAY(H233)&gt;H224:BP224,0,H224:BP224-_xlfn.ANCHORARRAY(H233))</f>
        <v>0</v>
      </c>
      <c r="I234" s="223">
        <v>0</v>
      </c>
      <c r="J234" s="223">
        <v>3.604899130817131</v>
      </c>
      <c r="K234" s="223">
        <v>17.977369103986319</v>
      </c>
      <c r="L234" s="223">
        <v>31.99575396825395</v>
      </c>
      <c r="M234" s="223">
        <v>23.564173160173141</v>
      </c>
      <c r="N234" s="223">
        <v>2.2330632158639787</v>
      </c>
      <c r="O234" s="223">
        <v>18.2194222582973</v>
      </c>
      <c r="P234" s="223">
        <v>40.394732655799061</v>
      </c>
      <c r="Q234" s="223">
        <v>64.932261262175331</v>
      </c>
      <c r="R234" s="223">
        <v>110.02404983428033</v>
      </c>
      <c r="S234" s="223">
        <v>75.862426713676939</v>
      </c>
      <c r="T234" s="223">
        <f ca="1"/>
        <v>0</v>
      </c>
      <c r="U234" s="223">
        <f ca="1"/>
        <v>0</v>
      </c>
      <c r="V234" s="223">
        <f ca="1"/>
        <v>8.0597982145675076</v>
      </c>
      <c r="W234" s="223">
        <f ca="1"/>
        <v>23.012106439281212</v>
      </c>
      <c r="X234" s="223">
        <f ca="1"/>
        <v>37.569910801091311</v>
      </c>
      <c r="Y234" s="223">
        <f ca="1"/>
        <v>28.837633635179941</v>
      </c>
      <c r="Z234" s="223">
        <f ca="1"/>
        <v>6.7894002798634006</v>
      </c>
      <c r="AA234" s="223">
        <f ca="1"/>
        <v>23.52124471940391</v>
      </c>
      <c r="AB234" s="223">
        <f ca="1"/>
        <v>46.543590980395521</v>
      </c>
      <c r="AC234" s="223">
        <f ca="1"/>
        <v>72.387083198221063</v>
      </c>
      <c r="AD234" s="223">
        <f ca="1"/>
        <v>119.93973654812635</v>
      </c>
      <c r="AE234" s="223">
        <f ca="1"/>
        <v>83.039919407797299</v>
      </c>
      <c r="AF234" s="223">
        <f ca="1"/>
        <v>0</v>
      </c>
      <c r="AG234" s="223">
        <f ca="1"/>
        <v>0</v>
      </c>
      <c r="AH234" s="223">
        <f ca="1"/>
        <v>4.8443501990806794</v>
      </c>
      <c r="AI234" s="223">
        <f ca="1"/>
        <v>20.216674032549889</v>
      </c>
      <c r="AJ234" s="223">
        <f ca="1"/>
        <v>35.188994580605197</v>
      </c>
      <c r="AK234" s="223">
        <f ca="1"/>
        <v>26.211523306652452</v>
      </c>
      <c r="AL234" s="223">
        <f ca="1"/>
        <v>3.5840099511109997</v>
      </c>
      <c r="AM234" s="223">
        <f ca="1"/>
        <v>20.645164694672161</v>
      </c>
      <c r="AN234" s="223">
        <f ca="1"/>
        <v>44.143794951153893</v>
      </c>
      <c r="AO234" s="223">
        <f ca="1"/>
        <v>70.617118809490051</v>
      </c>
      <c r="AP234" s="223">
        <f ca="1"/>
        <v>119.30611493639577</v>
      </c>
      <c r="AQ234" s="223">
        <f ca="1"/>
        <v>80.208039337032005</v>
      </c>
      <c r="AR234" s="223">
        <f ca="1"/>
        <v>0</v>
      </c>
      <c r="AS234" s="223">
        <f ca="1"/>
        <v>0</v>
      </c>
      <c r="AT234" s="223">
        <f ca="1"/>
        <v>2.284255255469759</v>
      </c>
      <c r="AU234" s="223">
        <f ca="1"/>
        <v>17.770787956306094</v>
      </c>
      <c r="AV234" s="223">
        <f ca="1"/>
        <v>32.859056237785239</v>
      </c>
      <c r="AW234" s="223">
        <f ca="1"/>
        <v>23.805288104539557</v>
      </c>
      <c r="AX234" s="223">
        <f ca="1"/>
        <v>1.0316639553228981</v>
      </c>
      <c r="AY234" s="223">
        <f ca="1"/>
        <v>18.110666694964749</v>
      </c>
      <c r="AZ234" s="223">
        <f ca="1"/>
        <v>41.660955756926597</v>
      </c>
      <c r="BA234" s="223">
        <f ca="1"/>
        <v>68.233413706319368</v>
      </c>
      <c r="BB234" s="223">
        <f ca="1"/>
        <v>117.07984978571977</v>
      </c>
      <c r="BC234" s="223">
        <f ca="1"/>
        <v>77.538803006042144</v>
      </c>
      <c r="BD234" s="223">
        <f ca="1"/>
        <v>0</v>
      </c>
      <c r="BE234" s="223">
        <f ca="1"/>
        <v>0</v>
      </c>
      <c r="BF234" s="223">
        <f ca="1"/>
        <v>1.0386773414405184</v>
      </c>
      <c r="BG234" s="223">
        <f ca="1"/>
        <v>16.571316148916054</v>
      </c>
      <c r="BH234" s="223">
        <f ca="1"/>
        <v>31.704549799020981</v>
      </c>
      <c r="BI234" s="223">
        <f ca="1"/>
        <v>22.622873444058996</v>
      </c>
      <c r="BJ234" s="223">
        <f ca="1"/>
        <v>0</v>
      </c>
      <c r="BK234" s="223">
        <f ca="1"/>
        <v>16.879890611994909</v>
      </c>
      <c r="BL234" s="223">
        <f ca="1"/>
        <v>40.402885615223454</v>
      </c>
      <c r="BM234" s="223">
        <f ca="1"/>
        <v>67.025996213178985</v>
      </c>
      <c r="BN234" s="223">
        <f ca="1"/>
        <v>115.95580397588827</v>
      </c>
      <c r="BO234" s="223">
        <f ca="1"/>
        <v>76.422458935432701</v>
      </c>
      <c r="BP234" s="222">
        <f ca="1"/>
        <v>0</v>
      </c>
      <c r="BQ234" s="128"/>
    </row>
    <row r="235" spans="2:69" ht="12" customHeight="1" outlineLevel="1">
      <c r="C235" s="165" t="s">
        <v>92</v>
      </c>
      <c r="D235" s="165"/>
      <c r="E235" s="166"/>
      <c r="F235" s="167" t="s">
        <v>83</v>
      </c>
      <c r="G235" s="191"/>
      <c r="H235" s="169">
        <f t="shared" ref="H235:AM235" si="38">SUM(H233:H234)</f>
        <v>174</v>
      </c>
      <c r="I235" s="169">
        <f t="shared" si="38"/>
        <v>174</v>
      </c>
      <c r="J235" s="169">
        <f t="shared" si="38"/>
        <v>177.60489913081713</v>
      </c>
      <c r="K235" s="169">
        <f t="shared" si="38"/>
        <v>191.97736910398632</v>
      </c>
      <c r="L235" s="169">
        <f t="shared" si="38"/>
        <v>205.99575396825395</v>
      </c>
      <c r="M235" s="169">
        <f t="shared" si="38"/>
        <v>197.56417316017314</v>
      </c>
      <c r="N235" s="169">
        <f t="shared" si="38"/>
        <v>176.23306321586398</v>
      </c>
      <c r="O235" s="169">
        <f t="shared" si="38"/>
        <v>192.2194222582973</v>
      </c>
      <c r="P235" s="169">
        <f t="shared" si="38"/>
        <v>214.39473265579906</v>
      </c>
      <c r="Q235" s="169">
        <f t="shared" si="38"/>
        <v>238.93226126217533</v>
      </c>
      <c r="R235" s="169">
        <f t="shared" si="38"/>
        <v>284.02404983428033</v>
      </c>
      <c r="S235" s="169">
        <f t="shared" si="38"/>
        <v>249.86242671367694</v>
      </c>
      <c r="T235" s="169">
        <f t="shared" ca="1" si="38"/>
        <v>176</v>
      </c>
      <c r="U235" s="169">
        <f t="shared" ca="1" si="38"/>
        <v>176</v>
      </c>
      <c r="V235" s="169">
        <f t="shared" ca="1" si="38"/>
        <v>184.05979821456751</v>
      </c>
      <c r="W235" s="169">
        <f t="shared" ca="1" si="38"/>
        <v>199.01210643928121</v>
      </c>
      <c r="X235" s="169">
        <f t="shared" ca="1" si="38"/>
        <v>213.56991080109131</v>
      </c>
      <c r="Y235" s="169">
        <f t="shared" ca="1" si="38"/>
        <v>204.83763363517994</v>
      </c>
      <c r="Z235" s="169">
        <f t="shared" ca="1" si="38"/>
        <v>182.7894002798634</v>
      </c>
      <c r="AA235" s="169">
        <f t="shared" ca="1" si="38"/>
        <v>199.52124471940391</v>
      </c>
      <c r="AB235" s="169">
        <f t="shared" ca="1" si="38"/>
        <v>222.54359098039552</v>
      </c>
      <c r="AC235" s="169">
        <f t="shared" ca="1" si="38"/>
        <v>248.38708319822106</v>
      </c>
      <c r="AD235" s="169">
        <f t="shared" ca="1" si="38"/>
        <v>295.93973654812635</v>
      </c>
      <c r="AE235" s="169">
        <f t="shared" ca="1" si="38"/>
        <v>259.0399194077973</v>
      </c>
      <c r="AF235" s="169">
        <f t="shared" ca="1" si="38"/>
        <v>183</v>
      </c>
      <c r="AG235" s="169">
        <f t="shared" ca="1" si="38"/>
        <v>183</v>
      </c>
      <c r="AH235" s="169">
        <f t="shared" ca="1" si="38"/>
        <v>187.84435019908068</v>
      </c>
      <c r="AI235" s="169">
        <f t="shared" ca="1" si="38"/>
        <v>203.21667403254989</v>
      </c>
      <c r="AJ235" s="169">
        <f t="shared" ca="1" si="38"/>
        <v>218.1889945806052</v>
      </c>
      <c r="AK235" s="169">
        <f t="shared" ca="1" si="38"/>
        <v>209.21152330665245</v>
      </c>
      <c r="AL235" s="169">
        <f t="shared" ca="1" si="38"/>
        <v>186.584009951111</v>
      </c>
      <c r="AM235" s="169">
        <f t="shared" ca="1" si="38"/>
        <v>203.64516469467216</v>
      </c>
      <c r="AN235" s="169">
        <f t="shared" ref="AN235:BS235" ca="1" si="39">SUM(AN233:AN234)</f>
        <v>227.14379495115389</v>
      </c>
      <c r="AO235" s="169">
        <f t="shared" ca="1" si="39"/>
        <v>253.61711880949005</v>
      </c>
      <c r="AP235" s="169">
        <f t="shared" ca="1" si="39"/>
        <v>302.30611493639577</v>
      </c>
      <c r="AQ235" s="169">
        <f t="shared" ca="1" si="39"/>
        <v>263.20803933703201</v>
      </c>
      <c r="AR235" s="169">
        <f t="shared" ca="1" si="39"/>
        <v>186</v>
      </c>
      <c r="AS235" s="169">
        <f t="shared" ca="1" si="39"/>
        <v>186</v>
      </c>
      <c r="AT235" s="169">
        <f t="shared" ca="1" si="39"/>
        <v>188.28425525546976</v>
      </c>
      <c r="AU235" s="169">
        <f t="shared" ca="1" si="39"/>
        <v>203.77078795630609</v>
      </c>
      <c r="AV235" s="169">
        <f t="shared" ca="1" si="39"/>
        <v>218.85905623778524</v>
      </c>
      <c r="AW235" s="169">
        <f t="shared" ca="1" si="39"/>
        <v>209.80528810453956</v>
      </c>
      <c r="AX235" s="169">
        <f t="shared" ca="1" si="39"/>
        <v>187.0316639553229</v>
      </c>
      <c r="AY235" s="169">
        <f t="shared" ca="1" si="39"/>
        <v>204.11066669496475</v>
      </c>
      <c r="AZ235" s="169">
        <f t="shared" ca="1" si="39"/>
        <v>227.6609557569266</v>
      </c>
      <c r="BA235" s="169">
        <f t="shared" ca="1" si="39"/>
        <v>254.23341370631937</v>
      </c>
      <c r="BB235" s="169">
        <f t="shared" ca="1" si="39"/>
        <v>303.07984978571977</v>
      </c>
      <c r="BC235" s="169">
        <f t="shared" ca="1" si="39"/>
        <v>263.53880300604214</v>
      </c>
      <c r="BD235" s="169">
        <f t="shared" ca="1" si="39"/>
        <v>187</v>
      </c>
      <c r="BE235" s="169">
        <f t="shared" ca="1" si="39"/>
        <v>187</v>
      </c>
      <c r="BF235" s="169">
        <f t="shared" ca="1" si="39"/>
        <v>188.03867734144052</v>
      </c>
      <c r="BG235" s="169">
        <f t="shared" ca="1" si="39"/>
        <v>203.57131614891605</v>
      </c>
      <c r="BH235" s="169">
        <f t="shared" ca="1" si="39"/>
        <v>218.70454979902098</v>
      </c>
      <c r="BI235" s="169">
        <f t="shared" ca="1" si="39"/>
        <v>209.622873444059</v>
      </c>
      <c r="BJ235" s="169">
        <f t="shared" ca="1" si="39"/>
        <v>187</v>
      </c>
      <c r="BK235" s="169">
        <f t="shared" ca="1" si="39"/>
        <v>203.87989061199491</v>
      </c>
      <c r="BL235" s="169">
        <f t="shared" ca="1" si="39"/>
        <v>227.40288561522345</v>
      </c>
      <c r="BM235" s="169">
        <f t="shared" ca="1" si="39"/>
        <v>254.02599621317898</v>
      </c>
      <c r="BN235" s="169">
        <f t="shared" ca="1" si="39"/>
        <v>302.95580397588827</v>
      </c>
      <c r="BO235" s="169">
        <f t="shared" ca="1" si="39"/>
        <v>263.4224589354327</v>
      </c>
      <c r="BP235" s="168">
        <f t="shared" ca="1" si="39"/>
        <v>0</v>
      </c>
      <c r="BQ235" s="128"/>
    </row>
    <row r="236" spans="2:69" ht="12" customHeight="1" outlineLevel="1">
      <c r="C236" s="111"/>
      <c r="D236" s="111"/>
      <c r="E236" s="112"/>
      <c r="F236" s="113"/>
      <c r="G236" s="194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  <c r="AA236" s="123"/>
      <c r="AB236" s="123"/>
      <c r="AC236" s="123"/>
      <c r="AD236" s="123"/>
      <c r="AE236" s="123"/>
      <c r="AF236" s="123"/>
      <c r="AG236" s="123"/>
      <c r="AH236" s="123"/>
      <c r="AI236" s="123"/>
      <c r="AJ236" s="123"/>
      <c r="AK236" s="123"/>
      <c r="AL236" s="123"/>
      <c r="AM236" s="123"/>
      <c r="AN236" s="123"/>
      <c r="AO236" s="123"/>
      <c r="AP236" s="123"/>
      <c r="AQ236" s="123"/>
      <c r="AR236" s="123"/>
      <c r="AS236" s="123"/>
      <c r="AT236" s="123"/>
      <c r="AU236" s="123"/>
      <c r="AV236" s="123"/>
      <c r="AW236" s="123"/>
      <c r="AX236" s="123"/>
      <c r="AY236" s="123"/>
      <c r="AZ236" s="123"/>
      <c r="BA236" s="123"/>
      <c r="BB236" s="123"/>
      <c r="BC236" s="123"/>
      <c r="BD236" s="123"/>
      <c r="BE236" s="123"/>
      <c r="BF236" s="123"/>
      <c r="BG236" s="123"/>
      <c r="BH236" s="123"/>
      <c r="BI236" s="123"/>
      <c r="BJ236" s="123"/>
      <c r="BK236" s="123"/>
      <c r="BL236" s="123"/>
      <c r="BM236" s="123"/>
      <c r="BN236" s="123"/>
      <c r="BO236" s="123"/>
      <c r="BP236" s="127"/>
      <c r="BQ236" s="128"/>
    </row>
    <row r="237" spans="2:69" ht="12" customHeight="1" outlineLevel="1">
      <c r="B237" s="112" t="s">
        <v>93</v>
      </c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</row>
    <row r="238" spans="2:69" ht="12" customHeight="1" outlineLevel="1">
      <c r="B238" s="160" t="s">
        <v>94</v>
      </c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</row>
    <row r="239" spans="2:69" outlineLevel="1">
      <c r="C239" s="101" t="s">
        <v>95</v>
      </c>
      <c r="D239" s="184">
        <f>Assumptions!H11</f>
        <v>4160</v>
      </c>
      <c r="E239" s="224" t="s">
        <v>96</v>
      </c>
      <c r="F239" s="109" t="s">
        <v>9</v>
      </c>
      <c r="G239" s="132"/>
      <c r="H239" s="128">
        <f t="array" ref="H239:BO239">D239*_xlfn.ANCHORARRAY(H31)</f>
        <v>4160</v>
      </c>
      <c r="I239" s="128">
        <v>4160</v>
      </c>
      <c r="J239" s="128">
        <v>4160</v>
      </c>
      <c r="K239" s="128">
        <v>4160</v>
      </c>
      <c r="L239" s="128">
        <v>4160</v>
      </c>
      <c r="M239" s="128">
        <v>4160</v>
      </c>
      <c r="N239" s="128">
        <v>4160</v>
      </c>
      <c r="O239" s="128">
        <v>4160</v>
      </c>
      <c r="P239" s="128">
        <v>4160</v>
      </c>
      <c r="Q239" s="128">
        <v>4160</v>
      </c>
      <c r="R239" s="128">
        <v>4160</v>
      </c>
      <c r="S239" s="128">
        <v>4160</v>
      </c>
      <c r="T239" s="128">
        <v>4284.8</v>
      </c>
      <c r="U239" s="128">
        <v>4284.8</v>
      </c>
      <c r="V239" s="128">
        <v>4284.8</v>
      </c>
      <c r="W239" s="128">
        <v>4284.8</v>
      </c>
      <c r="X239" s="128">
        <v>4284.8</v>
      </c>
      <c r="Y239" s="128">
        <v>4284.8</v>
      </c>
      <c r="Z239" s="128">
        <v>4284.8</v>
      </c>
      <c r="AA239" s="128">
        <v>4284.8</v>
      </c>
      <c r="AB239" s="128">
        <v>4284.8</v>
      </c>
      <c r="AC239" s="128">
        <v>4284.8</v>
      </c>
      <c r="AD239" s="128">
        <v>4284.8</v>
      </c>
      <c r="AE239" s="128">
        <v>4284.8</v>
      </c>
      <c r="AF239" s="128">
        <v>4413.3440000000001</v>
      </c>
      <c r="AG239" s="128">
        <v>4413.3440000000001</v>
      </c>
      <c r="AH239" s="128">
        <v>4413.3440000000001</v>
      </c>
      <c r="AI239" s="128">
        <v>4413.3440000000001</v>
      </c>
      <c r="AJ239" s="128">
        <v>4413.3440000000001</v>
      </c>
      <c r="AK239" s="128">
        <v>4413.3440000000001</v>
      </c>
      <c r="AL239" s="128">
        <v>4413.3440000000001</v>
      </c>
      <c r="AM239" s="128">
        <v>4413.3440000000001</v>
      </c>
      <c r="AN239" s="128">
        <v>4413.3440000000001</v>
      </c>
      <c r="AO239" s="128">
        <v>4413.3440000000001</v>
      </c>
      <c r="AP239" s="128">
        <v>4413.3440000000001</v>
      </c>
      <c r="AQ239" s="128">
        <v>4413.3440000000001</v>
      </c>
      <c r="AR239" s="128">
        <v>4545.7443199999998</v>
      </c>
      <c r="AS239" s="128">
        <v>4545.7443199999998</v>
      </c>
      <c r="AT239" s="128">
        <v>4545.7443199999998</v>
      </c>
      <c r="AU239" s="128">
        <v>4545.7443199999998</v>
      </c>
      <c r="AV239" s="128">
        <v>4545.7443199999998</v>
      </c>
      <c r="AW239" s="128">
        <v>4545.7443199999998</v>
      </c>
      <c r="AX239" s="128">
        <v>4545.7443199999998</v>
      </c>
      <c r="AY239" s="128">
        <v>4545.7443199999998</v>
      </c>
      <c r="AZ239" s="128">
        <v>4545.7443199999998</v>
      </c>
      <c r="BA239" s="128">
        <v>4545.7443199999998</v>
      </c>
      <c r="BB239" s="128">
        <v>4545.7443199999998</v>
      </c>
      <c r="BC239" s="128">
        <v>4545.7443199999998</v>
      </c>
      <c r="BD239" s="128">
        <v>4682.1166495999996</v>
      </c>
      <c r="BE239" s="128">
        <v>4682.1166495999996</v>
      </c>
      <c r="BF239" s="128">
        <v>4682.1166495999996</v>
      </c>
      <c r="BG239" s="128">
        <v>4682.1166495999996</v>
      </c>
      <c r="BH239" s="128">
        <v>4682.1166495999996</v>
      </c>
      <c r="BI239" s="128">
        <v>4682.1166495999996</v>
      </c>
      <c r="BJ239" s="128">
        <v>4682.1166495999996</v>
      </c>
      <c r="BK239" s="128">
        <v>4682.1166495999996</v>
      </c>
      <c r="BL239" s="128">
        <v>4682.1166495999996</v>
      </c>
      <c r="BM239" s="128">
        <v>4682.1166495999996</v>
      </c>
      <c r="BN239" s="128">
        <v>4682.1166495999996</v>
      </c>
      <c r="BO239" s="128">
        <v>4682.1166495999996</v>
      </c>
      <c r="BP239" s="132"/>
      <c r="BQ239" s="128"/>
    </row>
    <row r="240" spans="2:69" outlineLevel="1">
      <c r="C240" s="101" t="s">
        <v>97</v>
      </c>
      <c r="D240" s="212">
        <f>Assumptions!H12</f>
        <v>5120</v>
      </c>
      <c r="E240" s="225" t="s">
        <v>96</v>
      </c>
      <c r="F240" s="109" t="s">
        <v>9</v>
      </c>
      <c r="G240" s="132"/>
      <c r="H240" s="128">
        <f t="array" ref="H240:BO240">D240*_xlfn.ANCHORARRAY(H31)</f>
        <v>5120</v>
      </c>
      <c r="I240" s="128">
        <v>5120</v>
      </c>
      <c r="J240" s="128">
        <v>5120</v>
      </c>
      <c r="K240" s="128">
        <v>5120</v>
      </c>
      <c r="L240" s="128">
        <v>5120</v>
      </c>
      <c r="M240" s="128">
        <v>5120</v>
      </c>
      <c r="N240" s="128">
        <v>5120</v>
      </c>
      <c r="O240" s="128">
        <v>5120</v>
      </c>
      <c r="P240" s="128">
        <v>5120</v>
      </c>
      <c r="Q240" s="128">
        <v>5120</v>
      </c>
      <c r="R240" s="128">
        <v>5120</v>
      </c>
      <c r="S240" s="128">
        <v>5120</v>
      </c>
      <c r="T240" s="128">
        <v>5273.6</v>
      </c>
      <c r="U240" s="128">
        <v>5273.6</v>
      </c>
      <c r="V240" s="128">
        <v>5273.6</v>
      </c>
      <c r="W240" s="128">
        <v>5273.6</v>
      </c>
      <c r="X240" s="128">
        <v>5273.6</v>
      </c>
      <c r="Y240" s="128">
        <v>5273.6</v>
      </c>
      <c r="Z240" s="128">
        <v>5273.6</v>
      </c>
      <c r="AA240" s="128">
        <v>5273.6</v>
      </c>
      <c r="AB240" s="128">
        <v>5273.6</v>
      </c>
      <c r="AC240" s="128">
        <v>5273.6</v>
      </c>
      <c r="AD240" s="128">
        <v>5273.6</v>
      </c>
      <c r="AE240" s="128">
        <v>5273.6</v>
      </c>
      <c r="AF240" s="128">
        <v>5431.808</v>
      </c>
      <c r="AG240" s="128">
        <v>5431.808</v>
      </c>
      <c r="AH240" s="128">
        <v>5431.808</v>
      </c>
      <c r="AI240" s="128">
        <v>5431.808</v>
      </c>
      <c r="AJ240" s="128">
        <v>5431.808</v>
      </c>
      <c r="AK240" s="128">
        <v>5431.808</v>
      </c>
      <c r="AL240" s="128">
        <v>5431.808</v>
      </c>
      <c r="AM240" s="128">
        <v>5431.808</v>
      </c>
      <c r="AN240" s="128">
        <v>5431.808</v>
      </c>
      <c r="AO240" s="128">
        <v>5431.808</v>
      </c>
      <c r="AP240" s="128">
        <v>5431.808</v>
      </c>
      <c r="AQ240" s="128">
        <v>5431.808</v>
      </c>
      <c r="AR240" s="128">
        <v>5594.76224</v>
      </c>
      <c r="AS240" s="128">
        <v>5594.76224</v>
      </c>
      <c r="AT240" s="128">
        <v>5594.76224</v>
      </c>
      <c r="AU240" s="128">
        <v>5594.76224</v>
      </c>
      <c r="AV240" s="128">
        <v>5594.76224</v>
      </c>
      <c r="AW240" s="128">
        <v>5594.76224</v>
      </c>
      <c r="AX240" s="128">
        <v>5594.76224</v>
      </c>
      <c r="AY240" s="128">
        <v>5594.76224</v>
      </c>
      <c r="AZ240" s="128">
        <v>5594.76224</v>
      </c>
      <c r="BA240" s="128">
        <v>5594.76224</v>
      </c>
      <c r="BB240" s="128">
        <v>5594.76224</v>
      </c>
      <c r="BC240" s="128">
        <v>5594.76224</v>
      </c>
      <c r="BD240" s="128">
        <v>5762.6051071999991</v>
      </c>
      <c r="BE240" s="128">
        <v>5762.6051071999991</v>
      </c>
      <c r="BF240" s="128">
        <v>5762.6051071999991</v>
      </c>
      <c r="BG240" s="128">
        <v>5762.6051071999991</v>
      </c>
      <c r="BH240" s="128">
        <v>5762.6051071999991</v>
      </c>
      <c r="BI240" s="128">
        <v>5762.6051071999991</v>
      </c>
      <c r="BJ240" s="128">
        <v>5762.6051071999991</v>
      </c>
      <c r="BK240" s="128">
        <v>5762.6051071999991</v>
      </c>
      <c r="BL240" s="128">
        <v>5762.6051071999991</v>
      </c>
      <c r="BM240" s="128">
        <v>5762.6051071999991</v>
      </c>
      <c r="BN240" s="128">
        <v>5762.6051071999991</v>
      </c>
      <c r="BO240" s="128">
        <v>5762.6051071999991</v>
      </c>
      <c r="BP240" s="132"/>
      <c r="BQ240" s="128"/>
    </row>
    <row r="241" spans="2:69" outlineLevel="1"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</row>
    <row r="242" spans="2:69" ht="12" customHeight="1" outlineLevel="1">
      <c r="B242" s="160" t="s">
        <v>98</v>
      </c>
    </row>
    <row r="243" spans="2:69" outlineLevel="1">
      <c r="C243" s="101" t="s">
        <v>90</v>
      </c>
      <c r="F243" s="109" t="s">
        <v>9</v>
      </c>
      <c r="G243" s="132"/>
      <c r="H243" s="128">
        <f t="array" ref="H243:BO243">_xlfn.ANCHORARRAY(H239)*H230:BO230</f>
        <v>723840</v>
      </c>
      <c r="I243" s="128">
        <v>723840</v>
      </c>
      <c r="J243" s="128">
        <v>723840</v>
      </c>
      <c r="K243" s="128">
        <v>723840</v>
      </c>
      <c r="L243" s="128">
        <v>723840</v>
      </c>
      <c r="M243" s="128">
        <v>723840</v>
      </c>
      <c r="N243" s="128">
        <v>723840</v>
      </c>
      <c r="O243" s="128">
        <v>723840</v>
      </c>
      <c r="P243" s="128">
        <v>723840</v>
      </c>
      <c r="Q243" s="128">
        <v>723840</v>
      </c>
      <c r="R243" s="128">
        <v>723840</v>
      </c>
      <c r="S243" s="128">
        <v>723840</v>
      </c>
      <c r="T243" s="128">
        <f ca="1"/>
        <v>754124.80000000005</v>
      </c>
      <c r="U243" s="128">
        <f ca="1"/>
        <v>754124.80000000005</v>
      </c>
      <c r="V243" s="128">
        <f ca="1"/>
        <v>754124.80000000005</v>
      </c>
      <c r="W243" s="128">
        <f ca="1"/>
        <v>754124.80000000005</v>
      </c>
      <c r="X243" s="128">
        <f ca="1"/>
        <v>754124.80000000005</v>
      </c>
      <c r="Y243" s="128">
        <f ca="1"/>
        <v>754124.80000000005</v>
      </c>
      <c r="Z243" s="128">
        <f ca="1"/>
        <v>754124.80000000005</v>
      </c>
      <c r="AA243" s="128">
        <f ca="1"/>
        <v>754124.80000000005</v>
      </c>
      <c r="AB243" s="128">
        <f ca="1"/>
        <v>754124.80000000005</v>
      </c>
      <c r="AC243" s="128">
        <f ca="1"/>
        <v>754124.80000000005</v>
      </c>
      <c r="AD243" s="128">
        <f ca="1"/>
        <v>754124.80000000005</v>
      </c>
      <c r="AE243" s="128">
        <f ca="1"/>
        <v>754124.80000000005</v>
      </c>
      <c r="AF243" s="128">
        <f ca="1"/>
        <v>807641.95200000005</v>
      </c>
      <c r="AG243" s="128">
        <f ca="1"/>
        <v>807641.95200000005</v>
      </c>
      <c r="AH243" s="128">
        <f ca="1"/>
        <v>807641.95200000005</v>
      </c>
      <c r="AI243" s="128">
        <f ca="1"/>
        <v>807641.95200000005</v>
      </c>
      <c r="AJ243" s="128">
        <f ca="1"/>
        <v>807641.95200000005</v>
      </c>
      <c r="AK243" s="128">
        <f ca="1"/>
        <v>807641.95200000005</v>
      </c>
      <c r="AL243" s="128">
        <f ca="1"/>
        <v>807641.95200000005</v>
      </c>
      <c r="AM243" s="128">
        <f ca="1"/>
        <v>807641.95200000005</v>
      </c>
      <c r="AN243" s="128">
        <f ca="1"/>
        <v>807641.95200000005</v>
      </c>
      <c r="AO243" s="128">
        <f ca="1"/>
        <v>807641.95200000005</v>
      </c>
      <c r="AP243" s="128">
        <f ca="1"/>
        <v>807641.95200000005</v>
      </c>
      <c r="AQ243" s="128">
        <f ca="1"/>
        <v>807641.95200000005</v>
      </c>
      <c r="AR243" s="128">
        <f ca="1"/>
        <v>845508.44351999997</v>
      </c>
      <c r="AS243" s="128">
        <f ca="1"/>
        <v>845508.44351999997</v>
      </c>
      <c r="AT243" s="128">
        <f ca="1"/>
        <v>845508.44351999997</v>
      </c>
      <c r="AU243" s="128">
        <f ca="1"/>
        <v>845508.44351999997</v>
      </c>
      <c r="AV243" s="128">
        <f ca="1"/>
        <v>845508.44351999997</v>
      </c>
      <c r="AW243" s="128">
        <f ca="1"/>
        <v>845508.44351999997</v>
      </c>
      <c r="AX243" s="128">
        <f ca="1"/>
        <v>845508.44351999997</v>
      </c>
      <c r="AY243" s="128">
        <f ca="1"/>
        <v>845508.44351999997</v>
      </c>
      <c r="AZ243" s="128">
        <f ca="1"/>
        <v>845508.44351999997</v>
      </c>
      <c r="BA243" s="128">
        <f ca="1"/>
        <v>845508.44351999997</v>
      </c>
      <c r="BB243" s="128">
        <f ca="1"/>
        <v>845508.44351999997</v>
      </c>
      <c r="BC243" s="128">
        <f ca="1"/>
        <v>845508.44351999997</v>
      </c>
      <c r="BD243" s="128">
        <f ca="1"/>
        <v>875555.81347519998</v>
      </c>
      <c r="BE243" s="128">
        <f ca="1"/>
        <v>875555.81347519998</v>
      </c>
      <c r="BF243" s="128">
        <f ca="1"/>
        <v>875555.81347519998</v>
      </c>
      <c r="BG243" s="128">
        <f ca="1"/>
        <v>875555.81347519998</v>
      </c>
      <c r="BH243" s="128">
        <f ca="1"/>
        <v>875555.81347519998</v>
      </c>
      <c r="BI243" s="128">
        <f ca="1"/>
        <v>875555.81347519998</v>
      </c>
      <c r="BJ243" s="128">
        <f ca="1"/>
        <v>875555.81347519998</v>
      </c>
      <c r="BK243" s="128">
        <f ca="1"/>
        <v>875555.81347519998</v>
      </c>
      <c r="BL243" s="128">
        <f ca="1"/>
        <v>875555.81347519998</v>
      </c>
      <c r="BM243" s="128">
        <f ca="1"/>
        <v>875555.81347519998</v>
      </c>
      <c r="BN243" s="128">
        <f ca="1"/>
        <v>875555.81347519998</v>
      </c>
      <c r="BO243" s="128">
        <f ca="1"/>
        <v>875555.81347519998</v>
      </c>
      <c r="BP243" s="132"/>
      <c r="BQ243" s="128"/>
    </row>
    <row r="244" spans="2:69" outlineLevel="1">
      <c r="C244" s="101" t="s">
        <v>99</v>
      </c>
      <c r="D244" s="220"/>
      <c r="F244" s="109" t="s">
        <v>9</v>
      </c>
      <c r="G244" s="132"/>
      <c r="H244" s="128">
        <f t="array" ref="H244:BO244">_xlfn.ANCHORARRAY(H240)*H234:BO234</f>
        <v>0</v>
      </c>
      <c r="I244" s="128">
        <v>0</v>
      </c>
      <c r="J244" s="128">
        <v>18457.083549783711</v>
      </c>
      <c r="K244" s="128">
        <v>92044.129812409956</v>
      </c>
      <c r="L244" s="128">
        <v>163818.26031746023</v>
      </c>
      <c r="M244" s="128">
        <v>120648.56658008648</v>
      </c>
      <c r="N244" s="128">
        <v>11433.283665223571</v>
      </c>
      <c r="O244" s="128">
        <v>93283.441962482175</v>
      </c>
      <c r="P244" s="128">
        <v>206821.03119769119</v>
      </c>
      <c r="Q244" s="128">
        <v>332453.17766233766</v>
      </c>
      <c r="R244" s="128">
        <v>563323.13515151525</v>
      </c>
      <c r="S244" s="128">
        <v>388415.62477402593</v>
      </c>
      <c r="T244" s="128">
        <f ca="1"/>
        <v>0</v>
      </c>
      <c r="U244" s="128">
        <f ca="1"/>
        <v>0</v>
      </c>
      <c r="V244" s="128">
        <f ca="1"/>
        <v>42504.151864343214</v>
      </c>
      <c r="W244" s="128">
        <f ca="1"/>
        <v>121356.64451819341</v>
      </c>
      <c r="X244" s="128">
        <f ca="1"/>
        <v>198128.68160063514</v>
      </c>
      <c r="Y244" s="128">
        <f ca="1"/>
        <v>152078.14473848496</v>
      </c>
      <c r="Z244" s="128">
        <f ca="1"/>
        <v>35804.581315887634</v>
      </c>
      <c r="AA244" s="128">
        <f ca="1"/>
        <v>124041.63615224847</v>
      </c>
      <c r="AB244" s="128">
        <f ca="1"/>
        <v>245452.28139421385</v>
      </c>
      <c r="AC244" s="128">
        <f ca="1"/>
        <v>381740.52195413865</v>
      </c>
      <c r="AD244" s="128">
        <f ca="1"/>
        <v>632514.19466019911</v>
      </c>
      <c r="AE244" s="128">
        <f ca="1"/>
        <v>437919.31898895989</v>
      </c>
      <c r="AF244" s="128">
        <f ca="1"/>
        <v>0</v>
      </c>
      <c r="AG244" s="128">
        <f ca="1"/>
        <v>0</v>
      </c>
      <c r="AH244" s="128">
        <f ca="1"/>
        <v>26313.580166168027</v>
      </c>
      <c r="AI244" s="128">
        <f ca="1"/>
        <v>109813.09174339676</v>
      </c>
      <c r="AJ244" s="128">
        <f ca="1"/>
        <v>191139.86227488794</v>
      </c>
      <c r="AK244" s="128">
        <f ca="1"/>
        <v>142375.96198926124</v>
      </c>
      <c r="AL244" s="128">
        <f ca="1"/>
        <v>19467.653924524337</v>
      </c>
      <c r="AM244" s="128">
        <f ca="1"/>
        <v>112140.5707498378</v>
      </c>
      <c r="AN244" s="128">
        <f ca="1"/>
        <v>239780.61856603733</v>
      </c>
      <c r="AO244" s="128">
        <f ca="1"/>
        <v>383578.63088633853</v>
      </c>
      <c r="AP244" s="128">
        <f ca="1"/>
        <v>648047.90956043405</v>
      </c>
      <c r="AQ244" s="128">
        <f ca="1"/>
        <v>435674.66973520513</v>
      </c>
      <c r="AR244" s="128">
        <f ca="1"/>
        <v>0</v>
      </c>
      <c r="AS244" s="128">
        <f ca="1"/>
        <v>0</v>
      </c>
      <c r="AT244" s="128">
        <f ca="1"/>
        <v>12779.865049823762</v>
      </c>
      <c r="AU244" s="128">
        <f ca="1"/>
        <v>99423.333432988104</v>
      </c>
      <c r="AV244" s="128">
        <f ca="1"/>
        <v>183838.60708119732</v>
      </c>
      <c r="AW244" s="128">
        <f ca="1"/>
        <v>133184.92699959909</v>
      </c>
      <c r="AX244" s="128">
        <f ca="1"/>
        <v>5771.9145416095971</v>
      </c>
      <c r="AY244" s="128">
        <f ca="1"/>
        <v>101324.87416621437</v>
      </c>
      <c r="AZ244" s="128">
        <f ca="1"/>
        <v>233083.14215116354</v>
      </c>
      <c r="BA244" s="128">
        <f ca="1"/>
        <v>381749.72651041404</v>
      </c>
      <c r="BB244" s="128">
        <f ca="1"/>
        <v>655033.92264601705</v>
      </c>
      <c r="BC244" s="128">
        <f ca="1"/>
        <v>433811.16719300306</v>
      </c>
      <c r="BD244" s="128">
        <f ca="1"/>
        <v>0</v>
      </c>
      <c r="BE244" s="128">
        <f ca="1"/>
        <v>0</v>
      </c>
      <c r="BF244" s="128">
        <f ca="1"/>
        <v>5985.4873525180483</v>
      </c>
      <c r="BG244" s="128">
        <f ca="1"/>
        <v>95493.951072769472</v>
      </c>
      <c r="BH244" s="128">
        <f ca="1"/>
        <v>182700.80059331501</v>
      </c>
      <c r="BI244" s="128">
        <f ca="1"/>
        <v>130366.68604827361</v>
      </c>
      <c r="BJ244" s="128">
        <f ca="1"/>
        <v>0</v>
      </c>
      <c r="BK244" s="128">
        <f ca="1"/>
        <v>97272.143849659187</v>
      </c>
      <c r="BL244" s="128">
        <f ca="1"/>
        <v>232825.87499190404</v>
      </c>
      <c r="BM244" s="128">
        <f ca="1"/>
        <v>386244.34809323301</v>
      </c>
      <c r="BN244" s="128">
        <f ca="1"/>
        <v>668207.50820093567</v>
      </c>
      <c r="BO244" s="128">
        <f ca="1"/>
        <v>440392.45216610667</v>
      </c>
      <c r="BP244" s="132"/>
      <c r="BQ244" s="128"/>
    </row>
    <row r="245" spans="2:69" ht="12" customHeight="1" outlineLevel="1">
      <c r="C245" s="165" t="s">
        <v>100</v>
      </c>
      <c r="D245" s="165"/>
      <c r="E245" s="166"/>
      <c r="F245" s="167" t="s">
        <v>9</v>
      </c>
      <c r="G245" s="168"/>
      <c r="H245" s="169">
        <f t="array" ref="H245:BO245">+_xlfn.ANCHORARRAY(H244)+_xlfn.ANCHORARRAY(H243)</f>
        <v>723840</v>
      </c>
      <c r="I245" s="169">
        <v>723840</v>
      </c>
      <c r="J245" s="169">
        <v>742297.08354978368</v>
      </c>
      <c r="K245" s="169">
        <v>815884.12981240998</v>
      </c>
      <c r="L245" s="169">
        <v>887658.26031746017</v>
      </c>
      <c r="M245" s="169">
        <v>844488.56658008648</v>
      </c>
      <c r="N245" s="169">
        <v>735273.28366522351</v>
      </c>
      <c r="O245" s="169">
        <v>817123.44196248217</v>
      </c>
      <c r="P245" s="169">
        <v>930661.03119769122</v>
      </c>
      <c r="Q245" s="169">
        <v>1056293.1776623377</v>
      </c>
      <c r="R245" s="169">
        <v>1287163.1351515152</v>
      </c>
      <c r="S245" s="169">
        <v>1112255.624774026</v>
      </c>
      <c r="T245" s="169">
        <f ca="1"/>
        <v>754124.80000000005</v>
      </c>
      <c r="U245" s="169">
        <f ca="1"/>
        <v>754124.80000000005</v>
      </c>
      <c r="V245" s="169">
        <f ca="1"/>
        <v>796628.95186434325</v>
      </c>
      <c r="W245" s="169">
        <f ca="1"/>
        <v>875481.44451819349</v>
      </c>
      <c r="X245" s="169">
        <f ca="1"/>
        <v>952253.48160063522</v>
      </c>
      <c r="Y245" s="169">
        <f ca="1"/>
        <v>906202.94473848504</v>
      </c>
      <c r="Z245" s="169">
        <f ca="1"/>
        <v>789929.38131588767</v>
      </c>
      <c r="AA245" s="169">
        <f ca="1"/>
        <v>878166.43615224853</v>
      </c>
      <c r="AB245" s="169">
        <f ca="1"/>
        <v>999577.08139421395</v>
      </c>
      <c r="AC245" s="169">
        <f ca="1"/>
        <v>1135865.3219541386</v>
      </c>
      <c r="AD245" s="169">
        <f ca="1"/>
        <v>1386638.9946601992</v>
      </c>
      <c r="AE245" s="169">
        <f ca="1"/>
        <v>1192044.1189889601</v>
      </c>
      <c r="AF245" s="169">
        <f ca="1"/>
        <v>807641.95200000005</v>
      </c>
      <c r="AG245" s="169">
        <f ca="1"/>
        <v>807641.95200000005</v>
      </c>
      <c r="AH245" s="169">
        <f ca="1"/>
        <v>833955.53216616809</v>
      </c>
      <c r="AI245" s="169">
        <f ca="1"/>
        <v>917455.04374339676</v>
      </c>
      <c r="AJ245" s="169">
        <f ca="1"/>
        <v>998781.81427488802</v>
      </c>
      <c r="AK245" s="169">
        <f ca="1"/>
        <v>950017.91398926126</v>
      </c>
      <c r="AL245" s="169">
        <f ca="1"/>
        <v>827109.60592452437</v>
      </c>
      <c r="AM245" s="169">
        <f ca="1"/>
        <v>919782.52274983784</v>
      </c>
      <c r="AN245" s="169">
        <f ca="1"/>
        <v>1047422.5705660374</v>
      </c>
      <c r="AO245" s="169">
        <f ca="1"/>
        <v>1191220.5828863387</v>
      </c>
      <c r="AP245" s="169">
        <f ca="1"/>
        <v>1455689.8615604341</v>
      </c>
      <c r="AQ245" s="169">
        <f ca="1"/>
        <v>1243316.6217352052</v>
      </c>
      <c r="AR245" s="169">
        <f ca="1"/>
        <v>845508.44351999997</v>
      </c>
      <c r="AS245" s="169">
        <f ca="1"/>
        <v>845508.44351999997</v>
      </c>
      <c r="AT245" s="169">
        <f ca="1"/>
        <v>858288.30856982374</v>
      </c>
      <c r="AU245" s="169">
        <f ca="1"/>
        <v>944931.77695298812</v>
      </c>
      <c r="AV245" s="169">
        <f ca="1"/>
        <v>1029347.0506011973</v>
      </c>
      <c r="AW245" s="169">
        <f ca="1"/>
        <v>978693.37051959906</v>
      </c>
      <c r="AX245" s="169">
        <f ca="1"/>
        <v>851280.35806160956</v>
      </c>
      <c r="AY245" s="169">
        <f ca="1"/>
        <v>946833.31768621434</v>
      </c>
      <c r="AZ245" s="169">
        <f ca="1"/>
        <v>1078591.5856711636</v>
      </c>
      <c r="BA245" s="169">
        <f ca="1"/>
        <v>1227258.1700304141</v>
      </c>
      <c r="BB245" s="169">
        <f ca="1"/>
        <v>1500542.366166017</v>
      </c>
      <c r="BC245" s="169">
        <f ca="1"/>
        <v>1279319.610713003</v>
      </c>
      <c r="BD245" s="169">
        <f ca="1"/>
        <v>875555.81347519998</v>
      </c>
      <c r="BE245" s="169">
        <f ca="1"/>
        <v>875555.81347519998</v>
      </c>
      <c r="BF245" s="169">
        <f ca="1"/>
        <v>881541.30082771799</v>
      </c>
      <c r="BG245" s="169">
        <f ca="1"/>
        <v>971049.76454796945</v>
      </c>
      <c r="BH245" s="169">
        <f ca="1"/>
        <v>1058256.6140685149</v>
      </c>
      <c r="BI245" s="169">
        <f ca="1"/>
        <v>1005922.4995234736</v>
      </c>
      <c r="BJ245" s="169">
        <f ca="1"/>
        <v>875555.81347519998</v>
      </c>
      <c r="BK245" s="169">
        <f ca="1"/>
        <v>972827.95732485922</v>
      </c>
      <c r="BL245" s="169">
        <f ca="1"/>
        <v>1108381.688467104</v>
      </c>
      <c r="BM245" s="169">
        <f ca="1"/>
        <v>1261800.161568433</v>
      </c>
      <c r="BN245" s="169">
        <f ca="1"/>
        <v>1543763.3216761355</v>
      </c>
      <c r="BO245" s="169">
        <f ca="1"/>
        <v>1315948.2656413065</v>
      </c>
      <c r="BP245" s="168"/>
      <c r="BQ245" s="169"/>
    </row>
    <row r="246" spans="2:69" outlineLevel="1"/>
    <row r="247" spans="2:69" ht="12" customHeight="1" outlineLevel="1">
      <c r="B247" s="112" t="s">
        <v>101</v>
      </c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</row>
    <row r="248" spans="2:69" ht="12" customHeight="1" outlineLevel="1">
      <c r="B248" s="160" t="s">
        <v>102</v>
      </c>
      <c r="BQ248" s="121"/>
    </row>
    <row r="249" spans="2:69" outlineLevel="1">
      <c r="C249" s="101">
        <v>0</v>
      </c>
      <c r="F249" s="109" t="s">
        <v>9</v>
      </c>
      <c r="G249" s="144"/>
      <c r="H249" s="128">
        <f t="shared" ref="H249:AM249" si="40">ROUND(H$245-(H$230+$C249)*H$239-MAX(H$234-$C249,0)*H$240,0)</f>
        <v>0</v>
      </c>
      <c r="I249" s="128">
        <f t="shared" si="40"/>
        <v>0</v>
      </c>
      <c r="J249" s="128">
        <f t="shared" si="40"/>
        <v>0</v>
      </c>
      <c r="K249" s="128">
        <f t="shared" si="40"/>
        <v>0</v>
      </c>
      <c r="L249" s="128">
        <f t="shared" si="40"/>
        <v>0</v>
      </c>
      <c r="M249" s="128">
        <f t="shared" si="40"/>
        <v>0</v>
      </c>
      <c r="N249" s="128">
        <f t="shared" si="40"/>
        <v>0</v>
      </c>
      <c r="O249" s="128">
        <f t="shared" si="40"/>
        <v>0</v>
      </c>
      <c r="P249" s="128">
        <f t="shared" si="40"/>
        <v>0</v>
      </c>
      <c r="Q249" s="128">
        <f t="shared" si="40"/>
        <v>0</v>
      </c>
      <c r="R249" s="128">
        <f t="shared" si="40"/>
        <v>0</v>
      </c>
      <c r="S249" s="128">
        <f t="shared" si="40"/>
        <v>0</v>
      </c>
      <c r="T249" s="128">
        <f t="shared" ca="1" si="40"/>
        <v>0</v>
      </c>
      <c r="U249" s="128">
        <f t="shared" ca="1" si="40"/>
        <v>0</v>
      </c>
      <c r="V249" s="128">
        <f t="shared" ca="1" si="40"/>
        <v>0</v>
      </c>
      <c r="W249" s="128">
        <f t="shared" ca="1" si="40"/>
        <v>0</v>
      </c>
      <c r="X249" s="128">
        <f t="shared" ca="1" si="40"/>
        <v>0</v>
      </c>
      <c r="Y249" s="128">
        <f t="shared" ca="1" si="40"/>
        <v>0</v>
      </c>
      <c r="Z249" s="128">
        <f t="shared" ca="1" si="40"/>
        <v>0</v>
      </c>
      <c r="AA249" s="128">
        <f t="shared" ca="1" si="40"/>
        <v>0</v>
      </c>
      <c r="AB249" s="128">
        <f t="shared" ca="1" si="40"/>
        <v>0</v>
      </c>
      <c r="AC249" s="128">
        <f t="shared" ca="1" si="40"/>
        <v>0</v>
      </c>
      <c r="AD249" s="128">
        <f t="shared" ca="1" si="40"/>
        <v>0</v>
      </c>
      <c r="AE249" s="128">
        <f t="shared" ca="1" si="40"/>
        <v>0</v>
      </c>
      <c r="AF249" s="128">
        <f t="shared" ca="1" si="40"/>
        <v>0</v>
      </c>
      <c r="AG249" s="128">
        <f t="shared" ca="1" si="40"/>
        <v>0</v>
      </c>
      <c r="AH249" s="128">
        <f t="shared" ca="1" si="40"/>
        <v>0</v>
      </c>
      <c r="AI249" s="128">
        <f t="shared" ca="1" si="40"/>
        <v>0</v>
      </c>
      <c r="AJ249" s="128">
        <f t="shared" ca="1" si="40"/>
        <v>0</v>
      </c>
      <c r="AK249" s="128">
        <f t="shared" ca="1" si="40"/>
        <v>0</v>
      </c>
      <c r="AL249" s="128">
        <f t="shared" ca="1" si="40"/>
        <v>0</v>
      </c>
      <c r="AM249" s="128">
        <f t="shared" ca="1" si="40"/>
        <v>0</v>
      </c>
      <c r="AN249" s="128">
        <f t="shared" ref="AN249:BO249" ca="1" si="41">ROUND(AN$245-(AN$230+$C249)*AN$239-MAX(AN$234-$C249,0)*AN$240,0)</f>
        <v>0</v>
      </c>
      <c r="AO249" s="128">
        <f t="shared" ca="1" si="41"/>
        <v>0</v>
      </c>
      <c r="AP249" s="128">
        <f t="shared" ca="1" si="41"/>
        <v>0</v>
      </c>
      <c r="AQ249" s="128">
        <f t="shared" ca="1" si="41"/>
        <v>0</v>
      </c>
      <c r="AR249" s="128">
        <f t="shared" ca="1" si="41"/>
        <v>0</v>
      </c>
      <c r="AS249" s="128">
        <f t="shared" ca="1" si="41"/>
        <v>0</v>
      </c>
      <c r="AT249" s="128">
        <f t="shared" ca="1" si="41"/>
        <v>0</v>
      </c>
      <c r="AU249" s="128">
        <f t="shared" ca="1" si="41"/>
        <v>0</v>
      </c>
      <c r="AV249" s="128">
        <f t="shared" ca="1" si="41"/>
        <v>0</v>
      </c>
      <c r="AW249" s="128">
        <f t="shared" ca="1" si="41"/>
        <v>0</v>
      </c>
      <c r="AX249" s="128">
        <f t="shared" ca="1" si="41"/>
        <v>0</v>
      </c>
      <c r="AY249" s="128">
        <f t="shared" ca="1" si="41"/>
        <v>0</v>
      </c>
      <c r="AZ249" s="128">
        <f t="shared" ca="1" si="41"/>
        <v>0</v>
      </c>
      <c r="BA249" s="128">
        <f t="shared" ca="1" si="41"/>
        <v>0</v>
      </c>
      <c r="BB249" s="128">
        <f t="shared" ca="1" si="41"/>
        <v>0</v>
      </c>
      <c r="BC249" s="128">
        <f t="shared" ca="1" si="41"/>
        <v>0</v>
      </c>
      <c r="BD249" s="128">
        <f t="shared" ca="1" si="41"/>
        <v>0</v>
      </c>
      <c r="BE249" s="128">
        <f t="shared" ca="1" si="41"/>
        <v>0</v>
      </c>
      <c r="BF249" s="128">
        <f t="shared" ca="1" si="41"/>
        <v>0</v>
      </c>
      <c r="BG249" s="128">
        <f t="shared" ca="1" si="41"/>
        <v>0</v>
      </c>
      <c r="BH249" s="128">
        <f t="shared" ca="1" si="41"/>
        <v>0</v>
      </c>
      <c r="BI249" s="128">
        <f t="shared" ca="1" si="41"/>
        <v>0</v>
      </c>
      <c r="BJ249" s="128">
        <f t="shared" ca="1" si="41"/>
        <v>0</v>
      </c>
      <c r="BK249" s="128">
        <f t="shared" ca="1" si="41"/>
        <v>0</v>
      </c>
      <c r="BL249" s="128">
        <f t="shared" ca="1" si="41"/>
        <v>0</v>
      </c>
      <c r="BM249" s="128">
        <f t="shared" ca="1" si="41"/>
        <v>0</v>
      </c>
      <c r="BN249" s="128">
        <f t="shared" ca="1" si="41"/>
        <v>0</v>
      </c>
      <c r="BO249" s="128">
        <f t="shared" ca="1" si="41"/>
        <v>0</v>
      </c>
      <c r="BP249" s="132">
        <f t="shared" ref="BP249:BP259" ca="1" si="42">BP$245-(BP$230+$C249)*BP$239-MAX(BP$234-$C249,0)*BP$240</f>
        <v>0</v>
      </c>
      <c r="BQ249" s="121"/>
    </row>
    <row r="250" spans="2:69" outlineLevel="1">
      <c r="C250" s="101">
        <f t="array" ref="C250:C259">_xlfn.SEQUENCE(10)</f>
        <v>1</v>
      </c>
      <c r="F250" s="109" t="s">
        <v>9</v>
      </c>
      <c r="G250" s="144"/>
      <c r="H250" s="128">
        <f t="shared" ref="H250:Q259" si="43">H$245-(H$230+$C250)*H$239-MAX(H$234-$C250,0)*H$240</f>
        <v>-4160</v>
      </c>
      <c r="I250" s="128">
        <f t="shared" si="43"/>
        <v>-4160</v>
      </c>
      <c r="J250" s="128">
        <f t="shared" si="43"/>
        <v>959.9999999999709</v>
      </c>
      <c r="K250" s="128">
        <f t="shared" si="43"/>
        <v>960.0000000000291</v>
      </c>
      <c r="L250" s="128">
        <f t="shared" si="43"/>
        <v>959.99999999994179</v>
      </c>
      <c r="M250" s="128">
        <f t="shared" si="43"/>
        <v>960</v>
      </c>
      <c r="N250" s="128">
        <f t="shared" si="43"/>
        <v>959.99999999994179</v>
      </c>
      <c r="O250" s="128">
        <f t="shared" si="43"/>
        <v>960</v>
      </c>
      <c r="P250" s="128">
        <f t="shared" si="43"/>
        <v>960.0000000000291</v>
      </c>
      <c r="Q250" s="128">
        <f t="shared" si="43"/>
        <v>960</v>
      </c>
      <c r="R250" s="128">
        <f t="shared" ref="R250:AA259" si="44">R$245-(R$230+$C250)*R$239-MAX(R$234-$C250,0)*R$240</f>
        <v>960</v>
      </c>
      <c r="S250" s="128">
        <f t="shared" si="44"/>
        <v>960.00000000005821</v>
      </c>
      <c r="T250" s="128">
        <f t="shared" ca="1" si="44"/>
        <v>-4284.7999999999302</v>
      </c>
      <c r="U250" s="128">
        <f t="shared" ca="1" si="44"/>
        <v>-4284.7999999999302</v>
      </c>
      <c r="V250" s="128">
        <f t="shared" ca="1" si="44"/>
        <v>988.80000000006839</v>
      </c>
      <c r="W250" s="128">
        <f t="shared" ca="1" si="44"/>
        <v>988.80000000010477</v>
      </c>
      <c r="X250" s="128">
        <f t="shared" ca="1" si="44"/>
        <v>988.80000000010477</v>
      </c>
      <c r="Y250" s="128">
        <f t="shared" ca="1" si="44"/>
        <v>988.80000000010477</v>
      </c>
      <c r="Z250" s="128">
        <f t="shared" ca="1" si="44"/>
        <v>988.80000000006476</v>
      </c>
      <c r="AA250" s="128">
        <f t="shared" ca="1" si="44"/>
        <v>988.80000000007567</v>
      </c>
      <c r="AB250" s="128">
        <f t="shared" ref="AB250:AK259" ca="1" si="45">AB$245-(AB$230+$C250)*AB$239-MAX(AB$234-$C250,0)*AB$240</f>
        <v>988.80000000013388</v>
      </c>
      <c r="AC250" s="128">
        <f t="shared" ca="1" si="45"/>
        <v>988.79999999998836</v>
      </c>
      <c r="AD250" s="128">
        <f t="shared" ca="1" si="45"/>
        <v>988.80000000004657</v>
      </c>
      <c r="AE250" s="128">
        <f t="shared" ca="1" si="45"/>
        <v>988.80000000022119</v>
      </c>
      <c r="AF250" s="128">
        <f t="shared" ca="1" si="45"/>
        <v>-4413.3439999999246</v>
      </c>
      <c r="AG250" s="128">
        <f t="shared" ca="1" si="45"/>
        <v>-4413.3439999999246</v>
      </c>
      <c r="AH250" s="128">
        <f t="shared" ca="1" si="45"/>
        <v>1018.4640000000945</v>
      </c>
      <c r="AI250" s="128">
        <f t="shared" ca="1" si="45"/>
        <v>1018.4640000000363</v>
      </c>
      <c r="AJ250" s="128">
        <f t="shared" ca="1" si="45"/>
        <v>1018.4640000000945</v>
      </c>
      <c r="AK250" s="128">
        <f t="shared" ca="1" si="45"/>
        <v>1018.4640000000363</v>
      </c>
      <c r="AL250" s="128">
        <f t="shared" ref="AL250:AU259" ca="1" si="46">AL$245-(AL$230+$C250)*AL$239-MAX(AL$234-$C250,0)*AL$240</f>
        <v>1018.4640000000563</v>
      </c>
      <c r="AM250" s="128">
        <f t="shared" ca="1" si="46"/>
        <v>1018.4640000000654</v>
      </c>
      <c r="AN250" s="128">
        <f t="shared" ca="1" si="46"/>
        <v>1018.4640000001236</v>
      </c>
      <c r="AO250" s="128">
        <f t="shared" ca="1" si="46"/>
        <v>1018.4640000002109</v>
      </c>
      <c r="AP250" s="128">
        <f t="shared" ca="1" si="46"/>
        <v>1018.4640000000363</v>
      </c>
      <c r="AQ250" s="128">
        <f t="shared" ca="1" si="46"/>
        <v>1018.4640000000363</v>
      </c>
      <c r="AR250" s="128">
        <f t="shared" ca="1" si="46"/>
        <v>-4545.7443199999398</v>
      </c>
      <c r="AS250" s="128">
        <f t="shared" ca="1" si="46"/>
        <v>-4545.7443199999398</v>
      </c>
      <c r="AT250" s="128">
        <f t="shared" ca="1" si="46"/>
        <v>1049.0179200000684</v>
      </c>
      <c r="AU250" s="128">
        <f t="shared" ca="1" si="46"/>
        <v>1049.0179200001003</v>
      </c>
      <c r="AV250" s="128">
        <f t="shared" ref="AV250:BE259" ca="1" si="47">AV$245-(AV$230+$C250)*AV$239-MAX(AV$234-$C250,0)*AV$240</f>
        <v>1049.0179200000712</v>
      </c>
      <c r="AW250" s="128">
        <f t="shared" ca="1" si="47"/>
        <v>1049.0179200000712</v>
      </c>
      <c r="AX250" s="128">
        <f t="shared" ca="1" si="47"/>
        <v>1049.0179200000482</v>
      </c>
      <c r="AY250" s="128">
        <f t="shared" ca="1" si="47"/>
        <v>1049.0179200000566</v>
      </c>
      <c r="AZ250" s="128">
        <f t="shared" ca="1" si="47"/>
        <v>1049.0179200001585</v>
      </c>
      <c r="BA250" s="128">
        <f t="shared" ca="1" si="47"/>
        <v>1049.0179200001876</v>
      </c>
      <c r="BB250" s="128">
        <f t="shared" ca="1" si="47"/>
        <v>1049.017920000013</v>
      </c>
      <c r="BC250" s="128">
        <f t="shared" ca="1" si="47"/>
        <v>1049.0179199999548</v>
      </c>
      <c r="BD250" s="128">
        <f t="shared" ca="1" si="47"/>
        <v>-4682.1166495999787</v>
      </c>
      <c r="BE250" s="128">
        <f t="shared" ca="1" si="47"/>
        <v>-4682.1166495999787</v>
      </c>
      <c r="BF250" s="128">
        <f t="shared" ref="BF250:BO259" ca="1" si="48">BF$245-(BF$230+$C250)*BF$239-MAX(BF$234-$C250,0)*BF$240</f>
        <v>1080.4884575999874</v>
      </c>
      <c r="BG250" s="128">
        <f t="shared" ca="1" si="48"/>
        <v>1080.4884576000186</v>
      </c>
      <c r="BH250" s="128">
        <f t="shared" ca="1" si="48"/>
        <v>1080.4884575999458</v>
      </c>
      <c r="BI250" s="128">
        <f t="shared" ca="1" si="48"/>
        <v>1080.4884575999895</v>
      </c>
      <c r="BJ250" s="128">
        <f t="shared" ca="1" si="48"/>
        <v>-4682.1166495999787</v>
      </c>
      <c r="BK250" s="128">
        <f t="shared" ca="1" si="48"/>
        <v>1080.4884576000768</v>
      </c>
      <c r="BL250" s="128">
        <f t="shared" ca="1" si="48"/>
        <v>1080.4884575999749</v>
      </c>
      <c r="BM250" s="128">
        <f t="shared" ca="1" si="48"/>
        <v>1080.4884576000622</v>
      </c>
      <c r="BN250" s="128">
        <f t="shared" ca="1" si="48"/>
        <v>1080.4884575998876</v>
      </c>
      <c r="BO250" s="128">
        <f t="shared" ca="1" si="48"/>
        <v>1080.4884575998876</v>
      </c>
      <c r="BP250" s="132">
        <f t="shared" ca="1" si="42"/>
        <v>0</v>
      </c>
      <c r="BQ250" s="121"/>
    </row>
    <row r="251" spans="2:69" outlineLevel="1">
      <c r="C251" s="101">
        <v>2</v>
      </c>
      <c r="F251" s="109" t="s">
        <v>9</v>
      </c>
      <c r="G251" s="144"/>
      <c r="H251" s="128">
        <f t="shared" si="43"/>
        <v>-8320</v>
      </c>
      <c r="I251" s="128">
        <f t="shared" si="43"/>
        <v>-8320</v>
      </c>
      <c r="J251" s="128">
        <f t="shared" si="43"/>
        <v>1919.9999999999709</v>
      </c>
      <c r="K251" s="128">
        <f t="shared" si="43"/>
        <v>1920.0000000000291</v>
      </c>
      <c r="L251" s="128">
        <f t="shared" si="43"/>
        <v>1919.9999999999418</v>
      </c>
      <c r="M251" s="128">
        <f t="shared" si="43"/>
        <v>1920</v>
      </c>
      <c r="N251" s="128">
        <f t="shared" si="43"/>
        <v>1919.9999999999418</v>
      </c>
      <c r="O251" s="128">
        <f t="shared" si="43"/>
        <v>1920</v>
      </c>
      <c r="P251" s="128">
        <f t="shared" si="43"/>
        <v>1920.0000000000291</v>
      </c>
      <c r="Q251" s="128">
        <f t="shared" si="43"/>
        <v>1920</v>
      </c>
      <c r="R251" s="128">
        <f t="shared" si="44"/>
        <v>1920</v>
      </c>
      <c r="S251" s="128">
        <f t="shared" si="44"/>
        <v>1920.0000000000582</v>
      </c>
      <c r="T251" s="128">
        <f t="shared" ca="1" si="44"/>
        <v>-8569.5999999999767</v>
      </c>
      <c r="U251" s="128">
        <f t="shared" ca="1" si="44"/>
        <v>-8569.5999999999767</v>
      </c>
      <c r="V251" s="128">
        <f t="shared" ca="1" si="44"/>
        <v>1977.6000000000204</v>
      </c>
      <c r="W251" s="128">
        <f t="shared" ca="1" si="44"/>
        <v>1977.600000000064</v>
      </c>
      <c r="X251" s="128">
        <f t="shared" ca="1" si="44"/>
        <v>1977.6000000000349</v>
      </c>
      <c r="Y251" s="128">
        <f t="shared" ca="1" si="44"/>
        <v>1977.600000000064</v>
      </c>
      <c r="Z251" s="128">
        <f t="shared" ca="1" si="44"/>
        <v>1977.6000000000204</v>
      </c>
      <c r="AA251" s="128">
        <f t="shared" ca="1" si="44"/>
        <v>1977.6000000000349</v>
      </c>
      <c r="AB251" s="128">
        <f t="shared" ca="1" si="45"/>
        <v>1977.6000000000931</v>
      </c>
      <c r="AC251" s="128">
        <f t="shared" ca="1" si="45"/>
        <v>1977.5999999999185</v>
      </c>
      <c r="AD251" s="128">
        <f t="shared" ca="1" si="45"/>
        <v>1977.5999999999767</v>
      </c>
      <c r="AE251" s="128">
        <f t="shared" ca="1" si="45"/>
        <v>1977.6000000001513</v>
      </c>
      <c r="AF251" s="128">
        <f t="shared" ca="1" si="45"/>
        <v>-8826.6879999999655</v>
      </c>
      <c r="AG251" s="128">
        <f t="shared" ca="1" si="45"/>
        <v>-8826.6879999999655</v>
      </c>
      <c r="AH251" s="128">
        <f t="shared" ca="1" si="45"/>
        <v>2036.9280000000526</v>
      </c>
      <c r="AI251" s="128">
        <f t="shared" ca="1" si="45"/>
        <v>2036.9279999999999</v>
      </c>
      <c r="AJ251" s="128">
        <f t="shared" ca="1" si="45"/>
        <v>2036.9280000000435</v>
      </c>
      <c r="AK251" s="128">
        <f t="shared" ca="1" si="45"/>
        <v>2036.9280000000144</v>
      </c>
      <c r="AL251" s="128">
        <f t="shared" ca="1" si="46"/>
        <v>2036.9280000000163</v>
      </c>
      <c r="AM251" s="128">
        <f t="shared" ca="1" si="46"/>
        <v>2036.928000000029</v>
      </c>
      <c r="AN251" s="128">
        <f t="shared" ca="1" si="46"/>
        <v>2036.9280000001017</v>
      </c>
      <c r="AO251" s="128">
        <f t="shared" ca="1" si="46"/>
        <v>2036.9280000001309</v>
      </c>
      <c r="AP251" s="128">
        <f t="shared" ca="1" si="46"/>
        <v>2036.9280000000726</v>
      </c>
      <c r="AQ251" s="128">
        <f t="shared" ca="1" si="46"/>
        <v>2036.9280000000144</v>
      </c>
      <c r="AR251" s="128">
        <f t="shared" ca="1" si="46"/>
        <v>-9091.4886399999959</v>
      </c>
      <c r="AS251" s="128">
        <f t="shared" ca="1" si="46"/>
        <v>-9091.4886399999959</v>
      </c>
      <c r="AT251" s="128">
        <f t="shared" ca="1" si="46"/>
        <v>2098.0358400000123</v>
      </c>
      <c r="AU251" s="128">
        <f t="shared" ca="1" si="46"/>
        <v>2098.0358400000405</v>
      </c>
      <c r="AV251" s="128">
        <f t="shared" ca="1" si="47"/>
        <v>2098.0358399999968</v>
      </c>
      <c r="AW251" s="128">
        <f t="shared" ca="1" si="47"/>
        <v>2098.0358400000114</v>
      </c>
      <c r="AX251" s="128">
        <f t="shared" ca="1" si="47"/>
        <v>-3319.5740983904107</v>
      </c>
      <c r="AY251" s="128">
        <f t="shared" ca="1" si="47"/>
        <v>2098.0358399999968</v>
      </c>
      <c r="AZ251" s="128">
        <f t="shared" ca="1" si="47"/>
        <v>2098.0358400001132</v>
      </c>
      <c r="BA251" s="128">
        <f t="shared" ca="1" si="47"/>
        <v>2098.0358400000841</v>
      </c>
      <c r="BB251" s="128">
        <f t="shared" ca="1" si="47"/>
        <v>2098.0358400000259</v>
      </c>
      <c r="BC251" s="128">
        <f t="shared" ca="1" si="47"/>
        <v>2098.0358399999095</v>
      </c>
      <c r="BD251" s="128">
        <f t="shared" ca="1" si="47"/>
        <v>-9364.2332991999574</v>
      </c>
      <c r="BE251" s="128">
        <f t="shared" ca="1" si="47"/>
        <v>-9364.2332991999574</v>
      </c>
      <c r="BF251" s="128">
        <f t="shared" ca="1" si="48"/>
        <v>-3378.7459466819419</v>
      </c>
      <c r="BG251" s="128">
        <f t="shared" ca="1" si="48"/>
        <v>2160.9769152000372</v>
      </c>
      <c r="BH251" s="128">
        <f t="shared" ca="1" si="48"/>
        <v>2160.9769151999499</v>
      </c>
      <c r="BI251" s="128">
        <f t="shared" ca="1" si="48"/>
        <v>2160.9769152000226</v>
      </c>
      <c r="BJ251" s="128">
        <f t="shared" ca="1" si="48"/>
        <v>-9364.2332991999574</v>
      </c>
      <c r="BK251" s="128">
        <f t="shared" ca="1" si="48"/>
        <v>2160.9769152000954</v>
      </c>
      <c r="BL251" s="128">
        <f t="shared" ca="1" si="48"/>
        <v>2160.9769152000081</v>
      </c>
      <c r="BM251" s="128">
        <f t="shared" ca="1" si="48"/>
        <v>2160.9769152000663</v>
      </c>
      <c r="BN251" s="128">
        <f t="shared" ca="1" si="48"/>
        <v>2160.9769151998917</v>
      </c>
      <c r="BO251" s="128">
        <f t="shared" ca="1" si="48"/>
        <v>2160.9769151998917</v>
      </c>
      <c r="BP251" s="132">
        <f t="shared" ca="1" si="42"/>
        <v>0</v>
      </c>
      <c r="BQ251" s="121"/>
    </row>
    <row r="252" spans="2:69" outlineLevel="1">
      <c r="C252" s="101">
        <v>3</v>
      </c>
      <c r="F252" s="109" t="s">
        <v>9</v>
      </c>
      <c r="G252" s="144"/>
      <c r="H252" s="128">
        <f t="shared" si="43"/>
        <v>-12480</v>
      </c>
      <c r="I252" s="128">
        <f t="shared" si="43"/>
        <v>-12480</v>
      </c>
      <c r="J252" s="128">
        <f t="shared" si="43"/>
        <v>2879.9999999999709</v>
      </c>
      <c r="K252" s="128">
        <f t="shared" si="43"/>
        <v>2880.0000000000291</v>
      </c>
      <c r="L252" s="128">
        <f t="shared" si="43"/>
        <v>2879.9999999999418</v>
      </c>
      <c r="M252" s="128">
        <f t="shared" si="43"/>
        <v>2880</v>
      </c>
      <c r="N252" s="128">
        <f t="shared" si="43"/>
        <v>-1046.7163347764872</v>
      </c>
      <c r="O252" s="128">
        <f t="shared" si="43"/>
        <v>2880</v>
      </c>
      <c r="P252" s="128">
        <f t="shared" si="43"/>
        <v>2880.0000000000291</v>
      </c>
      <c r="Q252" s="128">
        <f t="shared" si="43"/>
        <v>2880</v>
      </c>
      <c r="R252" s="128">
        <f t="shared" si="44"/>
        <v>2880</v>
      </c>
      <c r="S252" s="128">
        <f t="shared" si="44"/>
        <v>2880.0000000000582</v>
      </c>
      <c r="T252" s="128">
        <f t="shared" ca="1" si="44"/>
        <v>-12854.400000000023</v>
      </c>
      <c r="U252" s="128">
        <f t="shared" ca="1" si="44"/>
        <v>-12854.400000000023</v>
      </c>
      <c r="V252" s="128">
        <f t="shared" ca="1" si="44"/>
        <v>2966.3999999999724</v>
      </c>
      <c r="W252" s="128">
        <f t="shared" ca="1" si="44"/>
        <v>2966.4000000000087</v>
      </c>
      <c r="X252" s="128">
        <f t="shared" ca="1" si="44"/>
        <v>2966.3999999999942</v>
      </c>
      <c r="Y252" s="128">
        <f t="shared" ca="1" si="44"/>
        <v>2966.4000000000233</v>
      </c>
      <c r="Z252" s="128">
        <f t="shared" ca="1" si="44"/>
        <v>2966.3999999999724</v>
      </c>
      <c r="AA252" s="128">
        <f t="shared" ca="1" si="44"/>
        <v>2966.3999999999942</v>
      </c>
      <c r="AB252" s="128">
        <f t="shared" ca="1" si="45"/>
        <v>2966.4000000000524</v>
      </c>
      <c r="AC252" s="128">
        <f t="shared" ca="1" si="45"/>
        <v>2966.3999999999069</v>
      </c>
      <c r="AD252" s="128">
        <f t="shared" ca="1" si="45"/>
        <v>2966.3999999999069</v>
      </c>
      <c r="AE252" s="128">
        <f t="shared" ca="1" si="45"/>
        <v>2966.4000000001397</v>
      </c>
      <c r="AF252" s="128">
        <f t="shared" ca="1" si="45"/>
        <v>-13240.032000000007</v>
      </c>
      <c r="AG252" s="128">
        <f t="shared" ca="1" si="45"/>
        <v>-13240.032000000007</v>
      </c>
      <c r="AH252" s="128">
        <f t="shared" ca="1" si="45"/>
        <v>3055.3920000000107</v>
      </c>
      <c r="AI252" s="128">
        <f t="shared" ca="1" si="45"/>
        <v>3055.3919999999634</v>
      </c>
      <c r="AJ252" s="128">
        <f t="shared" ca="1" si="45"/>
        <v>3055.3920000000217</v>
      </c>
      <c r="AK252" s="128">
        <f t="shared" ca="1" si="45"/>
        <v>3055.3919999999634</v>
      </c>
      <c r="AL252" s="128">
        <f t="shared" ca="1" si="46"/>
        <v>3055.3919999999748</v>
      </c>
      <c r="AM252" s="128">
        <f t="shared" ca="1" si="46"/>
        <v>3055.391999999978</v>
      </c>
      <c r="AN252" s="128">
        <f t="shared" ca="1" si="46"/>
        <v>3055.3920000000508</v>
      </c>
      <c r="AO252" s="128">
        <f t="shared" ca="1" si="46"/>
        <v>3055.392000000109</v>
      </c>
      <c r="AP252" s="128">
        <f t="shared" ca="1" si="46"/>
        <v>3055.3919999999925</v>
      </c>
      <c r="AQ252" s="128">
        <f t="shared" ca="1" si="46"/>
        <v>3055.3919999999925</v>
      </c>
      <c r="AR252" s="128">
        <f t="shared" ca="1" si="46"/>
        <v>-13637.232959999936</v>
      </c>
      <c r="AS252" s="128">
        <f t="shared" ca="1" si="46"/>
        <v>-13637.232959999936</v>
      </c>
      <c r="AT252" s="128">
        <f t="shared" ca="1" si="46"/>
        <v>-857.36791017616633</v>
      </c>
      <c r="AU252" s="128">
        <f t="shared" ca="1" si="46"/>
        <v>3147.0537600001117</v>
      </c>
      <c r="AV252" s="128">
        <f t="shared" ca="1" si="47"/>
        <v>3147.053760000068</v>
      </c>
      <c r="AW252" s="128">
        <f t="shared" ca="1" si="47"/>
        <v>3147.053760000068</v>
      </c>
      <c r="AX252" s="128">
        <f t="shared" ca="1" si="47"/>
        <v>-7865.3184183903504</v>
      </c>
      <c r="AY252" s="128">
        <f t="shared" ca="1" si="47"/>
        <v>3147.053760000068</v>
      </c>
      <c r="AZ252" s="128">
        <f t="shared" ca="1" si="47"/>
        <v>3147.0537600001844</v>
      </c>
      <c r="BA252" s="128">
        <f t="shared" ca="1" si="47"/>
        <v>3147.0537600001553</v>
      </c>
      <c r="BB252" s="128">
        <f t="shared" ca="1" si="47"/>
        <v>3147.0537600000389</v>
      </c>
      <c r="BC252" s="128">
        <f t="shared" ca="1" si="47"/>
        <v>3147.0537599999807</v>
      </c>
      <c r="BD252" s="128">
        <f t="shared" ca="1" si="47"/>
        <v>-14046.349948799936</v>
      </c>
      <c r="BE252" s="128">
        <f t="shared" ca="1" si="47"/>
        <v>-14046.349948799936</v>
      </c>
      <c r="BF252" s="128">
        <f t="shared" ca="1" si="48"/>
        <v>-8060.8625962819206</v>
      </c>
      <c r="BG252" s="128">
        <f t="shared" ca="1" si="48"/>
        <v>3241.4653728000558</v>
      </c>
      <c r="BH252" s="128">
        <f t="shared" ca="1" si="48"/>
        <v>3241.465372799983</v>
      </c>
      <c r="BI252" s="128">
        <f t="shared" ca="1" si="48"/>
        <v>3241.4653728000412</v>
      </c>
      <c r="BJ252" s="128">
        <f t="shared" ca="1" si="48"/>
        <v>-14046.349948799936</v>
      </c>
      <c r="BK252" s="128">
        <f t="shared" ca="1" si="48"/>
        <v>3241.4653728001285</v>
      </c>
      <c r="BL252" s="128">
        <f t="shared" ca="1" si="48"/>
        <v>3241.4653728000121</v>
      </c>
      <c r="BM252" s="128">
        <f t="shared" ca="1" si="48"/>
        <v>3241.4653728001285</v>
      </c>
      <c r="BN252" s="128">
        <f t="shared" ca="1" si="48"/>
        <v>3241.4653727998957</v>
      </c>
      <c r="BO252" s="128">
        <f t="shared" ca="1" si="48"/>
        <v>3241.4653727998957</v>
      </c>
      <c r="BP252" s="132">
        <f t="shared" ca="1" si="42"/>
        <v>0</v>
      </c>
      <c r="BQ252" s="121"/>
    </row>
    <row r="253" spans="2:69" outlineLevel="1">
      <c r="C253" s="101">
        <v>4</v>
      </c>
      <c r="F253" s="109" t="s">
        <v>9</v>
      </c>
      <c r="G253" s="144"/>
      <c r="H253" s="128">
        <f t="shared" si="43"/>
        <v>-16640</v>
      </c>
      <c r="I253" s="128">
        <f t="shared" si="43"/>
        <v>-16640</v>
      </c>
      <c r="J253" s="128">
        <f t="shared" si="43"/>
        <v>1817.0835497836815</v>
      </c>
      <c r="K253" s="128">
        <f t="shared" si="43"/>
        <v>3840.0000000000291</v>
      </c>
      <c r="L253" s="128">
        <f t="shared" si="43"/>
        <v>3839.9999999999418</v>
      </c>
      <c r="M253" s="128">
        <f t="shared" si="43"/>
        <v>3840</v>
      </c>
      <c r="N253" s="128">
        <f t="shared" si="43"/>
        <v>-5206.7163347764872</v>
      </c>
      <c r="O253" s="128">
        <f t="shared" si="43"/>
        <v>3840</v>
      </c>
      <c r="P253" s="128">
        <f t="shared" si="43"/>
        <v>3840.0000000000291</v>
      </c>
      <c r="Q253" s="128">
        <f t="shared" si="43"/>
        <v>3840</v>
      </c>
      <c r="R253" s="128">
        <f t="shared" si="44"/>
        <v>3840</v>
      </c>
      <c r="S253" s="128">
        <f t="shared" si="44"/>
        <v>3840.0000000000582</v>
      </c>
      <c r="T253" s="128">
        <f t="shared" ca="1" si="44"/>
        <v>-17139.199999999953</v>
      </c>
      <c r="U253" s="128">
        <f t="shared" ca="1" si="44"/>
        <v>-17139.199999999953</v>
      </c>
      <c r="V253" s="128">
        <f t="shared" ca="1" si="44"/>
        <v>3955.2000000000444</v>
      </c>
      <c r="W253" s="128">
        <f t="shared" ca="1" si="44"/>
        <v>3955.2000000000844</v>
      </c>
      <c r="X253" s="128">
        <f t="shared" ca="1" si="44"/>
        <v>3955.2000000000698</v>
      </c>
      <c r="Y253" s="128">
        <f t="shared" ca="1" si="44"/>
        <v>3955.2000000000844</v>
      </c>
      <c r="Z253" s="128">
        <f t="shared" ca="1" si="44"/>
        <v>3955.2000000000426</v>
      </c>
      <c r="AA253" s="128">
        <f t="shared" ca="1" si="44"/>
        <v>3955.2000000000553</v>
      </c>
      <c r="AB253" s="128">
        <f t="shared" ca="1" si="45"/>
        <v>3955.2000000001281</v>
      </c>
      <c r="AC253" s="128">
        <f t="shared" ca="1" si="45"/>
        <v>3955.1999999999534</v>
      </c>
      <c r="AD253" s="128">
        <f t="shared" ca="1" si="45"/>
        <v>3955.1999999999534</v>
      </c>
      <c r="AE253" s="128">
        <f t="shared" ca="1" si="45"/>
        <v>3955.2000000001863</v>
      </c>
      <c r="AF253" s="128">
        <f t="shared" ca="1" si="45"/>
        <v>-17653.375999999931</v>
      </c>
      <c r="AG253" s="128">
        <f t="shared" ca="1" si="45"/>
        <v>-17653.375999999931</v>
      </c>
      <c r="AH253" s="128">
        <f t="shared" ca="1" si="45"/>
        <v>4073.8560000000871</v>
      </c>
      <c r="AI253" s="128">
        <f t="shared" ca="1" si="45"/>
        <v>4073.8560000000289</v>
      </c>
      <c r="AJ253" s="128">
        <f t="shared" ca="1" si="45"/>
        <v>4073.8560000000871</v>
      </c>
      <c r="AK253" s="128">
        <f t="shared" ca="1" si="45"/>
        <v>4073.8560000000289</v>
      </c>
      <c r="AL253" s="128">
        <f t="shared" ca="1" si="46"/>
        <v>1814.2779245243873</v>
      </c>
      <c r="AM253" s="128">
        <f t="shared" ca="1" si="46"/>
        <v>4073.856000000058</v>
      </c>
      <c r="AN253" s="128">
        <f t="shared" ca="1" si="46"/>
        <v>4073.8560000001453</v>
      </c>
      <c r="AO253" s="128">
        <f t="shared" ca="1" si="46"/>
        <v>4073.8560000002035</v>
      </c>
      <c r="AP253" s="128">
        <f t="shared" ca="1" si="46"/>
        <v>4073.8560000000289</v>
      </c>
      <c r="AQ253" s="128">
        <f t="shared" ca="1" si="46"/>
        <v>4073.8560000000289</v>
      </c>
      <c r="AR253" s="128">
        <f t="shared" ca="1" si="46"/>
        <v>-18182.977279999992</v>
      </c>
      <c r="AS253" s="128">
        <f t="shared" ca="1" si="46"/>
        <v>-18182.977279999992</v>
      </c>
      <c r="AT253" s="128">
        <f t="shared" ca="1" si="46"/>
        <v>-5403.1122301762225</v>
      </c>
      <c r="AU253" s="128">
        <f t="shared" ca="1" si="46"/>
        <v>4196.0716800000519</v>
      </c>
      <c r="AV253" s="128">
        <f t="shared" ca="1" si="47"/>
        <v>4196.0716799999936</v>
      </c>
      <c r="AW253" s="128">
        <f t="shared" ca="1" si="47"/>
        <v>4196.0716800000082</v>
      </c>
      <c r="AX253" s="128">
        <f t="shared" ca="1" si="47"/>
        <v>-12411.062738390407</v>
      </c>
      <c r="AY253" s="128">
        <f t="shared" ca="1" si="47"/>
        <v>4196.0716800000082</v>
      </c>
      <c r="AZ253" s="128">
        <f t="shared" ca="1" si="47"/>
        <v>4196.0716800001101</v>
      </c>
      <c r="BA253" s="128">
        <f t="shared" ca="1" si="47"/>
        <v>4196.0716800001101</v>
      </c>
      <c r="BB253" s="128">
        <f t="shared" ca="1" si="47"/>
        <v>4196.0716799999354</v>
      </c>
      <c r="BC253" s="128">
        <f t="shared" ca="1" si="47"/>
        <v>4196.0716799999354</v>
      </c>
      <c r="BD253" s="128">
        <f t="shared" ca="1" si="47"/>
        <v>-18728.466598399915</v>
      </c>
      <c r="BE253" s="128">
        <f t="shared" ca="1" si="47"/>
        <v>-18728.466598399915</v>
      </c>
      <c r="BF253" s="128">
        <f t="shared" ca="1" si="48"/>
        <v>-12742.979245881899</v>
      </c>
      <c r="BG253" s="128">
        <f t="shared" ca="1" si="48"/>
        <v>4321.9538304000744</v>
      </c>
      <c r="BH253" s="128">
        <f t="shared" ca="1" si="48"/>
        <v>4321.9538303999871</v>
      </c>
      <c r="BI253" s="128">
        <f t="shared" ca="1" si="48"/>
        <v>4321.9538304000598</v>
      </c>
      <c r="BJ253" s="128">
        <f t="shared" ca="1" si="48"/>
        <v>-18728.466598399915</v>
      </c>
      <c r="BK253" s="128">
        <f t="shared" ca="1" si="48"/>
        <v>4321.9538304001471</v>
      </c>
      <c r="BL253" s="128">
        <f t="shared" ca="1" si="48"/>
        <v>4321.9538304000453</v>
      </c>
      <c r="BM253" s="128">
        <f t="shared" ca="1" si="48"/>
        <v>4321.9538304001326</v>
      </c>
      <c r="BN253" s="128">
        <f t="shared" ca="1" si="48"/>
        <v>4321.9538303998997</v>
      </c>
      <c r="BO253" s="128">
        <f t="shared" ca="1" si="48"/>
        <v>4321.953830399958</v>
      </c>
      <c r="BP253" s="132">
        <f t="shared" ca="1" si="42"/>
        <v>0</v>
      </c>
      <c r="BQ253" s="121"/>
    </row>
    <row r="254" spans="2:69" outlineLevel="1">
      <c r="C254" s="101">
        <v>5</v>
      </c>
      <c r="F254" s="109" t="s">
        <v>9</v>
      </c>
      <c r="G254" s="144"/>
      <c r="H254" s="128">
        <f t="shared" si="43"/>
        <v>-20800</v>
      </c>
      <c r="I254" s="128">
        <f t="shared" si="43"/>
        <v>-20800</v>
      </c>
      <c r="J254" s="128">
        <f t="shared" si="43"/>
        <v>-2342.9164502163185</v>
      </c>
      <c r="K254" s="128">
        <f t="shared" si="43"/>
        <v>4800.0000000000291</v>
      </c>
      <c r="L254" s="128">
        <f t="shared" si="43"/>
        <v>4799.9999999999418</v>
      </c>
      <c r="M254" s="128">
        <f t="shared" si="43"/>
        <v>4800</v>
      </c>
      <c r="N254" s="128">
        <f t="shared" si="43"/>
        <v>-9366.7163347764872</v>
      </c>
      <c r="O254" s="128">
        <f t="shared" si="43"/>
        <v>4800</v>
      </c>
      <c r="P254" s="128">
        <f t="shared" si="43"/>
        <v>4800.0000000000291</v>
      </c>
      <c r="Q254" s="128">
        <f t="shared" si="43"/>
        <v>4800</v>
      </c>
      <c r="R254" s="128">
        <f t="shared" si="44"/>
        <v>4800</v>
      </c>
      <c r="S254" s="128">
        <f t="shared" si="44"/>
        <v>4800.0000000000582</v>
      </c>
      <c r="T254" s="128">
        <f t="shared" ca="1" si="44"/>
        <v>-21424</v>
      </c>
      <c r="U254" s="128">
        <f t="shared" ca="1" si="44"/>
        <v>-21424</v>
      </c>
      <c r="V254" s="128">
        <f t="shared" ca="1" si="44"/>
        <v>4943.9999999999982</v>
      </c>
      <c r="W254" s="128">
        <f t="shared" ca="1" si="44"/>
        <v>4944.0000000000291</v>
      </c>
      <c r="X254" s="128">
        <f t="shared" ca="1" si="44"/>
        <v>4944.0000000000291</v>
      </c>
      <c r="Y254" s="128">
        <f t="shared" ca="1" si="44"/>
        <v>4944.0000000000437</v>
      </c>
      <c r="Z254" s="128">
        <f t="shared" ca="1" si="44"/>
        <v>4943.9999999999964</v>
      </c>
      <c r="AA254" s="128">
        <f t="shared" ca="1" si="44"/>
        <v>4944.0000000000146</v>
      </c>
      <c r="AB254" s="128">
        <f t="shared" ca="1" si="45"/>
        <v>4944.0000000000582</v>
      </c>
      <c r="AC254" s="128">
        <f t="shared" ca="1" si="45"/>
        <v>4943.9999999998836</v>
      </c>
      <c r="AD254" s="128">
        <f t="shared" ca="1" si="45"/>
        <v>4944</v>
      </c>
      <c r="AE254" s="128">
        <f t="shared" ca="1" si="45"/>
        <v>4944.0000000001164</v>
      </c>
      <c r="AF254" s="128">
        <f t="shared" ca="1" si="45"/>
        <v>-22066.719999999972</v>
      </c>
      <c r="AG254" s="128">
        <f t="shared" ca="1" si="45"/>
        <v>-22066.719999999972</v>
      </c>
      <c r="AH254" s="128">
        <f t="shared" ca="1" si="45"/>
        <v>4246.8601661680732</v>
      </c>
      <c r="AI254" s="128">
        <f t="shared" ca="1" si="45"/>
        <v>5092.3199999999924</v>
      </c>
      <c r="AJ254" s="128">
        <f t="shared" ca="1" si="45"/>
        <v>5092.3200000000361</v>
      </c>
      <c r="AK254" s="128">
        <f t="shared" ca="1" si="45"/>
        <v>5092.3199999999924</v>
      </c>
      <c r="AL254" s="128">
        <f t="shared" ca="1" si="46"/>
        <v>-2599.0660754756536</v>
      </c>
      <c r="AM254" s="128">
        <f t="shared" ca="1" si="46"/>
        <v>5092.3200000000215</v>
      </c>
      <c r="AN254" s="128">
        <f t="shared" ca="1" si="46"/>
        <v>5092.3200000000943</v>
      </c>
      <c r="AO254" s="128">
        <f t="shared" ca="1" si="46"/>
        <v>5092.3200000001234</v>
      </c>
      <c r="AP254" s="128">
        <f t="shared" ca="1" si="46"/>
        <v>5092.3200000000652</v>
      </c>
      <c r="AQ254" s="128">
        <f t="shared" ca="1" si="46"/>
        <v>5092.320000000007</v>
      </c>
      <c r="AR254" s="128">
        <f t="shared" ca="1" si="46"/>
        <v>-22728.721599999932</v>
      </c>
      <c r="AS254" s="128">
        <f t="shared" ca="1" si="46"/>
        <v>-22728.721599999932</v>
      </c>
      <c r="AT254" s="128">
        <f t="shared" ca="1" si="46"/>
        <v>-9948.8565501761623</v>
      </c>
      <c r="AU254" s="128">
        <f t="shared" ca="1" si="46"/>
        <v>5245.0896000001085</v>
      </c>
      <c r="AV254" s="128">
        <f t="shared" ca="1" si="47"/>
        <v>5245.0896000000648</v>
      </c>
      <c r="AW254" s="128">
        <f t="shared" ca="1" si="47"/>
        <v>5245.0896000000794</v>
      </c>
      <c r="AX254" s="128">
        <f t="shared" ca="1" si="47"/>
        <v>-16956.807058390346</v>
      </c>
      <c r="AY254" s="128">
        <f t="shared" ca="1" si="47"/>
        <v>5245.0896000000648</v>
      </c>
      <c r="AZ254" s="128">
        <f t="shared" ca="1" si="47"/>
        <v>5245.0896000001812</v>
      </c>
      <c r="BA254" s="128">
        <f t="shared" ca="1" si="47"/>
        <v>5245.0896000001812</v>
      </c>
      <c r="BB254" s="128">
        <f t="shared" ca="1" si="47"/>
        <v>5245.0896000000648</v>
      </c>
      <c r="BC254" s="128">
        <f t="shared" ca="1" si="47"/>
        <v>5245.0896000000066</v>
      </c>
      <c r="BD254" s="128">
        <f t="shared" ca="1" si="47"/>
        <v>-23410.583247999894</v>
      </c>
      <c r="BE254" s="128">
        <f t="shared" ca="1" si="47"/>
        <v>-23410.583247999894</v>
      </c>
      <c r="BF254" s="128">
        <f t="shared" ca="1" si="48"/>
        <v>-17425.095895481878</v>
      </c>
      <c r="BG254" s="128">
        <f t="shared" ca="1" si="48"/>
        <v>5402.442288000093</v>
      </c>
      <c r="BH254" s="128">
        <f t="shared" ca="1" si="48"/>
        <v>5402.4422880000202</v>
      </c>
      <c r="BI254" s="128">
        <f t="shared" ca="1" si="48"/>
        <v>5402.4422880000784</v>
      </c>
      <c r="BJ254" s="128">
        <f t="shared" ca="1" si="48"/>
        <v>-23410.583247999894</v>
      </c>
      <c r="BK254" s="128">
        <f t="shared" ca="1" si="48"/>
        <v>5402.4422880001657</v>
      </c>
      <c r="BL254" s="128">
        <f t="shared" ca="1" si="48"/>
        <v>5402.4422880000493</v>
      </c>
      <c r="BM254" s="128">
        <f t="shared" ca="1" si="48"/>
        <v>5402.4422880001366</v>
      </c>
      <c r="BN254" s="128">
        <f t="shared" ca="1" si="48"/>
        <v>5402.4422879999038</v>
      </c>
      <c r="BO254" s="128">
        <f t="shared" ca="1" si="48"/>
        <v>5402.442287999962</v>
      </c>
      <c r="BP254" s="132">
        <f t="shared" ca="1" si="42"/>
        <v>0</v>
      </c>
      <c r="BQ254" s="121"/>
    </row>
    <row r="255" spans="2:69" outlineLevel="1">
      <c r="C255" s="101">
        <v>6</v>
      </c>
      <c r="F255" s="109" t="s">
        <v>9</v>
      </c>
      <c r="G255" s="144"/>
      <c r="H255" s="128">
        <f t="shared" si="43"/>
        <v>-24960</v>
      </c>
      <c r="I255" s="128">
        <f t="shared" si="43"/>
        <v>-24960</v>
      </c>
      <c r="J255" s="128">
        <f t="shared" si="43"/>
        <v>-6502.9164502163185</v>
      </c>
      <c r="K255" s="128">
        <f t="shared" si="43"/>
        <v>5760.0000000000291</v>
      </c>
      <c r="L255" s="128">
        <f t="shared" si="43"/>
        <v>5759.9999999999418</v>
      </c>
      <c r="M255" s="128">
        <f t="shared" si="43"/>
        <v>5760</v>
      </c>
      <c r="N255" s="128">
        <f t="shared" si="43"/>
        <v>-13526.716334776487</v>
      </c>
      <c r="O255" s="128">
        <f t="shared" si="43"/>
        <v>5760</v>
      </c>
      <c r="P255" s="128">
        <f t="shared" si="43"/>
        <v>5760.0000000000291</v>
      </c>
      <c r="Q255" s="128">
        <f t="shared" si="43"/>
        <v>5760</v>
      </c>
      <c r="R255" s="128">
        <f t="shared" si="44"/>
        <v>5760</v>
      </c>
      <c r="S255" s="128">
        <f t="shared" si="44"/>
        <v>5760.0000000000582</v>
      </c>
      <c r="T255" s="128">
        <f t="shared" ca="1" si="44"/>
        <v>-25708.79999999993</v>
      </c>
      <c r="U255" s="128">
        <f t="shared" ca="1" si="44"/>
        <v>-25708.79999999993</v>
      </c>
      <c r="V255" s="128">
        <f t="shared" ca="1" si="44"/>
        <v>5932.8000000000684</v>
      </c>
      <c r="W255" s="128">
        <f t="shared" ca="1" si="44"/>
        <v>5932.8000000001048</v>
      </c>
      <c r="X255" s="128">
        <f t="shared" ca="1" si="44"/>
        <v>5932.8000000001048</v>
      </c>
      <c r="Y255" s="128">
        <f t="shared" ca="1" si="44"/>
        <v>5932.8000000001193</v>
      </c>
      <c r="Z255" s="128">
        <f t="shared" ca="1" si="44"/>
        <v>5932.8000000000666</v>
      </c>
      <c r="AA255" s="128">
        <f t="shared" ca="1" si="44"/>
        <v>5932.8000000000902</v>
      </c>
      <c r="AB255" s="128">
        <f t="shared" ca="1" si="45"/>
        <v>5932.8000000001339</v>
      </c>
      <c r="AC255" s="128">
        <f t="shared" ca="1" si="45"/>
        <v>5932.7999999999884</v>
      </c>
      <c r="AD255" s="128">
        <f t="shared" ca="1" si="45"/>
        <v>5932.8000000000466</v>
      </c>
      <c r="AE255" s="128">
        <f t="shared" ca="1" si="45"/>
        <v>5932.8000000002212</v>
      </c>
      <c r="AF255" s="128">
        <f t="shared" ca="1" si="45"/>
        <v>-26480.064000000013</v>
      </c>
      <c r="AG255" s="128">
        <f t="shared" ca="1" si="45"/>
        <v>-26480.064000000013</v>
      </c>
      <c r="AH255" s="128">
        <f t="shared" ca="1" si="45"/>
        <v>-166.48383383196779</v>
      </c>
      <c r="AI255" s="128">
        <f t="shared" ca="1" si="45"/>
        <v>6110.783999999956</v>
      </c>
      <c r="AJ255" s="128">
        <f t="shared" ca="1" si="45"/>
        <v>6110.7840000000142</v>
      </c>
      <c r="AK255" s="128">
        <f t="shared" ca="1" si="45"/>
        <v>6110.783999999956</v>
      </c>
      <c r="AL255" s="128">
        <f t="shared" ca="1" si="46"/>
        <v>-7012.4100754756946</v>
      </c>
      <c r="AM255" s="128">
        <f t="shared" ca="1" si="46"/>
        <v>6110.7839999999705</v>
      </c>
      <c r="AN255" s="128">
        <f t="shared" ca="1" si="46"/>
        <v>6110.7840000000433</v>
      </c>
      <c r="AO255" s="128">
        <f t="shared" ca="1" si="46"/>
        <v>6110.7840000001015</v>
      </c>
      <c r="AP255" s="128">
        <f t="shared" ca="1" si="46"/>
        <v>6110.7839999999851</v>
      </c>
      <c r="AQ255" s="128">
        <f t="shared" ca="1" si="46"/>
        <v>6110.7839999999851</v>
      </c>
      <c r="AR255" s="128">
        <f t="shared" ca="1" si="46"/>
        <v>-27274.465919999988</v>
      </c>
      <c r="AS255" s="128">
        <f t="shared" ca="1" si="46"/>
        <v>-27274.465919999988</v>
      </c>
      <c r="AT255" s="128">
        <f t="shared" ca="1" si="46"/>
        <v>-14494.600870176218</v>
      </c>
      <c r="AU255" s="128">
        <f t="shared" ca="1" si="46"/>
        <v>6294.1075200000487</v>
      </c>
      <c r="AV255" s="128">
        <f t="shared" ca="1" si="47"/>
        <v>6294.1075200000196</v>
      </c>
      <c r="AW255" s="128">
        <f t="shared" ca="1" si="47"/>
        <v>6294.1075200000196</v>
      </c>
      <c r="AX255" s="128">
        <f t="shared" ca="1" si="47"/>
        <v>-21502.551378390403</v>
      </c>
      <c r="AY255" s="128">
        <f t="shared" ca="1" si="47"/>
        <v>6294.107520000005</v>
      </c>
      <c r="AZ255" s="128">
        <f t="shared" ca="1" si="47"/>
        <v>6294.107520000136</v>
      </c>
      <c r="BA255" s="128">
        <f t="shared" ca="1" si="47"/>
        <v>6294.107520000136</v>
      </c>
      <c r="BB255" s="128">
        <f t="shared" ca="1" si="47"/>
        <v>6294.1075199999614</v>
      </c>
      <c r="BC255" s="128">
        <f t="shared" ca="1" si="47"/>
        <v>6294.1075199999032</v>
      </c>
      <c r="BD255" s="128">
        <f t="shared" ca="1" si="47"/>
        <v>-28092.699897599989</v>
      </c>
      <c r="BE255" s="128">
        <f t="shared" ca="1" si="47"/>
        <v>-28092.699897599989</v>
      </c>
      <c r="BF255" s="128">
        <f t="shared" ca="1" si="48"/>
        <v>-22107.212545081973</v>
      </c>
      <c r="BG255" s="128">
        <f t="shared" ca="1" si="48"/>
        <v>6482.9307456000024</v>
      </c>
      <c r="BH255" s="128">
        <f t="shared" ca="1" si="48"/>
        <v>6482.9307455999078</v>
      </c>
      <c r="BI255" s="128">
        <f t="shared" ca="1" si="48"/>
        <v>6482.9307455999806</v>
      </c>
      <c r="BJ255" s="128">
        <f t="shared" ca="1" si="48"/>
        <v>-28092.699897599989</v>
      </c>
      <c r="BK255" s="128">
        <f t="shared" ca="1" si="48"/>
        <v>6482.9307456000679</v>
      </c>
      <c r="BL255" s="128">
        <f t="shared" ca="1" si="48"/>
        <v>6482.930745599966</v>
      </c>
      <c r="BM255" s="128">
        <f t="shared" ca="1" si="48"/>
        <v>6482.9307456000824</v>
      </c>
      <c r="BN255" s="128">
        <f t="shared" ca="1" si="48"/>
        <v>6482.9307455997914</v>
      </c>
      <c r="BO255" s="128">
        <f t="shared" ca="1" si="48"/>
        <v>6482.9307455998496</v>
      </c>
      <c r="BP255" s="132">
        <f t="shared" ca="1" si="42"/>
        <v>0</v>
      </c>
      <c r="BQ255" s="121"/>
    </row>
    <row r="256" spans="2:69" outlineLevel="1">
      <c r="C256" s="101">
        <v>7</v>
      </c>
      <c r="F256" s="109" t="s">
        <v>9</v>
      </c>
      <c r="G256" s="144"/>
      <c r="H256" s="128">
        <f t="shared" si="43"/>
        <v>-29120</v>
      </c>
      <c r="I256" s="128">
        <f t="shared" si="43"/>
        <v>-29120</v>
      </c>
      <c r="J256" s="128">
        <f t="shared" si="43"/>
        <v>-10662.916450216318</v>
      </c>
      <c r="K256" s="128">
        <f t="shared" si="43"/>
        <v>6720.0000000000291</v>
      </c>
      <c r="L256" s="128">
        <f t="shared" si="43"/>
        <v>6719.9999999999418</v>
      </c>
      <c r="M256" s="128">
        <f t="shared" si="43"/>
        <v>6720</v>
      </c>
      <c r="N256" s="128">
        <f t="shared" si="43"/>
        <v>-17686.716334776487</v>
      </c>
      <c r="O256" s="128">
        <f t="shared" si="43"/>
        <v>6720</v>
      </c>
      <c r="P256" s="128">
        <f t="shared" si="43"/>
        <v>6720.0000000000291</v>
      </c>
      <c r="Q256" s="128">
        <f t="shared" si="43"/>
        <v>6720</v>
      </c>
      <c r="R256" s="128">
        <f t="shared" si="44"/>
        <v>6720</v>
      </c>
      <c r="S256" s="128">
        <f t="shared" si="44"/>
        <v>6720.0000000000582</v>
      </c>
      <c r="T256" s="128">
        <f t="shared" ca="1" si="44"/>
        <v>-29993.599999999977</v>
      </c>
      <c r="U256" s="128">
        <f t="shared" ca="1" si="44"/>
        <v>-29993.599999999977</v>
      </c>
      <c r="V256" s="128">
        <f t="shared" ca="1" si="44"/>
        <v>6921.6000000000213</v>
      </c>
      <c r="W256" s="128">
        <f t="shared" ca="1" si="44"/>
        <v>6921.600000000064</v>
      </c>
      <c r="X256" s="128">
        <f t="shared" ca="1" si="44"/>
        <v>6921.6000000000349</v>
      </c>
      <c r="Y256" s="128">
        <f t="shared" ca="1" si="44"/>
        <v>6921.600000000064</v>
      </c>
      <c r="Z256" s="128">
        <f t="shared" ca="1" si="44"/>
        <v>5810.9813158876495</v>
      </c>
      <c r="AA256" s="128">
        <f t="shared" ca="1" si="44"/>
        <v>6921.6000000000349</v>
      </c>
      <c r="AB256" s="128">
        <f t="shared" ca="1" si="45"/>
        <v>6921.6000000000931</v>
      </c>
      <c r="AC256" s="128">
        <f t="shared" ca="1" si="45"/>
        <v>6921.5999999999185</v>
      </c>
      <c r="AD256" s="128">
        <f t="shared" ca="1" si="45"/>
        <v>6921.5999999999767</v>
      </c>
      <c r="AE256" s="128">
        <f t="shared" ca="1" si="45"/>
        <v>6921.6000000001513</v>
      </c>
      <c r="AF256" s="128">
        <f t="shared" ca="1" si="45"/>
        <v>-30893.407999999938</v>
      </c>
      <c r="AG256" s="128">
        <f t="shared" ca="1" si="45"/>
        <v>-30893.407999999938</v>
      </c>
      <c r="AH256" s="128">
        <f t="shared" ca="1" si="45"/>
        <v>-4579.8278338318923</v>
      </c>
      <c r="AI256" s="128">
        <f t="shared" ca="1" si="45"/>
        <v>7129.2480000000214</v>
      </c>
      <c r="AJ256" s="128">
        <f t="shared" ca="1" si="45"/>
        <v>7129.2480000000796</v>
      </c>
      <c r="AK256" s="128">
        <f t="shared" ca="1" si="45"/>
        <v>7129.2480000000214</v>
      </c>
      <c r="AL256" s="128">
        <f t="shared" ca="1" si="46"/>
        <v>-11425.754075475619</v>
      </c>
      <c r="AM256" s="128">
        <f t="shared" ca="1" si="46"/>
        <v>7129.2480000000505</v>
      </c>
      <c r="AN256" s="128">
        <f t="shared" ca="1" si="46"/>
        <v>7129.2480000001378</v>
      </c>
      <c r="AO256" s="128">
        <f t="shared" ca="1" si="46"/>
        <v>7129.248000000196</v>
      </c>
      <c r="AP256" s="128">
        <f t="shared" ca="1" si="46"/>
        <v>7129.2480000000214</v>
      </c>
      <c r="AQ256" s="128">
        <f t="shared" ca="1" si="46"/>
        <v>7129.2480000000214</v>
      </c>
      <c r="AR256" s="128">
        <f t="shared" ca="1" si="46"/>
        <v>-31820.210240000044</v>
      </c>
      <c r="AS256" s="128">
        <f t="shared" ca="1" si="46"/>
        <v>-31820.210240000044</v>
      </c>
      <c r="AT256" s="128">
        <f t="shared" ca="1" si="46"/>
        <v>-19040.345190176275</v>
      </c>
      <c r="AU256" s="128">
        <f t="shared" ca="1" si="46"/>
        <v>7343.1254399999962</v>
      </c>
      <c r="AV256" s="128">
        <f t="shared" ca="1" si="47"/>
        <v>7343.1254399999452</v>
      </c>
      <c r="AW256" s="128">
        <f t="shared" ca="1" si="47"/>
        <v>7343.1254399999598</v>
      </c>
      <c r="AX256" s="128">
        <f t="shared" ca="1" si="47"/>
        <v>-26048.295698390459</v>
      </c>
      <c r="AY256" s="128">
        <f t="shared" ca="1" si="47"/>
        <v>7343.1254399999525</v>
      </c>
      <c r="AZ256" s="128">
        <f t="shared" ca="1" si="47"/>
        <v>7343.1254400000616</v>
      </c>
      <c r="BA256" s="128">
        <f t="shared" ca="1" si="47"/>
        <v>7343.1254400000325</v>
      </c>
      <c r="BB256" s="128">
        <f t="shared" ca="1" si="47"/>
        <v>7343.1254399999743</v>
      </c>
      <c r="BC256" s="128">
        <f t="shared" ca="1" si="47"/>
        <v>7343.1254399998579</v>
      </c>
      <c r="BD256" s="128">
        <f t="shared" ca="1" si="47"/>
        <v>-32774.816547199967</v>
      </c>
      <c r="BE256" s="128">
        <f t="shared" ca="1" si="47"/>
        <v>-32774.816547199967</v>
      </c>
      <c r="BF256" s="128">
        <f t="shared" ca="1" si="48"/>
        <v>-26789.329194681952</v>
      </c>
      <c r="BG256" s="128">
        <f t="shared" ca="1" si="48"/>
        <v>7563.419203200021</v>
      </c>
      <c r="BH256" s="128">
        <f t="shared" ca="1" si="48"/>
        <v>7563.419203199941</v>
      </c>
      <c r="BI256" s="128">
        <f t="shared" ca="1" si="48"/>
        <v>7563.4192031999992</v>
      </c>
      <c r="BJ256" s="128">
        <f t="shared" ca="1" si="48"/>
        <v>-32774.816547199967</v>
      </c>
      <c r="BK256" s="128">
        <f t="shared" ca="1" si="48"/>
        <v>7563.4192032000865</v>
      </c>
      <c r="BL256" s="128">
        <f t="shared" ca="1" si="48"/>
        <v>7563.4192031999992</v>
      </c>
      <c r="BM256" s="128">
        <f t="shared" ca="1" si="48"/>
        <v>7563.4192032000865</v>
      </c>
      <c r="BN256" s="128">
        <f t="shared" ca="1" si="48"/>
        <v>7563.4192031999119</v>
      </c>
      <c r="BO256" s="128">
        <f t="shared" ca="1" si="48"/>
        <v>7563.4192031999119</v>
      </c>
      <c r="BP256" s="132">
        <f t="shared" ca="1" si="42"/>
        <v>0</v>
      </c>
      <c r="BQ256" s="121"/>
    </row>
    <row r="257" spans="2:69" outlineLevel="1">
      <c r="C257" s="101">
        <v>8</v>
      </c>
      <c r="F257" s="109" t="s">
        <v>9</v>
      </c>
      <c r="G257" s="144"/>
      <c r="H257" s="128">
        <f t="shared" si="43"/>
        <v>-33280</v>
      </c>
      <c r="I257" s="128">
        <f t="shared" si="43"/>
        <v>-33280</v>
      </c>
      <c r="J257" s="128">
        <f t="shared" si="43"/>
        <v>-14822.916450216318</v>
      </c>
      <c r="K257" s="128">
        <f t="shared" si="43"/>
        <v>7680.0000000000291</v>
      </c>
      <c r="L257" s="128">
        <f t="shared" si="43"/>
        <v>7679.9999999999418</v>
      </c>
      <c r="M257" s="128">
        <f t="shared" si="43"/>
        <v>7680</v>
      </c>
      <c r="N257" s="128">
        <f t="shared" si="43"/>
        <v>-21846.716334776487</v>
      </c>
      <c r="O257" s="128">
        <f t="shared" si="43"/>
        <v>7680</v>
      </c>
      <c r="P257" s="128">
        <f t="shared" si="43"/>
        <v>7680.0000000000291</v>
      </c>
      <c r="Q257" s="128">
        <f t="shared" si="43"/>
        <v>7680</v>
      </c>
      <c r="R257" s="128">
        <f t="shared" si="44"/>
        <v>7679.9999999999418</v>
      </c>
      <c r="S257" s="128">
        <f t="shared" si="44"/>
        <v>7680.0000000000582</v>
      </c>
      <c r="T257" s="128">
        <f t="shared" ca="1" si="44"/>
        <v>-34278.400000000023</v>
      </c>
      <c r="U257" s="128">
        <f t="shared" ca="1" si="44"/>
        <v>-34278.400000000023</v>
      </c>
      <c r="V257" s="128">
        <f t="shared" ca="1" si="44"/>
        <v>7910.3999999999751</v>
      </c>
      <c r="W257" s="128">
        <f t="shared" ca="1" si="44"/>
        <v>7910.4000000000087</v>
      </c>
      <c r="X257" s="128">
        <f t="shared" ca="1" si="44"/>
        <v>7910.3999999999942</v>
      </c>
      <c r="Y257" s="128">
        <f t="shared" ca="1" si="44"/>
        <v>7910.4000000000233</v>
      </c>
      <c r="Z257" s="128">
        <f t="shared" ca="1" si="44"/>
        <v>1526.181315887603</v>
      </c>
      <c r="AA257" s="128">
        <f t="shared" ca="1" si="44"/>
        <v>7910.3999999999942</v>
      </c>
      <c r="AB257" s="128">
        <f t="shared" ca="1" si="45"/>
        <v>7910.4000000000524</v>
      </c>
      <c r="AC257" s="128">
        <f t="shared" ca="1" si="45"/>
        <v>7910.3999999999069</v>
      </c>
      <c r="AD257" s="128">
        <f t="shared" ca="1" si="45"/>
        <v>7910.3999999999069</v>
      </c>
      <c r="AE257" s="128">
        <f t="shared" ca="1" si="45"/>
        <v>7910.4000000001397</v>
      </c>
      <c r="AF257" s="128">
        <f t="shared" ca="1" si="45"/>
        <v>-35306.751999999979</v>
      </c>
      <c r="AG257" s="128">
        <f t="shared" ca="1" si="45"/>
        <v>-35306.751999999979</v>
      </c>
      <c r="AH257" s="128">
        <f t="shared" ca="1" si="45"/>
        <v>-8993.1718338319333</v>
      </c>
      <c r="AI257" s="128">
        <f t="shared" ca="1" si="45"/>
        <v>8147.711999999985</v>
      </c>
      <c r="AJ257" s="128">
        <f t="shared" ca="1" si="45"/>
        <v>8147.7120000000286</v>
      </c>
      <c r="AK257" s="128">
        <f t="shared" ca="1" si="45"/>
        <v>8147.711999999985</v>
      </c>
      <c r="AL257" s="128">
        <f t="shared" ca="1" si="46"/>
        <v>-15839.09807547566</v>
      </c>
      <c r="AM257" s="128">
        <f t="shared" ca="1" si="46"/>
        <v>8147.7120000000141</v>
      </c>
      <c r="AN257" s="128">
        <f t="shared" ca="1" si="46"/>
        <v>8147.7120000000868</v>
      </c>
      <c r="AO257" s="128">
        <f t="shared" ca="1" si="46"/>
        <v>8147.7120000001159</v>
      </c>
      <c r="AP257" s="128">
        <f t="shared" ca="1" si="46"/>
        <v>8147.7120000000577</v>
      </c>
      <c r="AQ257" s="128">
        <f t="shared" ca="1" si="46"/>
        <v>8147.7119999999995</v>
      </c>
      <c r="AR257" s="128">
        <f t="shared" ca="1" si="46"/>
        <v>-36365.954559999984</v>
      </c>
      <c r="AS257" s="128">
        <f t="shared" ca="1" si="46"/>
        <v>-36365.954559999984</v>
      </c>
      <c r="AT257" s="128">
        <f t="shared" ca="1" si="46"/>
        <v>-23586.089510176214</v>
      </c>
      <c r="AU257" s="128">
        <f t="shared" ca="1" si="46"/>
        <v>8392.1433600000601</v>
      </c>
      <c r="AV257" s="128">
        <f t="shared" ca="1" si="47"/>
        <v>8392.1433600000164</v>
      </c>
      <c r="AW257" s="128">
        <f t="shared" ca="1" si="47"/>
        <v>8392.1433600000164</v>
      </c>
      <c r="AX257" s="128">
        <f t="shared" ca="1" si="47"/>
        <v>-30594.040018390398</v>
      </c>
      <c r="AY257" s="128">
        <f t="shared" ca="1" si="47"/>
        <v>8392.1433600000164</v>
      </c>
      <c r="AZ257" s="128">
        <f t="shared" ca="1" si="47"/>
        <v>8392.1433600001328</v>
      </c>
      <c r="BA257" s="128">
        <f t="shared" ca="1" si="47"/>
        <v>8392.1433600001037</v>
      </c>
      <c r="BB257" s="128">
        <f t="shared" ca="1" si="47"/>
        <v>8392.1433599999873</v>
      </c>
      <c r="BC257" s="128">
        <f t="shared" ca="1" si="47"/>
        <v>8392.1433599999291</v>
      </c>
      <c r="BD257" s="128">
        <f t="shared" ca="1" si="47"/>
        <v>-37456.933196799946</v>
      </c>
      <c r="BE257" s="128">
        <f t="shared" ca="1" si="47"/>
        <v>-37456.933196799946</v>
      </c>
      <c r="BF257" s="128">
        <f t="shared" ca="1" si="48"/>
        <v>-31471.44584428193</v>
      </c>
      <c r="BG257" s="128">
        <f t="shared" ca="1" si="48"/>
        <v>8643.9076608000469</v>
      </c>
      <c r="BH257" s="128">
        <f t="shared" ca="1" si="48"/>
        <v>8643.9076607999741</v>
      </c>
      <c r="BI257" s="128">
        <f t="shared" ca="1" si="48"/>
        <v>8643.9076608000178</v>
      </c>
      <c r="BJ257" s="128">
        <f t="shared" ca="1" si="48"/>
        <v>-37456.933196799946</v>
      </c>
      <c r="BK257" s="128">
        <f t="shared" ca="1" si="48"/>
        <v>8643.9076608001051</v>
      </c>
      <c r="BL257" s="128">
        <f t="shared" ca="1" si="48"/>
        <v>8643.9076608000032</v>
      </c>
      <c r="BM257" s="128">
        <f t="shared" ca="1" si="48"/>
        <v>8643.9076608000905</v>
      </c>
      <c r="BN257" s="128">
        <f t="shared" ca="1" si="48"/>
        <v>8643.9076607999159</v>
      </c>
      <c r="BO257" s="128">
        <f t="shared" ca="1" si="48"/>
        <v>8643.9076607999159</v>
      </c>
      <c r="BP257" s="132">
        <f t="shared" ca="1" si="42"/>
        <v>0</v>
      </c>
      <c r="BQ257" s="121"/>
    </row>
    <row r="258" spans="2:69" outlineLevel="1">
      <c r="C258" s="101">
        <v>9</v>
      </c>
      <c r="F258" s="109" t="s">
        <v>9</v>
      </c>
      <c r="G258" s="144"/>
      <c r="H258" s="128">
        <f t="shared" si="43"/>
        <v>-37440</v>
      </c>
      <c r="I258" s="128">
        <f t="shared" si="43"/>
        <v>-37440</v>
      </c>
      <c r="J258" s="128">
        <f t="shared" si="43"/>
        <v>-18982.916450216318</v>
      </c>
      <c r="K258" s="128">
        <f t="shared" si="43"/>
        <v>8640.0000000000291</v>
      </c>
      <c r="L258" s="128">
        <f t="shared" si="43"/>
        <v>8639.9999999999418</v>
      </c>
      <c r="M258" s="128">
        <f t="shared" si="43"/>
        <v>8640</v>
      </c>
      <c r="N258" s="128">
        <f t="shared" si="43"/>
        <v>-26006.716334776487</v>
      </c>
      <c r="O258" s="128">
        <f t="shared" si="43"/>
        <v>8640</v>
      </c>
      <c r="P258" s="128">
        <f t="shared" si="43"/>
        <v>8640.0000000000291</v>
      </c>
      <c r="Q258" s="128">
        <f t="shared" si="43"/>
        <v>8640</v>
      </c>
      <c r="R258" s="128">
        <f t="shared" si="44"/>
        <v>8639.9999999999418</v>
      </c>
      <c r="S258" s="128">
        <f t="shared" si="44"/>
        <v>8640.0000000000582</v>
      </c>
      <c r="T258" s="128">
        <f t="shared" ca="1" si="44"/>
        <v>-38563.199999999953</v>
      </c>
      <c r="U258" s="128">
        <f t="shared" ca="1" si="44"/>
        <v>-38563.199999999953</v>
      </c>
      <c r="V258" s="128">
        <f t="shared" ca="1" si="44"/>
        <v>3940.951864343253</v>
      </c>
      <c r="W258" s="128">
        <f t="shared" ca="1" si="44"/>
        <v>8899.2000000000844</v>
      </c>
      <c r="X258" s="128">
        <f t="shared" ca="1" si="44"/>
        <v>8899.2000000000698</v>
      </c>
      <c r="Y258" s="128">
        <f t="shared" ca="1" si="44"/>
        <v>8899.200000000099</v>
      </c>
      <c r="Z258" s="128">
        <f t="shared" ca="1" si="44"/>
        <v>-2758.6186841123272</v>
      </c>
      <c r="AA258" s="128">
        <f t="shared" ca="1" si="44"/>
        <v>8899.2000000000553</v>
      </c>
      <c r="AB258" s="128">
        <f t="shared" ca="1" si="45"/>
        <v>8899.2000000001281</v>
      </c>
      <c r="AC258" s="128">
        <f t="shared" ca="1" si="45"/>
        <v>8899.1999999999534</v>
      </c>
      <c r="AD258" s="128">
        <f t="shared" ca="1" si="45"/>
        <v>8899.1999999999534</v>
      </c>
      <c r="AE258" s="128">
        <f t="shared" ca="1" si="45"/>
        <v>8899.2000000001863</v>
      </c>
      <c r="AF258" s="128">
        <f t="shared" ca="1" si="45"/>
        <v>-39720.095999999903</v>
      </c>
      <c r="AG258" s="128">
        <f t="shared" ca="1" si="45"/>
        <v>-39720.095999999903</v>
      </c>
      <c r="AH258" s="128">
        <f t="shared" ca="1" si="45"/>
        <v>-13406.515833831858</v>
      </c>
      <c r="AI258" s="128">
        <f t="shared" ca="1" si="45"/>
        <v>9166.1760000000577</v>
      </c>
      <c r="AJ258" s="128">
        <f t="shared" ca="1" si="45"/>
        <v>9166.1760000001232</v>
      </c>
      <c r="AK258" s="128">
        <f t="shared" ca="1" si="45"/>
        <v>9166.176000000065</v>
      </c>
      <c r="AL258" s="128">
        <f t="shared" ca="1" si="46"/>
        <v>-20252.442075475585</v>
      </c>
      <c r="AM258" s="128">
        <f t="shared" ca="1" si="46"/>
        <v>9166.1760000000868</v>
      </c>
      <c r="AN258" s="128">
        <f t="shared" ca="1" si="46"/>
        <v>9166.1760000001523</v>
      </c>
      <c r="AO258" s="128">
        <f t="shared" ca="1" si="46"/>
        <v>9166.1760000002105</v>
      </c>
      <c r="AP258" s="128">
        <f t="shared" ca="1" si="46"/>
        <v>9166.1760000000941</v>
      </c>
      <c r="AQ258" s="128">
        <f t="shared" ca="1" si="46"/>
        <v>9166.1760000000941</v>
      </c>
      <c r="AR258" s="128">
        <f t="shared" ca="1" si="46"/>
        <v>-40911.69888000004</v>
      </c>
      <c r="AS258" s="128">
        <f t="shared" ca="1" si="46"/>
        <v>-40911.69888000004</v>
      </c>
      <c r="AT258" s="128">
        <f t="shared" ca="1" si="46"/>
        <v>-28131.833830176271</v>
      </c>
      <c r="AU258" s="128">
        <f t="shared" ca="1" si="46"/>
        <v>9441.1612800000003</v>
      </c>
      <c r="AV258" s="128">
        <f t="shared" ca="1" si="47"/>
        <v>9441.1612799999712</v>
      </c>
      <c r="AW258" s="128">
        <f t="shared" ca="1" si="47"/>
        <v>9441.1612799999712</v>
      </c>
      <c r="AX258" s="128">
        <f t="shared" ca="1" si="47"/>
        <v>-35139.784338390455</v>
      </c>
      <c r="AY258" s="128">
        <f t="shared" ca="1" si="47"/>
        <v>9441.1612799999566</v>
      </c>
      <c r="AZ258" s="128">
        <f t="shared" ca="1" si="47"/>
        <v>9441.1612800000585</v>
      </c>
      <c r="BA258" s="128">
        <f t="shared" ca="1" si="47"/>
        <v>9441.1612800000585</v>
      </c>
      <c r="BB258" s="128">
        <f t="shared" ca="1" si="47"/>
        <v>9441.1612799998838</v>
      </c>
      <c r="BC258" s="128">
        <f t="shared" ca="1" si="47"/>
        <v>9441.1612799998838</v>
      </c>
      <c r="BD258" s="128">
        <f t="shared" ca="1" si="47"/>
        <v>-42139.049846399925</v>
      </c>
      <c r="BE258" s="128">
        <f t="shared" ca="1" si="47"/>
        <v>-42139.049846399925</v>
      </c>
      <c r="BF258" s="128">
        <f t="shared" ca="1" si="48"/>
        <v>-36153.562493881909</v>
      </c>
      <c r="BG258" s="128">
        <f t="shared" ca="1" si="48"/>
        <v>9724.3961184000655</v>
      </c>
      <c r="BH258" s="128">
        <f t="shared" ca="1" si="48"/>
        <v>9724.3961183999781</v>
      </c>
      <c r="BI258" s="128">
        <f t="shared" ca="1" si="48"/>
        <v>9724.3961184000364</v>
      </c>
      <c r="BJ258" s="128">
        <f t="shared" ca="1" si="48"/>
        <v>-42139.049846399925</v>
      </c>
      <c r="BK258" s="128">
        <f t="shared" ca="1" si="48"/>
        <v>9724.3961184001309</v>
      </c>
      <c r="BL258" s="128">
        <f t="shared" ca="1" si="48"/>
        <v>9724.3961184000364</v>
      </c>
      <c r="BM258" s="128">
        <f t="shared" ca="1" si="48"/>
        <v>9724.3961184000946</v>
      </c>
      <c r="BN258" s="128">
        <f t="shared" ca="1" si="48"/>
        <v>9724.3961183999199</v>
      </c>
      <c r="BO258" s="128">
        <f t="shared" ca="1" si="48"/>
        <v>9724.3961183999199</v>
      </c>
      <c r="BP258" s="132">
        <f t="shared" ca="1" si="42"/>
        <v>0</v>
      </c>
      <c r="BQ258" s="121"/>
    </row>
    <row r="259" spans="2:69" outlineLevel="1">
      <c r="C259" s="101">
        <v>10</v>
      </c>
      <c r="F259" s="109" t="s">
        <v>9</v>
      </c>
      <c r="G259" s="144"/>
      <c r="H259" s="128">
        <f t="shared" si="43"/>
        <v>-41600</v>
      </c>
      <c r="I259" s="128">
        <f t="shared" si="43"/>
        <v>-41600</v>
      </c>
      <c r="J259" s="128">
        <f t="shared" si="43"/>
        <v>-23142.916450216318</v>
      </c>
      <c r="K259" s="128">
        <f t="shared" si="43"/>
        <v>9600.0000000000291</v>
      </c>
      <c r="L259" s="128">
        <f t="shared" si="43"/>
        <v>9599.9999999999418</v>
      </c>
      <c r="M259" s="128">
        <f t="shared" si="43"/>
        <v>9600</v>
      </c>
      <c r="N259" s="128">
        <f t="shared" si="43"/>
        <v>-30166.716334776487</v>
      </c>
      <c r="O259" s="128">
        <f t="shared" si="43"/>
        <v>9600</v>
      </c>
      <c r="P259" s="128">
        <f t="shared" si="43"/>
        <v>9600.0000000000291</v>
      </c>
      <c r="Q259" s="128">
        <f t="shared" si="43"/>
        <v>9600</v>
      </c>
      <c r="R259" s="128">
        <f t="shared" si="44"/>
        <v>9599.9999999999418</v>
      </c>
      <c r="S259" s="128">
        <f t="shared" si="44"/>
        <v>9600.0000000000582</v>
      </c>
      <c r="T259" s="128">
        <f t="shared" ca="1" si="44"/>
        <v>-42848</v>
      </c>
      <c r="U259" s="128">
        <f t="shared" ca="1" si="44"/>
        <v>-42848</v>
      </c>
      <c r="V259" s="128">
        <f t="shared" ca="1" si="44"/>
        <v>-343.8481356567936</v>
      </c>
      <c r="W259" s="128">
        <f t="shared" ca="1" si="44"/>
        <v>9888.0000000000437</v>
      </c>
      <c r="X259" s="128">
        <f t="shared" ca="1" si="44"/>
        <v>9888.0000000000291</v>
      </c>
      <c r="Y259" s="128">
        <f t="shared" ca="1" si="44"/>
        <v>9888.0000000000437</v>
      </c>
      <c r="Z259" s="128">
        <f t="shared" ca="1" si="44"/>
        <v>-7043.4186841123737</v>
      </c>
      <c r="AA259" s="128">
        <f t="shared" ca="1" si="44"/>
        <v>9888.0000000000146</v>
      </c>
      <c r="AB259" s="128">
        <f t="shared" ca="1" si="45"/>
        <v>9888.0000000000582</v>
      </c>
      <c r="AC259" s="128">
        <f t="shared" ca="1" si="45"/>
        <v>9887.9999999998836</v>
      </c>
      <c r="AD259" s="128">
        <f t="shared" ca="1" si="45"/>
        <v>9888</v>
      </c>
      <c r="AE259" s="128">
        <f t="shared" ca="1" si="45"/>
        <v>9888.0000000001164</v>
      </c>
      <c r="AF259" s="128">
        <f t="shared" ca="1" si="45"/>
        <v>-44133.439999999944</v>
      </c>
      <c r="AG259" s="128">
        <f t="shared" ca="1" si="45"/>
        <v>-44133.439999999944</v>
      </c>
      <c r="AH259" s="128">
        <f t="shared" ca="1" si="45"/>
        <v>-17819.859833831899</v>
      </c>
      <c r="AI259" s="128">
        <f t="shared" ca="1" si="45"/>
        <v>10184.640000000021</v>
      </c>
      <c r="AJ259" s="128">
        <f t="shared" ca="1" si="45"/>
        <v>10184.640000000072</v>
      </c>
      <c r="AK259" s="128">
        <f t="shared" ca="1" si="45"/>
        <v>10184.640000000029</v>
      </c>
      <c r="AL259" s="128">
        <f t="shared" ca="1" si="46"/>
        <v>-24665.786075475626</v>
      </c>
      <c r="AM259" s="128">
        <f t="shared" ca="1" si="46"/>
        <v>10184.640000000043</v>
      </c>
      <c r="AN259" s="128">
        <f t="shared" ca="1" si="46"/>
        <v>10184.64000000013</v>
      </c>
      <c r="AO259" s="128">
        <f t="shared" ca="1" si="46"/>
        <v>10184.640000000189</v>
      </c>
      <c r="AP259" s="128">
        <f t="shared" ca="1" si="46"/>
        <v>10184.640000000014</v>
      </c>
      <c r="AQ259" s="128">
        <f t="shared" ca="1" si="46"/>
        <v>10184.640000000014</v>
      </c>
      <c r="AR259" s="128">
        <f t="shared" ca="1" si="46"/>
        <v>-45457.44319999998</v>
      </c>
      <c r="AS259" s="128">
        <f t="shared" ca="1" si="46"/>
        <v>-45457.44319999998</v>
      </c>
      <c r="AT259" s="128">
        <f t="shared" ca="1" si="46"/>
        <v>-32677.57815017621</v>
      </c>
      <c r="AU259" s="128">
        <f t="shared" ca="1" si="46"/>
        <v>10490.179200000064</v>
      </c>
      <c r="AV259" s="128">
        <f t="shared" ca="1" si="47"/>
        <v>10490.179200000013</v>
      </c>
      <c r="AW259" s="128">
        <f t="shared" ca="1" si="47"/>
        <v>10490.179200000028</v>
      </c>
      <c r="AX259" s="128">
        <f t="shared" ca="1" si="47"/>
        <v>-39685.528658390394</v>
      </c>
      <c r="AY259" s="128">
        <f t="shared" ca="1" si="47"/>
        <v>10490.179200000021</v>
      </c>
      <c r="AZ259" s="128">
        <f t="shared" ca="1" si="47"/>
        <v>10490.17920000013</v>
      </c>
      <c r="BA259" s="128">
        <f t="shared" ca="1" si="47"/>
        <v>10490.17920000013</v>
      </c>
      <c r="BB259" s="128">
        <f t="shared" ca="1" si="47"/>
        <v>10490.179200000013</v>
      </c>
      <c r="BC259" s="128">
        <f t="shared" ca="1" si="47"/>
        <v>10490.179199999955</v>
      </c>
      <c r="BD259" s="128">
        <f t="shared" ca="1" si="47"/>
        <v>-46821.166495999903</v>
      </c>
      <c r="BE259" s="128">
        <f t="shared" ca="1" si="47"/>
        <v>-46821.166495999903</v>
      </c>
      <c r="BF259" s="128">
        <f t="shared" ca="1" si="48"/>
        <v>-40835.679143481888</v>
      </c>
      <c r="BG259" s="128">
        <f t="shared" ca="1" si="48"/>
        <v>10804.884576000084</v>
      </c>
      <c r="BH259" s="128">
        <f t="shared" ca="1" si="48"/>
        <v>10804.884575999997</v>
      </c>
      <c r="BI259" s="128">
        <f t="shared" ca="1" si="48"/>
        <v>10804.88457600007</v>
      </c>
      <c r="BJ259" s="128">
        <f t="shared" ca="1" si="48"/>
        <v>-46821.166495999903</v>
      </c>
      <c r="BK259" s="128">
        <f t="shared" ca="1" si="48"/>
        <v>10804.88457600015</v>
      </c>
      <c r="BL259" s="128">
        <f t="shared" ca="1" si="48"/>
        <v>10804.88457600004</v>
      </c>
      <c r="BM259" s="128">
        <f t="shared" ca="1" si="48"/>
        <v>10804.884576000157</v>
      </c>
      <c r="BN259" s="128">
        <f t="shared" ca="1" si="48"/>
        <v>10804.884575999924</v>
      </c>
      <c r="BO259" s="128">
        <f t="shared" ca="1" si="48"/>
        <v>10804.884575999924</v>
      </c>
      <c r="BP259" s="132">
        <f t="shared" ca="1" si="42"/>
        <v>0</v>
      </c>
      <c r="BQ259" s="121"/>
    </row>
    <row r="260" spans="2:69" outlineLevel="1">
      <c r="G260" s="121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1"/>
    </row>
    <row r="261" spans="2:69" ht="12" customHeight="1" outlineLevel="1">
      <c r="B261" s="160" t="s">
        <v>103</v>
      </c>
      <c r="G261" s="121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1"/>
    </row>
    <row r="262" spans="2:69" outlineLevel="1">
      <c r="C262" s="101">
        <v>0</v>
      </c>
      <c r="F262" s="109" t="s">
        <v>9</v>
      </c>
      <c r="G262" s="144"/>
      <c r="H262" s="128">
        <f t="shared" ref="H262:AM262" ca="1" si="49">IF((H$10-$G$10)&gt;1,IF(H$9=1,SUM(OFFSET(H249,,-12,,12)),0),0)</f>
        <v>0</v>
      </c>
      <c r="I262" s="128">
        <f t="shared" ca="1" si="49"/>
        <v>0</v>
      </c>
      <c r="J262" s="128">
        <f t="shared" ca="1" si="49"/>
        <v>0</v>
      </c>
      <c r="K262" s="128">
        <f t="shared" ca="1" si="49"/>
        <v>0</v>
      </c>
      <c r="L262" s="128">
        <f t="shared" ca="1" si="49"/>
        <v>0</v>
      </c>
      <c r="M262" s="128">
        <f t="shared" ca="1" si="49"/>
        <v>0</v>
      </c>
      <c r="N262" s="128">
        <f t="shared" ca="1" si="49"/>
        <v>0</v>
      </c>
      <c r="O262" s="128">
        <f t="shared" ca="1" si="49"/>
        <v>0</v>
      </c>
      <c r="P262" s="128">
        <f t="shared" ca="1" si="49"/>
        <v>0</v>
      </c>
      <c r="Q262" s="128">
        <f t="shared" ca="1" si="49"/>
        <v>0</v>
      </c>
      <c r="R262" s="128">
        <f t="shared" ca="1" si="49"/>
        <v>0</v>
      </c>
      <c r="S262" s="128">
        <f t="shared" ca="1" si="49"/>
        <v>0</v>
      </c>
      <c r="T262" s="128">
        <f t="shared" ca="1" si="49"/>
        <v>0</v>
      </c>
      <c r="U262" s="128">
        <f t="shared" ca="1" si="49"/>
        <v>0</v>
      </c>
      <c r="V262" s="128">
        <f t="shared" ca="1" si="49"/>
        <v>0</v>
      </c>
      <c r="W262" s="128">
        <f t="shared" ca="1" si="49"/>
        <v>0</v>
      </c>
      <c r="X262" s="128">
        <f t="shared" ca="1" si="49"/>
        <v>0</v>
      </c>
      <c r="Y262" s="128">
        <f t="shared" ca="1" si="49"/>
        <v>0</v>
      </c>
      <c r="Z262" s="128">
        <f t="shared" ca="1" si="49"/>
        <v>0</v>
      </c>
      <c r="AA262" s="128">
        <f t="shared" ca="1" si="49"/>
        <v>0</v>
      </c>
      <c r="AB262" s="128">
        <f t="shared" ca="1" si="49"/>
        <v>0</v>
      </c>
      <c r="AC262" s="128">
        <f t="shared" ca="1" si="49"/>
        <v>0</v>
      </c>
      <c r="AD262" s="128">
        <f t="shared" ca="1" si="49"/>
        <v>0</v>
      </c>
      <c r="AE262" s="128">
        <f t="shared" ca="1" si="49"/>
        <v>0</v>
      </c>
      <c r="AF262" s="128">
        <f t="shared" ca="1" si="49"/>
        <v>0</v>
      </c>
      <c r="AG262" s="128">
        <f t="shared" ca="1" si="49"/>
        <v>0</v>
      </c>
      <c r="AH262" s="128">
        <f t="shared" ca="1" si="49"/>
        <v>0</v>
      </c>
      <c r="AI262" s="128">
        <f t="shared" ca="1" si="49"/>
        <v>0</v>
      </c>
      <c r="AJ262" s="128">
        <f t="shared" ca="1" si="49"/>
        <v>0</v>
      </c>
      <c r="AK262" s="128">
        <f t="shared" ca="1" si="49"/>
        <v>0</v>
      </c>
      <c r="AL262" s="128">
        <f t="shared" ca="1" si="49"/>
        <v>0</v>
      </c>
      <c r="AM262" s="128">
        <f t="shared" ca="1" si="49"/>
        <v>0</v>
      </c>
      <c r="AN262" s="128">
        <f t="shared" ref="AN262:BP262" ca="1" si="50">IF((AN$10-$G$10)&gt;1,IF(AN$9=1,SUM(OFFSET(AN249,,-12,,12)),0),0)</f>
        <v>0</v>
      </c>
      <c r="AO262" s="128">
        <f t="shared" ca="1" si="50"/>
        <v>0</v>
      </c>
      <c r="AP262" s="128">
        <f t="shared" ca="1" si="50"/>
        <v>0</v>
      </c>
      <c r="AQ262" s="128">
        <f t="shared" ca="1" si="50"/>
        <v>0</v>
      </c>
      <c r="AR262" s="128">
        <f t="shared" ca="1" si="50"/>
        <v>0</v>
      </c>
      <c r="AS262" s="128">
        <f t="shared" ca="1" si="50"/>
        <v>0</v>
      </c>
      <c r="AT262" s="128">
        <f t="shared" ca="1" si="50"/>
        <v>0</v>
      </c>
      <c r="AU262" s="128">
        <f t="shared" ca="1" si="50"/>
        <v>0</v>
      </c>
      <c r="AV262" s="128">
        <f t="shared" ca="1" si="50"/>
        <v>0</v>
      </c>
      <c r="AW262" s="128">
        <f t="shared" ca="1" si="50"/>
        <v>0</v>
      </c>
      <c r="AX262" s="128">
        <f t="shared" ca="1" si="50"/>
        <v>0</v>
      </c>
      <c r="AY262" s="128">
        <f t="shared" ca="1" si="50"/>
        <v>0</v>
      </c>
      <c r="AZ262" s="128">
        <f t="shared" ca="1" si="50"/>
        <v>0</v>
      </c>
      <c r="BA262" s="128">
        <f t="shared" ca="1" si="50"/>
        <v>0</v>
      </c>
      <c r="BB262" s="128">
        <f t="shared" ca="1" si="50"/>
        <v>0</v>
      </c>
      <c r="BC262" s="128">
        <f t="shared" ca="1" si="50"/>
        <v>0</v>
      </c>
      <c r="BD262" s="128">
        <f t="shared" ca="1" si="50"/>
        <v>0</v>
      </c>
      <c r="BE262" s="128">
        <f t="shared" ca="1" si="50"/>
        <v>0</v>
      </c>
      <c r="BF262" s="128">
        <f t="shared" ca="1" si="50"/>
        <v>0</v>
      </c>
      <c r="BG262" s="128">
        <f t="shared" ca="1" si="50"/>
        <v>0</v>
      </c>
      <c r="BH262" s="128">
        <f t="shared" ca="1" si="50"/>
        <v>0</v>
      </c>
      <c r="BI262" s="128">
        <f t="shared" ca="1" si="50"/>
        <v>0</v>
      </c>
      <c r="BJ262" s="128">
        <f t="shared" ca="1" si="50"/>
        <v>0</v>
      </c>
      <c r="BK262" s="128">
        <f t="shared" ca="1" si="50"/>
        <v>0</v>
      </c>
      <c r="BL262" s="128">
        <f t="shared" ca="1" si="50"/>
        <v>0</v>
      </c>
      <c r="BM262" s="128">
        <f t="shared" ca="1" si="50"/>
        <v>0</v>
      </c>
      <c r="BN262" s="128">
        <f t="shared" ca="1" si="50"/>
        <v>0</v>
      </c>
      <c r="BO262" s="128">
        <f t="shared" ca="1" si="50"/>
        <v>0</v>
      </c>
      <c r="BP262" s="132">
        <f t="shared" ca="1" si="50"/>
        <v>0</v>
      </c>
      <c r="BQ262" s="121"/>
    </row>
    <row r="263" spans="2:69" outlineLevel="1">
      <c r="C263" s="101">
        <f t="array" ref="C263:C272">_xlfn.SEQUENCE(10)</f>
        <v>1</v>
      </c>
      <c r="F263" s="109" t="s">
        <v>9</v>
      </c>
      <c r="G263" s="144"/>
      <c r="H263" s="128">
        <f t="shared" ref="H263:AM263" ca="1" si="51">IF((H$10-$G$10)&gt;1,IF(H$9=1,SUM(OFFSET(H250,,-12,,12)),0),0)</f>
        <v>0</v>
      </c>
      <c r="I263" s="128">
        <f t="shared" ca="1" si="51"/>
        <v>0</v>
      </c>
      <c r="J263" s="128">
        <f t="shared" ca="1" si="51"/>
        <v>0</v>
      </c>
      <c r="K263" s="128">
        <f t="shared" ca="1" si="51"/>
        <v>0</v>
      </c>
      <c r="L263" s="128">
        <f t="shared" ca="1" si="51"/>
        <v>0</v>
      </c>
      <c r="M263" s="128">
        <f t="shared" ca="1" si="51"/>
        <v>0</v>
      </c>
      <c r="N263" s="128">
        <f t="shared" ca="1" si="51"/>
        <v>0</v>
      </c>
      <c r="O263" s="128">
        <f t="shared" ca="1" si="51"/>
        <v>0</v>
      </c>
      <c r="P263" s="128">
        <f t="shared" ca="1" si="51"/>
        <v>0</v>
      </c>
      <c r="Q263" s="128">
        <f t="shared" ca="1" si="51"/>
        <v>0</v>
      </c>
      <c r="R263" s="128">
        <f t="shared" ca="1" si="51"/>
        <v>0</v>
      </c>
      <c r="S263" s="128">
        <f t="shared" ca="1" si="51"/>
        <v>0</v>
      </c>
      <c r="T263" s="128">
        <f t="shared" ca="1" si="51"/>
        <v>1279.9999999999709</v>
      </c>
      <c r="U263" s="128">
        <f t="shared" ca="1" si="51"/>
        <v>0</v>
      </c>
      <c r="V263" s="128">
        <f t="shared" ca="1" si="51"/>
        <v>0</v>
      </c>
      <c r="W263" s="128">
        <f t="shared" ca="1" si="51"/>
        <v>0</v>
      </c>
      <c r="X263" s="128">
        <f t="shared" ca="1" si="51"/>
        <v>0</v>
      </c>
      <c r="Y263" s="128">
        <f t="shared" ca="1" si="51"/>
        <v>0</v>
      </c>
      <c r="Z263" s="128">
        <f t="shared" ca="1" si="51"/>
        <v>0</v>
      </c>
      <c r="AA263" s="128">
        <f t="shared" ca="1" si="51"/>
        <v>0</v>
      </c>
      <c r="AB263" s="128">
        <f t="shared" ca="1" si="51"/>
        <v>0</v>
      </c>
      <c r="AC263" s="128">
        <f t="shared" ca="1" si="51"/>
        <v>0</v>
      </c>
      <c r="AD263" s="128">
        <f t="shared" ca="1" si="51"/>
        <v>0</v>
      </c>
      <c r="AE263" s="128">
        <f t="shared" ca="1" si="51"/>
        <v>0</v>
      </c>
      <c r="AF263" s="128">
        <f t="shared" ca="1" si="51"/>
        <v>1318.4000000010528</v>
      </c>
      <c r="AG263" s="128">
        <f t="shared" ca="1" si="51"/>
        <v>0</v>
      </c>
      <c r="AH263" s="128">
        <f t="shared" ca="1" si="51"/>
        <v>0</v>
      </c>
      <c r="AI263" s="128">
        <f t="shared" ca="1" si="51"/>
        <v>0</v>
      </c>
      <c r="AJ263" s="128">
        <f t="shared" ca="1" si="51"/>
        <v>0</v>
      </c>
      <c r="AK263" s="128">
        <f t="shared" ca="1" si="51"/>
        <v>0</v>
      </c>
      <c r="AL263" s="128">
        <f t="shared" ca="1" si="51"/>
        <v>0</v>
      </c>
      <c r="AM263" s="128">
        <f t="shared" ca="1" si="51"/>
        <v>0</v>
      </c>
      <c r="AN263" s="128">
        <f t="shared" ref="AN263:BP263" ca="1" si="52">IF((AN$10-$G$10)&gt;1,IF(AN$9=1,SUM(OFFSET(AN250,,-12,,12)),0),0)</f>
        <v>0</v>
      </c>
      <c r="AO263" s="128">
        <f t="shared" ca="1" si="52"/>
        <v>0</v>
      </c>
      <c r="AP263" s="128">
        <f t="shared" ca="1" si="52"/>
        <v>0</v>
      </c>
      <c r="AQ263" s="128">
        <f t="shared" ca="1" si="52"/>
        <v>0</v>
      </c>
      <c r="AR263" s="128">
        <f t="shared" ca="1" si="52"/>
        <v>1357.9520000009416</v>
      </c>
      <c r="AS263" s="128">
        <f t="shared" ca="1" si="52"/>
        <v>0</v>
      </c>
      <c r="AT263" s="128">
        <f t="shared" ca="1" si="52"/>
        <v>0</v>
      </c>
      <c r="AU263" s="128">
        <f t="shared" ca="1" si="52"/>
        <v>0</v>
      </c>
      <c r="AV263" s="128">
        <f t="shared" ca="1" si="52"/>
        <v>0</v>
      </c>
      <c r="AW263" s="128">
        <f t="shared" ca="1" si="52"/>
        <v>0</v>
      </c>
      <c r="AX263" s="128">
        <f t="shared" ca="1" si="52"/>
        <v>0</v>
      </c>
      <c r="AY263" s="128">
        <f t="shared" ca="1" si="52"/>
        <v>0</v>
      </c>
      <c r="AZ263" s="128">
        <f t="shared" ca="1" si="52"/>
        <v>0</v>
      </c>
      <c r="BA263" s="128">
        <f t="shared" ca="1" si="52"/>
        <v>0</v>
      </c>
      <c r="BB263" s="128">
        <f t="shared" ca="1" si="52"/>
        <v>0</v>
      </c>
      <c r="BC263" s="128">
        <f t="shared" ca="1" si="52"/>
        <v>0</v>
      </c>
      <c r="BD263" s="128">
        <f t="shared" ca="1" si="52"/>
        <v>1398.6905600008504</v>
      </c>
      <c r="BE263" s="128">
        <f t="shared" ca="1" si="52"/>
        <v>0</v>
      </c>
      <c r="BF263" s="128">
        <f t="shared" ca="1" si="52"/>
        <v>0</v>
      </c>
      <c r="BG263" s="128">
        <f t="shared" ca="1" si="52"/>
        <v>0</v>
      </c>
      <c r="BH263" s="128">
        <f t="shared" ca="1" si="52"/>
        <v>0</v>
      </c>
      <c r="BI263" s="128">
        <f t="shared" ca="1" si="52"/>
        <v>0</v>
      </c>
      <c r="BJ263" s="128">
        <f t="shared" ca="1" si="52"/>
        <v>0</v>
      </c>
      <c r="BK263" s="128">
        <f t="shared" ca="1" si="52"/>
        <v>0</v>
      </c>
      <c r="BL263" s="128">
        <f t="shared" ca="1" si="52"/>
        <v>0</v>
      </c>
      <c r="BM263" s="128">
        <f t="shared" ca="1" si="52"/>
        <v>0</v>
      </c>
      <c r="BN263" s="128">
        <f t="shared" ca="1" si="52"/>
        <v>0</v>
      </c>
      <c r="BO263" s="128">
        <f t="shared" ca="1" si="52"/>
        <v>0</v>
      </c>
      <c r="BP263" s="132">
        <f t="shared" ca="1" si="52"/>
        <v>-4321.9538304001053</v>
      </c>
      <c r="BQ263" s="121"/>
    </row>
    <row r="264" spans="2:69" outlineLevel="1">
      <c r="C264" s="101">
        <v>2</v>
      </c>
      <c r="F264" s="109" t="s">
        <v>9</v>
      </c>
      <c r="G264" s="144"/>
      <c r="H264" s="128">
        <f t="shared" ref="H264:AM264" ca="1" si="53">IF((H$10-$G$10)&gt;1,IF(H$9=1,SUM(OFFSET(H251,,-12,,12)),0),0)</f>
        <v>0</v>
      </c>
      <c r="I264" s="128">
        <f t="shared" ca="1" si="53"/>
        <v>0</v>
      </c>
      <c r="J264" s="128">
        <f t="shared" ca="1" si="53"/>
        <v>0</v>
      </c>
      <c r="K264" s="128">
        <f t="shared" ca="1" si="53"/>
        <v>0</v>
      </c>
      <c r="L264" s="128">
        <f t="shared" ca="1" si="53"/>
        <v>0</v>
      </c>
      <c r="M264" s="128">
        <f t="shared" ca="1" si="53"/>
        <v>0</v>
      </c>
      <c r="N264" s="128">
        <f t="shared" ca="1" si="53"/>
        <v>0</v>
      </c>
      <c r="O264" s="128">
        <f t="shared" ca="1" si="53"/>
        <v>0</v>
      </c>
      <c r="P264" s="128">
        <f t="shared" ca="1" si="53"/>
        <v>0</v>
      </c>
      <c r="Q264" s="128">
        <f t="shared" ca="1" si="53"/>
        <v>0</v>
      </c>
      <c r="R264" s="128">
        <f t="shared" ca="1" si="53"/>
        <v>0</v>
      </c>
      <c r="S264" s="128">
        <f t="shared" ca="1" si="53"/>
        <v>0</v>
      </c>
      <c r="T264" s="128">
        <f t="shared" ca="1" si="53"/>
        <v>2559.9999999999709</v>
      </c>
      <c r="U264" s="128">
        <f t="shared" ca="1" si="53"/>
        <v>0</v>
      </c>
      <c r="V264" s="128">
        <f t="shared" ca="1" si="53"/>
        <v>0</v>
      </c>
      <c r="W264" s="128">
        <f t="shared" ca="1" si="53"/>
        <v>0</v>
      </c>
      <c r="X264" s="128">
        <f t="shared" ca="1" si="53"/>
        <v>0</v>
      </c>
      <c r="Y264" s="128">
        <f t="shared" ca="1" si="53"/>
        <v>0</v>
      </c>
      <c r="Z264" s="128">
        <f t="shared" ca="1" si="53"/>
        <v>0</v>
      </c>
      <c r="AA264" s="128">
        <f t="shared" ca="1" si="53"/>
        <v>0</v>
      </c>
      <c r="AB264" s="128">
        <f t="shared" ca="1" si="53"/>
        <v>0</v>
      </c>
      <c r="AC264" s="128">
        <f t="shared" ca="1" si="53"/>
        <v>0</v>
      </c>
      <c r="AD264" s="128">
        <f t="shared" ca="1" si="53"/>
        <v>0</v>
      </c>
      <c r="AE264" s="128">
        <f t="shared" ca="1" si="53"/>
        <v>0</v>
      </c>
      <c r="AF264" s="128">
        <f t="shared" ca="1" si="53"/>
        <v>2636.8000000004249</v>
      </c>
      <c r="AG264" s="128">
        <f t="shared" ca="1" si="53"/>
        <v>0</v>
      </c>
      <c r="AH264" s="128">
        <f t="shared" ca="1" si="53"/>
        <v>0</v>
      </c>
      <c r="AI264" s="128">
        <f t="shared" ca="1" si="53"/>
        <v>0</v>
      </c>
      <c r="AJ264" s="128">
        <f t="shared" ca="1" si="53"/>
        <v>0</v>
      </c>
      <c r="AK264" s="128">
        <f t="shared" ca="1" si="53"/>
        <v>0</v>
      </c>
      <c r="AL264" s="128">
        <f t="shared" ca="1" si="53"/>
        <v>0</v>
      </c>
      <c r="AM264" s="128">
        <f t="shared" ca="1" si="53"/>
        <v>0</v>
      </c>
      <c r="AN264" s="128">
        <f t="shared" ref="AN264:BP264" ca="1" si="54">IF((AN$10-$G$10)&gt;1,IF(AN$9=1,SUM(OFFSET(AN251,,-12,,12)),0),0)</f>
        <v>0</v>
      </c>
      <c r="AO264" s="128">
        <f t="shared" ca="1" si="54"/>
        <v>0</v>
      </c>
      <c r="AP264" s="128">
        <f t="shared" ca="1" si="54"/>
        <v>0</v>
      </c>
      <c r="AQ264" s="128">
        <f t="shared" ca="1" si="54"/>
        <v>0</v>
      </c>
      <c r="AR264" s="128">
        <f t="shared" ca="1" si="54"/>
        <v>2715.9040000005443</v>
      </c>
      <c r="AS264" s="128">
        <f t="shared" ca="1" si="54"/>
        <v>0</v>
      </c>
      <c r="AT264" s="128">
        <f t="shared" ca="1" si="54"/>
        <v>0</v>
      </c>
      <c r="AU264" s="128">
        <f t="shared" ca="1" si="54"/>
        <v>0</v>
      </c>
      <c r="AV264" s="128">
        <f t="shared" ca="1" si="54"/>
        <v>0</v>
      </c>
      <c r="AW264" s="128">
        <f t="shared" ca="1" si="54"/>
        <v>0</v>
      </c>
      <c r="AX264" s="128">
        <f t="shared" ca="1" si="54"/>
        <v>0</v>
      </c>
      <c r="AY264" s="128">
        <f t="shared" ca="1" si="54"/>
        <v>0</v>
      </c>
      <c r="AZ264" s="128">
        <f t="shared" ca="1" si="54"/>
        <v>0</v>
      </c>
      <c r="BA264" s="128">
        <f t="shared" ca="1" si="54"/>
        <v>0</v>
      </c>
      <c r="BB264" s="128">
        <f t="shared" ca="1" si="54"/>
        <v>0</v>
      </c>
      <c r="BC264" s="128">
        <f t="shared" ca="1" si="54"/>
        <v>0</v>
      </c>
      <c r="BD264" s="128">
        <f t="shared" ca="1" si="54"/>
        <v>-2620.2288183902128</v>
      </c>
      <c r="BE264" s="128">
        <f t="shared" ca="1" si="54"/>
        <v>0</v>
      </c>
      <c r="BF264" s="128">
        <f t="shared" ca="1" si="54"/>
        <v>0</v>
      </c>
      <c r="BG264" s="128">
        <f t="shared" ca="1" si="54"/>
        <v>0</v>
      </c>
      <c r="BH264" s="128">
        <f t="shared" ca="1" si="54"/>
        <v>0</v>
      </c>
      <c r="BI264" s="128">
        <f t="shared" ca="1" si="54"/>
        <v>0</v>
      </c>
      <c r="BJ264" s="128">
        <f t="shared" ca="1" si="54"/>
        <v>0</v>
      </c>
      <c r="BK264" s="128">
        <f t="shared" ca="1" si="54"/>
        <v>0</v>
      </c>
      <c r="BL264" s="128">
        <f t="shared" ca="1" si="54"/>
        <v>0</v>
      </c>
      <c r="BM264" s="128">
        <f t="shared" ca="1" si="54"/>
        <v>0</v>
      </c>
      <c r="BN264" s="128">
        <f t="shared" ca="1" si="54"/>
        <v>0</v>
      </c>
      <c r="BO264" s="128">
        <f t="shared" ca="1" si="54"/>
        <v>0</v>
      </c>
      <c r="BP264" s="132">
        <f t="shared" ca="1" si="54"/>
        <v>-14183.630522681851</v>
      </c>
      <c r="BQ264" s="121"/>
    </row>
    <row r="265" spans="2:69" outlineLevel="1">
      <c r="C265" s="101">
        <v>3</v>
      </c>
      <c r="F265" s="109" t="s">
        <v>9</v>
      </c>
      <c r="G265" s="144"/>
      <c r="H265" s="128">
        <f t="shared" ref="H265:AM265" ca="1" si="55">IF((H$10-$G$10)&gt;1,IF(H$9=1,SUM(OFFSET(H252,,-12,,12)),0),0)</f>
        <v>0</v>
      </c>
      <c r="I265" s="128">
        <f t="shared" ca="1" si="55"/>
        <v>0</v>
      </c>
      <c r="J265" s="128">
        <f t="shared" ca="1" si="55"/>
        <v>0</v>
      </c>
      <c r="K265" s="128">
        <f t="shared" ca="1" si="55"/>
        <v>0</v>
      </c>
      <c r="L265" s="128">
        <f t="shared" ca="1" si="55"/>
        <v>0</v>
      </c>
      <c r="M265" s="128">
        <f t="shared" ca="1" si="55"/>
        <v>0</v>
      </c>
      <c r="N265" s="128">
        <f t="shared" ca="1" si="55"/>
        <v>0</v>
      </c>
      <c r="O265" s="128">
        <f t="shared" ca="1" si="55"/>
        <v>0</v>
      </c>
      <c r="P265" s="128">
        <f t="shared" ca="1" si="55"/>
        <v>0</v>
      </c>
      <c r="Q265" s="128">
        <f t="shared" ca="1" si="55"/>
        <v>0</v>
      </c>
      <c r="R265" s="128">
        <f t="shared" ca="1" si="55"/>
        <v>0</v>
      </c>
      <c r="S265" s="128">
        <f t="shared" ca="1" si="55"/>
        <v>0</v>
      </c>
      <c r="T265" s="128">
        <f t="shared" ca="1" si="55"/>
        <v>-86.716334776458098</v>
      </c>
      <c r="U265" s="128">
        <f t="shared" ca="1" si="55"/>
        <v>0</v>
      </c>
      <c r="V265" s="128">
        <f t="shared" ca="1" si="55"/>
        <v>0</v>
      </c>
      <c r="W265" s="128">
        <f t="shared" ca="1" si="55"/>
        <v>0</v>
      </c>
      <c r="X265" s="128">
        <f t="shared" ca="1" si="55"/>
        <v>0</v>
      </c>
      <c r="Y265" s="128">
        <f t="shared" ca="1" si="55"/>
        <v>0</v>
      </c>
      <c r="Z265" s="128">
        <f t="shared" ca="1" si="55"/>
        <v>0</v>
      </c>
      <c r="AA265" s="128">
        <f t="shared" ca="1" si="55"/>
        <v>0</v>
      </c>
      <c r="AB265" s="128">
        <f t="shared" ca="1" si="55"/>
        <v>0</v>
      </c>
      <c r="AC265" s="128">
        <f t="shared" ca="1" si="55"/>
        <v>0</v>
      </c>
      <c r="AD265" s="128">
        <f t="shared" ca="1" si="55"/>
        <v>0</v>
      </c>
      <c r="AE265" s="128">
        <f t="shared" ca="1" si="55"/>
        <v>0</v>
      </c>
      <c r="AF265" s="128">
        <f t="shared" ca="1" si="55"/>
        <v>3955.1999999999243</v>
      </c>
      <c r="AG265" s="128">
        <f t="shared" ca="1" si="55"/>
        <v>0</v>
      </c>
      <c r="AH265" s="128">
        <f t="shared" ca="1" si="55"/>
        <v>0</v>
      </c>
      <c r="AI265" s="128">
        <f t="shared" ca="1" si="55"/>
        <v>0</v>
      </c>
      <c r="AJ265" s="128">
        <f t="shared" ca="1" si="55"/>
        <v>0</v>
      </c>
      <c r="AK265" s="128">
        <f t="shared" ca="1" si="55"/>
        <v>0</v>
      </c>
      <c r="AL265" s="128">
        <f t="shared" ca="1" si="55"/>
        <v>0</v>
      </c>
      <c r="AM265" s="128">
        <f t="shared" ca="1" si="55"/>
        <v>0</v>
      </c>
      <c r="AN265" s="128">
        <f t="shared" ref="AN265:BP265" ca="1" si="56">IF((AN$10-$G$10)&gt;1,IF(AN$9=1,SUM(OFFSET(AN252,,-12,,12)),0),0)</f>
        <v>0</v>
      </c>
      <c r="AO265" s="128">
        <f t="shared" ca="1" si="56"/>
        <v>0</v>
      </c>
      <c r="AP265" s="128">
        <f t="shared" ca="1" si="56"/>
        <v>0</v>
      </c>
      <c r="AQ265" s="128">
        <f t="shared" ca="1" si="56"/>
        <v>0</v>
      </c>
      <c r="AR265" s="128">
        <f t="shared" ca="1" si="56"/>
        <v>4073.8560000000434</v>
      </c>
      <c r="AS265" s="128">
        <f t="shared" ca="1" si="56"/>
        <v>0</v>
      </c>
      <c r="AT265" s="128">
        <f t="shared" ca="1" si="56"/>
        <v>0</v>
      </c>
      <c r="AU265" s="128">
        <f t="shared" ca="1" si="56"/>
        <v>0</v>
      </c>
      <c r="AV265" s="128">
        <f t="shared" ca="1" si="56"/>
        <v>0</v>
      </c>
      <c r="AW265" s="128">
        <f t="shared" ca="1" si="56"/>
        <v>0</v>
      </c>
      <c r="AX265" s="128">
        <f t="shared" ca="1" si="56"/>
        <v>0</v>
      </c>
      <c r="AY265" s="128">
        <f t="shared" ca="1" si="56"/>
        <v>0</v>
      </c>
      <c r="AZ265" s="128">
        <f t="shared" ca="1" si="56"/>
        <v>0</v>
      </c>
      <c r="BA265" s="128">
        <f t="shared" ca="1" si="56"/>
        <v>0</v>
      </c>
      <c r="BB265" s="128">
        <f t="shared" ca="1" si="56"/>
        <v>0</v>
      </c>
      <c r="BC265" s="128">
        <f t="shared" ca="1" si="56"/>
        <v>0</v>
      </c>
      <c r="BD265" s="128">
        <f t="shared" ca="1" si="56"/>
        <v>-10820.722168565713</v>
      </c>
      <c r="BE265" s="128">
        <f t="shared" ca="1" si="56"/>
        <v>0</v>
      </c>
      <c r="BF265" s="128">
        <f t="shared" ca="1" si="56"/>
        <v>0</v>
      </c>
      <c r="BG265" s="128">
        <f t="shared" ca="1" si="56"/>
        <v>0</v>
      </c>
      <c r="BH265" s="128">
        <f t="shared" ca="1" si="56"/>
        <v>0</v>
      </c>
      <c r="BI265" s="128">
        <f t="shared" ca="1" si="56"/>
        <v>0</v>
      </c>
      <c r="BJ265" s="128">
        <f t="shared" ca="1" si="56"/>
        <v>0</v>
      </c>
      <c r="BK265" s="128">
        <f t="shared" ca="1" si="56"/>
        <v>0</v>
      </c>
      <c r="BL265" s="128">
        <f t="shared" ca="1" si="56"/>
        <v>0</v>
      </c>
      <c r="BM265" s="128">
        <f t="shared" ca="1" si="56"/>
        <v>0</v>
      </c>
      <c r="BN265" s="128">
        <f t="shared" ca="1" si="56"/>
        <v>0</v>
      </c>
      <c r="BO265" s="128">
        <f t="shared" ca="1" si="56"/>
        <v>0</v>
      </c>
      <c r="BP265" s="132">
        <f t="shared" ca="1" si="56"/>
        <v>-24268.189460281588</v>
      </c>
    </row>
    <row r="266" spans="2:69" outlineLevel="1">
      <c r="C266" s="101">
        <v>4</v>
      </c>
      <c r="F266" s="109" t="s">
        <v>9</v>
      </c>
      <c r="G266" s="144"/>
      <c r="H266" s="128">
        <f t="shared" ref="H266:AM266" ca="1" si="57">IF((H$10-$G$10)&gt;1,IF(H$9=1,SUM(OFFSET(H253,,-12,,12)),0),0)</f>
        <v>0</v>
      </c>
      <c r="I266" s="128">
        <f t="shared" ca="1" si="57"/>
        <v>0</v>
      </c>
      <c r="J266" s="128">
        <f t="shared" ca="1" si="57"/>
        <v>0</v>
      </c>
      <c r="K266" s="128">
        <f t="shared" ca="1" si="57"/>
        <v>0</v>
      </c>
      <c r="L266" s="128">
        <f t="shared" ca="1" si="57"/>
        <v>0</v>
      </c>
      <c r="M266" s="128">
        <f t="shared" ca="1" si="57"/>
        <v>0</v>
      </c>
      <c r="N266" s="128">
        <f t="shared" ca="1" si="57"/>
        <v>0</v>
      </c>
      <c r="O266" s="128">
        <f t="shared" ca="1" si="57"/>
        <v>0</v>
      </c>
      <c r="P266" s="128">
        <f t="shared" ca="1" si="57"/>
        <v>0</v>
      </c>
      <c r="Q266" s="128">
        <f t="shared" ca="1" si="57"/>
        <v>0</v>
      </c>
      <c r="R266" s="128">
        <f t="shared" ca="1" si="57"/>
        <v>0</v>
      </c>
      <c r="S266" s="128">
        <f t="shared" ca="1" si="57"/>
        <v>0</v>
      </c>
      <c r="T266" s="128">
        <f t="shared" ca="1" si="57"/>
        <v>-5949.6327849927475</v>
      </c>
      <c r="U266" s="128">
        <f t="shared" ca="1" si="57"/>
        <v>0</v>
      </c>
      <c r="V266" s="128">
        <f t="shared" ca="1" si="57"/>
        <v>0</v>
      </c>
      <c r="W266" s="128">
        <f t="shared" ca="1" si="57"/>
        <v>0</v>
      </c>
      <c r="X266" s="128">
        <f t="shared" ca="1" si="57"/>
        <v>0</v>
      </c>
      <c r="Y266" s="128">
        <f t="shared" ca="1" si="57"/>
        <v>0</v>
      </c>
      <c r="Z266" s="128">
        <f t="shared" ca="1" si="57"/>
        <v>0</v>
      </c>
      <c r="AA266" s="128">
        <f t="shared" ca="1" si="57"/>
        <v>0</v>
      </c>
      <c r="AB266" s="128">
        <f t="shared" ca="1" si="57"/>
        <v>0</v>
      </c>
      <c r="AC266" s="128">
        <f t="shared" ca="1" si="57"/>
        <v>0</v>
      </c>
      <c r="AD266" s="128">
        <f t="shared" ca="1" si="57"/>
        <v>0</v>
      </c>
      <c r="AE266" s="128">
        <f t="shared" ca="1" si="57"/>
        <v>0</v>
      </c>
      <c r="AF266" s="128">
        <f t="shared" ca="1" si="57"/>
        <v>5273.6000000006952</v>
      </c>
      <c r="AG266" s="128">
        <f t="shared" ca="1" si="57"/>
        <v>0</v>
      </c>
      <c r="AH266" s="128">
        <f t="shared" ca="1" si="57"/>
        <v>0</v>
      </c>
      <c r="AI266" s="128">
        <f t="shared" ca="1" si="57"/>
        <v>0</v>
      </c>
      <c r="AJ266" s="128">
        <f t="shared" ca="1" si="57"/>
        <v>0</v>
      </c>
      <c r="AK266" s="128">
        <f t="shared" ca="1" si="57"/>
        <v>0</v>
      </c>
      <c r="AL266" s="128">
        <f t="shared" ca="1" si="57"/>
        <v>0</v>
      </c>
      <c r="AM266" s="128">
        <f t="shared" ca="1" si="57"/>
        <v>0</v>
      </c>
      <c r="AN266" s="128">
        <f t="shared" ref="AN266:BP266" ca="1" si="58">IF((AN$10-$G$10)&gt;1,IF(AN$9=1,SUM(OFFSET(AN253,,-12,,12)),0),0)</f>
        <v>0</v>
      </c>
      <c r="AO266" s="128">
        <f t="shared" ca="1" si="58"/>
        <v>0</v>
      </c>
      <c r="AP266" s="128">
        <f t="shared" ca="1" si="58"/>
        <v>0</v>
      </c>
      <c r="AQ266" s="128">
        <f t="shared" ca="1" si="58"/>
        <v>0</v>
      </c>
      <c r="AR266" s="128">
        <f t="shared" ca="1" si="58"/>
        <v>3172.2299245252216</v>
      </c>
      <c r="AS266" s="128">
        <f t="shared" ca="1" si="58"/>
        <v>0</v>
      </c>
      <c r="AT266" s="128">
        <f t="shared" ca="1" si="58"/>
        <v>0</v>
      </c>
      <c r="AU266" s="128">
        <f t="shared" ca="1" si="58"/>
        <v>0</v>
      </c>
      <c r="AV266" s="128">
        <f t="shared" ca="1" si="58"/>
        <v>0</v>
      </c>
      <c r="AW266" s="128">
        <f t="shared" ca="1" si="58"/>
        <v>0</v>
      </c>
      <c r="AX266" s="128">
        <f t="shared" ca="1" si="58"/>
        <v>0</v>
      </c>
      <c r="AY266" s="128">
        <f t="shared" ca="1" si="58"/>
        <v>0</v>
      </c>
      <c r="AZ266" s="128">
        <f t="shared" ca="1" si="58"/>
        <v>0</v>
      </c>
      <c r="BA266" s="128">
        <f t="shared" ca="1" si="58"/>
        <v>0</v>
      </c>
      <c r="BB266" s="128">
        <f t="shared" ca="1" si="58"/>
        <v>0</v>
      </c>
      <c r="BC266" s="128">
        <f t="shared" ca="1" si="58"/>
        <v>0</v>
      </c>
      <c r="BD266" s="128">
        <f t="shared" ca="1" si="58"/>
        <v>-20611.55608856646</v>
      </c>
      <c r="BE266" s="128">
        <f t="shared" ca="1" si="58"/>
        <v>0</v>
      </c>
      <c r="BF266" s="128">
        <f t="shared" ca="1" si="58"/>
        <v>0</v>
      </c>
      <c r="BG266" s="128">
        <f t="shared" ca="1" si="58"/>
        <v>0</v>
      </c>
      <c r="BH266" s="128">
        <f t="shared" ca="1" si="58"/>
        <v>0</v>
      </c>
      <c r="BI266" s="128">
        <f t="shared" ca="1" si="58"/>
        <v>0</v>
      </c>
      <c r="BJ266" s="128">
        <f t="shared" ca="1" si="58"/>
        <v>0</v>
      </c>
      <c r="BK266" s="128">
        <f t="shared" ca="1" si="58"/>
        <v>0</v>
      </c>
      <c r="BL266" s="128">
        <f t="shared" ca="1" si="58"/>
        <v>0</v>
      </c>
      <c r="BM266" s="128">
        <f t="shared" ca="1" si="58"/>
        <v>0</v>
      </c>
      <c r="BN266" s="128">
        <f t="shared" ca="1" si="58"/>
        <v>0</v>
      </c>
      <c r="BO266" s="128">
        <f t="shared" ca="1" si="58"/>
        <v>0</v>
      </c>
      <c r="BP266" s="132">
        <f t="shared" ca="1" si="58"/>
        <v>-34352.74839788134</v>
      </c>
    </row>
    <row r="267" spans="2:69" outlineLevel="1">
      <c r="C267" s="101">
        <v>5</v>
      </c>
      <c r="F267" s="109" t="s">
        <v>9</v>
      </c>
      <c r="G267" s="144"/>
      <c r="H267" s="128">
        <f t="shared" ref="H267:AM267" ca="1" si="59">IF((H$10-$G$10)&gt;1,IF(H$9=1,SUM(OFFSET(H254,,-12,,12)),0),0)</f>
        <v>0</v>
      </c>
      <c r="I267" s="128">
        <f t="shared" ca="1" si="59"/>
        <v>0</v>
      </c>
      <c r="J267" s="128">
        <f t="shared" ca="1" si="59"/>
        <v>0</v>
      </c>
      <c r="K267" s="128">
        <f t="shared" ca="1" si="59"/>
        <v>0</v>
      </c>
      <c r="L267" s="128">
        <f t="shared" ca="1" si="59"/>
        <v>0</v>
      </c>
      <c r="M267" s="128">
        <f t="shared" ca="1" si="59"/>
        <v>0</v>
      </c>
      <c r="N267" s="128">
        <f t="shared" ca="1" si="59"/>
        <v>0</v>
      </c>
      <c r="O267" s="128">
        <f t="shared" ca="1" si="59"/>
        <v>0</v>
      </c>
      <c r="P267" s="128">
        <f t="shared" ca="1" si="59"/>
        <v>0</v>
      </c>
      <c r="Q267" s="128">
        <f t="shared" ca="1" si="59"/>
        <v>0</v>
      </c>
      <c r="R267" s="128">
        <f t="shared" ca="1" si="59"/>
        <v>0</v>
      </c>
      <c r="S267" s="128">
        <f t="shared" ca="1" si="59"/>
        <v>0</v>
      </c>
      <c r="T267" s="128">
        <f t="shared" ca="1" si="59"/>
        <v>-14909.632784992747</v>
      </c>
      <c r="U267" s="128">
        <f t="shared" ca="1" si="59"/>
        <v>0</v>
      </c>
      <c r="V267" s="128">
        <f t="shared" ca="1" si="59"/>
        <v>0</v>
      </c>
      <c r="W267" s="128">
        <f t="shared" ca="1" si="59"/>
        <v>0</v>
      </c>
      <c r="X267" s="128">
        <f t="shared" ca="1" si="59"/>
        <v>0</v>
      </c>
      <c r="Y267" s="128">
        <f t="shared" ca="1" si="59"/>
        <v>0</v>
      </c>
      <c r="Z267" s="128">
        <f t="shared" ca="1" si="59"/>
        <v>0</v>
      </c>
      <c r="AA267" s="128">
        <f t="shared" ca="1" si="59"/>
        <v>0</v>
      </c>
      <c r="AB267" s="128">
        <f t="shared" ca="1" si="59"/>
        <v>0</v>
      </c>
      <c r="AC267" s="128">
        <f t="shared" ca="1" si="59"/>
        <v>0</v>
      </c>
      <c r="AD267" s="128">
        <f t="shared" ca="1" si="59"/>
        <v>0</v>
      </c>
      <c r="AE267" s="128">
        <f t="shared" ca="1" si="59"/>
        <v>0</v>
      </c>
      <c r="AF267" s="128">
        <f t="shared" ca="1" si="59"/>
        <v>6592.000000000171</v>
      </c>
      <c r="AG267" s="128">
        <f t="shared" ca="1" si="59"/>
        <v>0</v>
      </c>
      <c r="AH267" s="128">
        <f t="shared" ca="1" si="59"/>
        <v>0</v>
      </c>
      <c r="AI267" s="128">
        <f t="shared" ca="1" si="59"/>
        <v>0</v>
      </c>
      <c r="AJ267" s="128">
        <f t="shared" ca="1" si="59"/>
        <v>0</v>
      </c>
      <c r="AK267" s="128">
        <f t="shared" ca="1" si="59"/>
        <v>0</v>
      </c>
      <c r="AL267" s="128">
        <f t="shared" ca="1" si="59"/>
        <v>0</v>
      </c>
      <c r="AM267" s="128">
        <f t="shared" ca="1" si="59"/>
        <v>0</v>
      </c>
      <c r="AN267" s="128">
        <f t="shared" ref="AN267:BP267" ca="1" si="60">IF((AN$10-$G$10)&gt;1,IF(AN$9=1,SUM(OFFSET(AN254,,-12,,12)),0),0)</f>
        <v>0</v>
      </c>
      <c r="AO267" s="128">
        <f t="shared" ca="1" si="60"/>
        <v>0</v>
      </c>
      <c r="AP267" s="128">
        <f t="shared" ca="1" si="60"/>
        <v>0</v>
      </c>
      <c r="AQ267" s="128">
        <f t="shared" ca="1" si="60"/>
        <v>0</v>
      </c>
      <c r="AR267" s="128">
        <f t="shared" ca="1" si="60"/>
        <v>-1747.0859093071922</v>
      </c>
      <c r="AS267" s="128">
        <f t="shared" ca="1" si="60"/>
        <v>0</v>
      </c>
      <c r="AT267" s="128">
        <f t="shared" ca="1" si="60"/>
        <v>0</v>
      </c>
      <c r="AU267" s="128">
        <f t="shared" ca="1" si="60"/>
        <v>0</v>
      </c>
      <c r="AV267" s="128">
        <f t="shared" ca="1" si="60"/>
        <v>0</v>
      </c>
      <c r="AW267" s="128">
        <f t="shared" ca="1" si="60"/>
        <v>0</v>
      </c>
      <c r="AX267" s="128">
        <f t="shared" ca="1" si="60"/>
        <v>0</v>
      </c>
      <c r="AY267" s="128">
        <f t="shared" ca="1" si="60"/>
        <v>0</v>
      </c>
      <c r="AZ267" s="128">
        <f t="shared" ca="1" si="60"/>
        <v>0</v>
      </c>
      <c r="BA267" s="128">
        <f t="shared" ca="1" si="60"/>
        <v>0</v>
      </c>
      <c r="BB267" s="128">
        <f t="shared" ca="1" si="60"/>
        <v>0</v>
      </c>
      <c r="BC267" s="128">
        <f t="shared" ca="1" si="60"/>
        <v>0</v>
      </c>
      <c r="BD267" s="128">
        <f t="shared" ca="1" si="60"/>
        <v>-30402.390008565621</v>
      </c>
      <c r="BE267" s="128">
        <f t="shared" ca="1" si="60"/>
        <v>0</v>
      </c>
      <c r="BF267" s="128">
        <f t="shared" ca="1" si="60"/>
        <v>0</v>
      </c>
      <c r="BG267" s="128">
        <f t="shared" ca="1" si="60"/>
        <v>0</v>
      </c>
      <c r="BH267" s="128">
        <f t="shared" ca="1" si="60"/>
        <v>0</v>
      </c>
      <c r="BI267" s="128">
        <f t="shared" ca="1" si="60"/>
        <v>0</v>
      </c>
      <c r="BJ267" s="128">
        <f t="shared" ca="1" si="60"/>
        <v>0</v>
      </c>
      <c r="BK267" s="128">
        <f t="shared" ca="1" si="60"/>
        <v>0</v>
      </c>
      <c r="BL267" s="128">
        <f t="shared" ca="1" si="60"/>
        <v>0</v>
      </c>
      <c r="BM267" s="128">
        <f t="shared" ca="1" si="60"/>
        <v>0</v>
      </c>
      <c r="BN267" s="128">
        <f t="shared" ca="1" si="60"/>
        <v>0</v>
      </c>
      <c r="BO267" s="128">
        <f t="shared" ca="1" si="60"/>
        <v>0</v>
      </c>
      <c r="BP267" s="132">
        <f t="shared" ca="1" si="60"/>
        <v>-44437.307335481149</v>
      </c>
    </row>
    <row r="268" spans="2:69" outlineLevel="1">
      <c r="C268" s="101">
        <v>6</v>
      </c>
      <c r="F268" s="109" t="s">
        <v>9</v>
      </c>
      <c r="G268" s="144"/>
      <c r="H268" s="128">
        <f t="shared" ref="H268:AM268" ca="1" si="61">IF((H$10-$G$10)&gt;1,IF(H$9=1,SUM(OFFSET(H255,,-12,,12)),0),0)</f>
        <v>0</v>
      </c>
      <c r="I268" s="128">
        <f t="shared" ca="1" si="61"/>
        <v>0</v>
      </c>
      <c r="J268" s="128">
        <f t="shared" ca="1" si="61"/>
        <v>0</v>
      </c>
      <c r="K268" s="128">
        <f t="shared" ca="1" si="61"/>
        <v>0</v>
      </c>
      <c r="L268" s="128">
        <f t="shared" ca="1" si="61"/>
        <v>0</v>
      </c>
      <c r="M268" s="128">
        <f t="shared" ca="1" si="61"/>
        <v>0</v>
      </c>
      <c r="N268" s="128">
        <f t="shared" ca="1" si="61"/>
        <v>0</v>
      </c>
      <c r="O268" s="128">
        <f t="shared" ca="1" si="61"/>
        <v>0</v>
      </c>
      <c r="P268" s="128">
        <f t="shared" ca="1" si="61"/>
        <v>0</v>
      </c>
      <c r="Q268" s="128">
        <f t="shared" ca="1" si="61"/>
        <v>0</v>
      </c>
      <c r="R268" s="128">
        <f t="shared" ca="1" si="61"/>
        <v>0</v>
      </c>
      <c r="S268" s="128">
        <f t="shared" ca="1" si="61"/>
        <v>0</v>
      </c>
      <c r="T268" s="128">
        <f t="shared" ca="1" si="61"/>
        <v>-23869.632784992747</v>
      </c>
      <c r="U268" s="128">
        <f t="shared" ca="1" si="61"/>
        <v>0</v>
      </c>
      <c r="V268" s="128">
        <f t="shared" ca="1" si="61"/>
        <v>0</v>
      </c>
      <c r="W268" s="128">
        <f t="shared" ca="1" si="61"/>
        <v>0</v>
      </c>
      <c r="X268" s="128">
        <f t="shared" ca="1" si="61"/>
        <v>0</v>
      </c>
      <c r="Y268" s="128">
        <f t="shared" ca="1" si="61"/>
        <v>0</v>
      </c>
      <c r="Z268" s="128">
        <f t="shared" ca="1" si="61"/>
        <v>0</v>
      </c>
      <c r="AA268" s="128">
        <f t="shared" ca="1" si="61"/>
        <v>0</v>
      </c>
      <c r="AB268" s="128">
        <f t="shared" ca="1" si="61"/>
        <v>0</v>
      </c>
      <c r="AC268" s="128">
        <f t="shared" ca="1" si="61"/>
        <v>0</v>
      </c>
      <c r="AD268" s="128">
        <f t="shared" ca="1" si="61"/>
        <v>0</v>
      </c>
      <c r="AE268" s="128">
        <f t="shared" ca="1" si="61"/>
        <v>0</v>
      </c>
      <c r="AF268" s="128">
        <f t="shared" ca="1" si="61"/>
        <v>7910.4000000010856</v>
      </c>
      <c r="AG268" s="128">
        <f t="shared" ca="1" si="61"/>
        <v>0</v>
      </c>
      <c r="AH268" s="128">
        <f t="shared" ca="1" si="61"/>
        <v>0</v>
      </c>
      <c r="AI268" s="128">
        <f t="shared" ca="1" si="61"/>
        <v>0</v>
      </c>
      <c r="AJ268" s="128">
        <f t="shared" ca="1" si="61"/>
        <v>0</v>
      </c>
      <c r="AK268" s="128">
        <f t="shared" ca="1" si="61"/>
        <v>0</v>
      </c>
      <c r="AL268" s="128">
        <f t="shared" ca="1" si="61"/>
        <v>0</v>
      </c>
      <c r="AM268" s="128">
        <f t="shared" ca="1" si="61"/>
        <v>0</v>
      </c>
      <c r="AN268" s="128">
        <f t="shared" ref="AN268:BP268" ca="1" si="62">IF((AN$10-$G$10)&gt;1,IF(AN$9=1,SUM(OFFSET(AN255,,-12,,12)),0),0)</f>
        <v>0</v>
      </c>
      <c r="AO268" s="128">
        <f t="shared" ca="1" si="62"/>
        <v>0</v>
      </c>
      <c r="AP268" s="128">
        <f t="shared" ca="1" si="62"/>
        <v>0</v>
      </c>
      <c r="AQ268" s="128">
        <f t="shared" ca="1" si="62"/>
        <v>0</v>
      </c>
      <c r="AR268" s="128">
        <f t="shared" ca="1" si="62"/>
        <v>-11252.749909307677</v>
      </c>
      <c r="AS268" s="128">
        <f t="shared" ca="1" si="62"/>
        <v>0</v>
      </c>
      <c r="AT268" s="128">
        <f t="shared" ca="1" si="62"/>
        <v>0</v>
      </c>
      <c r="AU268" s="128">
        <f t="shared" ca="1" si="62"/>
        <v>0</v>
      </c>
      <c r="AV268" s="128">
        <f t="shared" ca="1" si="62"/>
        <v>0</v>
      </c>
      <c r="AW268" s="128">
        <f t="shared" ca="1" si="62"/>
        <v>0</v>
      </c>
      <c r="AX268" s="128">
        <f t="shared" ca="1" si="62"/>
        <v>0</v>
      </c>
      <c r="AY268" s="128">
        <f t="shared" ca="1" si="62"/>
        <v>0</v>
      </c>
      <c r="AZ268" s="128">
        <f t="shared" ca="1" si="62"/>
        <v>0</v>
      </c>
      <c r="BA268" s="128">
        <f t="shared" ca="1" si="62"/>
        <v>0</v>
      </c>
      <c r="BB268" s="128">
        <f t="shared" ca="1" si="62"/>
        <v>0</v>
      </c>
      <c r="BC268" s="128">
        <f t="shared" ca="1" si="62"/>
        <v>0</v>
      </c>
      <c r="BD268" s="128">
        <f t="shared" ca="1" si="62"/>
        <v>-40193.223928566367</v>
      </c>
      <c r="BE268" s="128">
        <f t="shared" ca="1" si="62"/>
        <v>0</v>
      </c>
      <c r="BF268" s="128">
        <f t="shared" ca="1" si="62"/>
        <v>0</v>
      </c>
      <c r="BG268" s="128">
        <f t="shared" ca="1" si="62"/>
        <v>0</v>
      </c>
      <c r="BH268" s="128">
        <f t="shared" ca="1" si="62"/>
        <v>0</v>
      </c>
      <c r="BI268" s="128">
        <f t="shared" ca="1" si="62"/>
        <v>0</v>
      </c>
      <c r="BJ268" s="128">
        <f t="shared" ca="1" si="62"/>
        <v>0</v>
      </c>
      <c r="BK268" s="128">
        <f t="shared" ca="1" si="62"/>
        <v>0</v>
      </c>
      <c r="BL268" s="128">
        <f t="shared" ca="1" si="62"/>
        <v>0</v>
      </c>
      <c r="BM268" s="128">
        <f t="shared" ca="1" si="62"/>
        <v>0</v>
      </c>
      <c r="BN268" s="128">
        <f t="shared" ca="1" si="62"/>
        <v>0</v>
      </c>
      <c r="BO268" s="128">
        <f t="shared" ca="1" si="62"/>
        <v>0</v>
      </c>
      <c r="BP268" s="132">
        <f t="shared" ca="1" si="62"/>
        <v>-54521.866273082298</v>
      </c>
    </row>
    <row r="269" spans="2:69" outlineLevel="1">
      <c r="C269" s="101">
        <v>7</v>
      </c>
      <c r="F269" s="109" t="s">
        <v>9</v>
      </c>
      <c r="G269" s="144"/>
      <c r="H269" s="128">
        <f t="shared" ref="H269:AM269" ca="1" si="63">IF((H$10-$G$10)&gt;1,IF(H$9=1,SUM(OFFSET(H256,,-12,,12)),0),0)</f>
        <v>0</v>
      </c>
      <c r="I269" s="128">
        <f t="shared" ca="1" si="63"/>
        <v>0</v>
      </c>
      <c r="J269" s="128">
        <f t="shared" ca="1" si="63"/>
        <v>0</v>
      </c>
      <c r="K269" s="128">
        <f t="shared" ca="1" si="63"/>
        <v>0</v>
      </c>
      <c r="L269" s="128">
        <f t="shared" ca="1" si="63"/>
        <v>0</v>
      </c>
      <c r="M269" s="128">
        <f t="shared" ca="1" si="63"/>
        <v>0</v>
      </c>
      <c r="N269" s="128">
        <f t="shared" ca="1" si="63"/>
        <v>0</v>
      </c>
      <c r="O269" s="128">
        <f t="shared" ca="1" si="63"/>
        <v>0</v>
      </c>
      <c r="P269" s="128">
        <f t="shared" ca="1" si="63"/>
        <v>0</v>
      </c>
      <c r="Q269" s="128">
        <f t="shared" ca="1" si="63"/>
        <v>0</v>
      </c>
      <c r="R269" s="128">
        <f t="shared" ca="1" si="63"/>
        <v>0</v>
      </c>
      <c r="S269" s="128">
        <f t="shared" ca="1" si="63"/>
        <v>0</v>
      </c>
      <c r="T269" s="128">
        <f t="shared" ca="1" si="63"/>
        <v>-32829.632784992747</v>
      </c>
      <c r="U269" s="128">
        <f t="shared" ca="1" si="63"/>
        <v>0</v>
      </c>
      <c r="V269" s="128">
        <f t="shared" ca="1" si="63"/>
        <v>0</v>
      </c>
      <c r="W269" s="128">
        <f t="shared" ca="1" si="63"/>
        <v>0</v>
      </c>
      <c r="X269" s="128">
        <f t="shared" ca="1" si="63"/>
        <v>0</v>
      </c>
      <c r="Y269" s="128">
        <f t="shared" ca="1" si="63"/>
        <v>0</v>
      </c>
      <c r="Z269" s="128">
        <f t="shared" ca="1" si="63"/>
        <v>0</v>
      </c>
      <c r="AA269" s="128">
        <f t="shared" ca="1" si="63"/>
        <v>0</v>
      </c>
      <c r="AB269" s="128">
        <f t="shared" ca="1" si="63"/>
        <v>0</v>
      </c>
      <c r="AC269" s="128">
        <f t="shared" ca="1" si="63"/>
        <v>0</v>
      </c>
      <c r="AD269" s="128">
        <f t="shared" ca="1" si="63"/>
        <v>0</v>
      </c>
      <c r="AE269" s="128">
        <f t="shared" ca="1" si="63"/>
        <v>0</v>
      </c>
      <c r="AF269" s="128">
        <f t="shared" ca="1" si="63"/>
        <v>8118.1813158880541</v>
      </c>
      <c r="AG269" s="128">
        <f t="shared" ca="1" si="63"/>
        <v>0</v>
      </c>
      <c r="AH269" s="128">
        <f t="shared" ca="1" si="63"/>
        <v>0</v>
      </c>
      <c r="AI269" s="128">
        <f t="shared" ca="1" si="63"/>
        <v>0</v>
      </c>
      <c r="AJ269" s="128">
        <f t="shared" ca="1" si="63"/>
        <v>0</v>
      </c>
      <c r="AK269" s="128">
        <f t="shared" ca="1" si="63"/>
        <v>0</v>
      </c>
      <c r="AL269" s="128">
        <f t="shared" ca="1" si="63"/>
        <v>0</v>
      </c>
      <c r="AM269" s="128">
        <f t="shared" ca="1" si="63"/>
        <v>0</v>
      </c>
      <c r="AN269" s="128">
        <f t="shared" ref="AN269:BP269" ca="1" si="64">IF((AN$10-$G$10)&gt;1,IF(AN$9=1,SUM(OFFSET(AN256,,-12,,12)),0),0)</f>
        <v>0</v>
      </c>
      <c r="AO269" s="128">
        <f t="shared" ca="1" si="64"/>
        <v>0</v>
      </c>
      <c r="AP269" s="128">
        <f t="shared" ca="1" si="64"/>
        <v>0</v>
      </c>
      <c r="AQ269" s="128">
        <f t="shared" ca="1" si="64"/>
        <v>0</v>
      </c>
      <c r="AR269" s="128">
        <f t="shared" ca="1" si="64"/>
        <v>-20758.413909306837</v>
      </c>
      <c r="AS269" s="128">
        <f t="shared" ca="1" si="64"/>
        <v>0</v>
      </c>
      <c r="AT269" s="128">
        <f t="shared" ca="1" si="64"/>
        <v>0</v>
      </c>
      <c r="AU269" s="128">
        <f t="shared" ca="1" si="64"/>
        <v>0</v>
      </c>
      <c r="AV269" s="128">
        <f t="shared" ca="1" si="64"/>
        <v>0</v>
      </c>
      <c r="AW269" s="128">
        <f t="shared" ca="1" si="64"/>
        <v>0</v>
      </c>
      <c r="AX269" s="128">
        <f t="shared" ca="1" si="64"/>
        <v>0</v>
      </c>
      <c r="AY269" s="128">
        <f t="shared" ca="1" si="64"/>
        <v>0</v>
      </c>
      <c r="AZ269" s="128">
        <f t="shared" ca="1" si="64"/>
        <v>0</v>
      </c>
      <c r="BA269" s="128">
        <f t="shared" ca="1" si="64"/>
        <v>0</v>
      </c>
      <c r="BB269" s="128">
        <f t="shared" ca="1" si="64"/>
        <v>0</v>
      </c>
      <c r="BC269" s="128">
        <f t="shared" ca="1" si="64"/>
        <v>0</v>
      </c>
      <c r="BD269" s="128">
        <f t="shared" ca="1" si="64"/>
        <v>-49984.057848567027</v>
      </c>
      <c r="BE269" s="128">
        <f t="shared" ca="1" si="64"/>
        <v>0</v>
      </c>
      <c r="BF269" s="128">
        <f t="shared" ca="1" si="64"/>
        <v>0</v>
      </c>
      <c r="BG269" s="128">
        <f t="shared" ca="1" si="64"/>
        <v>0</v>
      </c>
      <c r="BH269" s="128">
        <f t="shared" ca="1" si="64"/>
        <v>0</v>
      </c>
      <c r="BI269" s="128">
        <f t="shared" ca="1" si="64"/>
        <v>0</v>
      </c>
      <c r="BJ269" s="128">
        <f t="shared" ca="1" si="64"/>
        <v>0</v>
      </c>
      <c r="BK269" s="128">
        <f t="shared" ca="1" si="64"/>
        <v>0</v>
      </c>
      <c r="BL269" s="128">
        <f t="shared" ca="1" si="64"/>
        <v>0</v>
      </c>
      <c r="BM269" s="128">
        <f t="shared" ca="1" si="64"/>
        <v>0</v>
      </c>
      <c r="BN269" s="128">
        <f t="shared" ca="1" si="64"/>
        <v>0</v>
      </c>
      <c r="BO269" s="128">
        <f t="shared" ca="1" si="64"/>
        <v>0</v>
      </c>
      <c r="BP269" s="132">
        <f t="shared" ca="1" si="64"/>
        <v>-64606.425210681889</v>
      </c>
    </row>
    <row r="270" spans="2:69" outlineLevel="1">
      <c r="C270" s="101">
        <v>8</v>
      </c>
      <c r="F270" s="109" t="s">
        <v>9</v>
      </c>
      <c r="G270" s="144"/>
      <c r="H270" s="128">
        <f t="shared" ref="H270:AM270" ca="1" si="65">IF((H$10-$G$10)&gt;1,IF(H$9=1,SUM(OFFSET(H257,,-12,,12)),0),0)</f>
        <v>0</v>
      </c>
      <c r="I270" s="128">
        <f t="shared" ca="1" si="65"/>
        <v>0</v>
      </c>
      <c r="J270" s="128">
        <f t="shared" ca="1" si="65"/>
        <v>0</v>
      </c>
      <c r="K270" s="128">
        <f t="shared" ca="1" si="65"/>
        <v>0</v>
      </c>
      <c r="L270" s="128">
        <f t="shared" ca="1" si="65"/>
        <v>0</v>
      </c>
      <c r="M270" s="128">
        <f t="shared" ca="1" si="65"/>
        <v>0</v>
      </c>
      <c r="N270" s="128">
        <f t="shared" ca="1" si="65"/>
        <v>0</v>
      </c>
      <c r="O270" s="128">
        <f t="shared" ca="1" si="65"/>
        <v>0</v>
      </c>
      <c r="P270" s="128">
        <f t="shared" ca="1" si="65"/>
        <v>0</v>
      </c>
      <c r="Q270" s="128">
        <f t="shared" ca="1" si="65"/>
        <v>0</v>
      </c>
      <c r="R270" s="128">
        <f t="shared" ca="1" si="65"/>
        <v>0</v>
      </c>
      <c r="S270" s="128">
        <f t="shared" ca="1" si="65"/>
        <v>0</v>
      </c>
      <c r="T270" s="128">
        <f t="shared" ca="1" si="65"/>
        <v>-41789.632784992806</v>
      </c>
      <c r="U270" s="128">
        <f t="shared" ca="1" si="65"/>
        <v>0</v>
      </c>
      <c r="V270" s="128">
        <f t="shared" ca="1" si="65"/>
        <v>0</v>
      </c>
      <c r="W270" s="128">
        <f t="shared" ca="1" si="65"/>
        <v>0</v>
      </c>
      <c r="X270" s="128">
        <f t="shared" ca="1" si="65"/>
        <v>0</v>
      </c>
      <c r="Y270" s="128">
        <f t="shared" ca="1" si="65"/>
        <v>0</v>
      </c>
      <c r="Z270" s="128">
        <f t="shared" ca="1" si="65"/>
        <v>0</v>
      </c>
      <c r="AA270" s="128">
        <f t="shared" ca="1" si="65"/>
        <v>0</v>
      </c>
      <c r="AB270" s="128">
        <f t="shared" ca="1" si="65"/>
        <v>0</v>
      </c>
      <c r="AC270" s="128">
        <f t="shared" ca="1" si="65"/>
        <v>0</v>
      </c>
      <c r="AD270" s="128">
        <f t="shared" ca="1" si="65"/>
        <v>0</v>
      </c>
      <c r="AE270" s="128">
        <f t="shared" ca="1" si="65"/>
        <v>0</v>
      </c>
      <c r="AF270" s="128">
        <f t="shared" ca="1" si="65"/>
        <v>4162.981315887555</v>
      </c>
      <c r="AG270" s="128">
        <f t="shared" ca="1" si="65"/>
        <v>0</v>
      </c>
      <c r="AH270" s="128">
        <f t="shared" ca="1" si="65"/>
        <v>0</v>
      </c>
      <c r="AI270" s="128">
        <f t="shared" ca="1" si="65"/>
        <v>0</v>
      </c>
      <c r="AJ270" s="128">
        <f t="shared" ca="1" si="65"/>
        <v>0</v>
      </c>
      <c r="AK270" s="128">
        <f t="shared" ca="1" si="65"/>
        <v>0</v>
      </c>
      <c r="AL270" s="128">
        <f t="shared" ca="1" si="65"/>
        <v>0</v>
      </c>
      <c r="AM270" s="128">
        <f t="shared" ca="1" si="65"/>
        <v>0</v>
      </c>
      <c r="AN270" s="128">
        <f t="shared" ref="AN270:BP270" ca="1" si="66">IF((AN$10-$G$10)&gt;1,IF(AN$9=1,SUM(OFFSET(AN257,,-12,,12)),0),0)</f>
        <v>0</v>
      </c>
      <c r="AO270" s="128">
        <f t="shared" ca="1" si="66"/>
        <v>0</v>
      </c>
      <c r="AP270" s="128">
        <f t="shared" ca="1" si="66"/>
        <v>0</v>
      </c>
      <c r="AQ270" s="128">
        <f t="shared" ca="1" si="66"/>
        <v>0</v>
      </c>
      <c r="AR270" s="128">
        <f t="shared" ca="1" si="66"/>
        <v>-30264.077909307278</v>
      </c>
      <c r="AS270" s="128">
        <f t="shared" ca="1" si="66"/>
        <v>0</v>
      </c>
      <c r="AT270" s="128">
        <f t="shared" ca="1" si="66"/>
        <v>0</v>
      </c>
      <c r="AU270" s="128">
        <f t="shared" ca="1" si="66"/>
        <v>0</v>
      </c>
      <c r="AV270" s="128">
        <f t="shared" ca="1" si="66"/>
        <v>0</v>
      </c>
      <c r="AW270" s="128">
        <f t="shared" ca="1" si="66"/>
        <v>0</v>
      </c>
      <c r="AX270" s="128">
        <f t="shared" ca="1" si="66"/>
        <v>0</v>
      </c>
      <c r="AY270" s="128">
        <f t="shared" ca="1" si="66"/>
        <v>0</v>
      </c>
      <c r="AZ270" s="128">
        <f t="shared" ca="1" si="66"/>
        <v>0</v>
      </c>
      <c r="BA270" s="128">
        <f t="shared" ca="1" si="66"/>
        <v>0</v>
      </c>
      <c r="BB270" s="128">
        <f t="shared" ca="1" si="66"/>
        <v>0</v>
      </c>
      <c r="BC270" s="128">
        <f t="shared" ca="1" si="66"/>
        <v>0</v>
      </c>
      <c r="BD270" s="128">
        <f t="shared" ca="1" si="66"/>
        <v>-59774.891768566318</v>
      </c>
      <c r="BE270" s="128">
        <f t="shared" ca="1" si="66"/>
        <v>0</v>
      </c>
      <c r="BF270" s="128">
        <f t="shared" ca="1" si="66"/>
        <v>0</v>
      </c>
      <c r="BG270" s="128">
        <f t="shared" ca="1" si="66"/>
        <v>0</v>
      </c>
      <c r="BH270" s="128">
        <f t="shared" ca="1" si="66"/>
        <v>0</v>
      </c>
      <c r="BI270" s="128">
        <f t="shared" ca="1" si="66"/>
        <v>0</v>
      </c>
      <c r="BJ270" s="128">
        <f t="shared" ca="1" si="66"/>
        <v>0</v>
      </c>
      <c r="BK270" s="128">
        <f t="shared" ca="1" si="66"/>
        <v>0</v>
      </c>
      <c r="BL270" s="128">
        <f t="shared" ca="1" si="66"/>
        <v>0</v>
      </c>
      <c r="BM270" s="128">
        <f t="shared" ca="1" si="66"/>
        <v>0</v>
      </c>
      <c r="BN270" s="128">
        <f t="shared" ca="1" si="66"/>
        <v>0</v>
      </c>
      <c r="BO270" s="128">
        <f t="shared" ca="1" si="66"/>
        <v>0</v>
      </c>
      <c r="BP270" s="132">
        <f t="shared" ca="1" si="66"/>
        <v>-74690.984148281699</v>
      </c>
    </row>
    <row r="271" spans="2:69" outlineLevel="1">
      <c r="C271" s="101">
        <v>9</v>
      </c>
      <c r="F271" s="109" t="s">
        <v>9</v>
      </c>
      <c r="G271" s="144"/>
      <c r="H271" s="128">
        <f t="shared" ref="H271:AM271" ca="1" si="67">IF((H$10-$G$10)&gt;1,IF(H$9=1,SUM(OFFSET(H258,,-12,,12)),0),0)</f>
        <v>0</v>
      </c>
      <c r="I271" s="128">
        <f t="shared" ca="1" si="67"/>
        <v>0</v>
      </c>
      <c r="J271" s="128">
        <f t="shared" ca="1" si="67"/>
        <v>0</v>
      </c>
      <c r="K271" s="128">
        <f t="shared" ca="1" si="67"/>
        <v>0</v>
      </c>
      <c r="L271" s="128">
        <f t="shared" ca="1" si="67"/>
        <v>0</v>
      </c>
      <c r="M271" s="128">
        <f t="shared" ca="1" si="67"/>
        <v>0</v>
      </c>
      <c r="N271" s="128">
        <f t="shared" ca="1" si="67"/>
        <v>0</v>
      </c>
      <c r="O271" s="128">
        <f t="shared" ca="1" si="67"/>
        <v>0</v>
      </c>
      <c r="P271" s="128">
        <f t="shared" ca="1" si="67"/>
        <v>0</v>
      </c>
      <c r="Q271" s="128">
        <f t="shared" ca="1" si="67"/>
        <v>0</v>
      </c>
      <c r="R271" s="128">
        <f t="shared" ca="1" si="67"/>
        <v>0</v>
      </c>
      <c r="S271" s="128">
        <f t="shared" ca="1" si="67"/>
        <v>0</v>
      </c>
      <c r="T271" s="128">
        <f t="shared" ca="1" si="67"/>
        <v>-50749.632784992806</v>
      </c>
      <c r="U271" s="128">
        <f t="shared" ca="1" si="67"/>
        <v>0</v>
      </c>
      <c r="V271" s="128">
        <f t="shared" ca="1" si="67"/>
        <v>0</v>
      </c>
      <c r="W271" s="128">
        <f t="shared" ca="1" si="67"/>
        <v>0</v>
      </c>
      <c r="X271" s="128">
        <f t="shared" ca="1" si="67"/>
        <v>0</v>
      </c>
      <c r="Y271" s="128">
        <f t="shared" ca="1" si="67"/>
        <v>0</v>
      </c>
      <c r="Z271" s="128">
        <f t="shared" ca="1" si="67"/>
        <v>0</v>
      </c>
      <c r="AA271" s="128">
        <f t="shared" ca="1" si="67"/>
        <v>0</v>
      </c>
      <c r="AB271" s="128">
        <f t="shared" ca="1" si="67"/>
        <v>0</v>
      </c>
      <c r="AC271" s="128">
        <f t="shared" ca="1" si="67"/>
        <v>0</v>
      </c>
      <c r="AD271" s="128">
        <f t="shared" ca="1" si="67"/>
        <v>0</v>
      </c>
      <c r="AE271" s="128">
        <f t="shared" ca="1" si="67"/>
        <v>0</v>
      </c>
      <c r="AF271" s="128">
        <f t="shared" ca="1" si="67"/>
        <v>-4750.4668197684514</v>
      </c>
      <c r="AG271" s="128">
        <f t="shared" ca="1" si="67"/>
        <v>0</v>
      </c>
      <c r="AH271" s="128">
        <f t="shared" ca="1" si="67"/>
        <v>0</v>
      </c>
      <c r="AI271" s="128">
        <f t="shared" ca="1" si="67"/>
        <v>0</v>
      </c>
      <c r="AJ271" s="128">
        <f t="shared" ca="1" si="67"/>
        <v>0</v>
      </c>
      <c r="AK271" s="128">
        <f t="shared" ca="1" si="67"/>
        <v>0</v>
      </c>
      <c r="AL271" s="128">
        <f t="shared" ca="1" si="67"/>
        <v>0</v>
      </c>
      <c r="AM271" s="128">
        <f t="shared" ca="1" si="67"/>
        <v>0</v>
      </c>
      <c r="AN271" s="128">
        <f t="shared" ref="AN271:BP271" ca="1" si="68">IF((AN$10-$G$10)&gt;1,IF(AN$9=1,SUM(OFFSET(AN258,,-12,,12)),0),0)</f>
        <v>0</v>
      </c>
      <c r="AO271" s="128">
        <f t="shared" ca="1" si="68"/>
        <v>0</v>
      </c>
      <c r="AP271" s="128">
        <f t="shared" ca="1" si="68"/>
        <v>0</v>
      </c>
      <c r="AQ271" s="128">
        <f t="shared" ca="1" si="68"/>
        <v>0</v>
      </c>
      <c r="AR271" s="128">
        <f t="shared" ca="1" si="68"/>
        <v>-39769.741909306351</v>
      </c>
      <c r="AS271" s="128">
        <f t="shared" ca="1" si="68"/>
        <v>0</v>
      </c>
      <c r="AT271" s="128">
        <f t="shared" ca="1" si="68"/>
        <v>0</v>
      </c>
      <c r="AU271" s="128">
        <f t="shared" ca="1" si="68"/>
        <v>0</v>
      </c>
      <c r="AV271" s="128">
        <f t="shared" ca="1" si="68"/>
        <v>0</v>
      </c>
      <c r="AW271" s="128">
        <f t="shared" ca="1" si="68"/>
        <v>0</v>
      </c>
      <c r="AX271" s="128">
        <f t="shared" ca="1" si="68"/>
        <v>0</v>
      </c>
      <c r="AY271" s="128">
        <f t="shared" ca="1" si="68"/>
        <v>0</v>
      </c>
      <c r="AZ271" s="128">
        <f t="shared" ca="1" si="68"/>
        <v>0</v>
      </c>
      <c r="BA271" s="128">
        <f t="shared" ca="1" si="68"/>
        <v>0</v>
      </c>
      <c r="BB271" s="128">
        <f t="shared" ca="1" si="68"/>
        <v>0</v>
      </c>
      <c r="BC271" s="128">
        <f t="shared" ca="1" si="68"/>
        <v>0</v>
      </c>
      <c r="BD271" s="128">
        <f t="shared" ca="1" si="68"/>
        <v>-69565.725688567021</v>
      </c>
      <c r="BE271" s="128">
        <f t="shared" ca="1" si="68"/>
        <v>0</v>
      </c>
      <c r="BF271" s="128">
        <f t="shared" ca="1" si="68"/>
        <v>0</v>
      </c>
      <c r="BG271" s="128">
        <f t="shared" ca="1" si="68"/>
        <v>0</v>
      </c>
      <c r="BH271" s="128">
        <f t="shared" ca="1" si="68"/>
        <v>0</v>
      </c>
      <c r="BI271" s="128">
        <f t="shared" ca="1" si="68"/>
        <v>0</v>
      </c>
      <c r="BJ271" s="128">
        <f t="shared" ca="1" si="68"/>
        <v>0</v>
      </c>
      <c r="BK271" s="128">
        <f t="shared" ca="1" si="68"/>
        <v>0</v>
      </c>
      <c r="BL271" s="128">
        <f t="shared" ca="1" si="68"/>
        <v>0</v>
      </c>
      <c r="BM271" s="128">
        <f t="shared" ca="1" si="68"/>
        <v>0</v>
      </c>
      <c r="BN271" s="128">
        <f t="shared" ca="1" si="68"/>
        <v>0</v>
      </c>
      <c r="BO271" s="128">
        <f t="shared" ca="1" si="68"/>
        <v>0</v>
      </c>
      <c r="BP271" s="132">
        <f t="shared" ca="1" si="68"/>
        <v>-84775.543085881509</v>
      </c>
    </row>
    <row r="272" spans="2:69" outlineLevel="1">
      <c r="C272" s="101">
        <v>10</v>
      </c>
      <c r="F272" s="109" t="s">
        <v>9</v>
      </c>
      <c r="G272" s="144"/>
      <c r="H272" s="128">
        <f t="shared" ref="H272:AM272" ca="1" si="69">IF((H$10-$G$10)&gt;1,IF(H$9=1,SUM(OFFSET(H259,,-12,,12)),0),0)</f>
        <v>0</v>
      </c>
      <c r="I272" s="128">
        <f t="shared" ca="1" si="69"/>
        <v>0</v>
      </c>
      <c r="J272" s="128">
        <f t="shared" ca="1" si="69"/>
        <v>0</v>
      </c>
      <c r="K272" s="128">
        <f t="shared" ca="1" si="69"/>
        <v>0</v>
      </c>
      <c r="L272" s="128">
        <f t="shared" ca="1" si="69"/>
        <v>0</v>
      </c>
      <c r="M272" s="128">
        <f t="shared" ca="1" si="69"/>
        <v>0</v>
      </c>
      <c r="N272" s="128">
        <f t="shared" ca="1" si="69"/>
        <v>0</v>
      </c>
      <c r="O272" s="128">
        <f t="shared" ca="1" si="69"/>
        <v>0</v>
      </c>
      <c r="P272" s="128">
        <f t="shared" ca="1" si="69"/>
        <v>0</v>
      </c>
      <c r="Q272" s="128">
        <f t="shared" ca="1" si="69"/>
        <v>0</v>
      </c>
      <c r="R272" s="128">
        <f t="shared" ca="1" si="69"/>
        <v>0</v>
      </c>
      <c r="S272" s="128">
        <f t="shared" ca="1" si="69"/>
        <v>0</v>
      </c>
      <c r="T272" s="128">
        <f t="shared" ca="1" si="69"/>
        <v>-59709.632784992806</v>
      </c>
      <c r="U272" s="128">
        <f t="shared" ca="1" si="69"/>
        <v>0</v>
      </c>
      <c r="V272" s="128">
        <f t="shared" ca="1" si="69"/>
        <v>0</v>
      </c>
      <c r="W272" s="128">
        <f t="shared" ca="1" si="69"/>
        <v>0</v>
      </c>
      <c r="X272" s="128">
        <f t="shared" ca="1" si="69"/>
        <v>0</v>
      </c>
      <c r="Y272" s="128">
        <f t="shared" ca="1" si="69"/>
        <v>0</v>
      </c>
      <c r="Z272" s="128">
        <f t="shared" ca="1" si="69"/>
        <v>0</v>
      </c>
      <c r="AA272" s="128">
        <f t="shared" ca="1" si="69"/>
        <v>0</v>
      </c>
      <c r="AB272" s="128">
        <f t="shared" ca="1" si="69"/>
        <v>0</v>
      </c>
      <c r="AC272" s="128">
        <f t="shared" ca="1" si="69"/>
        <v>0</v>
      </c>
      <c r="AD272" s="128">
        <f t="shared" ca="1" si="69"/>
        <v>0</v>
      </c>
      <c r="AE272" s="128">
        <f t="shared" ca="1" si="69"/>
        <v>0</v>
      </c>
      <c r="AF272" s="128">
        <f t="shared" ca="1" si="69"/>
        <v>-13979.266819768978</v>
      </c>
      <c r="AG272" s="128">
        <f t="shared" ca="1" si="69"/>
        <v>0</v>
      </c>
      <c r="AH272" s="128">
        <f t="shared" ca="1" si="69"/>
        <v>0</v>
      </c>
      <c r="AI272" s="128">
        <f t="shared" ca="1" si="69"/>
        <v>0</v>
      </c>
      <c r="AJ272" s="128">
        <f t="shared" ca="1" si="69"/>
        <v>0</v>
      </c>
      <c r="AK272" s="128">
        <f t="shared" ca="1" si="69"/>
        <v>0</v>
      </c>
      <c r="AL272" s="128">
        <f t="shared" ca="1" si="69"/>
        <v>0</v>
      </c>
      <c r="AM272" s="128">
        <f t="shared" ca="1" si="69"/>
        <v>0</v>
      </c>
      <c r="AN272" s="128">
        <f t="shared" ref="AN272:BP272" ca="1" si="70">IF((AN$10-$G$10)&gt;1,IF(AN$9=1,SUM(OFFSET(AN259,,-12,,12)),0),0)</f>
        <v>0</v>
      </c>
      <c r="AO272" s="128">
        <f t="shared" ca="1" si="70"/>
        <v>0</v>
      </c>
      <c r="AP272" s="128">
        <f t="shared" ca="1" si="70"/>
        <v>0</v>
      </c>
      <c r="AQ272" s="128">
        <f t="shared" ca="1" si="70"/>
        <v>0</v>
      </c>
      <c r="AR272" s="128">
        <f t="shared" ca="1" si="70"/>
        <v>-49275.405909306908</v>
      </c>
      <c r="AS272" s="128">
        <f t="shared" ca="1" si="70"/>
        <v>0</v>
      </c>
      <c r="AT272" s="128">
        <f t="shared" ca="1" si="70"/>
        <v>0</v>
      </c>
      <c r="AU272" s="128">
        <f t="shared" ca="1" si="70"/>
        <v>0</v>
      </c>
      <c r="AV272" s="128">
        <f t="shared" ca="1" si="70"/>
        <v>0</v>
      </c>
      <c r="AW272" s="128">
        <f t="shared" ca="1" si="70"/>
        <v>0</v>
      </c>
      <c r="AX272" s="128">
        <f t="shared" ca="1" si="70"/>
        <v>0</v>
      </c>
      <c r="AY272" s="128">
        <f t="shared" ca="1" si="70"/>
        <v>0</v>
      </c>
      <c r="AZ272" s="128">
        <f t="shared" ca="1" si="70"/>
        <v>0</v>
      </c>
      <c r="BA272" s="128">
        <f t="shared" ca="1" si="70"/>
        <v>0</v>
      </c>
      <c r="BB272" s="128">
        <f t="shared" ca="1" si="70"/>
        <v>0</v>
      </c>
      <c r="BC272" s="128">
        <f t="shared" ca="1" si="70"/>
        <v>0</v>
      </c>
      <c r="BD272" s="128">
        <f t="shared" ca="1" si="70"/>
        <v>-79356.559608566226</v>
      </c>
      <c r="BE272" s="128">
        <f t="shared" ca="1" si="70"/>
        <v>0</v>
      </c>
      <c r="BF272" s="128">
        <f t="shared" ca="1" si="70"/>
        <v>0</v>
      </c>
      <c r="BG272" s="128">
        <f t="shared" ca="1" si="70"/>
        <v>0</v>
      </c>
      <c r="BH272" s="128">
        <f t="shared" ca="1" si="70"/>
        <v>0</v>
      </c>
      <c r="BI272" s="128">
        <f t="shared" ca="1" si="70"/>
        <v>0</v>
      </c>
      <c r="BJ272" s="128">
        <f t="shared" ca="1" si="70"/>
        <v>0</v>
      </c>
      <c r="BK272" s="128">
        <f t="shared" ca="1" si="70"/>
        <v>0</v>
      </c>
      <c r="BL272" s="128">
        <f t="shared" ca="1" si="70"/>
        <v>0</v>
      </c>
      <c r="BM272" s="128">
        <f t="shared" ca="1" si="70"/>
        <v>0</v>
      </c>
      <c r="BN272" s="128">
        <f t="shared" ca="1" si="70"/>
        <v>0</v>
      </c>
      <c r="BO272" s="128">
        <f t="shared" ca="1" si="70"/>
        <v>0</v>
      </c>
      <c r="BP272" s="132">
        <f t="shared" ca="1" si="70"/>
        <v>-94860.102023481246</v>
      </c>
    </row>
    <row r="273" spans="2:68" outlineLevel="1"/>
    <row r="274" spans="2:68" s="102" customFormat="1" ht="13.75" customHeight="1" thickBot="1">
      <c r="B274" s="138" t="s">
        <v>104</v>
      </c>
      <c r="C274" s="139"/>
      <c r="D274" s="139"/>
      <c r="E274" s="140"/>
      <c r="F274" s="141"/>
      <c r="G274" s="139"/>
      <c r="H274" s="139"/>
      <c r="I274" s="139"/>
      <c r="J274" s="139"/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39"/>
      <c r="X274" s="139"/>
      <c r="Y274" s="139"/>
      <c r="Z274" s="139"/>
      <c r="AA274" s="139"/>
      <c r="AB274" s="139"/>
      <c r="AC274" s="139"/>
      <c r="AD274" s="139"/>
      <c r="AE274" s="139"/>
      <c r="AF274" s="139"/>
      <c r="AG274" s="139"/>
      <c r="AH274" s="139"/>
      <c r="AI274" s="139"/>
      <c r="AJ274" s="139"/>
      <c r="AK274" s="139"/>
      <c r="AL274" s="139"/>
      <c r="AM274" s="139"/>
      <c r="AN274" s="139"/>
      <c r="AO274" s="139"/>
      <c r="AP274" s="139"/>
      <c r="AQ274" s="139"/>
      <c r="AR274" s="139"/>
      <c r="AS274" s="139"/>
      <c r="AT274" s="139"/>
      <c r="AU274" s="139"/>
      <c r="AV274" s="139"/>
      <c r="AW274" s="139"/>
      <c r="AX274" s="139"/>
      <c r="AY274" s="139"/>
      <c r="AZ274" s="139"/>
      <c r="BA274" s="139"/>
      <c r="BB274" s="139"/>
      <c r="BC274" s="139"/>
      <c r="BD274" s="139"/>
      <c r="BE274" s="139"/>
      <c r="BF274" s="139"/>
      <c r="BG274" s="139"/>
      <c r="BH274" s="139"/>
      <c r="BI274" s="139"/>
      <c r="BJ274" s="139"/>
      <c r="BK274" s="139"/>
      <c r="BL274" s="139"/>
      <c r="BM274" s="139"/>
      <c r="BN274" s="139"/>
      <c r="BO274" s="139"/>
      <c r="BP274" s="139"/>
    </row>
    <row r="275" spans="2:68" ht="12" customHeight="1" outlineLevel="1" thickTop="1"/>
    <row r="276" spans="2:68" ht="12" customHeight="1" outlineLevel="1">
      <c r="B276" s="112" t="s">
        <v>64</v>
      </c>
    </row>
    <row r="277" spans="2:68" ht="12" customHeight="1" outlineLevel="1">
      <c r="B277" s="160" t="str">
        <f>B202</f>
        <v>Activity Volume</v>
      </c>
      <c r="C277" s="226"/>
      <c r="D277" s="226"/>
      <c r="E277" s="227"/>
      <c r="F277" s="228"/>
      <c r="G277" s="226"/>
      <c r="H277" s="226"/>
      <c r="I277" s="226"/>
      <c r="J277" s="226"/>
      <c r="K277" s="226"/>
      <c r="L277" s="226"/>
      <c r="M277" s="226"/>
      <c r="N277" s="226"/>
      <c r="O277" s="226"/>
      <c r="P277" s="226"/>
      <c r="Q277" s="226"/>
      <c r="R277" s="226"/>
      <c r="S277" s="226"/>
      <c r="T277" s="226"/>
      <c r="U277" s="226"/>
      <c r="V277" s="226"/>
      <c r="W277" s="226"/>
      <c r="X277" s="226"/>
      <c r="Y277" s="226"/>
      <c r="Z277" s="226"/>
      <c r="AA277" s="226"/>
      <c r="AB277" s="226"/>
      <c r="AC277" s="226"/>
      <c r="AD277" s="226"/>
      <c r="AE277" s="226"/>
      <c r="AF277" s="226"/>
      <c r="AG277" s="226"/>
      <c r="AH277" s="226"/>
      <c r="AI277" s="226"/>
      <c r="AJ277" s="226"/>
      <c r="AK277" s="226"/>
      <c r="AL277" s="226"/>
      <c r="AM277" s="226"/>
      <c r="AN277" s="226"/>
      <c r="AO277" s="226"/>
      <c r="AP277" s="226"/>
      <c r="AQ277" s="226"/>
      <c r="AR277" s="226"/>
      <c r="AS277" s="226"/>
      <c r="AT277" s="226"/>
      <c r="AU277" s="226"/>
      <c r="AV277" s="226"/>
      <c r="AW277" s="226"/>
      <c r="AX277" s="226"/>
      <c r="AY277" s="226"/>
      <c r="AZ277" s="226"/>
      <c r="BA277" s="226"/>
      <c r="BB277" s="226"/>
      <c r="BC277" s="226"/>
      <c r="BD277" s="226"/>
      <c r="BE277" s="226"/>
      <c r="BF277" s="226"/>
      <c r="BG277" s="226"/>
      <c r="BH277" s="226"/>
      <c r="BI277" s="226"/>
      <c r="BJ277" s="226"/>
      <c r="BK277" s="226"/>
      <c r="BL277" s="226"/>
      <c r="BM277" s="226"/>
      <c r="BN277" s="226"/>
      <c r="BO277" s="226"/>
      <c r="BP277" s="226"/>
    </row>
    <row r="278" spans="2:68" ht="12" customHeight="1" outlineLevel="1">
      <c r="B278" s="229"/>
      <c r="C278" s="226" t="str">
        <f t="array" ref="C278:C282">C203:C207</f>
        <v>Inbound unloading</v>
      </c>
      <c r="D278" s="230" t="str">
        <f>_xlfn.XLOOKUP(C278,Assumptions!$F$64:$F$68,Assumptions!$G$64:$G$68)</f>
        <v>Powered Pallet Truck</v>
      </c>
      <c r="E278" s="210" t="s">
        <v>105</v>
      </c>
      <c r="F278" s="231" t="str">
        <f t="array" ref="F278:BP282">F203:BP207</f>
        <v>[pallets]</v>
      </c>
      <c r="G278" s="197">
        <v>0</v>
      </c>
      <c r="H278" s="185">
        <v>60132.321969696961</v>
      </c>
      <c r="I278" s="185">
        <v>63914.09053030303</v>
      </c>
      <c r="J278" s="185">
        <v>69057.077651515152</v>
      </c>
      <c r="K278" s="185">
        <v>74545.558333333334</v>
      </c>
      <c r="L278" s="185">
        <v>79688.545454545456</v>
      </c>
      <c r="M278" s="185">
        <v>65275.309090909097</v>
      </c>
      <c r="N278" s="185">
        <v>65945.540530303027</v>
      </c>
      <c r="O278" s="185">
        <v>78055.921212121219</v>
      </c>
      <c r="P278" s="185">
        <v>81072.614772727276</v>
      </c>
      <c r="Q278" s="185">
        <v>98261.620454545453</v>
      </c>
      <c r="R278" s="185">
        <v>111889.02613636364</v>
      </c>
      <c r="S278" s="185">
        <v>61935.272522727275</v>
      </c>
      <c r="T278" s="185">
        <v>62258.878215909099</v>
      </c>
      <c r="U278" s="185">
        <v>66182.856284090914</v>
      </c>
      <c r="V278" s="185">
        <v>71549.187670454543</v>
      </c>
      <c r="W278" s="185">
        <v>77239.124750000003</v>
      </c>
      <c r="X278" s="185">
        <v>82605.456136363646</v>
      </c>
      <c r="Y278" s="185">
        <v>67625.209602272735</v>
      </c>
      <c r="Z278" s="185">
        <v>68420.351534090922</v>
      </c>
      <c r="AA278" s="185">
        <v>80961.186113636373</v>
      </c>
      <c r="AB278" s="185">
        <v>84116.263806818199</v>
      </c>
      <c r="AC278" s="185">
        <v>102250.83651136365</v>
      </c>
      <c r="AD278" s="185">
        <v>116610.11321590911</v>
      </c>
      <c r="AE278" s="185">
        <v>63185.997492613635</v>
      </c>
      <c r="AF278" s="185">
        <v>63536.355410454547</v>
      </c>
      <c r="AG278" s="185">
        <v>67543.715143295456</v>
      </c>
      <c r="AH278" s="185">
        <v>73057.933378977279</v>
      </c>
      <c r="AI278" s="185">
        <v>78922.509532500015</v>
      </c>
      <c r="AJ278" s="185">
        <v>84436.727768181823</v>
      </c>
      <c r="AK278" s="185">
        <v>69050.57364613637</v>
      </c>
      <c r="AL278" s="185">
        <v>69856.716313295459</v>
      </c>
      <c r="AM278" s="185">
        <v>82647.695886818183</v>
      </c>
      <c r="AN278" s="185">
        <v>85886.155244659109</v>
      </c>
      <c r="AO278" s="185">
        <v>104459.63774318184</v>
      </c>
      <c r="AP278" s="185">
        <v>119182.31832170456</v>
      </c>
      <c r="AQ278" s="185">
        <v>63329.820666392043</v>
      </c>
      <c r="AR278" s="185">
        <v>63699.50620056819</v>
      </c>
      <c r="AS278" s="185">
        <v>67718.504545994321</v>
      </c>
      <c r="AT278" s="185">
        <v>73271.378014346599</v>
      </c>
      <c r="AU278" s="185">
        <v>79193.937016875003</v>
      </c>
      <c r="AV278" s="185">
        <v>84746.810485227266</v>
      </c>
      <c r="AW278" s="185">
        <v>69252.379668920461</v>
      </c>
      <c r="AX278" s="185">
        <v>70046.88372349432</v>
      </c>
      <c r="AY278" s="185">
        <v>82865.090131022749</v>
      </c>
      <c r="AZ278" s="185">
        <v>86122.877105198888</v>
      </c>
      <c r="BA278" s="185">
        <v>104762.0314564773</v>
      </c>
      <c r="BB278" s="185">
        <v>119550.38388775571</v>
      </c>
      <c r="BC278" s="185">
        <v>63239.56291474773</v>
      </c>
      <c r="BD278" s="185">
        <v>63617.69428153467</v>
      </c>
      <c r="BE278" s="185">
        <v>67633.720289002842</v>
      </c>
      <c r="BF278" s="185">
        <v>73203.485422576719</v>
      </c>
      <c r="BG278" s="185">
        <v>79151.381922937508</v>
      </c>
      <c r="BH278" s="185">
        <v>84721.14705651137</v>
      </c>
      <c r="BI278" s="185">
        <v>69187.459415108533</v>
      </c>
      <c r="BJ278" s="185">
        <v>69984.935807640344</v>
      </c>
      <c r="BK278" s="185">
        <v>82782.807030726151</v>
      </c>
      <c r="BL278" s="185">
        <v>86049.03983751309</v>
      </c>
      <c r="BM278" s="185">
        <v>104724.94985719262</v>
      </c>
      <c r="BN278" s="185">
        <v>119550.0579568722</v>
      </c>
      <c r="BO278" s="185">
        <v>63209.953428335102</v>
      </c>
      <c r="BP278" s="197">
        <v>0</v>
      </c>
    </row>
    <row r="279" spans="2:68" ht="12" customHeight="1" outlineLevel="1">
      <c r="B279" s="229"/>
      <c r="C279" s="226" t="str">
        <v>Putaway to rack</v>
      </c>
      <c r="D279" s="232" t="str">
        <f>_xlfn.XLOOKUP(C279,Assumptions!$F$64:$F$68,Assumptions!$G$64:$G$68)</f>
        <v>Reach Truck</v>
      </c>
      <c r="E279" s="211" t="s">
        <v>105</v>
      </c>
      <c r="F279" s="231" t="str">
        <v>[pallets]</v>
      </c>
      <c r="G279" s="197">
        <v>0</v>
      </c>
      <c r="H279" s="185">
        <v>60132.321969696961</v>
      </c>
      <c r="I279" s="185">
        <v>63914.09053030303</v>
      </c>
      <c r="J279" s="185">
        <v>69057.077651515152</v>
      </c>
      <c r="K279" s="185">
        <v>74545.558333333334</v>
      </c>
      <c r="L279" s="185">
        <v>79688.545454545456</v>
      </c>
      <c r="M279" s="185">
        <v>65275.309090909097</v>
      </c>
      <c r="N279" s="185">
        <v>65945.540530303027</v>
      </c>
      <c r="O279" s="185">
        <v>78055.921212121219</v>
      </c>
      <c r="P279" s="185">
        <v>81072.614772727276</v>
      </c>
      <c r="Q279" s="185">
        <v>98261.620454545453</v>
      </c>
      <c r="R279" s="185">
        <v>111889.02613636364</v>
      </c>
      <c r="S279" s="185">
        <v>61935.272522727275</v>
      </c>
      <c r="T279" s="185">
        <v>62258.878215909099</v>
      </c>
      <c r="U279" s="185">
        <v>66182.856284090914</v>
      </c>
      <c r="V279" s="185">
        <v>71549.187670454543</v>
      </c>
      <c r="W279" s="185">
        <v>77239.124750000003</v>
      </c>
      <c r="X279" s="185">
        <v>82605.456136363646</v>
      </c>
      <c r="Y279" s="185">
        <v>67625.209602272735</v>
      </c>
      <c r="Z279" s="185">
        <v>68420.351534090922</v>
      </c>
      <c r="AA279" s="185">
        <v>80961.186113636373</v>
      </c>
      <c r="AB279" s="185">
        <v>84116.263806818199</v>
      </c>
      <c r="AC279" s="185">
        <v>102250.83651136365</v>
      </c>
      <c r="AD279" s="185">
        <v>116610.11321590911</v>
      </c>
      <c r="AE279" s="185">
        <v>63185.997492613635</v>
      </c>
      <c r="AF279" s="185">
        <v>63536.355410454547</v>
      </c>
      <c r="AG279" s="185">
        <v>67543.715143295456</v>
      </c>
      <c r="AH279" s="185">
        <v>73057.933378977279</v>
      </c>
      <c r="AI279" s="185">
        <v>78922.509532500015</v>
      </c>
      <c r="AJ279" s="185">
        <v>84436.727768181823</v>
      </c>
      <c r="AK279" s="185">
        <v>69050.57364613637</v>
      </c>
      <c r="AL279" s="185">
        <v>69856.716313295459</v>
      </c>
      <c r="AM279" s="185">
        <v>82647.695886818183</v>
      </c>
      <c r="AN279" s="185">
        <v>85886.155244659109</v>
      </c>
      <c r="AO279" s="185">
        <v>104459.63774318184</v>
      </c>
      <c r="AP279" s="185">
        <v>119182.31832170456</v>
      </c>
      <c r="AQ279" s="185">
        <v>63329.820666392043</v>
      </c>
      <c r="AR279" s="185">
        <v>63699.50620056819</v>
      </c>
      <c r="AS279" s="185">
        <v>67718.504545994321</v>
      </c>
      <c r="AT279" s="185">
        <v>73271.378014346599</v>
      </c>
      <c r="AU279" s="185">
        <v>79193.937016875003</v>
      </c>
      <c r="AV279" s="185">
        <v>84746.810485227266</v>
      </c>
      <c r="AW279" s="185">
        <v>69252.379668920461</v>
      </c>
      <c r="AX279" s="185">
        <v>70046.88372349432</v>
      </c>
      <c r="AY279" s="185">
        <v>82865.090131022749</v>
      </c>
      <c r="AZ279" s="185">
        <v>86122.877105198888</v>
      </c>
      <c r="BA279" s="185">
        <v>104762.0314564773</v>
      </c>
      <c r="BB279" s="185">
        <v>119550.38388775571</v>
      </c>
      <c r="BC279" s="185">
        <v>63239.56291474773</v>
      </c>
      <c r="BD279" s="185">
        <v>63617.69428153467</v>
      </c>
      <c r="BE279" s="185">
        <v>67633.720289002842</v>
      </c>
      <c r="BF279" s="185">
        <v>73203.485422576719</v>
      </c>
      <c r="BG279" s="185">
        <v>79151.381922937508</v>
      </c>
      <c r="BH279" s="185">
        <v>84721.14705651137</v>
      </c>
      <c r="BI279" s="185">
        <v>69187.459415108533</v>
      </c>
      <c r="BJ279" s="185">
        <v>69984.935807640344</v>
      </c>
      <c r="BK279" s="185">
        <v>82782.807030726151</v>
      </c>
      <c r="BL279" s="185">
        <v>86049.03983751309</v>
      </c>
      <c r="BM279" s="185">
        <v>104724.94985719262</v>
      </c>
      <c r="BN279" s="185">
        <v>119550.0579568722</v>
      </c>
      <c r="BO279" s="185">
        <v>63209.953428335102</v>
      </c>
      <c r="BP279" s="197">
        <v>0</v>
      </c>
    </row>
    <row r="280" spans="2:68" ht="12" customHeight="1" outlineLevel="1">
      <c r="B280" s="229"/>
      <c r="C280" s="226" t="str">
        <v>Picking</v>
      </c>
      <c r="D280" s="232" t="str">
        <f>_xlfn.XLOOKUP(C280,Assumptions!$F$64:$F$68,Assumptions!$G$64:$G$68)</f>
        <v>Powered Pallet Truck</v>
      </c>
      <c r="E280" s="211" t="s">
        <v>105</v>
      </c>
      <c r="F280" s="231" t="str">
        <v>[parcels]</v>
      </c>
      <c r="G280" s="197">
        <v>0</v>
      </c>
      <c r="H280" s="185">
        <v>1223700</v>
      </c>
      <c r="I280" s="185">
        <v>1215287.5</v>
      </c>
      <c r="J280" s="185">
        <v>1293837.5</v>
      </c>
      <c r="K280" s="185">
        <v>1403012.5</v>
      </c>
      <c r="L280" s="185">
        <v>1503775</v>
      </c>
      <c r="M280" s="185">
        <v>1612950</v>
      </c>
      <c r="N280" s="185">
        <v>1324462.5</v>
      </c>
      <c r="O280" s="185">
        <v>1371912.5</v>
      </c>
      <c r="P280" s="185">
        <v>1618925.0000000002</v>
      </c>
      <c r="Q280" s="185">
        <v>1686112.5000000002</v>
      </c>
      <c r="R280" s="185">
        <v>2128312.5</v>
      </c>
      <c r="S280" s="185">
        <v>2469712.5</v>
      </c>
      <c r="T280" s="185">
        <v>1272507.5625</v>
      </c>
      <c r="U280" s="185">
        <v>1262740.9375</v>
      </c>
      <c r="V280" s="185">
        <v>1344529.625</v>
      </c>
      <c r="W280" s="185">
        <v>1458556.375</v>
      </c>
      <c r="X280" s="185">
        <v>1562816.5000000002</v>
      </c>
      <c r="Y280" s="185">
        <v>1676843.25</v>
      </c>
      <c r="Z280" s="185">
        <v>1376767.6875</v>
      </c>
      <c r="AA280" s="185">
        <v>1428539</v>
      </c>
      <c r="AB280" s="185">
        <v>1685324.375</v>
      </c>
      <c r="AC280" s="185">
        <v>1755693.7500000002</v>
      </c>
      <c r="AD280" s="185">
        <v>2222502.5625</v>
      </c>
      <c r="AE280" s="185">
        <v>2582463.3750000005</v>
      </c>
      <c r="AF280" s="185">
        <v>1298412.8062500001</v>
      </c>
      <c r="AG280" s="185">
        <v>1288770.4775</v>
      </c>
      <c r="AH280" s="185">
        <v>1372286.1812500001</v>
      </c>
      <c r="AI280" s="185">
        <v>1489232.7237500001</v>
      </c>
      <c r="AJ280" s="185">
        <v>1596536.9375</v>
      </c>
      <c r="AK280" s="185">
        <v>1713483.48</v>
      </c>
      <c r="AL280" s="185">
        <v>1405717.02</v>
      </c>
      <c r="AM280" s="185">
        <v>1458432.5162500001</v>
      </c>
      <c r="AN280" s="185">
        <v>1720398.94</v>
      </c>
      <c r="AO280" s="185">
        <v>1792495.3312500003</v>
      </c>
      <c r="AP280" s="185">
        <v>2269827.5925000003</v>
      </c>
      <c r="AQ280" s="185">
        <v>2638174.8937500007</v>
      </c>
      <c r="AR280" s="185">
        <v>1300503.2131874999</v>
      </c>
      <c r="AS280" s="185">
        <v>1291144.889525</v>
      </c>
      <c r="AT280" s="185">
        <v>1374830.4052374999</v>
      </c>
      <c r="AU280" s="185">
        <v>1492344.9579125</v>
      </c>
      <c r="AV280" s="185">
        <v>1600501.1869250003</v>
      </c>
      <c r="AW280" s="185">
        <v>1718015.7396</v>
      </c>
      <c r="AX280" s="185">
        <v>1408659.4422000002</v>
      </c>
      <c r="AY280" s="185">
        <v>1461205.1264875</v>
      </c>
      <c r="AZ280" s="185">
        <v>1723566.7930000003</v>
      </c>
      <c r="BA280" s="185">
        <v>1795947.1893375001</v>
      </c>
      <c r="BB280" s="185">
        <v>2274245.658975</v>
      </c>
      <c r="BC280" s="185">
        <v>2643559.1686125007</v>
      </c>
      <c r="BD280" s="185">
        <v>1298623.1697768751</v>
      </c>
      <c r="BE280" s="185">
        <v>1289354.3071551253</v>
      </c>
      <c r="BF280" s="185">
        <v>1372959.7071177503</v>
      </c>
      <c r="BG280" s="185">
        <v>1490653.1818742501</v>
      </c>
      <c r="BH280" s="185">
        <v>1599077.7940090003</v>
      </c>
      <c r="BI280" s="185">
        <v>1716771.2687655</v>
      </c>
      <c r="BJ280" s="185">
        <v>1407047.7819116253</v>
      </c>
      <c r="BK280" s="185">
        <v>1459673.5819490002</v>
      </c>
      <c r="BL280" s="185">
        <v>1721625.3244212503</v>
      </c>
      <c r="BM280" s="185">
        <v>1794095.1817995005</v>
      </c>
      <c r="BN280" s="185">
        <v>2272831.6113498751</v>
      </c>
      <c r="BO280" s="185">
        <v>2642583.0809002505</v>
      </c>
      <c r="BP280" s="197">
        <v>1298031.7060666033</v>
      </c>
    </row>
    <row r="281" spans="2:68" ht="12" customHeight="1" outlineLevel="1">
      <c r="B281" s="229"/>
      <c r="C281" s="226" t="str">
        <v>Replenishment</v>
      </c>
      <c r="D281" s="232" t="str">
        <f>_xlfn.XLOOKUP(C281,Assumptions!$F$64:$F$68,Assumptions!$G$64:$G$68)</f>
        <v>Reach Truck</v>
      </c>
      <c r="E281" s="211" t="s">
        <v>105</v>
      </c>
      <c r="F281" s="231" t="str">
        <v>[pallets]</v>
      </c>
      <c r="G281" s="197">
        <v>0</v>
      </c>
      <c r="H281" s="185">
        <v>57995.340909090912</v>
      </c>
      <c r="I281" s="185">
        <v>58382.196969696975</v>
      </c>
      <c r="J281" s="185">
        <v>62046.553030303039</v>
      </c>
      <c r="K281" s="185">
        <v>67020.265151515152</v>
      </c>
      <c r="L281" s="185">
        <v>72380.833333333343</v>
      </c>
      <c r="M281" s="185">
        <v>77354.545454545456</v>
      </c>
      <c r="N281" s="185">
        <v>63355.909090909088</v>
      </c>
      <c r="O281" s="185">
        <v>63891.553030303039</v>
      </c>
      <c r="P281" s="185">
        <v>75642.121212121216</v>
      </c>
      <c r="Q281" s="185">
        <v>78548.977272727265</v>
      </c>
      <c r="R281" s="185">
        <v>94912.045454545456</v>
      </c>
      <c r="S281" s="185">
        <v>107915.11363636363</v>
      </c>
      <c r="T281" s="185">
        <v>60014.127272727274</v>
      </c>
      <c r="U281" s="185">
        <v>60379.571590909094</v>
      </c>
      <c r="V281" s="185">
        <v>64177.50340909091</v>
      </c>
      <c r="W281" s="185">
        <v>69360.392045454544</v>
      </c>
      <c r="X281" s="185">
        <v>74908.725000000006</v>
      </c>
      <c r="Y281" s="185">
        <v>80091.613636363632</v>
      </c>
      <c r="Z281" s="185">
        <v>65562.460227272735</v>
      </c>
      <c r="AA281" s="185">
        <v>66216.528409090912</v>
      </c>
      <c r="AB281" s="185">
        <v>78371.611363636373</v>
      </c>
      <c r="AC281" s="185">
        <v>81408.255681818177</v>
      </c>
      <c r="AD281" s="185">
        <v>98660.901136363638</v>
      </c>
      <c r="AE281" s="185">
        <v>112351.94659090909</v>
      </c>
      <c r="AF281" s="185">
        <v>61177.643011363638</v>
      </c>
      <c r="AG281" s="185">
        <v>61567.231045454551</v>
      </c>
      <c r="AH281" s="185">
        <v>65442.730579545459</v>
      </c>
      <c r="AI281" s="185">
        <v>70762.94664772728</v>
      </c>
      <c r="AJ281" s="185">
        <v>76472.750750000007</v>
      </c>
      <c r="AK281" s="185">
        <v>81792.966818181827</v>
      </c>
      <c r="AL281" s="185">
        <v>66887.447113636372</v>
      </c>
      <c r="AM281" s="185">
        <v>67552.987579545457</v>
      </c>
      <c r="AN281" s="185">
        <v>79940.773681818187</v>
      </c>
      <c r="AO281" s="185">
        <v>83054.985715909104</v>
      </c>
      <c r="AP281" s="185">
        <v>100718.41431818182</v>
      </c>
      <c r="AQ281" s="185">
        <v>114749.01092045456</v>
      </c>
      <c r="AR281" s="185">
        <v>61276.722451704554</v>
      </c>
      <c r="AS281" s="185">
        <v>61682.558756818187</v>
      </c>
      <c r="AT281" s="185">
        <v>65566.693686931816</v>
      </c>
      <c r="AU281" s="185">
        <v>70919.40629715909</v>
      </c>
      <c r="AV281" s="185">
        <v>76677.955212500005</v>
      </c>
      <c r="AW281" s="185">
        <v>82030.667822727279</v>
      </c>
      <c r="AX281" s="185">
        <v>67035.271367045469</v>
      </c>
      <c r="AY281" s="185">
        <v>67692.176436931826</v>
      </c>
      <c r="AZ281" s="185">
        <v>80098.255852272734</v>
      </c>
      <c r="BA281" s="185">
        <v>83228.71615738637</v>
      </c>
      <c r="BB281" s="185">
        <v>100948.5024477273</v>
      </c>
      <c r="BC281" s="185">
        <v>115035.4567380682</v>
      </c>
      <c r="BD281" s="185">
        <v>61156.303396022726</v>
      </c>
      <c r="BE281" s="185">
        <v>61568.431581965917</v>
      </c>
      <c r="BF281" s="185">
        <v>65447.553273534089</v>
      </c>
      <c r="BG281" s="185">
        <v>70812.849645420458</v>
      </c>
      <c r="BH281" s="185">
        <v>76590.27420325001</v>
      </c>
      <c r="BI281" s="185">
        <v>81955.570575136371</v>
      </c>
      <c r="BJ281" s="185">
        <v>66933.727953852271</v>
      </c>
      <c r="BK281" s="185">
        <v>67595.646262284092</v>
      </c>
      <c r="BL281" s="185">
        <v>79975.380842613638</v>
      </c>
      <c r="BM281" s="185">
        <v>83112.133028556826</v>
      </c>
      <c r="BN281" s="185">
        <v>100862.10008076137</v>
      </c>
      <c r="BO281" s="185">
        <v>114979.23513296594</v>
      </c>
      <c r="BP281" s="197">
        <v>61095.435839648017</v>
      </c>
    </row>
    <row r="282" spans="2:68" ht="12" customHeight="1" outlineLevel="1">
      <c r="B282" s="229"/>
      <c r="C282" s="226" t="str">
        <v>Outbound loading</v>
      </c>
      <c r="D282" s="233" t="str">
        <f>_xlfn.XLOOKUP(C282,Assumptions!$F$64:$F$68,Assumptions!$G$64:$G$68)</f>
        <v>Powered Pallet Truck</v>
      </c>
      <c r="E282" s="213" t="s">
        <v>105</v>
      </c>
      <c r="F282" s="231" t="str">
        <v>[pallets]</v>
      </c>
      <c r="G282" s="197">
        <v>0</v>
      </c>
      <c r="H282" s="185">
        <v>57995.340909090912</v>
      </c>
      <c r="I282" s="185">
        <v>58382.196969696975</v>
      </c>
      <c r="J282" s="185">
        <v>62046.553030303039</v>
      </c>
      <c r="K282" s="185">
        <v>67020.265151515152</v>
      </c>
      <c r="L282" s="185">
        <v>72380.833333333343</v>
      </c>
      <c r="M282" s="185">
        <v>77354.545454545456</v>
      </c>
      <c r="N282" s="185">
        <v>63355.909090909088</v>
      </c>
      <c r="O282" s="185">
        <v>63891.553030303039</v>
      </c>
      <c r="P282" s="185">
        <v>75642.121212121216</v>
      </c>
      <c r="Q282" s="185">
        <v>78548.977272727265</v>
      </c>
      <c r="R282" s="185">
        <v>94912.045454545456</v>
      </c>
      <c r="S282" s="185">
        <v>107915.11363636363</v>
      </c>
      <c r="T282" s="185">
        <v>60014.127272727274</v>
      </c>
      <c r="U282" s="185">
        <v>60379.571590909094</v>
      </c>
      <c r="V282" s="185">
        <v>64177.50340909091</v>
      </c>
      <c r="W282" s="185">
        <v>69360.392045454544</v>
      </c>
      <c r="X282" s="185">
        <v>74908.725000000006</v>
      </c>
      <c r="Y282" s="185">
        <v>80091.613636363632</v>
      </c>
      <c r="Z282" s="185">
        <v>65562.460227272735</v>
      </c>
      <c r="AA282" s="185">
        <v>66216.528409090912</v>
      </c>
      <c r="AB282" s="185">
        <v>78371.611363636373</v>
      </c>
      <c r="AC282" s="185">
        <v>81408.255681818177</v>
      </c>
      <c r="AD282" s="185">
        <v>98660.901136363638</v>
      </c>
      <c r="AE282" s="185">
        <v>112351.94659090909</v>
      </c>
      <c r="AF282" s="185">
        <v>61177.643011363638</v>
      </c>
      <c r="AG282" s="185">
        <v>61567.231045454551</v>
      </c>
      <c r="AH282" s="185">
        <v>65442.730579545459</v>
      </c>
      <c r="AI282" s="185">
        <v>70762.94664772728</v>
      </c>
      <c r="AJ282" s="185">
        <v>76472.750750000007</v>
      </c>
      <c r="AK282" s="185">
        <v>81792.966818181827</v>
      </c>
      <c r="AL282" s="185">
        <v>66887.447113636372</v>
      </c>
      <c r="AM282" s="185">
        <v>67552.987579545457</v>
      </c>
      <c r="AN282" s="185">
        <v>79940.773681818187</v>
      </c>
      <c r="AO282" s="185">
        <v>83054.985715909104</v>
      </c>
      <c r="AP282" s="185">
        <v>100718.41431818182</v>
      </c>
      <c r="AQ282" s="185">
        <v>114749.01092045456</v>
      </c>
      <c r="AR282" s="185">
        <v>61276.722451704554</v>
      </c>
      <c r="AS282" s="185">
        <v>61682.558756818187</v>
      </c>
      <c r="AT282" s="185">
        <v>65566.693686931816</v>
      </c>
      <c r="AU282" s="185">
        <v>70919.40629715909</v>
      </c>
      <c r="AV282" s="185">
        <v>76677.955212500005</v>
      </c>
      <c r="AW282" s="185">
        <v>82030.667822727279</v>
      </c>
      <c r="AX282" s="185">
        <v>67035.271367045469</v>
      </c>
      <c r="AY282" s="185">
        <v>67692.176436931826</v>
      </c>
      <c r="AZ282" s="185">
        <v>80098.255852272734</v>
      </c>
      <c r="BA282" s="185">
        <v>83228.71615738637</v>
      </c>
      <c r="BB282" s="185">
        <v>100948.5024477273</v>
      </c>
      <c r="BC282" s="185">
        <v>115035.4567380682</v>
      </c>
      <c r="BD282" s="185">
        <v>61156.303396022726</v>
      </c>
      <c r="BE282" s="185">
        <v>61568.431581965917</v>
      </c>
      <c r="BF282" s="185">
        <v>65447.553273534089</v>
      </c>
      <c r="BG282" s="185">
        <v>70812.849645420458</v>
      </c>
      <c r="BH282" s="185">
        <v>76590.27420325001</v>
      </c>
      <c r="BI282" s="185">
        <v>81955.570575136371</v>
      </c>
      <c r="BJ282" s="185">
        <v>66933.727953852271</v>
      </c>
      <c r="BK282" s="185">
        <v>67595.646262284092</v>
      </c>
      <c r="BL282" s="185">
        <v>79975.380842613638</v>
      </c>
      <c r="BM282" s="185">
        <v>83112.133028556826</v>
      </c>
      <c r="BN282" s="185">
        <v>100862.10008076137</v>
      </c>
      <c r="BO282" s="185">
        <v>114979.23513296594</v>
      </c>
      <c r="BP282" s="197">
        <v>61095.435839648017</v>
      </c>
    </row>
    <row r="283" spans="2:68" ht="12" customHeight="1" outlineLevel="1">
      <c r="B283" s="112"/>
    </row>
    <row r="284" spans="2:68" ht="12" customHeight="1" outlineLevel="1">
      <c r="B284" s="160" t="s">
        <v>106</v>
      </c>
    </row>
    <row r="285" spans="2:68" ht="12" customHeight="1" outlineLevel="1">
      <c r="B285" s="112"/>
      <c r="C285" s="226" t="str">
        <f t="array" ref="C285:C289">_xlfn.ANCHORARRAY(C278)</f>
        <v>Inbound unloading</v>
      </c>
      <c r="D285" s="230">
        <f t="array" ref="D285:D289">Assumptions!I64:I68</f>
        <v>7.0000000000000007E-2</v>
      </c>
      <c r="E285" s="210" t="s">
        <v>107</v>
      </c>
      <c r="F285" s="109" t="s">
        <v>71</v>
      </c>
      <c r="G285" s="197">
        <f t="array" ref="G285:BP289">G278:BP282*_xlfn.ANCHORARRAY(D285)</f>
        <v>0</v>
      </c>
      <c r="H285" s="185">
        <v>4209.262537878788</v>
      </c>
      <c r="I285" s="185">
        <v>4473.9863371212123</v>
      </c>
      <c r="J285" s="185">
        <v>4833.9954356060607</v>
      </c>
      <c r="K285" s="185">
        <v>5218.1890833333337</v>
      </c>
      <c r="L285" s="185">
        <v>5578.1981818181821</v>
      </c>
      <c r="M285" s="185">
        <v>4569.2716363636373</v>
      </c>
      <c r="N285" s="185">
        <v>4616.1878371212124</v>
      </c>
      <c r="O285" s="185">
        <v>5463.9144848484857</v>
      </c>
      <c r="P285" s="185">
        <v>5675.0830340909097</v>
      </c>
      <c r="Q285" s="185">
        <v>6878.3134318181819</v>
      </c>
      <c r="R285" s="185">
        <v>7832.2318295454552</v>
      </c>
      <c r="S285" s="185">
        <v>4335.4690765909099</v>
      </c>
      <c r="T285" s="185">
        <v>4358.1214751136376</v>
      </c>
      <c r="U285" s="185">
        <v>4632.7999398863649</v>
      </c>
      <c r="V285" s="185">
        <v>5008.4431369318181</v>
      </c>
      <c r="W285" s="185">
        <v>5406.7387325000009</v>
      </c>
      <c r="X285" s="185">
        <v>5782.3819295454559</v>
      </c>
      <c r="Y285" s="185">
        <v>4733.7646721590918</v>
      </c>
      <c r="Z285" s="185">
        <v>4789.4246073863651</v>
      </c>
      <c r="AA285" s="185">
        <v>5667.2830279545469</v>
      </c>
      <c r="AB285" s="185">
        <v>5888.1384664772741</v>
      </c>
      <c r="AC285" s="185">
        <v>7157.5585557954564</v>
      </c>
      <c r="AD285" s="185">
        <v>8162.7079251136383</v>
      </c>
      <c r="AE285" s="185">
        <v>4423.0198244829553</v>
      </c>
      <c r="AF285" s="185">
        <v>4447.5448787318192</v>
      </c>
      <c r="AG285" s="185">
        <v>4728.0600600306825</v>
      </c>
      <c r="AH285" s="185">
        <v>5114.0553365284104</v>
      </c>
      <c r="AI285" s="185">
        <v>5524.5756672750013</v>
      </c>
      <c r="AJ285" s="185">
        <v>5910.5709437727282</v>
      </c>
      <c r="AK285" s="185">
        <v>4833.5401552295461</v>
      </c>
      <c r="AL285" s="185">
        <v>4889.970141930683</v>
      </c>
      <c r="AM285" s="185">
        <v>5785.3387120772732</v>
      </c>
      <c r="AN285" s="185">
        <v>6012.0308671261382</v>
      </c>
      <c r="AO285" s="185">
        <v>7312.1746420227291</v>
      </c>
      <c r="AP285" s="185">
        <v>8342.7622825193193</v>
      </c>
      <c r="AQ285" s="185">
        <v>4433.0874466474434</v>
      </c>
      <c r="AR285" s="185">
        <v>4458.9654340397738</v>
      </c>
      <c r="AS285" s="185">
        <v>4740.2953182196034</v>
      </c>
      <c r="AT285" s="185">
        <v>5128.9964610042625</v>
      </c>
      <c r="AU285" s="185">
        <v>5543.5755911812503</v>
      </c>
      <c r="AV285" s="185">
        <v>5932.2767339659094</v>
      </c>
      <c r="AW285" s="185">
        <v>4847.6665768244329</v>
      </c>
      <c r="AX285" s="185">
        <v>4903.2818606446026</v>
      </c>
      <c r="AY285" s="185">
        <v>5800.5563091715931</v>
      </c>
      <c r="AZ285" s="185">
        <v>6028.6013973639228</v>
      </c>
      <c r="BA285" s="185">
        <v>7333.3422019534119</v>
      </c>
      <c r="BB285" s="185">
        <v>8368.5268721429002</v>
      </c>
      <c r="BC285" s="185">
        <v>4426.7694040323413</v>
      </c>
      <c r="BD285" s="185">
        <v>4453.2385997074271</v>
      </c>
      <c r="BE285" s="185">
        <v>4734.3604202301995</v>
      </c>
      <c r="BF285" s="185">
        <v>5124.2439795803712</v>
      </c>
      <c r="BG285" s="185">
        <v>5540.5967346056259</v>
      </c>
      <c r="BH285" s="185">
        <v>5930.4802939557967</v>
      </c>
      <c r="BI285" s="185">
        <v>4843.1221590575979</v>
      </c>
      <c r="BJ285" s="185">
        <v>4898.9455065348247</v>
      </c>
      <c r="BK285" s="185">
        <v>5794.796492150831</v>
      </c>
      <c r="BL285" s="185">
        <v>6023.4327886259171</v>
      </c>
      <c r="BM285" s="185">
        <v>7330.7464900034847</v>
      </c>
      <c r="BN285" s="185">
        <v>8368.5040569810553</v>
      </c>
      <c r="BO285" s="185">
        <v>4424.6967399834575</v>
      </c>
      <c r="BP285" s="197">
        <v>0</v>
      </c>
    </row>
    <row r="286" spans="2:68" ht="12" customHeight="1" outlineLevel="1">
      <c r="B286" s="112"/>
      <c r="C286" s="101" t="str">
        <v>Putaway to rack</v>
      </c>
      <c r="D286" s="232">
        <v>8.5000000000000006E-2</v>
      </c>
      <c r="E286" s="211" t="s">
        <v>107</v>
      </c>
      <c r="F286" s="109" t="s">
        <v>71</v>
      </c>
      <c r="G286" s="197">
        <v>0</v>
      </c>
      <c r="H286" s="185">
        <v>5111.2473674242419</v>
      </c>
      <c r="I286" s="185">
        <v>5432.697695075758</v>
      </c>
      <c r="J286" s="185">
        <v>5869.8516003787881</v>
      </c>
      <c r="K286" s="185">
        <v>6336.3724583333342</v>
      </c>
      <c r="L286" s="185">
        <v>6773.5263636363643</v>
      </c>
      <c r="M286" s="185">
        <v>5548.4012727272739</v>
      </c>
      <c r="N286" s="185">
        <v>5605.3709450757578</v>
      </c>
      <c r="O286" s="185">
        <v>6634.7533030303039</v>
      </c>
      <c r="P286" s="185">
        <v>6891.1722556818186</v>
      </c>
      <c r="Q286" s="185">
        <v>8352.2377386363642</v>
      </c>
      <c r="R286" s="185">
        <v>9510.5672215909108</v>
      </c>
      <c r="S286" s="185">
        <v>5264.4981644318186</v>
      </c>
      <c r="T286" s="185">
        <v>5292.0046483522738</v>
      </c>
      <c r="U286" s="185">
        <v>5625.5427841477285</v>
      </c>
      <c r="V286" s="185">
        <v>6081.6809519886365</v>
      </c>
      <c r="W286" s="185">
        <v>6565.3256037500005</v>
      </c>
      <c r="X286" s="185">
        <v>7021.4637715909103</v>
      </c>
      <c r="Y286" s="185">
        <v>5748.1428161931826</v>
      </c>
      <c r="Z286" s="185">
        <v>5815.7298803977292</v>
      </c>
      <c r="AA286" s="185">
        <v>6881.7008196590923</v>
      </c>
      <c r="AB286" s="185">
        <v>7149.8824235795473</v>
      </c>
      <c r="AC286" s="185">
        <v>8691.3211034659107</v>
      </c>
      <c r="AD286" s="185">
        <v>9911.8596233522749</v>
      </c>
      <c r="AE286" s="185">
        <v>5370.8097868721597</v>
      </c>
      <c r="AF286" s="185">
        <v>5400.5902098886372</v>
      </c>
      <c r="AG286" s="185">
        <v>5741.2157871801146</v>
      </c>
      <c r="AH286" s="185">
        <v>6209.9243372130695</v>
      </c>
      <c r="AI286" s="185">
        <v>6708.4133102625019</v>
      </c>
      <c r="AJ286" s="185">
        <v>7177.1218602954559</v>
      </c>
      <c r="AK286" s="185">
        <v>5869.2987599215921</v>
      </c>
      <c r="AL286" s="185">
        <v>5937.8208866301147</v>
      </c>
      <c r="AM286" s="185">
        <v>7025.0541503795457</v>
      </c>
      <c r="AN286" s="185">
        <v>7300.3231957960252</v>
      </c>
      <c r="AO286" s="185">
        <v>8879.0692081704565</v>
      </c>
      <c r="AP286" s="185">
        <v>10130.497057344888</v>
      </c>
      <c r="AQ286" s="185">
        <v>5383.0347566433238</v>
      </c>
      <c r="AR286" s="185">
        <v>5414.4580270482966</v>
      </c>
      <c r="AS286" s="185">
        <v>5756.0728864095181</v>
      </c>
      <c r="AT286" s="185">
        <v>6228.0671312194618</v>
      </c>
      <c r="AU286" s="185">
        <v>6731.4846464343755</v>
      </c>
      <c r="AV286" s="185">
        <v>7203.4788912443182</v>
      </c>
      <c r="AW286" s="185">
        <v>5886.4522718582393</v>
      </c>
      <c r="AX286" s="185">
        <v>5953.9851164970178</v>
      </c>
      <c r="AY286" s="185">
        <v>7043.5326611369346</v>
      </c>
      <c r="AZ286" s="185">
        <v>7320.4445539419057</v>
      </c>
      <c r="BA286" s="185">
        <v>8904.7726738005713</v>
      </c>
      <c r="BB286" s="185">
        <v>10161.782630459236</v>
      </c>
      <c r="BC286" s="185">
        <v>5375.3628477535576</v>
      </c>
      <c r="BD286" s="185">
        <v>5407.5040139304474</v>
      </c>
      <c r="BE286" s="185">
        <v>5748.8662245652422</v>
      </c>
      <c r="BF286" s="185">
        <v>6222.2962609190217</v>
      </c>
      <c r="BG286" s="185">
        <v>6727.8674634496883</v>
      </c>
      <c r="BH286" s="185">
        <v>7201.297499803467</v>
      </c>
      <c r="BI286" s="185">
        <v>5880.934050284226</v>
      </c>
      <c r="BJ286" s="185">
        <v>5948.7195436494294</v>
      </c>
      <c r="BK286" s="185">
        <v>7036.5385976117232</v>
      </c>
      <c r="BL286" s="185">
        <v>7314.1683861886131</v>
      </c>
      <c r="BM286" s="185">
        <v>8901.6207378613744</v>
      </c>
      <c r="BN286" s="185">
        <v>10161.754926334137</v>
      </c>
      <c r="BO286" s="185">
        <v>5372.8460414084839</v>
      </c>
      <c r="BP286" s="197">
        <v>0</v>
      </c>
    </row>
    <row r="287" spans="2:68" ht="12" customHeight="1" outlineLevel="1">
      <c r="B287" s="112"/>
      <c r="C287" s="101" t="str">
        <v>Picking</v>
      </c>
      <c r="D287" s="232">
        <v>5.4999999999999997E-3</v>
      </c>
      <c r="E287" s="211" t="s">
        <v>108</v>
      </c>
      <c r="F287" s="109" t="s">
        <v>71</v>
      </c>
      <c r="G287" s="197">
        <v>0</v>
      </c>
      <c r="H287" s="185">
        <v>6730.3499999999995</v>
      </c>
      <c r="I287" s="185">
        <v>6684.0812499999993</v>
      </c>
      <c r="J287" s="185">
        <v>7116.1062499999998</v>
      </c>
      <c r="K287" s="185">
        <v>7716.5687499999995</v>
      </c>
      <c r="L287" s="185">
        <v>8270.7624999999989</v>
      </c>
      <c r="M287" s="185">
        <v>8871.2250000000004</v>
      </c>
      <c r="N287" s="185">
        <v>7284.5437499999998</v>
      </c>
      <c r="O287" s="185">
        <v>7545.5187499999993</v>
      </c>
      <c r="P287" s="185">
        <v>8904.0875000000015</v>
      </c>
      <c r="Q287" s="185">
        <v>9273.6187500000015</v>
      </c>
      <c r="R287" s="185">
        <v>11705.71875</v>
      </c>
      <c r="S287" s="185">
        <v>13583.418749999999</v>
      </c>
      <c r="T287" s="185">
        <v>6998.7915937499993</v>
      </c>
      <c r="U287" s="185">
        <v>6945.07515625</v>
      </c>
      <c r="V287" s="185">
        <v>7394.9129374999993</v>
      </c>
      <c r="W287" s="185">
        <v>8022.0600624999997</v>
      </c>
      <c r="X287" s="185">
        <v>8595.4907500000008</v>
      </c>
      <c r="Y287" s="185">
        <v>9222.6378750000003</v>
      </c>
      <c r="Z287" s="185">
        <v>7572.2222812499995</v>
      </c>
      <c r="AA287" s="185">
        <v>7856.9644999999991</v>
      </c>
      <c r="AB287" s="185">
        <v>9269.284062499999</v>
      </c>
      <c r="AC287" s="185">
        <v>9656.3156250000011</v>
      </c>
      <c r="AD287" s="185">
        <v>12223.76409375</v>
      </c>
      <c r="AE287" s="185">
        <v>14203.548562500002</v>
      </c>
      <c r="AF287" s="185">
        <v>7141.2704343750001</v>
      </c>
      <c r="AG287" s="185">
        <v>7088.2376262500002</v>
      </c>
      <c r="AH287" s="185">
        <v>7547.5739968750004</v>
      </c>
      <c r="AI287" s="185">
        <v>8190.7799806250005</v>
      </c>
      <c r="AJ287" s="185">
        <v>8780.9531562499997</v>
      </c>
      <c r="AK287" s="185">
        <v>9424.1591399999998</v>
      </c>
      <c r="AL287" s="185">
        <v>7731.4436099999994</v>
      </c>
      <c r="AM287" s="185">
        <v>8021.3788393750001</v>
      </c>
      <c r="AN287" s="185">
        <v>9462.1941699999988</v>
      </c>
      <c r="AO287" s="185">
        <v>9858.7243218750009</v>
      </c>
      <c r="AP287" s="185">
        <v>12484.05175875</v>
      </c>
      <c r="AQ287" s="185">
        <v>14509.961915625003</v>
      </c>
      <c r="AR287" s="185">
        <v>7152.7676725312494</v>
      </c>
      <c r="AS287" s="185">
        <v>7101.2968923874996</v>
      </c>
      <c r="AT287" s="185">
        <v>7561.5672288062487</v>
      </c>
      <c r="AU287" s="185">
        <v>8207.8972685187491</v>
      </c>
      <c r="AV287" s="185">
        <v>8802.7565280875006</v>
      </c>
      <c r="AW287" s="185">
        <v>9449.0865677999991</v>
      </c>
      <c r="AX287" s="185">
        <v>7747.6269321000009</v>
      </c>
      <c r="AY287" s="185">
        <v>8036.62819568125</v>
      </c>
      <c r="AZ287" s="185">
        <v>9479.6173615000007</v>
      </c>
      <c r="BA287" s="185">
        <v>9877.7095413562511</v>
      </c>
      <c r="BB287" s="185">
        <v>12508.3511243625</v>
      </c>
      <c r="BC287" s="185">
        <v>14539.575427368753</v>
      </c>
      <c r="BD287" s="185">
        <v>7142.427433772812</v>
      </c>
      <c r="BE287" s="185">
        <v>7091.4486893531885</v>
      </c>
      <c r="BF287" s="185">
        <v>7551.2783891476265</v>
      </c>
      <c r="BG287" s="185">
        <v>8198.5925003083757</v>
      </c>
      <c r="BH287" s="185">
        <v>8794.9278670495005</v>
      </c>
      <c r="BI287" s="185">
        <v>9442.2419782102497</v>
      </c>
      <c r="BJ287" s="185">
        <v>7738.7628005139386</v>
      </c>
      <c r="BK287" s="185">
        <v>8028.2047007195006</v>
      </c>
      <c r="BL287" s="185">
        <v>9468.9392843168753</v>
      </c>
      <c r="BM287" s="185">
        <v>9867.5234998972519</v>
      </c>
      <c r="BN287" s="185">
        <v>12500.573862424313</v>
      </c>
      <c r="BO287" s="185">
        <v>14534.206944951376</v>
      </c>
      <c r="BP287" s="197">
        <v>7139.1743833663177</v>
      </c>
    </row>
    <row r="288" spans="2:68" ht="12" customHeight="1" outlineLevel="1">
      <c r="B288" s="112"/>
      <c r="C288" s="101" t="str">
        <v>Replenishment</v>
      </c>
      <c r="D288" s="232">
        <v>6.5000000000000002E-2</v>
      </c>
      <c r="E288" s="211" t="s">
        <v>109</v>
      </c>
      <c r="F288" s="109" t="s">
        <v>71</v>
      </c>
      <c r="G288" s="197">
        <v>0</v>
      </c>
      <c r="H288" s="185">
        <v>3769.6971590909093</v>
      </c>
      <c r="I288" s="185">
        <v>3794.8428030303035</v>
      </c>
      <c r="J288" s="185">
        <v>4033.0259469696975</v>
      </c>
      <c r="K288" s="185">
        <v>4356.317234848485</v>
      </c>
      <c r="L288" s="185">
        <v>4704.7541666666675</v>
      </c>
      <c r="M288" s="185">
        <v>5028.045454545455</v>
      </c>
      <c r="N288" s="185">
        <v>4118.1340909090904</v>
      </c>
      <c r="O288" s="185">
        <v>4152.9509469696977</v>
      </c>
      <c r="P288" s="185">
        <v>4916.7378787878788</v>
      </c>
      <c r="Q288" s="185">
        <v>5105.6835227272722</v>
      </c>
      <c r="R288" s="185">
        <v>6169.2829545454551</v>
      </c>
      <c r="S288" s="185">
        <v>7014.4823863636366</v>
      </c>
      <c r="T288" s="185">
        <v>3900.9182727272728</v>
      </c>
      <c r="U288" s="185">
        <v>3924.6721534090912</v>
      </c>
      <c r="V288" s="185">
        <v>4171.5377215909093</v>
      </c>
      <c r="W288" s="185">
        <v>4508.4254829545453</v>
      </c>
      <c r="X288" s="185">
        <v>4869.0671250000005</v>
      </c>
      <c r="Y288" s="185">
        <v>5205.9548863636364</v>
      </c>
      <c r="Z288" s="185">
        <v>4261.559914772728</v>
      </c>
      <c r="AA288" s="185">
        <v>4304.074346590909</v>
      </c>
      <c r="AB288" s="185">
        <v>5094.1547386363645</v>
      </c>
      <c r="AC288" s="185">
        <v>5291.5366193181817</v>
      </c>
      <c r="AD288" s="185">
        <v>6412.958573863637</v>
      </c>
      <c r="AE288" s="185">
        <v>7302.8765284090914</v>
      </c>
      <c r="AF288" s="185">
        <v>3976.5467957386368</v>
      </c>
      <c r="AG288" s="185">
        <v>4001.8700179545458</v>
      </c>
      <c r="AH288" s="185">
        <v>4253.7774876704552</v>
      </c>
      <c r="AI288" s="185">
        <v>4599.591532102273</v>
      </c>
      <c r="AJ288" s="185">
        <v>4970.7287987500004</v>
      </c>
      <c r="AK288" s="185">
        <v>5316.5428431818191</v>
      </c>
      <c r="AL288" s="185">
        <v>4347.6840623863645</v>
      </c>
      <c r="AM288" s="185">
        <v>4390.9441926704549</v>
      </c>
      <c r="AN288" s="185">
        <v>5196.1502893181823</v>
      </c>
      <c r="AO288" s="185">
        <v>5398.5740715340917</v>
      </c>
      <c r="AP288" s="185">
        <v>6546.6969306818182</v>
      </c>
      <c r="AQ288" s="185">
        <v>7458.6857098295468</v>
      </c>
      <c r="AR288" s="185">
        <v>3982.9869593607959</v>
      </c>
      <c r="AS288" s="185">
        <v>4009.3663191931823</v>
      </c>
      <c r="AT288" s="185">
        <v>4261.8350896505681</v>
      </c>
      <c r="AU288" s="185">
        <v>4609.7614093153406</v>
      </c>
      <c r="AV288" s="185">
        <v>4984.0670888125005</v>
      </c>
      <c r="AW288" s="185">
        <v>5331.9934084772731</v>
      </c>
      <c r="AX288" s="185">
        <v>4357.2926388579554</v>
      </c>
      <c r="AY288" s="185">
        <v>4399.9914684005689</v>
      </c>
      <c r="AZ288" s="185">
        <v>5206.3866303977275</v>
      </c>
      <c r="BA288" s="185">
        <v>5409.8665502301146</v>
      </c>
      <c r="BB288" s="185">
        <v>6561.6526591022748</v>
      </c>
      <c r="BC288" s="185">
        <v>7477.3046879744334</v>
      </c>
      <c r="BD288" s="185">
        <v>3975.1597207414775</v>
      </c>
      <c r="BE288" s="185">
        <v>4001.9480528277845</v>
      </c>
      <c r="BF288" s="185">
        <v>4254.0909627797164</v>
      </c>
      <c r="BG288" s="185">
        <v>4602.8352269523302</v>
      </c>
      <c r="BH288" s="185">
        <v>4978.3678232112507</v>
      </c>
      <c r="BI288" s="185">
        <v>5327.1120873838645</v>
      </c>
      <c r="BJ288" s="185">
        <v>4350.6923170003975</v>
      </c>
      <c r="BK288" s="185">
        <v>4393.7170070484663</v>
      </c>
      <c r="BL288" s="185">
        <v>5198.3997547698864</v>
      </c>
      <c r="BM288" s="185">
        <v>5402.2886468561937</v>
      </c>
      <c r="BN288" s="185">
        <v>6556.0365052494899</v>
      </c>
      <c r="BO288" s="185">
        <v>7473.6502836427862</v>
      </c>
      <c r="BP288" s="197">
        <v>3971.2033295771212</v>
      </c>
    </row>
    <row r="289" spans="2:68" ht="12" customHeight="1" outlineLevel="1">
      <c r="B289" s="112"/>
      <c r="C289" s="101" t="str">
        <v>Outbound loading</v>
      </c>
      <c r="D289" s="233">
        <v>6.5000000000000002E-2</v>
      </c>
      <c r="E289" s="213" t="s">
        <v>109</v>
      </c>
      <c r="F289" s="109" t="s">
        <v>71</v>
      </c>
      <c r="G289" s="197">
        <v>0</v>
      </c>
      <c r="H289" s="185">
        <v>3769.6971590909093</v>
      </c>
      <c r="I289" s="185">
        <v>3794.8428030303035</v>
      </c>
      <c r="J289" s="185">
        <v>4033.0259469696975</v>
      </c>
      <c r="K289" s="185">
        <v>4356.317234848485</v>
      </c>
      <c r="L289" s="185">
        <v>4704.7541666666675</v>
      </c>
      <c r="M289" s="185">
        <v>5028.045454545455</v>
      </c>
      <c r="N289" s="185">
        <v>4118.1340909090904</v>
      </c>
      <c r="O289" s="185">
        <v>4152.9509469696977</v>
      </c>
      <c r="P289" s="185">
        <v>4916.7378787878788</v>
      </c>
      <c r="Q289" s="185">
        <v>5105.6835227272722</v>
      </c>
      <c r="R289" s="185">
        <v>6169.2829545454551</v>
      </c>
      <c r="S289" s="185">
        <v>7014.4823863636366</v>
      </c>
      <c r="T289" s="185">
        <v>3900.9182727272728</v>
      </c>
      <c r="U289" s="185">
        <v>3924.6721534090912</v>
      </c>
      <c r="V289" s="185">
        <v>4171.5377215909093</v>
      </c>
      <c r="W289" s="185">
        <v>4508.4254829545453</v>
      </c>
      <c r="X289" s="185">
        <v>4869.0671250000005</v>
      </c>
      <c r="Y289" s="185">
        <v>5205.9548863636364</v>
      </c>
      <c r="Z289" s="185">
        <v>4261.559914772728</v>
      </c>
      <c r="AA289" s="185">
        <v>4304.074346590909</v>
      </c>
      <c r="AB289" s="185">
        <v>5094.1547386363645</v>
      </c>
      <c r="AC289" s="185">
        <v>5291.5366193181817</v>
      </c>
      <c r="AD289" s="185">
        <v>6412.958573863637</v>
      </c>
      <c r="AE289" s="185">
        <v>7302.8765284090914</v>
      </c>
      <c r="AF289" s="185">
        <v>3976.5467957386368</v>
      </c>
      <c r="AG289" s="185">
        <v>4001.8700179545458</v>
      </c>
      <c r="AH289" s="185">
        <v>4253.7774876704552</v>
      </c>
      <c r="AI289" s="185">
        <v>4599.591532102273</v>
      </c>
      <c r="AJ289" s="185">
        <v>4970.7287987500004</v>
      </c>
      <c r="AK289" s="185">
        <v>5316.5428431818191</v>
      </c>
      <c r="AL289" s="185">
        <v>4347.6840623863645</v>
      </c>
      <c r="AM289" s="185">
        <v>4390.9441926704549</v>
      </c>
      <c r="AN289" s="185">
        <v>5196.1502893181823</v>
      </c>
      <c r="AO289" s="185">
        <v>5398.5740715340917</v>
      </c>
      <c r="AP289" s="185">
        <v>6546.6969306818182</v>
      </c>
      <c r="AQ289" s="185">
        <v>7458.6857098295468</v>
      </c>
      <c r="AR289" s="185">
        <v>3982.9869593607959</v>
      </c>
      <c r="AS289" s="185">
        <v>4009.3663191931823</v>
      </c>
      <c r="AT289" s="185">
        <v>4261.8350896505681</v>
      </c>
      <c r="AU289" s="185">
        <v>4609.7614093153406</v>
      </c>
      <c r="AV289" s="185">
        <v>4984.0670888125005</v>
      </c>
      <c r="AW289" s="185">
        <v>5331.9934084772731</v>
      </c>
      <c r="AX289" s="185">
        <v>4357.2926388579554</v>
      </c>
      <c r="AY289" s="185">
        <v>4399.9914684005689</v>
      </c>
      <c r="AZ289" s="185">
        <v>5206.3866303977275</v>
      </c>
      <c r="BA289" s="185">
        <v>5409.8665502301146</v>
      </c>
      <c r="BB289" s="185">
        <v>6561.6526591022748</v>
      </c>
      <c r="BC289" s="185">
        <v>7477.3046879744334</v>
      </c>
      <c r="BD289" s="185">
        <v>3975.1597207414775</v>
      </c>
      <c r="BE289" s="185">
        <v>4001.9480528277845</v>
      </c>
      <c r="BF289" s="185">
        <v>4254.0909627797164</v>
      </c>
      <c r="BG289" s="185">
        <v>4602.8352269523302</v>
      </c>
      <c r="BH289" s="185">
        <v>4978.3678232112507</v>
      </c>
      <c r="BI289" s="185">
        <v>5327.1120873838645</v>
      </c>
      <c r="BJ289" s="185">
        <v>4350.6923170003975</v>
      </c>
      <c r="BK289" s="185">
        <v>4393.7170070484663</v>
      </c>
      <c r="BL289" s="185">
        <v>5198.3997547698864</v>
      </c>
      <c r="BM289" s="185">
        <v>5402.2886468561937</v>
      </c>
      <c r="BN289" s="185">
        <v>6556.0365052494899</v>
      </c>
      <c r="BO289" s="185">
        <v>7473.6502836427862</v>
      </c>
      <c r="BP289" s="197">
        <v>3971.2033295771212</v>
      </c>
    </row>
    <row r="290" spans="2:68" ht="12" customHeight="1" outlineLevel="1">
      <c r="B290" s="112"/>
    </row>
    <row r="291" spans="2:68" ht="12" customHeight="1" outlineLevel="1">
      <c r="B291" s="112"/>
    </row>
    <row r="292" spans="2:68" ht="12" customHeight="1" outlineLevel="1">
      <c r="B292" s="160" t="s">
        <v>110</v>
      </c>
    </row>
    <row r="293" spans="2:68" ht="12" customHeight="1" outlineLevel="1">
      <c r="B293" s="112"/>
      <c r="C293" s="101" t="str">
        <f t="array" ref="C293:C297">C219:C223</f>
        <v>Inbound Unloading</v>
      </c>
      <c r="F293" s="109" t="str">
        <f t="array" ref="F293:BO297">F219:BO223</f>
        <v>[employees]</v>
      </c>
      <c r="G293" s="234">
        <v>0</v>
      </c>
      <c r="H293" s="110">
        <v>31.318917692550503</v>
      </c>
      <c r="I293" s="110">
        <v>33.288588817866163</v>
      </c>
      <c r="J293" s="110">
        <v>35.967227943497477</v>
      </c>
      <c r="K293" s="110">
        <v>38.825811631944447</v>
      </c>
      <c r="L293" s="110">
        <v>41.504450757575754</v>
      </c>
      <c r="M293" s="110">
        <v>33.99755681818182</v>
      </c>
      <c r="N293" s="110">
        <v>34.346635692866158</v>
      </c>
      <c r="O293" s="110">
        <v>40.654125631313136</v>
      </c>
      <c r="P293" s="110">
        <v>42.225320194128791</v>
      </c>
      <c r="Q293" s="110">
        <v>51.17792732007576</v>
      </c>
      <c r="R293" s="110">
        <v>58.275534446022732</v>
      </c>
      <c r="S293" s="110">
        <v>32.257954438920457</v>
      </c>
      <c r="T293" s="110">
        <v>32.426499070785994</v>
      </c>
      <c r="U293" s="110">
        <v>34.470237647964019</v>
      </c>
      <c r="V293" s="110">
        <v>37.265201911695073</v>
      </c>
      <c r="W293" s="110">
        <v>40.228710807291669</v>
      </c>
      <c r="X293" s="110">
        <v>43.023675071022737</v>
      </c>
      <c r="Y293" s="110">
        <v>35.221463334517054</v>
      </c>
      <c r="Z293" s="110">
        <v>35.635599757339023</v>
      </c>
      <c r="AA293" s="110">
        <v>42.167284434185611</v>
      </c>
      <c r="AB293" s="110">
        <v>43.810554066051147</v>
      </c>
      <c r="AC293" s="110">
        <v>53.255644016335239</v>
      </c>
      <c r="AD293" s="110">
        <v>60.734433966619328</v>
      </c>
      <c r="AE293" s="110">
        <v>32.9093736940696</v>
      </c>
      <c r="AF293" s="110">
        <v>33.091851776278411</v>
      </c>
      <c r="AG293" s="110">
        <v>35.179018303799715</v>
      </c>
      <c r="AH293" s="110">
        <v>38.05100696821733</v>
      </c>
      <c r="AI293" s="110">
        <v>41.105473714843761</v>
      </c>
      <c r="AJ293" s="110">
        <v>43.977462379261368</v>
      </c>
      <c r="AK293" s="110">
        <v>35.963840440696025</v>
      </c>
      <c r="AL293" s="110">
        <v>36.383706413174721</v>
      </c>
      <c r="AM293" s="110">
        <v>43.045674941051132</v>
      </c>
      <c r="AN293" s="110">
        <v>44.732372523259954</v>
      </c>
      <c r="AO293" s="110">
        <v>54.406061324573876</v>
      </c>
      <c r="AP293" s="110">
        <v>62.074124125887792</v>
      </c>
      <c r="AQ293" s="110">
        <v>32.984281597079189</v>
      </c>
      <c r="AR293" s="110">
        <v>33.176826146129265</v>
      </c>
      <c r="AS293" s="110">
        <v>35.27005445103871</v>
      </c>
      <c r="AT293" s="110">
        <v>38.162176049138857</v>
      </c>
      <c r="AU293" s="110">
        <v>41.246842196289066</v>
      </c>
      <c r="AV293" s="110">
        <v>44.138963794389198</v>
      </c>
      <c r="AW293" s="110">
        <v>36.068947744229405</v>
      </c>
      <c r="AX293" s="110">
        <v>36.482751939319954</v>
      </c>
      <c r="AY293" s="110">
        <v>43.158901109907681</v>
      </c>
      <c r="AZ293" s="110">
        <v>44.855665158957756</v>
      </c>
      <c r="BA293" s="110">
        <v>54.563558050248595</v>
      </c>
      <c r="BB293" s="110">
        <v>62.265824941539435</v>
      </c>
      <c r="BC293" s="110">
        <v>32.937272351431105</v>
      </c>
      <c r="BD293" s="110">
        <v>33.13421577163264</v>
      </c>
      <c r="BE293" s="110">
        <v>35.225895983855644</v>
      </c>
      <c r="BF293" s="110">
        <v>38.126815324258708</v>
      </c>
      <c r="BG293" s="110">
        <v>41.224678084863285</v>
      </c>
      <c r="BH293" s="110">
        <v>44.125597425266342</v>
      </c>
      <c r="BI293" s="110">
        <v>36.03513511203569</v>
      </c>
      <c r="BJ293" s="110">
        <v>36.45048739981268</v>
      </c>
      <c r="BK293" s="110">
        <v>43.116045328503205</v>
      </c>
      <c r="BL293" s="110">
        <v>44.817208248704738</v>
      </c>
      <c r="BM293" s="110">
        <v>54.544244717287825</v>
      </c>
      <c r="BN293" s="110">
        <v>62.265655185870934</v>
      </c>
      <c r="BO293" s="110">
        <v>32.921850743924537</v>
      </c>
      <c r="BP293" s="234"/>
    </row>
    <row r="294" spans="2:68" ht="12" customHeight="1" outlineLevel="1">
      <c r="B294" s="112"/>
      <c r="C294" s="101" t="str">
        <v>Putaway to Rack</v>
      </c>
      <c r="F294" s="109" t="str">
        <v>[employees]</v>
      </c>
      <c r="G294" s="234">
        <v>0</v>
      </c>
      <c r="H294" s="110">
        <v>37.582701231060597</v>
      </c>
      <c r="I294" s="110">
        <v>39.946306581439394</v>
      </c>
      <c r="J294" s="110">
        <v>43.160673532196974</v>
      </c>
      <c r="K294" s="110">
        <v>46.590973958333336</v>
      </c>
      <c r="L294" s="110">
        <v>49.805340909090908</v>
      </c>
      <c r="M294" s="110">
        <v>40.797068181818183</v>
      </c>
      <c r="N294" s="110">
        <v>41.215962831439391</v>
      </c>
      <c r="O294" s="110">
        <v>48.784950757575764</v>
      </c>
      <c r="P294" s="110">
        <v>50.670384232954547</v>
      </c>
      <c r="Q294" s="110">
        <v>61.413512784090905</v>
      </c>
      <c r="R294" s="110">
        <v>69.930641335227278</v>
      </c>
      <c r="S294" s="110">
        <v>38.709545326704543</v>
      </c>
      <c r="T294" s="110">
        <v>38.911798884943188</v>
      </c>
      <c r="U294" s="110">
        <v>41.364285177556823</v>
      </c>
      <c r="V294" s="110">
        <v>44.718242294034084</v>
      </c>
      <c r="W294" s="110">
        <v>48.274452968749998</v>
      </c>
      <c r="X294" s="110">
        <v>51.62841008522728</v>
      </c>
      <c r="Y294" s="110">
        <v>42.265756001420456</v>
      </c>
      <c r="Z294" s="110">
        <v>42.762719708806827</v>
      </c>
      <c r="AA294" s="110">
        <v>50.600741321022738</v>
      </c>
      <c r="AB294" s="110">
        <v>52.572664879261382</v>
      </c>
      <c r="AC294" s="110">
        <v>63.906772819602281</v>
      </c>
      <c r="AD294" s="110">
        <v>72.881320759943193</v>
      </c>
      <c r="AE294" s="110">
        <v>39.491248432883523</v>
      </c>
      <c r="AF294" s="110">
        <v>39.710222131534088</v>
      </c>
      <c r="AG294" s="110">
        <v>42.214821964559661</v>
      </c>
      <c r="AH294" s="110">
        <v>45.661208361860801</v>
      </c>
      <c r="AI294" s="110">
        <v>49.326568457812513</v>
      </c>
      <c r="AJ294" s="110">
        <v>52.772954855113639</v>
      </c>
      <c r="AK294" s="110">
        <v>43.156608528835235</v>
      </c>
      <c r="AL294" s="110">
        <v>43.660447695809658</v>
      </c>
      <c r="AM294" s="110">
        <v>51.654809929261361</v>
      </c>
      <c r="AN294" s="110">
        <v>53.678847027911942</v>
      </c>
      <c r="AO294" s="110">
        <v>65.287273589488649</v>
      </c>
      <c r="AP294" s="110">
        <v>74.488948951065339</v>
      </c>
      <c r="AQ294" s="110">
        <v>39.581137916495024</v>
      </c>
      <c r="AR294" s="110">
        <v>39.81219137535512</v>
      </c>
      <c r="AS294" s="110">
        <v>42.324065341246452</v>
      </c>
      <c r="AT294" s="110">
        <v>45.794611258966626</v>
      </c>
      <c r="AU294" s="110">
        <v>49.49621063554688</v>
      </c>
      <c r="AV294" s="110">
        <v>52.966756553267047</v>
      </c>
      <c r="AW294" s="110">
        <v>43.282737293075286</v>
      </c>
      <c r="AX294" s="110">
        <v>43.779302327183949</v>
      </c>
      <c r="AY294" s="110">
        <v>51.790681331889218</v>
      </c>
      <c r="AZ294" s="110">
        <v>53.826798190749308</v>
      </c>
      <c r="BA294" s="110">
        <v>65.476269660298314</v>
      </c>
      <c r="BB294" s="110">
        <v>74.718989929847311</v>
      </c>
      <c r="BC294" s="110">
        <v>39.52472682171733</v>
      </c>
      <c r="BD294" s="110">
        <v>39.761058925959169</v>
      </c>
      <c r="BE294" s="110">
        <v>42.271075180626774</v>
      </c>
      <c r="BF294" s="110">
        <v>45.752178389110455</v>
      </c>
      <c r="BG294" s="110">
        <v>49.469613701835939</v>
      </c>
      <c r="BH294" s="110">
        <v>52.950716910319599</v>
      </c>
      <c r="BI294" s="110">
        <v>43.242162134442836</v>
      </c>
      <c r="BJ294" s="110">
        <v>43.740584879775213</v>
      </c>
      <c r="BK294" s="110">
        <v>51.73925439420384</v>
      </c>
      <c r="BL294" s="110">
        <v>53.780649898445674</v>
      </c>
      <c r="BM294" s="110">
        <v>65.453093660745395</v>
      </c>
      <c r="BN294" s="110">
        <v>74.718786223045129</v>
      </c>
      <c r="BO294" s="110">
        <v>39.506220892709436</v>
      </c>
      <c r="BP294" s="234"/>
    </row>
    <row r="295" spans="2:68" ht="12" customHeight="1" outlineLevel="1">
      <c r="B295" s="112"/>
      <c r="C295" s="101" t="str">
        <v>Parcel Picking</v>
      </c>
      <c r="F295" s="109" t="str">
        <v>[employees]</v>
      </c>
      <c r="G295" s="234">
        <v>0</v>
      </c>
      <c r="H295" s="110">
        <v>42.489583333333329</v>
      </c>
      <c r="I295" s="110">
        <v>42.197482638888893</v>
      </c>
      <c r="J295" s="110">
        <v>44.924913194444443</v>
      </c>
      <c r="K295" s="110">
        <v>48.715711805555557</v>
      </c>
      <c r="L295" s="110">
        <v>52.214409722222214</v>
      </c>
      <c r="M295" s="110">
        <v>56.005208333333336</v>
      </c>
      <c r="N295" s="110">
        <v>45.98828125</v>
      </c>
      <c r="O295" s="110">
        <v>47.635850694444443</v>
      </c>
      <c r="P295" s="110">
        <v>56.212673611111121</v>
      </c>
      <c r="Q295" s="110">
        <v>58.545572916666671</v>
      </c>
      <c r="R295" s="110">
        <v>73.899739583333343</v>
      </c>
      <c r="S295" s="110">
        <v>85.75390625</v>
      </c>
      <c r="T295" s="110">
        <v>44.184290364583333</v>
      </c>
      <c r="U295" s="110">
        <v>43.845171440972223</v>
      </c>
      <c r="V295" s="110">
        <v>46.685056423611108</v>
      </c>
      <c r="W295" s="110">
        <v>50.644318576388891</v>
      </c>
      <c r="X295" s="110">
        <v>54.264461805555563</v>
      </c>
      <c r="Y295" s="110">
        <v>58.223723958333338</v>
      </c>
      <c r="Z295" s="110">
        <v>47.804433593750005</v>
      </c>
      <c r="AA295" s="110">
        <v>49.602048611111108</v>
      </c>
      <c r="AB295" s="110">
        <v>58.518207465277783</v>
      </c>
      <c r="AC295" s="110">
        <v>60.961588541666671</v>
      </c>
      <c r="AD295" s="110">
        <v>77.170227864583325</v>
      </c>
      <c r="AE295" s="110">
        <v>89.668867187500013</v>
      </c>
      <c r="AF295" s="110">
        <v>45.083777994791674</v>
      </c>
      <c r="AG295" s="110">
        <v>44.748974913194445</v>
      </c>
      <c r="AH295" s="110">
        <v>47.648825737847226</v>
      </c>
      <c r="AI295" s="110">
        <v>51.709469574652779</v>
      </c>
      <c r="AJ295" s="110">
        <v>55.43531032986111</v>
      </c>
      <c r="AK295" s="110">
        <v>59.495954166666664</v>
      </c>
      <c r="AL295" s="110">
        <v>48.809618749999998</v>
      </c>
      <c r="AM295" s="110">
        <v>50.640017925347223</v>
      </c>
      <c r="AN295" s="110">
        <v>59.736074305555555</v>
      </c>
      <c r="AO295" s="110">
        <v>62.239421223958345</v>
      </c>
      <c r="AP295" s="110">
        <v>78.813458072916674</v>
      </c>
      <c r="AQ295" s="110">
        <v>91.603294921875019</v>
      </c>
      <c r="AR295" s="110">
        <v>45.156361569010414</v>
      </c>
      <c r="AS295" s="110">
        <v>44.831419775173615</v>
      </c>
      <c r="AT295" s="110">
        <v>47.737166848524296</v>
      </c>
      <c r="AU295" s="110">
        <v>51.817533260850702</v>
      </c>
      <c r="AV295" s="110">
        <v>55.572957879340287</v>
      </c>
      <c r="AW295" s="110">
        <v>59.653324291666664</v>
      </c>
      <c r="AX295" s="110">
        <v>48.911786187500006</v>
      </c>
      <c r="AY295" s="110">
        <v>50.736289114149308</v>
      </c>
      <c r="AZ295" s="110">
        <v>59.8460692013889</v>
      </c>
      <c r="BA295" s="110">
        <v>62.359277407552085</v>
      </c>
      <c r="BB295" s="110">
        <v>78.966863158854167</v>
      </c>
      <c r="BC295" s="110">
        <v>91.790248910156279</v>
      </c>
      <c r="BD295" s="110">
        <v>45.091082283919278</v>
      </c>
      <c r="BE295" s="110">
        <v>44.769246776219632</v>
      </c>
      <c r="BF295" s="110">
        <v>47.672212052699663</v>
      </c>
      <c r="BG295" s="110">
        <v>51.758791037300355</v>
      </c>
      <c r="BH295" s="110">
        <v>55.523534514201401</v>
      </c>
      <c r="BI295" s="110">
        <v>59.610113498802079</v>
      </c>
      <c r="BJ295" s="110">
        <v>48.855825760820323</v>
      </c>
      <c r="BK295" s="110">
        <v>50.683110484340283</v>
      </c>
      <c r="BL295" s="110">
        <v>59.778657097960078</v>
      </c>
      <c r="BM295" s="110">
        <v>62.294971590260431</v>
      </c>
      <c r="BN295" s="110">
        <v>78.917764282981778</v>
      </c>
      <c r="BO295" s="110">
        <v>91.756356975703142</v>
      </c>
      <c r="BP295" s="234"/>
    </row>
    <row r="296" spans="2:68" ht="12" customHeight="1" outlineLevel="1">
      <c r="B296" s="112"/>
      <c r="C296" s="101" t="str">
        <v>Replenishment</v>
      </c>
      <c r="F296" s="109" t="str">
        <v>[employees]</v>
      </c>
      <c r="G296" s="234">
        <v>0</v>
      </c>
      <c r="H296" s="110">
        <v>24.164725378787882</v>
      </c>
      <c r="I296" s="110">
        <v>24.325915404040408</v>
      </c>
      <c r="J296" s="110">
        <v>25.852730429292933</v>
      </c>
      <c r="K296" s="110">
        <v>27.925110479797979</v>
      </c>
      <c r="L296" s="110">
        <v>30.158680555555559</v>
      </c>
      <c r="M296" s="110">
        <v>32.231060606060609</v>
      </c>
      <c r="N296" s="110">
        <v>26.398295454545455</v>
      </c>
      <c r="O296" s="110">
        <v>26.621480429292934</v>
      </c>
      <c r="P296" s="110">
        <v>31.517550505050508</v>
      </c>
      <c r="Q296" s="110">
        <v>32.728740530303028</v>
      </c>
      <c r="R296" s="110">
        <v>39.546685606060606</v>
      </c>
      <c r="S296" s="110">
        <v>44.964630681818178</v>
      </c>
      <c r="T296" s="110">
        <v>25.005886363636364</v>
      </c>
      <c r="U296" s="110">
        <v>25.158154829545456</v>
      </c>
      <c r="V296" s="110">
        <v>26.740626420454543</v>
      </c>
      <c r="W296" s="110">
        <v>28.900163352272727</v>
      </c>
      <c r="X296" s="110">
        <v>31.21196875</v>
      </c>
      <c r="Y296" s="110">
        <v>33.371505681818178</v>
      </c>
      <c r="Z296" s="110">
        <v>27.317691761363641</v>
      </c>
      <c r="AA296" s="110">
        <v>27.590220170454547</v>
      </c>
      <c r="AB296" s="110">
        <v>32.654838068181824</v>
      </c>
      <c r="AC296" s="110">
        <v>33.920106534090905</v>
      </c>
      <c r="AD296" s="110">
        <v>41.108708806818179</v>
      </c>
      <c r="AE296" s="110">
        <v>46.813311079545457</v>
      </c>
      <c r="AF296" s="110">
        <v>25.490684588068184</v>
      </c>
      <c r="AG296" s="110">
        <v>25.653012935606064</v>
      </c>
      <c r="AH296" s="110">
        <v>27.267804408143938</v>
      </c>
      <c r="AI296" s="110">
        <v>29.484561103219697</v>
      </c>
      <c r="AJ296" s="110">
        <v>31.863646145833336</v>
      </c>
      <c r="AK296" s="110">
        <v>34.080402840909095</v>
      </c>
      <c r="AL296" s="110">
        <v>27.869769630681823</v>
      </c>
      <c r="AM296" s="110">
        <v>28.147078158143938</v>
      </c>
      <c r="AN296" s="110">
        <v>33.308655700757576</v>
      </c>
      <c r="AO296" s="110">
        <v>34.606244048295466</v>
      </c>
      <c r="AP296" s="110">
        <v>41.96600596590909</v>
      </c>
      <c r="AQ296" s="110">
        <v>47.812087883522729</v>
      </c>
      <c r="AR296" s="110">
        <v>25.53196768821023</v>
      </c>
      <c r="AS296" s="110">
        <v>25.701066148674244</v>
      </c>
      <c r="AT296" s="110">
        <v>27.319455702888256</v>
      </c>
      <c r="AU296" s="110">
        <v>29.549752623816289</v>
      </c>
      <c r="AV296" s="110">
        <v>31.949148005208336</v>
      </c>
      <c r="AW296" s="110">
        <v>34.179444926136362</v>
      </c>
      <c r="AX296" s="110">
        <v>27.931363069602281</v>
      </c>
      <c r="AY296" s="110">
        <v>28.205073515388261</v>
      </c>
      <c r="AZ296" s="110">
        <v>33.374273271780304</v>
      </c>
      <c r="BA296" s="110">
        <v>34.67863173224432</v>
      </c>
      <c r="BB296" s="110">
        <v>42.061876019886377</v>
      </c>
      <c r="BC296" s="110">
        <v>47.931440307528412</v>
      </c>
      <c r="BD296" s="110">
        <v>25.481793081676138</v>
      </c>
      <c r="BE296" s="110">
        <v>25.653513159152464</v>
      </c>
      <c r="BF296" s="110">
        <v>27.269813863972537</v>
      </c>
      <c r="BG296" s="110">
        <v>29.505354018925193</v>
      </c>
      <c r="BH296" s="110">
        <v>31.912614251354171</v>
      </c>
      <c r="BI296" s="110">
        <v>34.148154406306823</v>
      </c>
      <c r="BJ296" s="110">
        <v>27.889053314105116</v>
      </c>
      <c r="BK296" s="110">
        <v>28.164852609285038</v>
      </c>
      <c r="BL296" s="110">
        <v>33.323075351089017</v>
      </c>
      <c r="BM296" s="110">
        <v>34.630055428565342</v>
      </c>
      <c r="BN296" s="110">
        <v>42.025875033650571</v>
      </c>
      <c r="BO296" s="110">
        <v>47.908014638735807</v>
      </c>
      <c r="BP296" s="234"/>
    </row>
    <row r="297" spans="2:68" ht="12" customHeight="1" outlineLevel="1">
      <c r="B297" s="112"/>
      <c r="C297" s="101" t="str">
        <v>Outbound Loading</v>
      </c>
      <c r="F297" s="109" t="str">
        <v>[employees]</v>
      </c>
      <c r="G297" s="234">
        <v>0</v>
      </c>
      <c r="H297" s="110">
        <v>25.890777191558442</v>
      </c>
      <c r="I297" s="110">
        <v>26.063480790043293</v>
      </c>
      <c r="J297" s="110">
        <v>27.699354031385287</v>
      </c>
      <c r="K297" s="110">
        <v>29.919761228354979</v>
      </c>
      <c r="L297" s="110">
        <v>32.312872023809533</v>
      </c>
      <c r="M297" s="110">
        <v>34.533279220779221</v>
      </c>
      <c r="N297" s="110">
        <v>28.283887987012985</v>
      </c>
      <c r="O297" s="110">
        <v>28.523014745670999</v>
      </c>
      <c r="P297" s="110">
        <v>33.768804112554115</v>
      </c>
      <c r="Q297" s="110">
        <v>35.066507711038959</v>
      </c>
      <c r="R297" s="110">
        <v>42.37144886363636</v>
      </c>
      <c r="S297" s="110">
        <v>48.176390016233761</v>
      </c>
      <c r="T297" s="110">
        <v>26.792021103896104</v>
      </c>
      <c r="U297" s="110">
        <v>26.9551658887987</v>
      </c>
      <c r="V297" s="110">
        <v>28.650671164772728</v>
      </c>
      <c r="W297" s="110">
        <v>30.964460734577919</v>
      </c>
      <c r="X297" s="110">
        <v>33.441395089285713</v>
      </c>
      <c r="Y297" s="110">
        <v>35.755184659090908</v>
      </c>
      <c r="Z297" s="110">
        <v>29.268955458603898</v>
      </c>
      <c r="AA297" s="110">
        <v>29.56095018262987</v>
      </c>
      <c r="AB297" s="110">
        <v>34.987326501623379</v>
      </c>
      <c r="AC297" s="110">
        <v>36.342971286525973</v>
      </c>
      <c r="AD297" s="110">
        <v>44.045045150162338</v>
      </c>
      <c r="AE297" s="110">
        <v>50.157119013798699</v>
      </c>
      <c r="AF297" s="110">
        <v>27.311447772930194</v>
      </c>
      <c r="AG297" s="110">
        <v>27.485371002435066</v>
      </c>
      <c r="AH297" s="110">
        <v>29.215504723011367</v>
      </c>
      <c r="AI297" s="110">
        <v>31.590601182021107</v>
      </c>
      <c r="AJ297" s="110">
        <v>34.139620870535722</v>
      </c>
      <c r="AK297" s="110">
        <v>36.514717329545462</v>
      </c>
      <c r="AL297" s="110">
        <v>29.860467461444806</v>
      </c>
      <c r="AM297" s="110">
        <v>30.157583740868507</v>
      </c>
      <c r="AN297" s="110">
        <v>35.687845393668837</v>
      </c>
      <c r="AO297" s="110">
        <v>37.078118623173708</v>
      </c>
      <c r="AP297" s="110">
        <v>44.963577820616884</v>
      </c>
      <c r="AQ297" s="110">
        <v>51.227237018060066</v>
      </c>
      <c r="AR297" s="110">
        <v>27.355679665939533</v>
      </c>
      <c r="AS297" s="110">
        <v>27.536856587865266</v>
      </c>
      <c r="AT297" s="110">
        <v>29.270845395951703</v>
      </c>
      <c r="AU297" s="110">
        <v>31.660449239803164</v>
      </c>
      <c r="AV297" s="110">
        <v>34.231230005580358</v>
      </c>
      <c r="AW297" s="110">
        <v>36.620833849431818</v>
      </c>
      <c r="AX297" s="110">
        <v>29.926460431716727</v>
      </c>
      <c r="AY297" s="110">
        <v>30.219721623630278</v>
      </c>
      <c r="AZ297" s="110">
        <v>35.75814993405033</v>
      </c>
      <c r="BA297" s="110">
        <v>37.155676855976061</v>
      </c>
      <c r="BB297" s="110">
        <v>45.06629573559254</v>
      </c>
      <c r="BC297" s="110">
        <v>51.355114615209018</v>
      </c>
      <c r="BD297" s="110">
        <v>27.301921158938718</v>
      </c>
      <c r="BE297" s="110">
        <v>27.485906956234782</v>
      </c>
      <c r="BF297" s="110">
        <v>29.217657711399148</v>
      </c>
      <c r="BG297" s="110">
        <v>31.612879305991278</v>
      </c>
      <c r="BH297" s="110">
        <v>34.192086697879468</v>
      </c>
      <c r="BI297" s="110">
        <v>36.587308292471597</v>
      </c>
      <c r="BJ297" s="110">
        <v>29.881128550826908</v>
      </c>
      <c r="BK297" s="110">
        <v>30.17662779566254</v>
      </c>
      <c r="BL297" s="110">
        <v>35.70329501902394</v>
      </c>
      <c r="BM297" s="110">
        <v>37.103630816320006</v>
      </c>
      <c r="BN297" s="110">
        <v>45.027723250339896</v>
      </c>
      <c r="BO297" s="110">
        <v>51.330015684359793</v>
      </c>
      <c r="BP297" s="234"/>
    </row>
    <row r="298" spans="2:68" ht="12" customHeight="1" outlineLevel="1">
      <c r="B298" s="112"/>
    </row>
    <row r="299" spans="2:68" ht="12" customHeight="1" outlineLevel="1">
      <c r="B299" s="160" t="s">
        <v>111</v>
      </c>
    </row>
    <row r="300" spans="2:68" ht="12" customHeight="1" outlineLevel="1">
      <c r="B300" s="112"/>
      <c r="C300" s="226" t="str">
        <f t="array" ref="C300:C304">_xlfn.ANCHORARRAY(C285)</f>
        <v>Inbound unloading</v>
      </c>
      <c r="D300" s="235">
        <f>Assumptions!H10</f>
        <v>3</v>
      </c>
      <c r="E300" s="236" t="s">
        <v>112</v>
      </c>
      <c r="F300" s="109" t="s">
        <v>113</v>
      </c>
      <c r="G300" s="197">
        <f t="array" ref="G300:BO304">G293:BO297/D300:D304</f>
        <v>0</v>
      </c>
      <c r="H300" s="185">
        <v>10.439639230850167</v>
      </c>
      <c r="I300" s="185">
        <v>11.096196272622054</v>
      </c>
      <c r="J300" s="185">
        <v>11.989075981165826</v>
      </c>
      <c r="K300" s="185">
        <v>12.941937210648149</v>
      </c>
      <c r="L300" s="185">
        <v>13.834816919191917</v>
      </c>
      <c r="M300" s="185">
        <v>11.332518939393941</v>
      </c>
      <c r="N300" s="185">
        <v>11.448878564288719</v>
      </c>
      <c r="O300" s="185">
        <v>13.551375210437712</v>
      </c>
      <c r="P300" s="185">
        <v>14.075106731376264</v>
      </c>
      <c r="Q300" s="185">
        <v>17.05930910669192</v>
      </c>
      <c r="R300" s="185">
        <v>19.425178148674245</v>
      </c>
      <c r="S300" s="185">
        <v>10.752651479640152</v>
      </c>
      <c r="T300" s="185">
        <v>10.808833023595332</v>
      </c>
      <c r="U300" s="185">
        <v>11.490079215988006</v>
      </c>
      <c r="V300" s="185">
        <v>12.421733970565024</v>
      </c>
      <c r="W300" s="185">
        <v>13.409570269097223</v>
      </c>
      <c r="X300" s="185">
        <v>14.341225023674246</v>
      </c>
      <c r="Y300" s="185">
        <v>11.740487778172351</v>
      </c>
      <c r="Z300" s="185">
        <v>11.87853325244634</v>
      </c>
      <c r="AA300" s="185">
        <v>14.05576147806187</v>
      </c>
      <c r="AB300" s="185">
        <v>14.603518022017049</v>
      </c>
      <c r="AC300" s="185">
        <v>17.751881338778414</v>
      </c>
      <c r="AD300" s="185">
        <v>20.244811322206441</v>
      </c>
      <c r="AE300" s="185">
        <v>10.969791231356533</v>
      </c>
      <c r="AF300" s="185">
        <v>11.03061725875947</v>
      </c>
      <c r="AG300" s="185">
        <v>11.726339434599906</v>
      </c>
      <c r="AH300" s="185">
        <v>12.683668989405776</v>
      </c>
      <c r="AI300" s="185">
        <v>13.701824571614587</v>
      </c>
      <c r="AJ300" s="185">
        <v>14.659154126420455</v>
      </c>
      <c r="AK300" s="185">
        <v>11.987946813565342</v>
      </c>
      <c r="AL300" s="185">
        <v>12.127902137724908</v>
      </c>
      <c r="AM300" s="185">
        <v>14.348558313683711</v>
      </c>
      <c r="AN300" s="185">
        <v>14.910790841086651</v>
      </c>
      <c r="AO300" s="185">
        <v>18.135353774857958</v>
      </c>
      <c r="AP300" s="185">
        <v>20.691374708629265</v>
      </c>
      <c r="AQ300" s="185">
        <v>10.994760532359729</v>
      </c>
      <c r="AR300" s="185">
        <v>11.058942048709755</v>
      </c>
      <c r="AS300" s="185">
        <v>11.756684817012903</v>
      </c>
      <c r="AT300" s="185">
        <v>12.720725349712952</v>
      </c>
      <c r="AU300" s="185">
        <v>13.748947398763022</v>
      </c>
      <c r="AV300" s="185">
        <v>14.712987931463067</v>
      </c>
      <c r="AW300" s="185">
        <v>12.022982581409801</v>
      </c>
      <c r="AX300" s="185">
        <v>12.160917313106651</v>
      </c>
      <c r="AY300" s="185">
        <v>14.386300369969227</v>
      </c>
      <c r="AZ300" s="185">
        <v>14.951888386319252</v>
      </c>
      <c r="BA300" s="185">
        <v>18.1878526834162</v>
      </c>
      <c r="BB300" s="185">
        <v>20.755274980513146</v>
      </c>
      <c r="BC300" s="185">
        <v>10.979090783810369</v>
      </c>
      <c r="BD300" s="185">
        <v>11.044738590544213</v>
      </c>
      <c r="BE300" s="185">
        <v>11.741965327951881</v>
      </c>
      <c r="BF300" s="185">
        <v>12.708938441419569</v>
      </c>
      <c r="BG300" s="185">
        <v>13.741559361621094</v>
      </c>
      <c r="BH300" s="185">
        <v>14.708532475088781</v>
      </c>
      <c r="BI300" s="185">
        <v>12.011711704011896</v>
      </c>
      <c r="BJ300" s="185">
        <v>12.150162466604227</v>
      </c>
      <c r="BK300" s="185">
        <v>14.372015109501069</v>
      </c>
      <c r="BL300" s="185">
        <v>14.939069416234913</v>
      </c>
      <c r="BM300" s="185">
        <v>18.181414905762608</v>
      </c>
      <c r="BN300" s="185">
        <v>20.75521839529031</v>
      </c>
      <c r="BO300" s="185">
        <v>10.973950247974846</v>
      </c>
      <c r="BP300" s="149"/>
    </row>
    <row r="301" spans="2:68" ht="12" customHeight="1" outlineLevel="1">
      <c r="B301" s="112"/>
      <c r="C301" s="101" t="str">
        <v>Putaway to rack</v>
      </c>
      <c r="D301" s="237">
        <f>Assumptions!H10</f>
        <v>3</v>
      </c>
      <c r="E301" s="238" t="s">
        <v>112</v>
      </c>
      <c r="F301" s="109" t="s">
        <v>113</v>
      </c>
      <c r="G301" s="197">
        <v>0</v>
      </c>
      <c r="H301" s="185">
        <v>12.527567077020199</v>
      </c>
      <c r="I301" s="185">
        <v>13.315435527146464</v>
      </c>
      <c r="J301" s="185">
        <v>14.386891177398992</v>
      </c>
      <c r="K301" s="185">
        <v>15.530324652777779</v>
      </c>
      <c r="L301" s="185">
        <v>16.601780303030303</v>
      </c>
      <c r="M301" s="185">
        <v>13.599022727272727</v>
      </c>
      <c r="N301" s="185">
        <v>13.738654277146464</v>
      </c>
      <c r="O301" s="185">
        <v>16.261650252525254</v>
      </c>
      <c r="P301" s="185">
        <v>16.890128077651514</v>
      </c>
      <c r="Q301" s="185">
        <v>20.4711709280303</v>
      </c>
      <c r="R301" s="185">
        <v>23.310213778409093</v>
      </c>
      <c r="S301" s="185">
        <v>12.90318177556818</v>
      </c>
      <c r="T301" s="185">
        <v>12.970599628314396</v>
      </c>
      <c r="U301" s="185">
        <v>13.788095059185608</v>
      </c>
      <c r="V301" s="185">
        <v>14.906080764678029</v>
      </c>
      <c r="W301" s="185">
        <v>16.091484322916667</v>
      </c>
      <c r="X301" s="185">
        <v>17.209470028409093</v>
      </c>
      <c r="Y301" s="185">
        <v>14.088585333806819</v>
      </c>
      <c r="Z301" s="185">
        <v>14.254239902935609</v>
      </c>
      <c r="AA301" s="185">
        <v>16.866913773674245</v>
      </c>
      <c r="AB301" s="185">
        <v>17.524221626420459</v>
      </c>
      <c r="AC301" s="185">
        <v>21.302257606534095</v>
      </c>
      <c r="AD301" s="185">
        <v>24.293773586647731</v>
      </c>
      <c r="AE301" s="185">
        <v>13.163749477627841</v>
      </c>
      <c r="AF301" s="185">
        <v>13.236740710511363</v>
      </c>
      <c r="AG301" s="185">
        <v>14.071607321519886</v>
      </c>
      <c r="AH301" s="185">
        <v>15.220402787286934</v>
      </c>
      <c r="AI301" s="185">
        <v>16.442189485937504</v>
      </c>
      <c r="AJ301" s="185">
        <v>17.590984951704545</v>
      </c>
      <c r="AK301" s="185">
        <v>14.385536176278412</v>
      </c>
      <c r="AL301" s="185">
        <v>14.553482565269887</v>
      </c>
      <c r="AM301" s="185">
        <v>17.218269976420455</v>
      </c>
      <c r="AN301" s="185">
        <v>17.89294900930398</v>
      </c>
      <c r="AO301" s="185">
        <v>21.762424529829548</v>
      </c>
      <c r="AP301" s="185">
        <v>24.829649650355112</v>
      </c>
      <c r="AQ301" s="185">
        <v>13.193712638831675</v>
      </c>
      <c r="AR301" s="185">
        <v>13.270730458451707</v>
      </c>
      <c r="AS301" s="185">
        <v>14.108021780415484</v>
      </c>
      <c r="AT301" s="185">
        <v>15.264870419655542</v>
      </c>
      <c r="AU301" s="185">
        <v>16.498736878515626</v>
      </c>
      <c r="AV301" s="185">
        <v>17.655585517755682</v>
      </c>
      <c r="AW301" s="185">
        <v>14.427579097691762</v>
      </c>
      <c r="AX301" s="185">
        <v>14.593100775727983</v>
      </c>
      <c r="AY301" s="185">
        <v>17.263560443963073</v>
      </c>
      <c r="AZ301" s="185">
        <v>17.942266063583101</v>
      </c>
      <c r="BA301" s="185">
        <v>21.825423220099438</v>
      </c>
      <c r="BB301" s="185">
        <v>24.906329976615769</v>
      </c>
      <c r="BC301" s="185">
        <v>13.174908940572443</v>
      </c>
      <c r="BD301" s="185">
        <v>13.253686308653057</v>
      </c>
      <c r="BE301" s="185">
        <v>14.090358393542258</v>
      </c>
      <c r="BF301" s="185">
        <v>15.250726129703486</v>
      </c>
      <c r="BG301" s="185">
        <v>16.489871233945312</v>
      </c>
      <c r="BH301" s="185">
        <v>17.650238970106532</v>
      </c>
      <c r="BI301" s="185">
        <v>14.414054044814279</v>
      </c>
      <c r="BJ301" s="185">
        <v>14.580194959925072</v>
      </c>
      <c r="BK301" s="185">
        <v>17.246418131401281</v>
      </c>
      <c r="BL301" s="185">
        <v>17.92688329948189</v>
      </c>
      <c r="BM301" s="185">
        <v>21.817697886915131</v>
      </c>
      <c r="BN301" s="185">
        <v>24.906262074348376</v>
      </c>
      <c r="BO301" s="185">
        <v>13.168740297569812</v>
      </c>
      <c r="BP301" s="149"/>
    </row>
    <row r="302" spans="2:68" ht="12" customHeight="1" outlineLevel="1">
      <c r="B302" s="112"/>
      <c r="C302" s="101" t="str">
        <v>Picking</v>
      </c>
      <c r="D302" s="237">
        <f>Assumptions!H10</f>
        <v>3</v>
      </c>
      <c r="E302" s="238" t="s">
        <v>112</v>
      </c>
      <c r="F302" s="109" t="s">
        <v>113</v>
      </c>
      <c r="G302" s="197">
        <v>0</v>
      </c>
      <c r="H302" s="185">
        <v>14.163194444444443</v>
      </c>
      <c r="I302" s="185">
        <v>14.065827546296298</v>
      </c>
      <c r="J302" s="185">
        <v>14.974971064814815</v>
      </c>
      <c r="K302" s="185">
        <v>16.238570601851851</v>
      </c>
      <c r="L302" s="185">
        <v>17.404803240740737</v>
      </c>
      <c r="M302" s="185">
        <v>18.668402777777779</v>
      </c>
      <c r="N302" s="185">
        <v>15.329427083333334</v>
      </c>
      <c r="O302" s="185">
        <v>15.878616898148147</v>
      </c>
      <c r="P302" s="185">
        <v>18.737557870370374</v>
      </c>
      <c r="Q302" s="185">
        <v>19.515190972222225</v>
      </c>
      <c r="R302" s="185">
        <v>24.633246527777782</v>
      </c>
      <c r="S302" s="185">
        <v>28.584635416666668</v>
      </c>
      <c r="T302" s="185">
        <v>14.728096788194444</v>
      </c>
      <c r="U302" s="185">
        <v>14.615057146990742</v>
      </c>
      <c r="V302" s="185">
        <v>15.561685474537036</v>
      </c>
      <c r="W302" s="185">
        <v>16.881439525462962</v>
      </c>
      <c r="X302" s="185">
        <v>18.088153935185186</v>
      </c>
      <c r="Y302" s="185">
        <v>19.407907986111113</v>
      </c>
      <c r="Z302" s="185">
        <v>15.934811197916668</v>
      </c>
      <c r="AA302" s="185">
        <v>16.534016203703704</v>
      </c>
      <c r="AB302" s="185">
        <v>19.506069155092593</v>
      </c>
      <c r="AC302" s="185">
        <v>20.320529513888889</v>
      </c>
      <c r="AD302" s="185">
        <v>25.723409288194443</v>
      </c>
      <c r="AE302" s="185">
        <v>29.889622395833339</v>
      </c>
      <c r="AF302" s="185">
        <v>15.027925998263891</v>
      </c>
      <c r="AG302" s="185">
        <v>14.916324971064816</v>
      </c>
      <c r="AH302" s="185">
        <v>15.882941912615742</v>
      </c>
      <c r="AI302" s="185">
        <v>17.236489858217592</v>
      </c>
      <c r="AJ302" s="185">
        <v>18.47843677662037</v>
      </c>
      <c r="AK302" s="185">
        <v>19.83198472222222</v>
      </c>
      <c r="AL302" s="185">
        <v>16.269872916666667</v>
      </c>
      <c r="AM302" s="185">
        <v>16.88000597511574</v>
      </c>
      <c r="AN302" s="185">
        <v>19.912024768518517</v>
      </c>
      <c r="AO302" s="185">
        <v>20.746473741319448</v>
      </c>
      <c r="AP302" s="185">
        <v>26.271152690972226</v>
      </c>
      <c r="AQ302" s="185">
        <v>30.534431640625005</v>
      </c>
      <c r="AR302" s="185">
        <v>15.052120523003472</v>
      </c>
      <c r="AS302" s="185">
        <v>14.943806591724538</v>
      </c>
      <c r="AT302" s="185">
        <v>15.912388949508099</v>
      </c>
      <c r="AU302" s="185">
        <v>17.272511086950235</v>
      </c>
      <c r="AV302" s="185">
        <v>18.524319293113429</v>
      </c>
      <c r="AW302" s="185">
        <v>19.884441430555555</v>
      </c>
      <c r="AX302" s="185">
        <v>16.303928729166667</v>
      </c>
      <c r="AY302" s="185">
        <v>16.912096371383104</v>
      </c>
      <c r="AZ302" s="185">
        <v>19.9486897337963</v>
      </c>
      <c r="BA302" s="185">
        <v>20.78642580251736</v>
      </c>
      <c r="BB302" s="185">
        <v>26.322287719618057</v>
      </c>
      <c r="BC302" s="185">
        <v>30.596749636718759</v>
      </c>
      <c r="BD302" s="185">
        <v>15.030360761306426</v>
      </c>
      <c r="BE302" s="185">
        <v>14.923082258739877</v>
      </c>
      <c r="BF302" s="185">
        <v>15.890737350899888</v>
      </c>
      <c r="BG302" s="185">
        <v>17.252930345766785</v>
      </c>
      <c r="BH302" s="185">
        <v>18.507844838067133</v>
      </c>
      <c r="BI302" s="185">
        <v>19.870037832934027</v>
      </c>
      <c r="BJ302" s="185">
        <v>16.285275253606773</v>
      </c>
      <c r="BK302" s="185">
        <v>16.894370161446762</v>
      </c>
      <c r="BL302" s="185">
        <v>19.926219032653361</v>
      </c>
      <c r="BM302" s="185">
        <v>20.764990530086809</v>
      </c>
      <c r="BN302" s="185">
        <v>26.305921427660593</v>
      </c>
      <c r="BO302" s="185">
        <v>30.585452325234382</v>
      </c>
      <c r="BP302" s="149"/>
    </row>
    <row r="303" spans="2:68" ht="12" customHeight="1" outlineLevel="1">
      <c r="B303" s="112"/>
      <c r="C303" s="101" t="str">
        <v>Replenishment</v>
      </c>
      <c r="D303" s="237">
        <f>Assumptions!H10</f>
        <v>3</v>
      </c>
      <c r="E303" s="238" t="s">
        <v>112</v>
      </c>
      <c r="F303" s="109" t="s">
        <v>113</v>
      </c>
      <c r="G303" s="197">
        <v>0</v>
      </c>
      <c r="H303" s="185">
        <v>8.0549084595959606</v>
      </c>
      <c r="I303" s="185">
        <v>8.1086384680134689</v>
      </c>
      <c r="J303" s="185">
        <v>8.6175768097643104</v>
      </c>
      <c r="K303" s="185">
        <v>9.3083701599326591</v>
      </c>
      <c r="L303" s="185">
        <v>10.05289351851852</v>
      </c>
      <c r="M303" s="185">
        <v>10.74368686868687</v>
      </c>
      <c r="N303" s="185">
        <v>8.7994318181818176</v>
      </c>
      <c r="O303" s="185">
        <v>8.8738268097643118</v>
      </c>
      <c r="P303" s="185">
        <v>10.50585016835017</v>
      </c>
      <c r="Q303" s="185">
        <v>10.909580176767676</v>
      </c>
      <c r="R303" s="185">
        <v>13.182228535353536</v>
      </c>
      <c r="S303" s="185">
        <v>14.988210227272726</v>
      </c>
      <c r="T303" s="185">
        <v>8.3352954545454541</v>
      </c>
      <c r="U303" s="185">
        <v>8.3860516098484847</v>
      </c>
      <c r="V303" s="185">
        <v>8.9135421401515149</v>
      </c>
      <c r="W303" s="185">
        <v>9.6333877840909086</v>
      </c>
      <c r="X303" s="185">
        <v>10.403989583333333</v>
      </c>
      <c r="Y303" s="185">
        <v>11.123835227272727</v>
      </c>
      <c r="Z303" s="185">
        <v>9.1058972537878802</v>
      </c>
      <c r="AA303" s="185">
        <v>9.1967400568181823</v>
      </c>
      <c r="AB303" s="185">
        <v>10.884946022727275</v>
      </c>
      <c r="AC303" s="185">
        <v>11.306702178030301</v>
      </c>
      <c r="AD303" s="185">
        <v>13.70290293560606</v>
      </c>
      <c r="AE303" s="185">
        <v>15.604437026515152</v>
      </c>
      <c r="AF303" s="185">
        <v>8.4968948626893948</v>
      </c>
      <c r="AG303" s="185">
        <v>8.551004311868688</v>
      </c>
      <c r="AH303" s="185">
        <v>9.0892681360479788</v>
      </c>
      <c r="AI303" s="185">
        <v>9.8281870344065663</v>
      </c>
      <c r="AJ303" s="185">
        <v>10.621215381944445</v>
      </c>
      <c r="AK303" s="185">
        <v>11.360134280303031</v>
      </c>
      <c r="AL303" s="185">
        <v>9.2899232102272737</v>
      </c>
      <c r="AM303" s="185">
        <v>9.3823593860479786</v>
      </c>
      <c r="AN303" s="185">
        <v>11.102885233585859</v>
      </c>
      <c r="AO303" s="185">
        <v>11.535414682765156</v>
      </c>
      <c r="AP303" s="185">
        <v>13.98866865530303</v>
      </c>
      <c r="AQ303" s="185">
        <v>15.93736262784091</v>
      </c>
      <c r="AR303" s="185">
        <v>8.5106558960700767</v>
      </c>
      <c r="AS303" s="185">
        <v>8.5670220495580818</v>
      </c>
      <c r="AT303" s="185">
        <v>9.1064852342960858</v>
      </c>
      <c r="AU303" s="185">
        <v>9.849917541272097</v>
      </c>
      <c r="AV303" s="185">
        <v>10.649716001736111</v>
      </c>
      <c r="AW303" s="185">
        <v>11.393148308712121</v>
      </c>
      <c r="AX303" s="185">
        <v>9.3104543565340929</v>
      </c>
      <c r="AY303" s="185">
        <v>9.4016911717960863</v>
      </c>
      <c r="AZ303" s="185">
        <v>11.124757757260101</v>
      </c>
      <c r="BA303" s="185">
        <v>11.559543910748106</v>
      </c>
      <c r="BB303" s="185">
        <v>14.020625339962125</v>
      </c>
      <c r="BC303" s="185">
        <v>15.977146769176137</v>
      </c>
      <c r="BD303" s="185">
        <v>8.4939310272253792</v>
      </c>
      <c r="BE303" s="185">
        <v>8.5511710530508207</v>
      </c>
      <c r="BF303" s="185">
        <v>9.089937954657513</v>
      </c>
      <c r="BG303" s="185">
        <v>9.8351180063083969</v>
      </c>
      <c r="BH303" s="185">
        <v>10.637538083784724</v>
      </c>
      <c r="BI303" s="185">
        <v>11.382718135435608</v>
      </c>
      <c r="BJ303" s="185">
        <v>9.2963511047017047</v>
      </c>
      <c r="BK303" s="185">
        <v>9.3882842030950133</v>
      </c>
      <c r="BL303" s="185">
        <v>11.107691783696339</v>
      </c>
      <c r="BM303" s="185">
        <v>11.543351809521781</v>
      </c>
      <c r="BN303" s="185">
        <v>14.008625011216857</v>
      </c>
      <c r="BO303" s="185">
        <v>15.969338212911936</v>
      </c>
      <c r="BP303" s="149"/>
    </row>
    <row r="304" spans="2:68" ht="12" customHeight="1" outlineLevel="1">
      <c r="B304" s="112"/>
      <c r="C304" s="101" t="str">
        <v>Outbound loading</v>
      </c>
      <c r="D304" s="239">
        <f>Assumptions!H10</f>
        <v>3</v>
      </c>
      <c r="E304" s="240" t="s">
        <v>112</v>
      </c>
      <c r="F304" s="109" t="s">
        <v>113</v>
      </c>
      <c r="G304" s="197">
        <v>0</v>
      </c>
      <c r="H304" s="185">
        <v>8.6302590638528134</v>
      </c>
      <c r="I304" s="185">
        <v>8.6878269300144311</v>
      </c>
      <c r="J304" s="185">
        <v>9.2331180104617623</v>
      </c>
      <c r="K304" s="185">
        <v>9.9732537427849923</v>
      </c>
      <c r="L304" s="185">
        <v>10.770957341269844</v>
      </c>
      <c r="M304" s="185">
        <v>11.511093073593074</v>
      </c>
      <c r="N304" s="185">
        <v>9.4279626623376611</v>
      </c>
      <c r="O304" s="185">
        <v>9.5076715818903335</v>
      </c>
      <c r="P304" s="185">
        <v>11.256268037518039</v>
      </c>
      <c r="Q304" s="185">
        <v>11.688835903679653</v>
      </c>
      <c r="R304" s="185">
        <v>14.123816287878787</v>
      </c>
      <c r="S304" s="185">
        <v>16.058796672077921</v>
      </c>
      <c r="T304" s="185">
        <v>8.9306737012987014</v>
      </c>
      <c r="U304" s="185">
        <v>8.9850552962662338</v>
      </c>
      <c r="V304" s="185">
        <v>9.5502237215909087</v>
      </c>
      <c r="W304" s="185">
        <v>10.321486911525973</v>
      </c>
      <c r="X304" s="185">
        <v>11.147131696428572</v>
      </c>
      <c r="Y304" s="185">
        <v>11.918394886363636</v>
      </c>
      <c r="Z304" s="185">
        <v>9.7563184862012999</v>
      </c>
      <c r="AA304" s="185">
        <v>9.8536500608766229</v>
      </c>
      <c r="AB304" s="185">
        <v>11.662442167207793</v>
      </c>
      <c r="AC304" s="185">
        <v>12.114323762175324</v>
      </c>
      <c r="AD304" s="185">
        <v>14.68168171672078</v>
      </c>
      <c r="AE304" s="185">
        <v>16.719039671266234</v>
      </c>
      <c r="AF304" s="185">
        <v>9.103815924310064</v>
      </c>
      <c r="AG304" s="185">
        <v>9.1617903341450226</v>
      </c>
      <c r="AH304" s="185">
        <v>9.738501574337123</v>
      </c>
      <c r="AI304" s="185">
        <v>10.530200394007036</v>
      </c>
      <c r="AJ304" s="185">
        <v>11.379873623511907</v>
      </c>
      <c r="AK304" s="185">
        <v>12.171572443181821</v>
      </c>
      <c r="AL304" s="185">
        <v>9.9534891538149353</v>
      </c>
      <c r="AM304" s="185">
        <v>10.052527913622836</v>
      </c>
      <c r="AN304" s="185">
        <v>11.895948464556279</v>
      </c>
      <c r="AO304" s="185">
        <v>12.359372874391235</v>
      </c>
      <c r="AP304" s="185">
        <v>14.987859273538961</v>
      </c>
      <c r="AQ304" s="185">
        <v>17.07574567268669</v>
      </c>
      <c r="AR304" s="185">
        <v>9.1185598886465105</v>
      </c>
      <c r="AS304" s="185">
        <v>9.1789521959550893</v>
      </c>
      <c r="AT304" s="185">
        <v>9.7569484653172349</v>
      </c>
      <c r="AU304" s="185">
        <v>10.553483079934388</v>
      </c>
      <c r="AV304" s="185">
        <v>11.41041000186012</v>
      </c>
      <c r="AW304" s="185">
        <v>12.206944616477273</v>
      </c>
      <c r="AX304" s="185">
        <v>9.9754868105722423</v>
      </c>
      <c r="AY304" s="185">
        <v>10.073240541210092</v>
      </c>
      <c r="AZ304" s="185">
        <v>11.91938331135011</v>
      </c>
      <c r="BA304" s="185">
        <v>12.385225618658687</v>
      </c>
      <c r="BB304" s="185">
        <v>15.022098578530846</v>
      </c>
      <c r="BC304" s="185">
        <v>17.118371538403007</v>
      </c>
      <c r="BD304" s="185">
        <v>9.1006403863129055</v>
      </c>
      <c r="BE304" s="185">
        <v>9.161968985411594</v>
      </c>
      <c r="BF304" s="185">
        <v>9.7392192371330495</v>
      </c>
      <c r="BG304" s="185">
        <v>10.537626435330425</v>
      </c>
      <c r="BH304" s="185">
        <v>11.39736223262649</v>
      </c>
      <c r="BI304" s="185">
        <v>12.195769430823866</v>
      </c>
      <c r="BJ304" s="185">
        <v>9.9603761836089699</v>
      </c>
      <c r="BK304" s="185">
        <v>10.058875931887513</v>
      </c>
      <c r="BL304" s="185">
        <v>11.901098339674647</v>
      </c>
      <c r="BM304" s="185">
        <v>12.367876938773335</v>
      </c>
      <c r="BN304" s="185">
        <v>15.009241083446632</v>
      </c>
      <c r="BO304" s="185">
        <v>17.110005228119931</v>
      </c>
      <c r="BP304" s="149"/>
    </row>
    <row r="305" spans="2:68" ht="12" customHeight="1" outlineLevel="1">
      <c r="B305" s="112"/>
    </row>
    <row r="306" spans="2:68" ht="12" customHeight="1" outlineLevel="1">
      <c r="B306" s="112" t="s">
        <v>114</v>
      </c>
    </row>
    <row r="307" spans="2:68" ht="12" customHeight="1" outlineLevel="1">
      <c r="B307" s="160" t="s">
        <v>115</v>
      </c>
    </row>
    <row r="308" spans="2:68" ht="12" customHeight="1" outlineLevel="1">
      <c r="B308" s="112"/>
      <c r="C308" s="101" t="str">
        <f t="array" ref="C308:C309">C331:C332</f>
        <v>Reach Truck</v>
      </c>
      <c r="F308" s="109" t="s">
        <v>113</v>
      </c>
      <c r="G308" s="241">
        <f t="shared" ref="G308:P309" si="71">ROUNDUP(SUMIFS(G$300:G$304,$D$278:$D$282,$C308),0)</f>
        <v>0</v>
      </c>
      <c r="H308" s="242">
        <f t="shared" si="71"/>
        <v>21</v>
      </c>
      <c r="I308" s="242">
        <f t="shared" si="71"/>
        <v>22</v>
      </c>
      <c r="J308" s="242">
        <f t="shared" si="71"/>
        <v>24</v>
      </c>
      <c r="K308" s="242">
        <f t="shared" si="71"/>
        <v>25</v>
      </c>
      <c r="L308" s="242">
        <f t="shared" si="71"/>
        <v>27</v>
      </c>
      <c r="M308" s="242">
        <f t="shared" si="71"/>
        <v>25</v>
      </c>
      <c r="N308" s="242">
        <f t="shared" si="71"/>
        <v>23</v>
      </c>
      <c r="O308" s="242">
        <f t="shared" si="71"/>
        <v>26</v>
      </c>
      <c r="P308" s="242">
        <f t="shared" si="71"/>
        <v>28</v>
      </c>
      <c r="Q308" s="242">
        <f t="shared" ref="Q308:Z309" si="72">ROUNDUP(SUMIFS(Q$300:Q$304,$D$278:$D$282,$C308),0)</f>
        <v>32</v>
      </c>
      <c r="R308" s="242">
        <f t="shared" si="72"/>
        <v>37</v>
      </c>
      <c r="S308" s="242">
        <f t="shared" si="72"/>
        <v>28</v>
      </c>
      <c r="T308" s="242">
        <f t="shared" si="72"/>
        <v>22</v>
      </c>
      <c r="U308" s="242">
        <f t="shared" si="72"/>
        <v>23</v>
      </c>
      <c r="V308" s="242">
        <f t="shared" si="72"/>
        <v>24</v>
      </c>
      <c r="W308" s="242">
        <f t="shared" si="72"/>
        <v>26</v>
      </c>
      <c r="X308" s="242">
        <f t="shared" si="72"/>
        <v>28</v>
      </c>
      <c r="Y308" s="242">
        <f t="shared" si="72"/>
        <v>26</v>
      </c>
      <c r="Z308" s="242">
        <f t="shared" si="72"/>
        <v>24</v>
      </c>
      <c r="AA308" s="242">
        <f t="shared" ref="AA308:AJ309" si="73">ROUNDUP(SUMIFS(AA$300:AA$304,$D$278:$D$282,$C308),0)</f>
        <v>27</v>
      </c>
      <c r="AB308" s="242">
        <f t="shared" si="73"/>
        <v>29</v>
      </c>
      <c r="AC308" s="242">
        <f t="shared" si="73"/>
        <v>33</v>
      </c>
      <c r="AD308" s="242">
        <f t="shared" si="73"/>
        <v>38</v>
      </c>
      <c r="AE308" s="242">
        <f t="shared" si="73"/>
        <v>29</v>
      </c>
      <c r="AF308" s="242">
        <f t="shared" si="73"/>
        <v>22</v>
      </c>
      <c r="AG308" s="242">
        <f t="shared" si="73"/>
        <v>23</v>
      </c>
      <c r="AH308" s="242">
        <f t="shared" si="73"/>
        <v>25</v>
      </c>
      <c r="AI308" s="242">
        <f t="shared" si="73"/>
        <v>27</v>
      </c>
      <c r="AJ308" s="242">
        <f t="shared" si="73"/>
        <v>29</v>
      </c>
      <c r="AK308" s="242">
        <f t="shared" ref="AK308:AT309" si="74">ROUNDUP(SUMIFS(AK$300:AK$304,$D$278:$D$282,$C308),0)</f>
        <v>26</v>
      </c>
      <c r="AL308" s="242">
        <f t="shared" si="74"/>
        <v>24</v>
      </c>
      <c r="AM308" s="242">
        <f t="shared" si="74"/>
        <v>27</v>
      </c>
      <c r="AN308" s="242">
        <f t="shared" si="74"/>
        <v>29</v>
      </c>
      <c r="AO308" s="242">
        <f t="shared" si="74"/>
        <v>34</v>
      </c>
      <c r="AP308" s="242">
        <f t="shared" si="74"/>
        <v>39</v>
      </c>
      <c r="AQ308" s="242">
        <f t="shared" si="74"/>
        <v>30</v>
      </c>
      <c r="AR308" s="242">
        <f t="shared" si="74"/>
        <v>22</v>
      </c>
      <c r="AS308" s="242">
        <f t="shared" si="74"/>
        <v>23</v>
      </c>
      <c r="AT308" s="242">
        <f t="shared" si="74"/>
        <v>25</v>
      </c>
      <c r="AU308" s="242">
        <f t="shared" ref="AU308:BD309" si="75">ROUNDUP(SUMIFS(AU$300:AU$304,$D$278:$D$282,$C308),0)</f>
        <v>27</v>
      </c>
      <c r="AV308" s="242">
        <f t="shared" si="75"/>
        <v>29</v>
      </c>
      <c r="AW308" s="242">
        <f t="shared" si="75"/>
        <v>26</v>
      </c>
      <c r="AX308" s="242">
        <f t="shared" si="75"/>
        <v>24</v>
      </c>
      <c r="AY308" s="242">
        <f t="shared" si="75"/>
        <v>27</v>
      </c>
      <c r="AZ308" s="242">
        <f t="shared" si="75"/>
        <v>30</v>
      </c>
      <c r="BA308" s="242">
        <f t="shared" si="75"/>
        <v>34</v>
      </c>
      <c r="BB308" s="242">
        <f t="shared" si="75"/>
        <v>39</v>
      </c>
      <c r="BC308" s="242">
        <f t="shared" si="75"/>
        <v>30</v>
      </c>
      <c r="BD308" s="242">
        <f t="shared" si="75"/>
        <v>22</v>
      </c>
      <c r="BE308" s="242">
        <f t="shared" ref="BE308:BO309" si="76">ROUNDUP(SUMIFS(BE$300:BE$304,$D$278:$D$282,$C308),0)</f>
        <v>23</v>
      </c>
      <c r="BF308" s="242">
        <f t="shared" si="76"/>
        <v>25</v>
      </c>
      <c r="BG308" s="242">
        <f t="shared" si="76"/>
        <v>27</v>
      </c>
      <c r="BH308" s="242">
        <f t="shared" si="76"/>
        <v>29</v>
      </c>
      <c r="BI308" s="242">
        <f t="shared" si="76"/>
        <v>26</v>
      </c>
      <c r="BJ308" s="242">
        <f t="shared" si="76"/>
        <v>24</v>
      </c>
      <c r="BK308" s="242">
        <f t="shared" si="76"/>
        <v>27</v>
      </c>
      <c r="BL308" s="242">
        <f t="shared" si="76"/>
        <v>30</v>
      </c>
      <c r="BM308" s="242">
        <f t="shared" si="76"/>
        <v>34</v>
      </c>
      <c r="BN308" s="242">
        <f t="shared" si="76"/>
        <v>39</v>
      </c>
      <c r="BO308" s="242">
        <f t="shared" si="76"/>
        <v>30</v>
      </c>
      <c r="BP308" s="149"/>
    </row>
    <row r="309" spans="2:68" ht="12" customHeight="1" outlineLevel="1">
      <c r="B309" s="112"/>
      <c r="C309" s="101" t="str">
        <v>Powered Pallet Truck</v>
      </c>
      <c r="F309" s="109" t="s">
        <v>113</v>
      </c>
      <c r="G309" s="241">
        <f t="shared" si="71"/>
        <v>0</v>
      </c>
      <c r="H309" s="242">
        <f t="shared" si="71"/>
        <v>34</v>
      </c>
      <c r="I309" s="242">
        <f t="shared" si="71"/>
        <v>34</v>
      </c>
      <c r="J309" s="242">
        <f t="shared" si="71"/>
        <v>37</v>
      </c>
      <c r="K309" s="242">
        <f t="shared" si="71"/>
        <v>40</v>
      </c>
      <c r="L309" s="242">
        <f t="shared" si="71"/>
        <v>43</v>
      </c>
      <c r="M309" s="242">
        <f t="shared" si="71"/>
        <v>42</v>
      </c>
      <c r="N309" s="242">
        <f t="shared" si="71"/>
        <v>37</v>
      </c>
      <c r="O309" s="242">
        <f t="shared" si="71"/>
        <v>39</v>
      </c>
      <c r="P309" s="242">
        <f t="shared" si="71"/>
        <v>45</v>
      </c>
      <c r="Q309" s="242">
        <f t="shared" si="72"/>
        <v>49</v>
      </c>
      <c r="R309" s="242">
        <f t="shared" si="72"/>
        <v>59</v>
      </c>
      <c r="S309" s="242">
        <f t="shared" si="72"/>
        <v>56</v>
      </c>
      <c r="T309" s="242">
        <f t="shared" si="72"/>
        <v>35</v>
      </c>
      <c r="U309" s="242">
        <f t="shared" si="72"/>
        <v>36</v>
      </c>
      <c r="V309" s="242">
        <f t="shared" si="72"/>
        <v>38</v>
      </c>
      <c r="W309" s="242">
        <f t="shared" si="72"/>
        <v>41</v>
      </c>
      <c r="X309" s="242">
        <f t="shared" si="72"/>
        <v>44</v>
      </c>
      <c r="Y309" s="242">
        <f t="shared" si="72"/>
        <v>44</v>
      </c>
      <c r="Z309" s="242">
        <f t="shared" si="72"/>
        <v>38</v>
      </c>
      <c r="AA309" s="242">
        <f t="shared" si="73"/>
        <v>41</v>
      </c>
      <c r="AB309" s="242">
        <f t="shared" si="73"/>
        <v>46</v>
      </c>
      <c r="AC309" s="242">
        <f t="shared" si="73"/>
        <v>51</v>
      </c>
      <c r="AD309" s="242">
        <f t="shared" si="73"/>
        <v>61</v>
      </c>
      <c r="AE309" s="242">
        <f t="shared" si="73"/>
        <v>58</v>
      </c>
      <c r="AF309" s="242">
        <f t="shared" si="73"/>
        <v>36</v>
      </c>
      <c r="AG309" s="242">
        <f t="shared" si="73"/>
        <v>36</v>
      </c>
      <c r="AH309" s="242">
        <f t="shared" si="73"/>
        <v>39</v>
      </c>
      <c r="AI309" s="242">
        <f t="shared" si="73"/>
        <v>42</v>
      </c>
      <c r="AJ309" s="242">
        <f t="shared" si="73"/>
        <v>45</v>
      </c>
      <c r="AK309" s="242">
        <f t="shared" si="74"/>
        <v>44</v>
      </c>
      <c r="AL309" s="242">
        <f t="shared" si="74"/>
        <v>39</v>
      </c>
      <c r="AM309" s="242">
        <f t="shared" si="74"/>
        <v>42</v>
      </c>
      <c r="AN309" s="242">
        <f t="shared" si="74"/>
        <v>47</v>
      </c>
      <c r="AO309" s="242">
        <f t="shared" si="74"/>
        <v>52</v>
      </c>
      <c r="AP309" s="242">
        <f t="shared" si="74"/>
        <v>62</v>
      </c>
      <c r="AQ309" s="242">
        <f t="shared" si="74"/>
        <v>59</v>
      </c>
      <c r="AR309" s="242">
        <f t="shared" si="74"/>
        <v>36</v>
      </c>
      <c r="AS309" s="242">
        <f t="shared" si="74"/>
        <v>36</v>
      </c>
      <c r="AT309" s="242">
        <f t="shared" si="74"/>
        <v>39</v>
      </c>
      <c r="AU309" s="242">
        <f t="shared" si="75"/>
        <v>42</v>
      </c>
      <c r="AV309" s="242">
        <f t="shared" si="75"/>
        <v>45</v>
      </c>
      <c r="AW309" s="242">
        <f t="shared" si="75"/>
        <v>45</v>
      </c>
      <c r="AX309" s="242">
        <f t="shared" si="75"/>
        <v>39</v>
      </c>
      <c r="AY309" s="242">
        <f t="shared" si="75"/>
        <v>42</v>
      </c>
      <c r="AZ309" s="242">
        <f t="shared" si="75"/>
        <v>47</v>
      </c>
      <c r="BA309" s="242">
        <f t="shared" si="75"/>
        <v>52</v>
      </c>
      <c r="BB309" s="242">
        <f t="shared" si="75"/>
        <v>63</v>
      </c>
      <c r="BC309" s="242">
        <f t="shared" si="75"/>
        <v>59</v>
      </c>
      <c r="BD309" s="242">
        <f t="shared" si="75"/>
        <v>36</v>
      </c>
      <c r="BE309" s="242">
        <f t="shared" si="76"/>
        <v>36</v>
      </c>
      <c r="BF309" s="242">
        <f t="shared" si="76"/>
        <v>39</v>
      </c>
      <c r="BG309" s="242">
        <f t="shared" si="76"/>
        <v>42</v>
      </c>
      <c r="BH309" s="242">
        <f t="shared" si="76"/>
        <v>45</v>
      </c>
      <c r="BI309" s="242">
        <f t="shared" si="76"/>
        <v>45</v>
      </c>
      <c r="BJ309" s="242">
        <f t="shared" si="76"/>
        <v>39</v>
      </c>
      <c r="BK309" s="242">
        <f t="shared" si="76"/>
        <v>42</v>
      </c>
      <c r="BL309" s="242">
        <f t="shared" si="76"/>
        <v>47</v>
      </c>
      <c r="BM309" s="242">
        <f t="shared" si="76"/>
        <v>52</v>
      </c>
      <c r="BN309" s="242">
        <f t="shared" si="76"/>
        <v>63</v>
      </c>
      <c r="BO309" s="242">
        <f t="shared" si="76"/>
        <v>59</v>
      </c>
      <c r="BP309" s="149"/>
    </row>
    <row r="310" spans="2:68" ht="12" customHeight="1" outlineLevel="1">
      <c r="B310" s="112"/>
    </row>
    <row r="311" spans="2:68" ht="12" customHeight="1" outlineLevel="1">
      <c r="B311" s="160" t="s">
        <v>116</v>
      </c>
    </row>
    <row r="312" spans="2:68" ht="12" customHeight="1" outlineLevel="1">
      <c r="B312" s="112"/>
      <c r="C312" s="101" t="str">
        <f t="array" ref="C312:C313">_xlfn.ANCHORARRAY(C308)</f>
        <v>Reach Truck</v>
      </c>
      <c r="D312" s="184">
        <f>Assumptions!D65</f>
        <v>25</v>
      </c>
      <c r="E312" s="224" t="s">
        <v>117</v>
      </c>
      <c r="F312" s="109" t="s">
        <v>113</v>
      </c>
      <c r="G312" s="243">
        <f t="array" ref="G312:G313">D312:D313</f>
        <v>25</v>
      </c>
      <c r="H312" s="244">
        <f t="shared" ref="H312:AM312" si="77">G312+G315</f>
        <v>25</v>
      </c>
      <c r="I312" s="244">
        <f t="shared" si="77"/>
        <v>25</v>
      </c>
      <c r="J312" s="244">
        <f t="shared" si="77"/>
        <v>25</v>
      </c>
      <c r="K312" s="244">
        <f t="shared" si="77"/>
        <v>25</v>
      </c>
      <c r="L312" s="244">
        <f t="shared" si="77"/>
        <v>25</v>
      </c>
      <c r="M312" s="244">
        <f t="shared" si="77"/>
        <v>27</v>
      </c>
      <c r="N312" s="244">
        <f t="shared" si="77"/>
        <v>27</v>
      </c>
      <c r="O312" s="244">
        <f t="shared" si="77"/>
        <v>27</v>
      </c>
      <c r="P312" s="244">
        <f t="shared" si="77"/>
        <v>27</v>
      </c>
      <c r="Q312" s="244">
        <f t="shared" si="77"/>
        <v>28</v>
      </c>
      <c r="R312" s="244">
        <f t="shared" si="77"/>
        <v>32</v>
      </c>
      <c r="S312" s="244">
        <f t="shared" si="77"/>
        <v>37</v>
      </c>
      <c r="T312" s="244">
        <f t="shared" si="77"/>
        <v>37</v>
      </c>
      <c r="U312" s="244">
        <f t="shared" si="77"/>
        <v>37</v>
      </c>
      <c r="V312" s="244">
        <f t="shared" si="77"/>
        <v>37</v>
      </c>
      <c r="W312" s="244">
        <f t="shared" si="77"/>
        <v>37</v>
      </c>
      <c r="X312" s="244">
        <f t="shared" si="77"/>
        <v>37</v>
      </c>
      <c r="Y312" s="244">
        <f t="shared" si="77"/>
        <v>37</v>
      </c>
      <c r="Z312" s="244">
        <f t="shared" si="77"/>
        <v>37</v>
      </c>
      <c r="AA312" s="244">
        <f t="shared" si="77"/>
        <v>37</v>
      </c>
      <c r="AB312" s="244">
        <f t="shared" si="77"/>
        <v>37</v>
      </c>
      <c r="AC312" s="244">
        <f t="shared" si="77"/>
        <v>37</v>
      </c>
      <c r="AD312" s="244">
        <f t="shared" si="77"/>
        <v>37</v>
      </c>
      <c r="AE312" s="244">
        <f t="shared" si="77"/>
        <v>38</v>
      </c>
      <c r="AF312" s="244">
        <f t="shared" si="77"/>
        <v>38</v>
      </c>
      <c r="AG312" s="244">
        <f t="shared" si="77"/>
        <v>38</v>
      </c>
      <c r="AH312" s="244">
        <f t="shared" si="77"/>
        <v>38</v>
      </c>
      <c r="AI312" s="244">
        <f t="shared" si="77"/>
        <v>38</v>
      </c>
      <c r="AJ312" s="244">
        <f t="shared" si="77"/>
        <v>38</v>
      </c>
      <c r="AK312" s="244">
        <f t="shared" si="77"/>
        <v>38</v>
      </c>
      <c r="AL312" s="244">
        <f t="shared" si="77"/>
        <v>38</v>
      </c>
      <c r="AM312" s="244">
        <f t="shared" si="77"/>
        <v>38</v>
      </c>
      <c r="AN312" s="244">
        <f t="shared" ref="AN312:BO312" si="78">AM312+AM315</f>
        <v>38</v>
      </c>
      <c r="AO312" s="244">
        <f t="shared" si="78"/>
        <v>38</v>
      </c>
      <c r="AP312" s="244">
        <f t="shared" si="78"/>
        <v>38</v>
      </c>
      <c r="AQ312" s="244">
        <f t="shared" si="78"/>
        <v>39</v>
      </c>
      <c r="AR312" s="244">
        <f t="shared" si="78"/>
        <v>39</v>
      </c>
      <c r="AS312" s="244">
        <f t="shared" si="78"/>
        <v>39</v>
      </c>
      <c r="AT312" s="244">
        <f t="shared" si="78"/>
        <v>39</v>
      </c>
      <c r="AU312" s="244">
        <f t="shared" si="78"/>
        <v>39</v>
      </c>
      <c r="AV312" s="244">
        <f t="shared" si="78"/>
        <v>39</v>
      </c>
      <c r="AW312" s="244">
        <f t="shared" si="78"/>
        <v>39</v>
      </c>
      <c r="AX312" s="244">
        <f t="shared" si="78"/>
        <v>39</v>
      </c>
      <c r="AY312" s="244">
        <f t="shared" si="78"/>
        <v>39</v>
      </c>
      <c r="AZ312" s="244">
        <f t="shared" si="78"/>
        <v>39</v>
      </c>
      <c r="BA312" s="244">
        <f t="shared" si="78"/>
        <v>39</v>
      </c>
      <c r="BB312" s="244">
        <f t="shared" si="78"/>
        <v>39</v>
      </c>
      <c r="BC312" s="244">
        <f t="shared" si="78"/>
        <v>39</v>
      </c>
      <c r="BD312" s="244">
        <f t="shared" si="78"/>
        <v>39</v>
      </c>
      <c r="BE312" s="244">
        <f t="shared" si="78"/>
        <v>39</v>
      </c>
      <c r="BF312" s="244">
        <f t="shared" si="78"/>
        <v>39</v>
      </c>
      <c r="BG312" s="244">
        <f t="shared" si="78"/>
        <v>39</v>
      </c>
      <c r="BH312" s="244">
        <f t="shared" si="78"/>
        <v>39</v>
      </c>
      <c r="BI312" s="244">
        <f t="shared" si="78"/>
        <v>39</v>
      </c>
      <c r="BJ312" s="244">
        <f t="shared" si="78"/>
        <v>39</v>
      </c>
      <c r="BK312" s="244">
        <f t="shared" si="78"/>
        <v>39</v>
      </c>
      <c r="BL312" s="244">
        <f t="shared" si="78"/>
        <v>39</v>
      </c>
      <c r="BM312" s="244">
        <f t="shared" si="78"/>
        <v>39</v>
      </c>
      <c r="BN312" s="244">
        <f t="shared" si="78"/>
        <v>39</v>
      </c>
      <c r="BO312" s="244">
        <f t="shared" si="78"/>
        <v>39</v>
      </c>
      <c r="BP312" s="149"/>
    </row>
    <row r="313" spans="2:68" ht="12" customHeight="1" outlineLevel="1">
      <c r="B313" s="112"/>
      <c r="C313" s="101" t="str">
        <v>Powered Pallet Truck</v>
      </c>
      <c r="D313" s="212">
        <f>Assumptions!D64</f>
        <v>35</v>
      </c>
      <c r="E313" s="225" t="s">
        <v>117</v>
      </c>
      <c r="F313" s="109" t="s">
        <v>113</v>
      </c>
      <c r="G313" s="149">
        <v>35</v>
      </c>
      <c r="H313" s="244">
        <f t="shared" ref="H313:AM313" si="79">G313+G316</f>
        <v>35</v>
      </c>
      <c r="I313" s="244">
        <f t="shared" si="79"/>
        <v>35</v>
      </c>
      <c r="J313" s="244">
        <f t="shared" si="79"/>
        <v>35</v>
      </c>
      <c r="K313" s="244">
        <f t="shared" si="79"/>
        <v>37</v>
      </c>
      <c r="L313" s="244">
        <f t="shared" si="79"/>
        <v>40</v>
      </c>
      <c r="M313" s="244">
        <f t="shared" si="79"/>
        <v>43</v>
      </c>
      <c r="N313" s="244">
        <f t="shared" si="79"/>
        <v>43</v>
      </c>
      <c r="O313" s="244">
        <f t="shared" si="79"/>
        <v>43</v>
      </c>
      <c r="P313" s="244">
        <f t="shared" si="79"/>
        <v>43</v>
      </c>
      <c r="Q313" s="244">
        <f t="shared" si="79"/>
        <v>45</v>
      </c>
      <c r="R313" s="244">
        <f t="shared" si="79"/>
        <v>49</v>
      </c>
      <c r="S313" s="244">
        <f t="shared" si="79"/>
        <v>59</v>
      </c>
      <c r="T313" s="244">
        <f t="shared" si="79"/>
        <v>59</v>
      </c>
      <c r="U313" s="244">
        <f t="shared" si="79"/>
        <v>59</v>
      </c>
      <c r="V313" s="244">
        <f t="shared" si="79"/>
        <v>59</v>
      </c>
      <c r="W313" s="244">
        <f t="shared" si="79"/>
        <v>59</v>
      </c>
      <c r="X313" s="244">
        <f t="shared" si="79"/>
        <v>59</v>
      </c>
      <c r="Y313" s="244">
        <f t="shared" si="79"/>
        <v>59</v>
      </c>
      <c r="Z313" s="244">
        <f t="shared" si="79"/>
        <v>59</v>
      </c>
      <c r="AA313" s="244">
        <f t="shared" si="79"/>
        <v>59</v>
      </c>
      <c r="AB313" s="244">
        <f t="shared" si="79"/>
        <v>59</v>
      </c>
      <c r="AC313" s="244">
        <f t="shared" si="79"/>
        <v>59</v>
      </c>
      <c r="AD313" s="244">
        <f t="shared" si="79"/>
        <v>59</v>
      </c>
      <c r="AE313" s="244">
        <f t="shared" si="79"/>
        <v>61</v>
      </c>
      <c r="AF313" s="244">
        <f t="shared" si="79"/>
        <v>61</v>
      </c>
      <c r="AG313" s="244">
        <f t="shared" si="79"/>
        <v>61</v>
      </c>
      <c r="AH313" s="244">
        <f t="shared" si="79"/>
        <v>61</v>
      </c>
      <c r="AI313" s="244">
        <f t="shared" si="79"/>
        <v>61</v>
      </c>
      <c r="AJ313" s="244">
        <f t="shared" si="79"/>
        <v>61</v>
      </c>
      <c r="AK313" s="244">
        <f t="shared" si="79"/>
        <v>61</v>
      </c>
      <c r="AL313" s="244">
        <f t="shared" si="79"/>
        <v>61</v>
      </c>
      <c r="AM313" s="244">
        <f t="shared" si="79"/>
        <v>61</v>
      </c>
      <c r="AN313" s="244">
        <f t="shared" ref="AN313:BO313" si="80">AM313+AM316</f>
        <v>61</v>
      </c>
      <c r="AO313" s="244">
        <f t="shared" si="80"/>
        <v>61</v>
      </c>
      <c r="AP313" s="244">
        <f t="shared" si="80"/>
        <v>61</v>
      </c>
      <c r="AQ313" s="244">
        <f t="shared" si="80"/>
        <v>62</v>
      </c>
      <c r="AR313" s="244">
        <f t="shared" si="80"/>
        <v>62</v>
      </c>
      <c r="AS313" s="244">
        <f t="shared" si="80"/>
        <v>62</v>
      </c>
      <c r="AT313" s="244">
        <f t="shared" si="80"/>
        <v>62</v>
      </c>
      <c r="AU313" s="244">
        <f t="shared" si="80"/>
        <v>62</v>
      </c>
      <c r="AV313" s="244">
        <f t="shared" si="80"/>
        <v>62</v>
      </c>
      <c r="AW313" s="244">
        <f t="shared" si="80"/>
        <v>62</v>
      </c>
      <c r="AX313" s="244">
        <f t="shared" si="80"/>
        <v>62</v>
      </c>
      <c r="AY313" s="244">
        <f t="shared" si="80"/>
        <v>62</v>
      </c>
      <c r="AZ313" s="244">
        <f t="shared" si="80"/>
        <v>62</v>
      </c>
      <c r="BA313" s="244">
        <f t="shared" si="80"/>
        <v>62</v>
      </c>
      <c r="BB313" s="244">
        <f t="shared" si="80"/>
        <v>62</v>
      </c>
      <c r="BC313" s="244">
        <f t="shared" si="80"/>
        <v>63</v>
      </c>
      <c r="BD313" s="244">
        <f t="shared" si="80"/>
        <v>63</v>
      </c>
      <c r="BE313" s="244">
        <f t="shared" si="80"/>
        <v>63</v>
      </c>
      <c r="BF313" s="244">
        <f t="shared" si="80"/>
        <v>63</v>
      </c>
      <c r="BG313" s="244">
        <f t="shared" si="80"/>
        <v>63</v>
      </c>
      <c r="BH313" s="244">
        <f t="shared" si="80"/>
        <v>63</v>
      </c>
      <c r="BI313" s="244">
        <f t="shared" si="80"/>
        <v>63</v>
      </c>
      <c r="BJ313" s="244">
        <f t="shared" si="80"/>
        <v>63</v>
      </c>
      <c r="BK313" s="244">
        <f t="shared" si="80"/>
        <v>63</v>
      </c>
      <c r="BL313" s="244">
        <f t="shared" si="80"/>
        <v>63</v>
      </c>
      <c r="BM313" s="244">
        <f t="shared" si="80"/>
        <v>63</v>
      </c>
      <c r="BN313" s="244">
        <f t="shared" si="80"/>
        <v>63</v>
      </c>
      <c r="BO313" s="244">
        <f t="shared" si="80"/>
        <v>63</v>
      </c>
      <c r="BP313" s="149"/>
    </row>
    <row r="314" spans="2:68" ht="12" customHeight="1" outlineLevel="1">
      <c r="B314" s="112"/>
    </row>
    <row r="315" spans="2:68" ht="12" customHeight="1" outlineLevel="1">
      <c r="B315" s="160" t="s">
        <v>118</v>
      </c>
      <c r="F315" s="109" t="s">
        <v>113</v>
      </c>
      <c r="G315" s="149"/>
      <c r="H315" s="101">
        <f t="shared" ref="H315:AM315" si="81">IF(H312&lt;H308,H308-H312,0)</f>
        <v>0</v>
      </c>
      <c r="I315" s="101">
        <f t="shared" si="81"/>
        <v>0</v>
      </c>
      <c r="J315" s="101">
        <f t="shared" si="81"/>
        <v>0</v>
      </c>
      <c r="K315" s="101">
        <f t="shared" si="81"/>
        <v>0</v>
      </c>
      <c r="L315" s="101">
        <f t="shared" si="81"/>
        <v>2</v>
      </c>
      <c r="M315" s="101">
        <f t="shared" si="81"/>
        <v>0</v>
      </c>
      <c r="N315" s="101">
        <f t="shared" si="81"/>
        <v>0</v>
      </c>
      <c r="O315" s="101">
        <f t="shared" si="81"/>
        <v>0</v>
      </c>
      <c r="P315" s="101">
        <f t="shared" si="81"/>
        <v>1</v>
      </c>
      <c r="Q315" s="101">
        <f t="shared" si="81"/>
        <v>4</v>
      </c>
      <c r="R315" s="101">
        <f t="shared" si="81"/>
        <v>5</v>
      </c>
      <c r="S315" s="101">
        <f t="shared" si="81"/>
        <v>0</v>
      </c>
      <c r="T315" s="101">
        <f t="shared" si="81"/>
        <v>0</v>
      </c>
      <c r="U315" s="101">
        <f t="shared" si="81"/>
        <v>0</v>
      </c>
      <c r="V315" s="101">
        <f t="shared" si="81"/>
        <v>0</v>
      </c>
      <c r="W315" s="101">
        <f t="shared" si="81"/>
        <v>0</v>
      </c>
      <c r="X315" s="101">
        <f t="shared" si="81"/>
        <v>0</v>
      </c>
      <c r="Y315" s="101">
        <f t="shared" si="81"/>
        <v>0</v>
      </c>
      <c r="Z315" s="101">
        <f t="shared" si="81"/>
        <v>0</v>
      </c>
      <c r="AA315" s="101">
        <f t="shared" si="81"/>
        <v>0</v>
      </c>
      <c r="AB315" s="101">
        <f t="shared" si="81"/>
        <v>0</v>
      </c>
      <c r="AC315" s="101">
        <f t="shared" si="81"/>
        <v>0</v>
      </c>
      <c r="AD315" s="101">
        <f t="shared" si="81"/>
        <v>1</v>
      </c>
      <c r="AE315" s="101">
        <f t="shared" si="81"/>
        <v>0</v>
      </c>
      <c r="AF315" s="101">
        <f t="shared" si="81"/>
        <v>0</v>
      </c>
      <c r="AG315" s="101">
        <f t="shared" si="81"/>
        <v>0</v>
      </c>
      <c r="AH315" s="101">
        <f t="shared" si="81"/>
        <v>0</v>
      </c>
      <c r="AI315" s="101">
        <f t="shared" si="81"/>
        <v>0</v>
      </c>
      <c r="AJ315" s="101">
        <f t="shared" si="81"/>
        <v>0</v>
      </c>
      <c r="AK315" s="101">
        <f t="shared" si="81"/>
        <v>0</v>
      </c>
      <c r="AL315" s="101">
        <f t="shared" si="81"/>
        <v>0</v>
      </c>
      <c r="AM315" s="101">
        <f t="shared" si="81"/>
        <v>0</v>
      </c>
      <c r="AN315" s="101">
        <f t="shared" ref="AN315:BO315" si="82">IF(AN312&lt;AN308,AN308-AN312,0)</f>
        <v>0</v>
      </c>
      <c r="AO315" s="101">
        <f t="shared" si="82"/>
        <v>0</v>
      </c>
      <c r="AP315" s="101">
        <f t="shared" si="82"/>
        <v>1</v>
      </c>
      <c r="AQ315" s="101">
        <f t="shared" si="82"/>
        <v>0</v>
      </c>
      <c r="AR315" s="101">
        <f t="shared" si="82"/>
        <v>0</v>
      </c>
      <c r="AS315" s="101">
        <f t="shared" si="82"/>
        <v>0</v>
      </c>
      <c r="AT315" s="101">
        <f t="shared" si="82"/>
        <v>0</v>
      </c>
      <c r="AU315" s="101">
        <f t="shared" si="82"/>
        <v>0</v>
      </c>
      <c r="AV315" s="101">
        <f t="shared" si="82"/>
        <v>0</v>
      </c>
      <c r="AW315" s="101">
        <f t="shared" si="82"/>
        <v>0</v>
      </c>
      <c r="AX315" s="101">
        <f t="shared" si="82"/>
        <v>0</v>
      </c>
      <c r="AY315" s="101">
        <f t="shared" si="82"/>
        <v>0</v>
      </c>
      <c r="AZ315" s="101">
        <f t="shared" si="82"/>
        <v>0</v>
      </c>
      <c r="BA315" s="101">
        <f t="shared" si="82"/>
        <v>0</v>
      </c>
      <c r="BB315" s="101">
        <f t="shared" si="82"/>
        <v>0</v>
      </c>
      <c r="BC315" s="101">
        <f t="shared" si="82"/>
        <v>0</v>
      </c>
      <c r="BD315" s="101">
        <f t="shared" si="82"/>
        <v>0</v>
      </c>
      <c r="BE315" s="101">
        <f t="shared" si="82"/>
        <v>0</v>
      </c>
      <c r="BF315" s="101">
        <f t="shared" si="82"/>
        <v>0</v>
      </c>
      <c r="BG315" s="101">
        <f t="shared" si="82"/>
        <v>0</v>
      </c>
      <c r="BH315" s="101">
        <f t="shared" si="82"/>
        <v>0</v>
      </c>
      <c r="BI315" s="101">
        <f t="shared" si="82"/>
        <v>0</v>
      </c>
      <c r="BJ315" s="101">
        <f t="shared" si="82"/>
        <v>0</v>
      </c>
      <c r="BK315" s="101">
        <f t="shared" si="82"/>
        <v>0</v>
      </c>
      <c r="BL315" s="101">
        <f t="shared" si="82"/>
        <v>0</v>
      </c>
      <c r="BM315" s="101">
        <f t="shared" si="82"/>
        <v>0</v>
      </c>
      <c r="BN315" s="101">
        <f t="shared" si="82"/>
        <v>0</v>
      </c>
      <c r="BO315" s="101">
        <f t="shared" si="82"/>
        <v>0</v>
      </c>
      <c r="BP315" s="149"/>
    </row>
    <row r="316" spans="2:68" ht="12" customHeight="1" outlineLevel="1">
      <c r="B316" s="112"/>
      <c r="C316" s="101" t="str">
        <f t="array" ref="C316:C317">_xlfn.ANCHORARRAY(C312)</f>
        <v>Reach Truck</v>
      </c>
      <c r="F316" s="109" t="s">
        <v>113</v>
      </c>
      <c r="G316" s="149"/>
      <c r="H316" s="101">
        <f t="shared" ref="H316:AM316" si="83">IF(H313&lt;H309,H309-H313,0)</f>
        <v>0</v>
      </c>
      <c r="I316" s="101">
        <f t="shared" si="83"/>
        <v>0</v>
      </c>
      <c r="J316" s="101">
        <f t="shared" si="83"/>
        <v>2</v>
      </c>
      <c r="K316" s="101">
        <f t="shared" si="83"/>
        <v>3</v>
      </c>
      <c r="L316" s="101">
        <f t="shared" si="83"/>
        <v>3</v>
      </c>
      <c r="M316" s="101">
        <f t="shared" si="83"/>
        <v>0</v>
      </c>
      <c r="N316" s="101">
        <f t="shared" si="83"/>
        <v>0</v>
      </c>
      <c r="O316" s="101">
        <f t="shared" si="83"/>
        <v>0</v>
      </c>
      <c r="P316" s="101">
        <f t="shared" si="83"/>
        <v>2</v>
      </c>
      <c r="Q316" s="101">
        <f t="shared" si="83"/>
        <v>4</v>
      </c>
      <c r="R316" s="101">
        <f t="shared" si="83"/>
        <v>10</v>
      </c>
      <c r="S316" s="101">
        <f t="shared" si="83"/>
        <v>0</v>
      </c>
      <c r="T316" s="101">
        <f t="shared" si="83"/>
        <v>0</v>
      </c>
      <c r="U316" s="101">
        <f t="shared" si="83"/>
        <v>0</v>
      </c>
      <c r="V316" s="101">
        <f t="shared" si="83"/>
        <v>0</v>
      </c>
      <c r="W316" s="101">
        <f t="shared" si="83"/>
        <v>0</v>
      </c>
      <c r="X316" s="101">
        <f t="shared" si="83"/>
        <v>0</v>
      </c>
      <c r="Y316" s="101">
        <f t="shared" si="83"/>
        <v>0</v>
      </c>
      <c r="Z316" s="101">
        <f t="shared" si="83"/>
        <v>0</v>
      </c>
      <c r="AA316" s="101">
        <f t="shared" si="83"/>
        <v>0</v>
      </c>
      <c r="AB316" s="101">
        <f t="shared" si="83"/>
        <v>0</v>
      </c>
      <c r="AC316" s="101">
        <f t="shared" si="83"/>
        <v>0</v>
      </c>
      <c r="AD316" s="101">
        <f t="shared" si="83"/>
        <v>2</v>
      </c>
      <c r="AE316" s="101">
        <f t="shared" si="83"/>
        <v>0</v>
      </c>
      <c r="AF316" s="101">
        <f t="shared" si="83"/>
        <v>0</v>
      </c>
      <c r="AG316" s="101">
        <f t="shared" si="83"/>
        <v>0</v>
      </c>
      <c r="AH316" s="101">
        <f t="shared" si="83"/>
        <v>0</v>
      </c>
      <c r="AI316" s="101">
        <f t="shared" si="83"/>
        <v>0</v>
      </c>
      <c r="AJ316" s="101">
        <f t="shared" si="83"/>
        <v>0</v>
      </c>
      <c r="AK316" s="101">
        <f t="shared" si="83"/>
        <v>0</v>
      </c>
      <c r="AL316" s="101">
        <f t="shared" si="83"/>
        <v>0</v>
      </c>
      <c r="AM316" s="101">
        <f t="shared" si="83"/>
        <v>0</v>
      </c>
      <c r="AN316" s="101">
        <f t="shared" ref="AN316:BO316" si="84">IF(AN313&lt;AN309,AN309-AN313,0)</f>
        <v>0</v>
      </c>
      <c r="AO316" s="101">
        <f t="shared" si="84"/>
        <v>0</v>
      </c>
      <c r="AP316" s="101">
        <f t="shared" si="84"/>
        <v>1</v>
      </c>
      <c r="AQ316" s="101">
        <f t="shared" si="84"/>
        <v>0</v>
      </c>
      <c r="AR316" s="101">
        <f t="shared" si="84"/>
        <v>0</v>
      </c>
      <c r="AS316" s="101">
        <f t="shared" si="84"/>
        <v>0</v>
      </c>
      <c r="AT316" s="101">
        <f t="shared" si="84"/>
        <v>0</v>
      </c>
      <c r="AU316" s="101">
        <f t="shared" si="84"/>
        <v>0</v>
      </c>
      <c r="AV316" s="101">
        <f t="shared" si="84"/>
        <v>0</v>
      </c>
      <c r="AW316" s="101">
        <f t="shared" si="84"/>
        <v>0</v>
      </c>
      <c r="AX316" s="101">
        <f t="shared" si="84"/>
        <v>0</v>
      </c>
      <c r="AY316" s="101">
        <f t="shared" si="84"/>
        <v>0</v>
      </c>
      <c r="AZ316" s="101">
        <f t="shared" si="84"/>
        <v>0</v>
      </c>
      <c r="BA316" s="101">
        <f t="shared" si="84"/>
        <v>0</v>
      </c>
      <c r="BB316" s="101">
        <f t="shared" si="84"/>
        <v>1</v>
      </c>
      <c r="BC316" s="101">
        <f t="shared" si="84"/>
        <v>0</v>
      </c>
      <c r="BD316" s="101">
        <f t="shared" si="84"/>
        <v>0</v>
      </c>
      <c r="BE316" s="101">
        <f t="shared" si="84"/>
        <v>0</v>
      </c>
      <c r="BF316" s="101">
        <f t="shared" si="84"/>
        <v>0</v>
      </c>
      <c r="BG316" s="101">
        <f t="shared" si="84"/>
        <v>0</v>
      </c>
      <c r="BH316" s="101">
        <f t="shared" si="84"/>
        <v>0</v>
      </c>
      <c r="BI316" s="101">
        <f t="shared" si="84"/>
        <v>0</v>
      </c>
      <c r="BJ316" s="101">
        <f t="shared" si="84"/>
        <v>0</v>
      </c>
      <c r="BK316" s="101">
        <f t="shared" si="84"/>
        <v>0</v>
      </c>
      <c r="BL316" s="101">
        <f t="shared" si="84"/>
        <v>0</v>
      </c>
      <c r="BM316" s="101">
        <f t="shared" si="84"/>
        <v>0</v>
      </c>
      <c r="BN316" s="101">
        <f t="shared" si="84"/>
        <v>0</v>
      </c>
      <c r="BO316" s="101">
        <f t="shared" si="84"/>
        <v>0</v>
      </c>
      <c r="BP316" s="149"/>
    </row>
    <row r="317" spans="2:68" ht="12" customHeight="1" outlineLevel="1">
      <c r="B317" s="112"/>
      <c r="C317" s="101" t="str">
        <v>Powered Pallet Truck</v>
      </c>
    </row>
    <row r="318" spans="2:68" ht="12" customHeight="1" outlineLevel="1">
      <c r="B318" s="112"/>
    </row>
    <row r="319" spans="2:68" ht="12" customHeight="1" outlineLevel="1">
      <c r="B319" s="160" t="s">
        <v>119</v>
      </c>
    </row>
    <row r="320" spans="2:68" ht="12" customHeight="1" outlineLevel="1">
      <c r="B320" s="112"/>
      <c r="C320" s="101" t="str">
        <f t="array" ref="C320:C321">_xlfn.ANCHORARRAY(C316)</f>
        <v>Reach Truck</v>
      </c>
      <c r="D320" s="184">
        <v>45000</v>
      </c>
      <c r="E320" s="224" t="s">
        <v>120</v>
      </c>
      <c r="F320" s="109" t="s">
        <v>9</v>
      </c>
      <c r="G320" s="149"/>
      <c r="H320" s="185">
        <f t="array" ref="H320:BO320">D320*_xlfn.ANCHORARRAY($H$31)</f>
        <v>45000</v>
      </c>
      <c r="I320" s="185">
        <v>45000</v>
      </c>
      <c r="J320" s="185">
        <v>45000</v>
      </c>
      <c r="K320" s="185">
        <v>45000</v>
      </c>
      <c r="L320" s="185">
        <v>45000</v>
      </c>
      <c r="M320" s="185">
        <v>45000</v>
      </c>
      <c r="N320" s="185">
        <v>45000</v>
      </c>
      <c r="O320" s="185">
        <v>45000</v>
      </c>
      <c r="P320" s="185">
        <v>45000</v>
      </c>
      <c r="Q320" s="185">
        <v>45000</v>
      </c>
      <c r="R320" s="185">
        <v>45000</v>
      </c>
      <c r="S320" s="185">
        <v>45000</v>
      </c>
      <c r="T320" s="185">
        <v>46350</v>
      </c>
      <c r="U320" s="185">
        <v>46350</v>
      </c>
      <c r="V320" s="185">
        <v>46350</v>
      </c>
      <c r="W320" s="185">
        <v>46350</v>
      </c>
      <c r="X320" s="185">
        <v>46350</v>
      </c>
      <c r="Y320" s="185">
        <v>46350</v>
      </c>
      <c r="Z320" s="185">
        <v>46350</v>
      </c>
      <c r="AA320" s="185">
        <v>46350</v>
      </c>
      <c r="AB320" s="185">
        <v>46350</v>
      </c>
      <c r="AC320" s="185">
        <v>46350</v>
      </c>
      <c r="AD320" s="185">
        <v>46350</v>
      </c>
      <c r="AE320" s="185">
        <v>46350</v>
      </c>
      <c r="AF320" s="185">
        <v>47740.5</v>
      </c>
      <c r="AG320" s="185">
        <v>47740.5</v>
      </c>
      <c r="AH320" s="185">
        <v>47740.5</v>
      </c>
      <c r="AI320" s="185">
        <v>47740.5</v>
      </c>
      <c r="AJ320" s="185">
        <v>47740.5</v>
      </c>
      <c r="AK320" s="185">
        <v>47740.5</v>
      </c>
      <c r="AL320" s="185">
        <v>47740.5</v>
      </c>
      <c r="AM320" s="185">
        <v>47740.5</v>
      </c>
      <c r="AN320" s="185">
        <v>47740.5</v>
      </c>
      <c r="AO320" s="185">
        <v>47740.5</v>
      </c>
      <c r="AP320" s="185">
        <v>47740.5</v>
      </c>
      <c r="AQ320" s="185">
        <v>47740.5</v>
      </c>
      <c r="AR320" s="185">
        <v>49172.715000000004</v>
      </c>
      <c r="AS320" s="185">
        <v>49172.715000000004</v>
      </c>
      <c r="AT320" s="185">
        <v>49172.715000000004</v>
      </c>
      <c r="AU320" s="185">
        <v>49172.715000000004</v>
      </c>
      <c r="AV320" s="185">
        <v>49172.715000000004</v>
      </c>
      <c r="AW320" s="185">
        <v>49172.715000000004</v>
      </c>
      <c r="AX320" s="185">
        <v>49172.715000000004</v>
      </c>
      <c r="AY320" s="185">
        <v>49172.715000000004</v>
      </c>
      <c r="AZ320" s="185">
        <v>49172.715000000004</v>
      </c>
      <c r="BA320" s="185">
        <v>49172.715000000004</v>
      </c>
      <c r="BB320" s="185">
        <v>49172.715000000004</v>
      </c>
      <c r="BC320" s="185">
        <v>49172.715000000004</v>
      </c>
      <c r="BD320" s="185">
        <v>50647.896449999993</v>
      </c>
      <c r="BE320" s="185">
        <v>50647.896449999993</v>
      </c>
      <c r="BF320" s="185">
        <v>50647.896449999993</v>
      </c>
      <c r="BG320" s="185">
        <v>50647.896449999993</v>
      </c>
      <c r="BH320" s="185">
        <v>50647.896449999993</v>
      </c>
      <c r="BI320" s="185">
        <v>50647.896449999993</v>
      </c>
      <c r="BJ320" s="185">
        <v>50647.896449999993</v>
      </c>
      <c r="BK320" s="185">
        <v>50647.896449999993</v>
      </c>
      <c r="BL320" s="185">
        <v>50647.896449999993</v>
      </c>
      <c r="BM320" s="185">
        <v>50647.896449999993</v>
      </c>
      <c r="BN320" s="185">
        <v>50647.896449999993</v>
      </c>
      <c r="BO320" s="185">
        <v>50647.896449999993</v>
      </c>
      <c r="BP320" s="149"/>
    </row>
    <row r="321" spans="2:69" ht="12" customHeight="1" outlineLevel="1">
      <c r="B321" s="112"/>
      <c r="C321" s="101" t="str">
        <v>Powered Pallet Truck</v>
      </c>
      <c r="D321" s="212">
        <v>22000</v>
      </c>
      <c r="E321" s="225" t="s">
        <v>120</v>
      </c>
      <c r="F321" s="109" t="s">
        <v>9</v>
      </c>
      <c r="G321" s="149"/>
      <c r="H321" s="185">
        <f t="array" ref="H321:BO321">D321*_xlfn.ANCHORARRAY($H$31)</f>
        <v>22000</v>
      </c>
      <c r="I321" s="185">
        <v>22000</v>
      </c>
      <c r="J321" s="185">
        <v>22000</v>
      </c>
      <c r="K321" s="185">
        <v>22000</v>
      </c>
      <c r="L321" s="185">
        <v>22000</v>
      </c>
      <c r="M321" s="185">
        <v>22000</v>
      </c>
      <c r="N321" s="185">
        <v>22000</v>
      </c>
      <c r="O321" s="185">
        <v>22000</v>
      </c>
      <c r="P321" s="185">
        <v>22000</v>
      </c>
      <c r="Q321" s="185">
        <v>22000</v>
      </c>
      <c r="R321" s="185">
        <v>22000</v>
      </c>
      <c r="S321" s="185">
        <v>22000</v>
      </c>
      <c r="T321" s="185">
        <v>22660</v>
      </c>
      <c r="U321" s="185">
        <v>22660</v>
      </c>
      <c r="V321" s="185">
        <v>22660</v>
      </c>
      <c r="W321" s="185">
        <v>22660</v>
      </c>
      <c r="X321" s="185">
        <v>22660</v>
      </c>
      <c r="Y321" s="185">
        <v>22660</v>
      </c>
      <c r="Z321" s="185">
        <v>22660</v>
      </c>
      <c r="AA321" s="185">
        <v>22660</v>
      </c>
      <c r="AB321" s="185">
        <v>22660</v>
      </c>
      <c r="AC321" s="185">
        <v>22660</v>
      </c>
      <c r="AD321" s="185">
        <v>22660</v>
      </c>
      <c r="AE321" s="185">
        <v>22660</v>
      </c>
      <c r="AF321" s="185">
        <v>23339.8</v>
      </c>
      <c r="AG321" s="185">
        <v>23339.8</v>
      </c>
      <c r="AH321" s="185">
        <v>23339.8</v>
      </c>
      <c r="AI321" s="185">
        <v>23339.8</v>
      </c>
      <c r="AJ321" s="185">
        <v>23339.8</v>
      </c>
      <c r="AK321" s="185">
        <v>23339.8</v>
      </c>
      <c r="AL321" s="185">
        <v>23339.8</v>
      </c>
      <c r="AM321" s="185">
        <v>23339.8</v>
      </c>
      <c r="AN321" s="185">
        <v>23339.8</v>
      </c>
      <c r="AO321" s="185">
        <v>23339.8</v>
      </c>
      <c r="AP321" s="185">
        <v>23339.8</v>
      </c>
      <c r="AQ321" s="185">
        <v>23339.8</v>
      </c>
      <c r="AR321" s="185">
        <v>24039.993999999999</v>
      </c>
      <c r="AS321" s="185">
        <v>24039.993999999999</v>
      </c>
      <c r="AT321" s="185">
        <v>24039.993999999999</v>
      </c>
      <c r="AU321" s="185">
        <v>24039.993999999999</v>
      </c>
      <c r="AV321" s="185">
        <v>24039.993999999999</v>
      </c>
      <c r="AW321" s="185">
        <v>24039.993999999999</v>
      </c>
      <c r="AX321" s="185">
        <v>24039.993999999999</v>
      </c>
      <c r="AY321" s="185">
        <v>24039.993999999999</v>
      </c>
      <c r="AZ321" s="185">
        <v>24039.993999999999</v>
      </c>
      <c r="BA321" s="185">
        <v>24039.993999999999</v>
      </c>
      <c r="BB321" s="185">
        <v>24039.993999999999</v>
      </c>
      <c r="BC321" s="185">
        <v>24039.993999999999</v>
      </c>
      <c r="BD321" s="185">
        <v>24761.193819999997</v>
      </c>
      <c r="BE321" s="185">
        <v>24761.193819999997</v>
      </c>
      <c r="BF321" s="185">
        <v>24761.193819999997</v>
      </c>
      <c r="BG321" s="185">
        <v>24761.193819999997</v>
      </c>
      <c r="BH321" s="185">
        <v>24761.193819999997</v>
      </c>
      <c r="BI321" s="185">
        <v>24761.193819999997</v>
      </c>
      <c r="BJ321" s="185">
        <v>24761.193819999997</v>
      </c>
      <c r="BK321" s="185">
        <v>24761.193819999997</v>
      </c>
      <c r="BL321" s="185">
        <v>24761.193819999997</v>
      </c>
      <c r="BM321" s="185">
        <v>24761.193819999997</v>
      </c>
      <c r="BN321" s="185">
        <v>24761.193819999997</v>
      </c>
      <c r="BO321" s="185">
        <v>24761.193819999997</v>
      </c>
      <c r="BP321" s="149"/>
    </row>
    <row r="322" spans="2:69" ht="12" customHeight="1" outlineLevel="1">
      <c r="B322" s="112"/>
      <c r="H322" s="185"/>
      <c r="I322" s="185"/>
      <c r="J322" s="185"/>
      <c r="K322" s="185"/>
      <c r="L322" s="185"/>
      <c r="M322" s="185"/>
      <c r="N322" s="185"/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  <c r="Z322" s="185"/>
      <c r="AA322" s="185"/>
      <c r="AB322" s="185"/>
      <c r="AC322" s="185"/>
      <c r="AD322" s="185"/>
      <c r="AE322" s="185"/>
      <c r="AF322" s="185"/>
      <c r="AG322" s="185"/>
      <c r="AH322" s="185"/>
      <c r="AI322" s="185"/>
      <c r="AJ322" s="185"/>
      <c r="AK322" s="185"/>
      <c r="AL322" s="185"/>
      <c r="AM322" s="185"/>
      <c r="AN322" s="185"/>
      <c r="AO322" s="185"/>
      <c r="AP322" s="185"/>
      <c r="AQ322" s="185"/>
      <c r="AR322" s="185"/>
      <c r="AS322" s="185"/>
      <c r="AT322" s="185"/>
      <c r="AU322" s="185"/>
      <c r="AV322" s="185"/>
      <c r="AW322" s="185"/>
      <c r="AX322" s="185"/>
      <c r="AY322" s="185"/>
      <c r="AZ322" s="185"/>
      <c r="BA322" s="185"/>
      <c r="BB322" s="185"/>
      <c r="BC322" s="185"/>
      <c r="BD322" s="185"/>
      <c r="BE322" s="185"/>
      <c r="BF322" s="185"/>
      <c r="BG322" s="185"/>
      <c r="BH322" s="185"/>
      <c r="BI322" s="185"/>
      <c r="BJ322" s="185"/>
      <c r="BK322" s="185"/>
      <c r="BL322" s="185"/>
      <c r="BM322" s="185"/>
      <c r="BN322" s="185"/>
      <c r="BO322" s="185"/>
    </row>
    <row r="323" spans="2:69" ht="12" customHeight="1" outlineLevel="1">
      <c r="B323" s="160" t="s">
        <v>121</v>
      </c>
    </row>
    <row r="324" spans="2:69" ht="12" customHeight="1" outlineLevel="1">
      <c r="B324" s="112"/>
      <c r="C324" s="101" t="str">
        <f t="array" ref="C324:C325">_xlfn.ANCHORARRAY(C320)</f>
        <v>Reach Truck</v>
      </c>
      <c r="F324" s="109" t="s">
        <v>9</v>
      </c>
      <c r="G324" s="149"/>
      <c r="H324" s="185">
        <f t="array" ref="H324:BO324">H315:BO315*H320:BO320</f>
        <v>0</v>
      </c>
      <c r="I324" s="185">
        <v>0</v>
      </c>
      <c r="J324" s="185">
        <v>0</v>
      </c>
      <c r="K324" s="185">
        <v>0</v>
      </c>
      <c r="L324" s="185">
        <v>90000</v>
      </c>
      <c r="M324" s="185">
        <v>0</v>
      </c>
      <c r="N324" s="185">
        <v>0</v>
      </c>
      <c r="O324" s="185">
        <v>0</v>
      </c>
      <c r="P324" s="185">
        <v>45000</v>
      </c>
      <c r="Q324" s="185">
        <v>180000</v>
      </c>
      <c r="R324" s="185">
        <v>225000</v>
      </c>
      <c r="S324" s="185">
        <v>0</v>
      </c>
      <c r="T324" s="185">
        <v>0</v>
      </c>
      <c r="U324" s="185">
        <v>0</v>
      </c>
      <c r="V324" s="185">
        <v>0</v>
      </c>
      <c r="W324" s="185">
        <v>0</v>
      </c>
      <c r="X324" s="185">
        <v>0</v>
      </c>
      <c r="Y324" s="185">
        <v>0</v>
      </c>
      <c r="Z324" s="185">
        <v>0</v>
      </c>
      <c r="AA324" s="185">
        <v>0</v>
      </c>
      <c r="AB324" s="185">
        <v>0</v>
      </c>
      <c r="AC324" s="185">
        <v>0</v>
      </c>
      <c r="AD324" s="185">
        <v>46350</v>
      </c>
      <c r="AE324" s="185">
        <v>0</v>
      </c>
      <c r="AF324" s="185">
        <v>0</v>
      </c>
      <c r="AG324" s="185">
        <v>0</v>
      </c>
      <c r="AH324" s="185">
        <v>0</v>
      </c>
      <c r="AI324" s="185">
        <v>0</v>
      </c>
      <c r="AJ324" s="185">
        <v>0</v>
      </c>
      <c r="AK324" s="185">
        <v>0</v>
      </c>
      <c r="AL324" s="185">
        <v>0</v>
      </c>
      <c r="AM324" s="185">
        <v>0</v>
      </c>
      <c r="AN324" s="185">
        <v>0</v>
      </c>
      <c r="AO324" s="185">
        <v>0</v>
      </c>
      <c r="AP324" s="185">
        <v>47740.5</v>
      </c>
      <c r="AQ324" s="185">
        <v>0</v>
      </c>
      <c r="AR324" s="185">
        <v>0</v>
      </c>
      <c r="AS324" s="185">
        <v>0</v>
      </c>
      <c r="AT324" s="185">
        <v>0</v>
      </c>
      <c r="AU324" s="185">
        <v>0</v>
      </c>
      <c r="AV324" s="185">
        <v>0</v>
      </c>
      <c r="AW324" s="185">
        <v>0</v>
      </c>
      <c r="AX324" s="185">
        <v>0</v>
      </c>
      <c r="AY324" s="185">
        <v>0</v>
      </c>
      <c r="AZ324" s="185">
        <v>0</v>
      </c>
      <c r="BA324" s="185">
        <v>0</v>
      </c>
      <c r="BB324" s="185">
        <v>0</v>
      </c>
      <c r="BC324" s="185">
        <v>0</v>
      </c>
      <c r="BD324" s="185">
        <v>0</v>
      </c>
      <c r="BE324" s="185">
        <v>0</v>
      </c>
      <c r="BF324" s="185">
        <v>0</v>
      </c>
      <c r="BG324" s="185">
        <v>0</v>
      </c>
      <c r="BH324" s="185">
        <v>0</v>
      </c>
      <c r="BI324" s="185">
        <v>0</v>
      </c>
      <c r="BJ324" s="185">
        <v>0</v>
      </c>
      <c r="BK324" s="185">
        <v>0</v>
      </c>
      <c r="BL324" s="185">
        <v>0</v>
      </c>
      <c r="BM324" s="185">
        <v>0</v>
      </c>
      <c r="BN324" s="185">
        <v>0</v>
      </c>
      <c r="BO324" s="185">
        <v>0</v>
      </c>
      <c r="BP324" s="149"/>
    </row>
    <row r="325" spans="2:69" ht="12" customHeight="1" outlineLevel="1">
      <c r="B325" s="112"/>
      <c r="C325" s="101" t="str">
        <v>Powered Pallet Truck</v>
      </c>
      <c r="F325" s="109" t="s">
        <v>9</v>
      </c>
      <c r="G325" s="149"/>
      <c r="H325" s="185">
        <f t="array" ref="H325:BO325">H316:BO316*H321:BO321</f>
        <v>0</v>
      </c>
      <c r="I325" s="185">
        <v>0</v>
      </c>
      <c r="J325" s="185">
        <v>44000</v>
      </c>
      <c r="K325" s="185">
        <v>66000</v>
      </c>
      <c r="L325" s="185">
        <v>66000</v>
      </c>
      <c r="M325" s="185">
        <v>0</v>
      </c>
      <c r="N325" s="185">
        <v>0</v>
      </c>
      <c r="O325" s="185">
        <v>0</v>
      </c>
      <c r="P325" s="185">
        <v>44000</v>
      </c>
      <c r="Q325" s="185">
        <v>88000</v>
      </c>
      <c r="R325" s="185">
        <v>220000</v>
      </c>
      <c r="S325" s="185">
        <v>0</v>
      </c>
      <c r="T325" s="185">
        <v>0</v>
      </c>
      <c r="U325" s="185">
        <v>0</v>
      </c>
      <c r="V325" s="185">
        <v>0</v>
      </c>
      <c r="W325" s="185">
        <v>0</v>
      </c>
      <c r="X325" s="185">
        <v>0</v>
      </c>
      <c r="Y325" s="185">
        <v>0</v>
      </c>
      <c r="Z325" s="185">
        <v>0</v>
      </c>
      <c r="AA325" s="185">
        <v>0</v>
      </c>
      <c r="AB325" s="185">
        <v>0</v>
      </c>
      <c r="AC325" s="185">
        <v>0</v>
      </c>
      <c r="AD325" s="185">
        <v>45320</v>
      </c>
      <c r="AE325" s="185">
        <v>0</v>
      </c>
      <c r="AF325" s="185">
        <v>0</v>
      </c>
      <c r="AG325" s="185">
        <v>0</v>
      </c>
      <c r="AH325" s="185">
        <v>0</v>
      </c>
      <c r="AI325" s="185">
        <v>0</v>
      </c>
      <c r="AJ325" s="185">
        <v>0</v>
      </c>
      <c r="AK325" s="185">
        <v>0</v>
      </c>
      <c r="AL325" s="185">
        <v>0</v>
      </c>
      <c r="AM325" s="185">
        <v>0</v>
      </c>
      <c r="AN325" s="185">
        <v>0</v>
      </c>
      <c r="AO325" s="185">
        <v>0</v>
      </c>
      <c r="AP325" s="185">
        <v>23339.8</v>
      </c>
      <c r="AQ325" s="185">
        <v>0</v>
      </c>
      <c r="AR325" s="185">
        <v>0</v>
      </c>
      <c r="AS325" s="185">
        <v>0</v>
      </c>
      <c r="AT325" s="185">
        <v>0</v>
      </c>
      <c r="AU325" s="185">
        <v>0</v>
      </c>
      <c r="AV325" s="185">
        <v>0</v>
      </c>
      <c r="AW325" s="185">
        <v>0</v>
      </c>
      <c r="AX325" s="185">
        <v>0</v>
      </c>
      <c r="AY325" s="185">
        <v>0</v>
      </c>
      <c r="AZ325" s="185">
        <v>0</v>
      </c>
      <c r="BA325" s="185">
        <v>0</v>
      </c>
      <c r="BB325" s="185">
        <v>24039.993999999999</v>
      </c>
      <c r="BC325" s="185">
        <v>0</v>
      </c>
      <c r="BD325" s="185">
        <v>0</v>
      </c>
      <c r="BE325" s="185">
        <v>0</v>
      </c>
      <c r="BF325" s="185">
        <v>0</v>
      </c>
      <c r="BG325" s="185">
        <v>0</v>
      </c>
      <c r="BH325" s="185">
        <v>0</v>
      </c>
      <c r="BI325" s="185">
        <v>0</v>
      </c>
      <c r="BJ325" s="185">
        <v>0</v>
      </c>
      <c r="BK325" s="185">
        <v>0</v>
      </c>
      <c r="BL325" s="185">
        <v>0</v>
      </c>
      <c r="BM325" s="185">
        <v>0</v>
      </c>
      <c r="BN325" s="185">
        <v>0</v>
      </c>
      <c r="BO325" s="185">
        <v>0</v>
      </c>
      <c r="BP325" s="149"/>
    </row>
    <row r="326" spans="2:69" ht="12" customHeight="1" outlineLevel="1">
      <c r="C326" s="165" t="s">
        <v>122</v>
      </c>
      <c r="D326" s="165"/>
      <c r="E326" s="166"/>
      <c r="F326" s="167" t="s">
        <v>9</v>
      </c>
      <c r="G326" s="168"/>
      <c r="H326" s="169">
        <f t="array" ref="H326:BO326">+_xlfn.ANCHORARRAY(H324)+_xlfn.ANCHORARRAY(H325)</f>
        <v>0</v>
      </c>
      <c r="I326" s="169">
        <v>0</v>
      </c>
      <c r="J326" s="169">
        <v>44000</v>
      </c>
      <c r="K326" s="169">
        <v>66000</v>
      </c>
      <c r="L326" s="169">
        <v>156000</v>
      </c>
      <c r="M326" s="169">
        <v>0</v>
      </c>
      <c r="N326" s="169">
        <v>0</v>
      </c>
      <c r="O326" s="169">
        <v>0</v>
      </c>
      <c r="P326" s="169">
        <v>89000</v>
      </c>
      <c r="Q326" s="169">
        <v>268000</v>
      </c>
      <c r="R326" s="169">
        <v>445000</v>
      </c>
      <c r="S326" s="169">
        <v>0</v>
      </c>
      <c r="T326" s="169">
        <v>0</v>
      </c>
      <c r="U326" s="169">
        <v>0</v>
      </c>
      <c r="V326" s="169">
        <v>0</v>
      </c>
      <c r="W326" s="169">
        <v>0</v>
      </c>
      <c r="X326" s="169">
        <v>0</v>
      </c>
      <c r="Y326" s="169">
        <v>0</v>
      </c>
      <c r="Z326" s="169">
        <v>0</v>
      </c>
      <c r="AA326" s="169">
        <v>0</v>
      </c>
      <c r="AB326" s="169">
        <v>0</v>
      </c>
      <c r="AC326" s="169">
        <v>0</v>
      </c>
      <c r="AD326" s="169">
        <v>91670</v>
      </c>
      <c r="AE326" s="169">
        <v>0</v>
      </c>
      <c r="AF326" s="169">
        <v>0</v>
      </c>
      <c r="AG326" s="169">
        <v>0</v>
      </c>
      <c r="AH326" s="169">
        <v>0</v>
      </c>
      <c r="AI326" s="169">
        <v>0</v>
      </c>
      <c r="AJ326" s="169">
        <v>0</v>
      </c>
      <c r="AK326" s="169">
        <v>0</v>
      </c>
      <c r="AL326" s="169">
        <v>0</v>
      </c>
      <c r="AM326" s="169">
        <v>0</v>
      </c>
      <c r="AN326" s="169">
        <v>0</v>
      </c>
      <c r="AO326" s="169">
        <v>0</v>
      </c>
      <c r="AP326" s="169">
        <v>71080.3</v>
      </c>
      <c r="AQ326" s="169">
        <v>0</v>
      </c>
      <c r="AR326" s="169">
        <v>0</v>
      </c>
      <c r="AS326" s="169">
        <v>0</v>
      </c>
      <c r="AT326" s="169">
        <v>0</v>
      </c>
      <c r="AU326" s="169">
        <v>0</v>
      </c>
      <c r="AV326" s="169">
        <v>0</v>
      </c>
      <c r="AW326" s="169">
        <v>0</v>
      </c>
      <c r="AX326" s="169">
        <v>0</v>
      </c>
      <c r="AY326" s="169">
        <v>0</v>
      </c>
      <c r="AZ326" s="169">
        <v>0</v>
      </c>
      <c r="BA326" s="169">
        <v>0</v>
      </c>
      <c r="BB326" s="169">
        <v>24039.993999999999</v>
      </c>
      <c r="BC326" s="169">
        <v>0</v>
      </c>
      <c r="BD326" s="169">
        <v>0</v>
      </c>
      <c r="BE326" s="169">
        <v>0</v>
      </c>
      <c r="BF326" s="169">
        <v>0</v>
      </c>
      <c r="BG326" s="169">
        <v>0</v>
      </c>
      <c r="BH326" s="169">
        <v>0</v>
      </c>
      <c r="BI326" s="169">
        <v>0</v>
      </c>
      <c r="BJ326" s="169">
        <v>0</v>
      </c>
      <c r="BK326" s="169">
        <v>0</v>
      </c>
      <c r="BL326" s="169">
        <v>0</v>
      </c>
      <c r="BM326" s="169">
        <v>0</v>
      </c>
      <c r="BN326" s="169">
        <v>0</v>
      </c>
      <c r="BO326" s="169">
        <v>0</v>
      </c>
      <c r="BP326" s="168"/>
      <c r="BQ326" s="169"/>
    </row>
    <row r="327" spans="2:69" ht="12" customHeight="1" outlineLevel="1">
      <c r="B327" s="112"/>
    </row>
    <row r="328" spans="2:69" ht="12" customHeight="1" outlineLevel="1">
      <c r="B328" s="112" t="s">
        <v>123</v>
      </c>
    </row>
    <row r="329" spans="2:69" outlineLevel="1"/>
    <row r="330" spans="2:69" ht="12" customHeight="1" outlineLevel="1">
      <c r="B330" s="160" t="s">
        <v>124</v>
      </c>
    </row>
    <row r="331" spans="2:69" ht="12" customHeight="1" outlineLevel="1">
      <c r="B331" s="112"/>
      <c r="C331" s="101" t="str">
        <f>Assumptions!G65</f>
        <v>Reach Truck</v>
      </c>
      <c r="F331" s="109" t="s">
        <v>71</v>
      </c>
      <c r="G331" s="197">
        <f t="shared" ref="G331:P332" si="85">SUMIFS(G$285:G$289,$D$278:$D$282,$C331)</f>
        <v>0</v>
      </c>
      <c r="H331" s="185">
        <f t="shared" si="85"/>
        <v>8880.9445265151517</v>
      </c>
      <c r="I331" s="185">
        <f t="shared" si="85"/>
        <v>9227.5404981060619</v>
      </c>
      <c r="J331" s="185">
        <f t="shared" si="85"/>
        <v>9902.8775473484857</v>
      </c>
      <c r="K331" s="185">
        <f t="shared" si="85"/>
        <v>10692.689693181819</v>
      </c>
      <c r="L331" s="185">
        <f t="shared" si="85"/>
        <v>11478.280530303033</v>
      </c>
      <c r="M331" s="185">
        <f t="shared" si="85"/>
        <v>10576.446727272729</v>
      </c>
      <c r="N331" s="185">
        <f t="shared" si="85"/>
        <v>9723.5050359848483</v>
      </c>
      <c r="O331" s="185">
        <f t="shared" si="85"/>
        <v>10787.704250000003</v>
      </c>
      <c r="P331" s="185">
        <f t="shared" si="85"/>
        <v>11807.910134469697</v>
      </c>
      <c r="Q331" s="185">
        <f t="shared" ref="Q331:Z332" si="86">SUMIFS(Q$285:Q$289,$D$278:$D$282,$C331)</f>
        <v>13457.921261363637</v>
      </c>
      <c r="R331" s="185">
        <f t="shared" si="86"/>
        <v>15679.850176136366</v>
      </c>
      <c r="S331" s="185">
        <f t="shared" si="86"/>
        <v>12278.980550795455</v>
      </c>
      <c r="T331" s="185">
        <f t="shared" si="86"/>
        <v>9192.9229210795456</v>
      </c>
      <c r="U331" s="185">
        <f t="shared" si="86"/>
        <v>9550.2149375568188</v>
      </c>
      <c r="V331" s="185">
        <f t="shared" si="86"/>
        <v>10253.218673579546</v>
      </c>
      <c r="W331" s="185">
        <f t="shared" si="86"/>
        <v>11073.751086704546</v>
      </c>
      <c r="X331" s="185">
        <f t="shared" si="86"/>
        <v>11890.53089659091</v>
      </c>
      <c r="Y331" s="185">
        <f t="shared" si="86"/>
        <v>10954.097702556819</v>
      </c>
      <c r="Z331" s="185">
        <f t="shared" si="86"/>
        <v>10077.289795170458</v>
      </c>
      <c r="AA331" s="185">
        <f t="shared" ref="AA331:AJ332" si="87">SUMIFS(AA$285:AA$289,$D$278:$D$282,$C331)</f>
        <v>11185.775166250001</v>
      </c>
      <c r="AB331" s="185">
        <f t="shared" si="87"/>
        <v>12244.037162215911</v>
      </c>
      <c r="AC331" s="185">
        <f t="shared" si="87"/>
        <v>13982.857722784092</v>
      </c>
      <c r="AD331" s="185">
        <f t="shared" si="87"/>
        <v>16324.818197215911</v>
      </c>
      <c r="AE331" s="185">
        <f t="shared" si="87"/>
        <v>12673.686315281251</v>
      </c>
      <c r="AF331" s="185">
        <f t="shared" si="87"/>
        <v>9377.1370056272735</v>
      </c>
      <c r="AG331" s="185">
        <f t="shared" si="87"/>
        <v>9743.0858051346604</v>
      </c>
      <c r="AH331" s="185">
        <f t="shared" si="87"/>
        <v>10463.701824883525</v>
      </c>
      <c r="AI331" s="185">
        <f t="shared" si="87"/>
        <v>11308.004842364775</v>
      </c>
      <c r="AJ331" s="185">
        <f t="shared" si="87"/>
        <v>12147.850659045456</v>
      </c>
      <c r="AK331" s="185">
        <f t="shared" ref="AK331:AT332" si="88">SUMIFS(AK$285:AK$289,$D$278:$D$282,$C331)</f>
        <v>11185.84160310341</v>
      </c>
      <c r="AL331" s="185">
        <f t="shared" si="88"/>
        <v>10285.504949016478</v>
      </c>
      <c r="AM331" s="185">
        <f t="shared" si="88"/>
        <v>11415.99834305</v>
      </c>
      <c r="AN331" s="185">
        <f t="shared" si="88"/>
        <v>12496.473485114208</v>
      </c>
      <c r="AO331" s="185">
        <f t="shared" si="88"/>
        <v>14277.643279704549</v>
      </c>
      <c r="AP331" s="185">
        <f t="shared" si="88"/>
        <v>16677.193988026705</v>
      </c>
      <c r="AQ331" s="185">
        <f t="shared" si="88"/>
        <v>12841.720466472871</v>
      </c>
      <c r="AR331" s="185">
        <f t="shared" si="88"/>
        <v>9397.444986409093</v>
      </c>
      <c r="AS331" s="185">
        <f t="shared" si="88"/>
        <v>9765.4392056027009</v>
      </c>
      <c r="AT331" s="185">
        <f t="shared" si="88"/>
        <v>10489.90222087003</v>
      </c>
      <c r="AU331" s="185">
        <f t="shared" ref="AU331:BD332" si="89">SUMIFS(AU$285:AU$289,$D$278:$D$282,$C331)</f>
        <v>11341.246055749716</v>
      </c>
      <c r="AV331" s="185">
        <f t="shared" si="89"/>
        <v>12187.545980056819</v>
      </c>
      <c r="AW331" s="185">
        <f t="shared" si="89"/>
        <v>11218.445680335513</v>
      </c>
      <c r="AX331" s="185">
        <f t="shared" si="89"/>
        <v>10311.277755354973</v>
      </c>
      <c r="AY331" s="185">
        <f t="shared" si="89"/>
        <v>11443.524129537504</v>
      </c>
      <c r="AZ331" s="185">
        <f t="shared" si="89"/>
        <v>12526.831184339633</v>
      </c>
      <c r="BA331" s="185">
        <f t="shared" si="89"/>
        <v>14314.639224030685</v>
      </c>
      <c r="BB331" s="185">
        <f t="shared" si="89"/>
        <v>16723.435289561512</v>
      </c>
      <c r="BC331" s="185">
        <f t="shared" si="89"/>
        <v>12852.667535727991</v>
      </c>
      <c r="BD331" s="185">
        <f t="shared" si="89"/>
        <v>9382.6637346719253</v>
      </c>
      <c r="BE331" s="185">
        <f t="shared" ref="BE331:BP332" si="90">SUMIFS(BE$285:BE$289,$D$278:$D$282,$C331)</f>
        <v>9750.8142773930267</v>
      </c>
      <c r="BF331" s="185">
        <f t="shared" si="90"/>
        <v>10476.387223698737</v>
      </c>
      <c r="BG331" s="185">
        <f t="shared" si="90"/>
        <v>11330.702690402019</v>
      </c>
      <c r="BH331" s="185">
        <f t="shared" si="90"/>
        <v>12179.665323014717</v>
      </c>
      <c r="BI331" s="185">
        <f t="shared" si="90"/>
        <v>11208.046137668091</v>
      </c>
      <c r="BJ331" s="185">
        <f t="shared" si="90"/>
        <v>10299.411860649827</v>
      </c>
      <c r="BK331" s="185">
        <f t="shared" si="90"/>
        <v>11430.255604660189</v>
      </c>
      <c r="BL331" s="185">
        <f t="shared" si="90"/>
        <v>12512.568140958499</v>
      </c>
      <c r="BM331" s="185">
        <f t="shared" si="90"/>
        <v>14303.909384717568</v>
      </c>
      <c r="BN331" s="185">
        <f t="shared" si="90"/>
        <v>16717.791431583628</v>
      </c>
      <c r="BO331" s="185">
        <f t="shared" si="90"/>
        <v>12846.49632505127</v>
      </c>
      <c r="BP331" s="197">
        <f t="shared" si="90"/>
        <v>3971.2033295771212</v>
      </c>
    </row>
    <row r="332" spans="2:69" ht="12" customHeight="1" outlineLevel="1">
      <c r="B332" s="112"/>
      <c r="C332" s="101" t="str">
        <f>Assumptions!G64</f>
        <v>Powered Pallet Truck</v>
      </c>
      <c r="F332" s="109" t="s">
        <v>71</v>
      </c>
      <c r="G332" s="197">
        <f t="shared" si="85"/>
        <v>0</v>
      </c>
      <c r="H332" s="185">
        <f t="shared" si="85"/>
        <v>14709.309696969696</v>
      </c>
      <c r="I332" s="185">
        <f t="shared" si="85"/>
        <v>14952.910390151515</v>
      </c>
      <c r="J332" s="185">
        <f t="shared" si="85"/>
        <v>15983.127632575757</v>
      </c>
      <c r="K332" s="185">
        <f t="shared" si="85"/>
        <v>17291.075068181817</v>
      </c>
      <c r="L332" s="185">
        <f t="shared" si="85"/>
        <v>18553.714848484851</v>
      </c>
      <c r="M332" s="185">
        <f t="shared" si="85"/>
        <v>18468.542090909094</v>
      </c>
      <c r="N332" s="185">
        <f t="shared" si="85"/>
        <v>16018.865678030303</v>
      </c>
      <c r="O332" s="185">
        <f t="shared" si="85"/>
        <v>17162.384181818183</v>
      </c>
      <c r="P332" s="185">
        <f t="shared" si="85"/>
        <v>19495.908412878787</v>
      </c>
      <c r="Q332" s="185">
        <f t="shared" si="86"/>
        <v>21257.615704545457</v>
      </c>
      <c r="R332" s="185">
        <f t="shared" si="86"/>
        <v>25707.233534090909</v>
      </c>
      <c r="S332" s="185">
        <f t="shared" si="86"/>
        <v>24933.370212954545</v>
      </c>
      <c r="T332" s="185">
        <f t="shared" si="86"/>
        <v>15257.831341590909</v>
      </c>
      <c r="U332" s="185">
        <f t="shared" si="86"/>
        <v>15502.547249545456</v>
      </c>
      <c r="V332" s="185">
        <f t="shared" si="86"/>
        <v>16574.893796022727</v>
      </c>
      <c r="W332" s="185">
        <f t="shared" si="86"/>
        <v>17937.224277954545</v>
      </c>
      <c r="X332" s="185">
        <f t="shared" si="86"/>
        <v>19246.939804545458</v>
      </c>
      <c r="Y332" s="185">
        <f t="shared" si="86"/>
        <v>19162.357433522728</v>
      </c>
      <c r="Z332" s="185">
        <f t="shared" si="86"/>
        <v>16623.206803409092</v>
      </c>
      <c r="AA332" s="185">
        <f t="shared" si="87"/>
        <v>17828.321874545458</v>
      </c>
      <c r="AB332" s="185">
        <f t="shared" si="87"/>
        <v>20251.577267613637</v>
      </c>
      <c r="AC332" s="185">
        <f t="shared" si="87"/>
        <v>22105.410800113641</v>
      </c>
      <c r="AD332" s="185">
        <f t="shared" si="87"/>
        <v>26799.430592727276</v>
      </c>
      <c r="AE332" s="185">
        <f t="shared" si="87"/>
        <v>25929.44491539205</v>
      </c>
      <c r="AF332" s="185">
        <f t="shared" si="87"/>
        <v>15565.362108845457</v>
      </c>
      <c r="AG332" s="185">
        <f t="shared" si="87"/>
        <v>15818.167704235228</v>
      </c>
      <c r="AH332" s="185">
        <f t="shared" si="87"/>
        <v>16915.406821073866</v>
      </c>
      <c r="AI332" s="185">
        <f t="shared" si="87"/>
        <v>18314.947180002273</v>
      </c>
      <c r="AJ332" s="185">
        <f t="shared" si="87"/>
        <v>19662.252898772727</v>
      </c>
      <c r="AK332" s="185">
        <f t="shared" si="88"/>
        <v>19574.242138411366</v>
      </c>
      <c r="AL332" s="185">
        <f t="shared" si="88"/>
        <v>16969.097814317047</v>
      </c>
      <c r="AM332" s="185">
        <f t="shared" si="88"/>
        <v>18197.661744122728</v>
      </c>
      <c r="AN332" s="185">
        <f t="shared" si="88"/>
        <v>20670.375326444318</v>
      </c>
      <c r="AO332" s="185">
        <f t="shared" si="88"/>
        <v>22569.47303543182</v>
      </c>
      <c r="AP332" s="185">
        <f t="shared" si="88"/>
        <v>27373.510971951135</v>
      </c>
      <c r="AQ332" s="185">
        <f t="shared" si="88"/>
        <v>26401.735072101994</v>
      </c>
      <c r="AR332" s="185">
        <f t="shared" si="88"/>
        <v>15594.72006593182</v>
      </c>
      <c r="AS332" s="185">
        <f t="shared" si="88"/>
        <v>15850.958529800286</v>
      </c>
      <c r="AT332" s="185">
        <f t="shared" si="88"/>
        <v>16952.39877946108</v>
      </c>
      <c r="AU332" s="185">
        <f t="shared" si="89"/>
        <v>18361.234269015338</v>
      </c>
      <c r="AV332" s="185">
        <f t="shared" si="89"/>
        <v>19719.100350865912</v>
      </c>
      <c r="AW332" s="185">
        <f t="shared" si="89"/>
        <v>19628.746553101704</v>
      </c>
      <c r="AX332" s="185">
        <f t="shared" si="89"/>
        <v>17008.20143160256</v>
      </c>
      <c r="AY332" s="185">
        <f t="shared" si="89"/>
        <v>18237.175973253412</v>
      </c>
      <c r="AZ332" s="185">
        <f t="shared" si="89"/>
        <v>20714.605389261651</v>
      </c>
      <c r="BA332" s="185">
        <f t="shared" si="89"/>
        <v>22620.918293539777</v>
      </c>
      <c r="BB332" s="185">
        <f t="shared" si="89"/>
        <v>27438.530655607672</v>
      </c>
      <c r="BC332" s="185">
        <f t="shared" si="89"/>
        <v>26443.649519375525</v>
      </c>
      <c r="BD332" s="185">
        <f t="shared" si="89"/>
        <v>15570.825754221718</v>
      </c>
      <c r="BE332" s="185">
        <f t="shared" si="90"/>
        <v>15827.757162411173</v>
      </c>
      <c r="BF332" s="185">
        <f t="shared" si="90"/>
        <v>16929.613331507713</v>
      </c>
      <c r="BG332" s="185">
        <f t="shared" si="90"/>
        <v>18342.024461866331</v>
      </c>
      <c r="BH332" s="185">
        <f t="shared" si="90"/>
        <v>19703.775984216547</v>
      </c>
      <c r="BI332" s="185">
        <f t="shared" si="90"/>
        <v>19612.476224651713</v>
      </c>
      <c r="BJ332" s="185">
        <f t="shared" si="90"/>
        <v>16988.400624049162</v>
      </c>
      <c r="BK332" s="185">
        <f t="shared" si="90"/>
        <v>18216.718199918796</v>
      </c>
      <c r="BL332" s="185">
        <f t="shared" si="90"/>
        <v>20690.771827712677</v>
      </c>
      <c r="BM332" s="185">
        <f t="shared" si="90"/>
        <v>22600.558636756927</v>
      </c>
      <c r="BN332" s="185">
        <f t="shared" si="90"/>
        <v>27425.114424654857</v>
      </c>
      <c r="BO332" s="185">
        <f t="shared" si="90"/>
        <v>26432.55396857762</v>
      </c>
      <c r="BP332" s="197">
        <f t="shared" si="90"/>
        <v>11110.377712943438</v>
      </c>
    </row>
    <row r="333" spans="2:69" ht="12" customHeight="1" outlineLevel="1">
      <c r="B333" s="112"/>
    </row>
    <row r="334" spans="2:69" ht="12" customHeight="1" outlineLevel="1">
      <c r="B334" s="160" t="s">
        <v>125</v>
      </c>
    </row>
    <row r="335" spans="2:69" outlineLevel="1">
      <c r="C335" s="101" t="str">
        <f t="array" ref="C335:C336">C331:C332</f>
        <v>Reach Truck</v>
      </c>
      <c r="D335" s="184">
        <f>Assumptions!D73</f>
        <v>7</v>
      </c>
      <c r="E335" s="224" t="s">
        <v>126</v>
      </c>
      <c r="F335" s="109" t="s">
        <v>127</v>
      </c>
      <c r="G335" s="149"/>
      <c r="H335" s="185">
        <f t="array" ref="H335:BO336">H331:BO332*D335:D336</f>
        <v>62166.611685606062</v>
      </c>
      <c r="I335" s="185">
        <v>64592.783486742432</v>
      </c>
      <c r="J335" s="185">
        <v>69320.1428314394</v>
      </c>
      <c r="K335" s="185">
        <v>74848.827852272734</v>
      </c>
      <c r="L335" s="185">
        <v>80347.963712121229</v>
      </c>
      <c r="M335" s="185">
        <v>74035.127090909096</v>
      </c>
      <c r="N335" s="185">
        <v>68064.535251893933</v>
      </c>
      <c r="O335" s="185">
        <v>75513.92975000001</v>
      </c>
      <c r="P335" s="185">
        <v>82655.370941287882</v>
      </c>
      <c r="Q335" s="185">
        <v>94205.448829545465</v>
      </c>
      <c r="R335" s="185">
        <v>109758.95123295457</v>
      </c>
      <c r="S335" s="185">
        <v>85952.863855568183</v>
      </c>
      <c r="T335" s="185">
        <v>64350.460447556819</v>
      </c>
      <c r="U335" s="185">
        <v>66851.504562897724</v>
      </c>
      <c r="V335" s="185">
        <v>71772.530715056826</v>
      </c>
      <c r="W335" s="185">
        <v>77516.257606931817</v>
      </c>
      <c r="X335" s="185">
        <v>83233.716276136372</v>
      </c>
      <c r="Y335" s="185">
        <v>76678.683917897739</v>
      </c>
      <c r="Z335" s="185">
        <v>70541.028566193214</v>
      </c>
      <c r="AA335" s="185">
        <v>78300.426163750002</v>
      </c>
      <c r="AB335" s="185">
        <v>85708.260135511373</v>
      </c>
      <c r="AC335" s="185">
        <v>97880.004059488652</v>
      </c>
      <c r="AD335" s="185">
        <v>114273.72738051138</v>
      </c>
      <c r="AE335" s="185">
        <v>88715.804206968751</v>
      </c>
      <c r="AF335" s="185">
        <v>65639.959039390917</v>
      </c>
      <c r="AG335" s="185">
        <v>68201.600635942625</v>
      </c>
      <c r="AH335" s="185">
        <v>73245.912774184675</v>
      </c>
      <c r="AI335" s="185">
        <v>79156.033896553417</v>
      </c>
      <c r="AJ335" s="185">
        <v>85034.954613318201</v>
      </c>
      <c r="AK335" s="185">
        <v>78300.891221723869</v>
      </c>
      <c r="AL335" s="185">
        <v>71998.534643115345</v>
      </c>
      <c r="AM335" s="185">
        <v>79911.988401349998</v>
      </c>
      <c r="AN335" s="185">
        <v>87475.314395799447</v>
      </c>
      <c r="AO335" s="185">
        <v>99943.502957931836</v>
      </c>
      <c r="AP335" s="185">
        <v>116740.35791618694</v>
      </c>
      <c r="AQ335" s="185">
        <v>89892.043265310087</v>
      </c>
      <c r="AR335" s="185">
        <v>65782.114904863643</v>
      </c>
      <c r="AS335" s="185">
        <v>68358.074439218908</v>
      </c>
      <c r="AT335" s="185">
        <v>73429.315546090205</v>
      </c>
      <c r="AU335" s="185">
        <v>79388.722390248018</v>
      </c>
      <c r="AV335" s="185">
        <v>85312.821860397729</v>
      </c>
      <c r="AW335" s="185">
        <v>78529.119762348593</v>
      </c>
      <c r="AX335" s="185">
        <v>72178.944287484817</v>
      </c>
      <c r="AY335" s="185">
        <v>80104.668906762527</v>
      </c>
      <c r="AZ335" s="185">
        <v>87687.818290377429</v>
      </c>
      <c r="BA335" s="185">
        <v>100202.47456821479</v>
      </c>
      <c r="BB335" s="185">
        <v>117064.04702693058</v>
      </c>
      <c r="BC335" s="185">
        <v>89968.672750095939</v>
      </c>
      <c r="BD335" s="185">
        <v>65678.646142703481</v>
      </c>
      <c r="BE335" s="185">
        <v>68255.699941751183</v>
      </c>
      <c r="BF335" s="185">
        <v>73334.710565891161</v>
      </c>
      <c r="BG335" s="185">
        <v>79314.918832814132</v>
      </c>
      <c r="BH335" s="185">
        <v>85257.657261103013</v>
      </c>
      <c r="BI335" s="185">
        <v>78456.322963676634</v>
      </c>
      <c r="BJ335" s="185">
        <v>72095.883024548792</v>
      </c>
      <c r="BK335" s="185">
        <v>80011.789232621319</v>
      </c>
      <c r="BL335" s="185">
        <v>87587.976986709502</v>
      </c>
      <c r="BM335" s="185">
        <v>100127.36569302298</v>
      </c>
      <c r="BN335" s="185">
        <v>117024.5400210854</v>
      </c>
      <c r="BO335" s="185">
        <v>89925.474275358894</v>
      </c>
      <c r="BP335" s="149"/>
    </row>
    <row r="336" spans="2:69" outlineLevel="1">
      <c r="C336" s="101" t="str">
        <v>Powered Pallet Truck</v>
      </c>
      <c r="D336" s="212">
        <f>Assumptions!D72</f>
        <v>2.5</v>
      </c>
      <c r="E336" s="225" t="s">
        <v>126</v>
      </c>
      <c r="F336" s="109" t="s">
        <v>127</v>
      </c>
      <c r="G336" s="149"/>
      <c r="H336" s="185">
        <v>36773.274242424239</v>
      </c>
      <c r="I336" s="185">
        <v>37382.27597537879</v>
      </c>
      <c r="J336" s="185">
        <v>39957.819081439389</v>
      </c>
      <c r="K336" s="185">
        <v>43227.687670454543</v>
      </c>
      <c r="L336" s="185">
        <v>46384.287121212124</v>
      </c>
      <c r="M336" s="185">
        <v>46171.355227272732</v>
      </c>
      <c r="N336" s="185">
        <v>40047.164195075755</v>
      </c>
      <c r="O336" s="185">
        <v>42905.960454545457</v>
      </c>
      <c r="P336" s="185">
        <v>48739.771032196964</v>
      </c>
      <c r="Q336" s="185">
        <v>53144.039261363643</v>
      </c>
      <c r="R336" s="185">
        <v>64268.083835227269</v>
      </c>
      <c r="S336" s="185">
        <v>62333.425532386362</v>
      </c>
      <c r="T336" s="185">
        <v>38144.578353977275</v>
      </c>
      <c r="U336" s="185">
        <v>38756.368123863642</v>
      </c>
      <c r="V336" s="185">
        <v>41437.234490056813</v>
      </c>
      <c r="W336" s="185">
        <v>44843.060694886364</v>
      </c>
      <c r="X336" s="185">
        <v>48117.349511363645</v>
      </c>
      <c r="Y336" s="185">
        <v>47905.893583806821</v>
      </c>
      <c r="Z336" s="185">
        <v>41558.017008522729</v>
      </c>
      <c r="AA336" s="185">
        <v>44570.804686363641</v>
      </c>
      <c r="AB336" s="185">
        <v>50628.943169034093</v>
      </c>
      <c r="AC336" s="185">
        <v>55263.527000284099</v>
      </c>
      <c r="AD336" s="185">
        <v>66998.576481818192</v>
      </c>
      <c r="AE336" s="185">
        <v>64823.61228848013</v>
      </c>
      <c r="AF336" s="185">
        <v>38913.40527211364</v>
      </c>
      <c r="AG336" s="185">
        <v>39545.419260588067</v>
      </c>
      <c r="AH336" s="185">
        <v>42288.517052684663</v>
      </c>
      <c r="AI336" s="185">
        <v>45787.367950005682</v>
      </c>
      <c r="AJ336" s="185">
        <v>49155.632246931818</v>
      </c>
      <c r="AK336" s="185">
        <v>48935.605346028417</v>
      </c>
      <c r="AL336" s="185">
        <v>42422.744535792619</v>
      </c>
      <c r="AM336" s="185">
        <v>45494.15436030682</v>
      </c>
      <c r="AN336" s="185">
        <v>51675.938316110798</v>
      </c>
      <c r="AO336" s="185">
        <v>56423.682588579548</v>
      </c>
      <c r="AP336" s="185">
        <v>68433.777429877839</v>
      </c>
      <c r="AQ336" s="185">
        <v>66004.33768025499</v>
      </c>
      <c r="AR336" s="185">
        <v>38986.800164829554</v>
      </c>
      <c r="AS336" s="185">
        <v>39627.396324500718</v>
      </c>
      <c r="AT336" s="185">
        <v>42380.996948652697</v>
      </c>
      <c r="AU336" s="185">
        <v>45903.085672538349</v>
      </c>
      <c r="AV336" s="185">
        <v>49297.750877164784</v>
      </c>
      <c r="AW336" s="185">
        <v>49071.866382754262</v>
      </c>
      <c r="AX336" s="185">
        <v>42520.503579006399</v>
      </c>
      <c r="AY336" s="185">
        <v>45592.93993313353</v>
      </c>
      <c r="AZ336" s="185">
        <v>51786.513473154126</v>
      </c>
      <c r="BA336" s="185">
        <v>56552.295733849445</v>
      </c>
      <c r="BB336" s="185">
        <v>68596.326639019186</v>
      </c>
      <c r="BC336" s="185">
        <v>66109.123798438814</v>
      </c>
      <c r="BD336" s="185">
        <v>38927.064385554295</v>
      </c>
      <c r="BE336" s="185">
        <v>39569.392906027933</v>
      </c>
      <c r="BF336" s="185">
        <v>42324.033328769285</v>
      </c>
      <c r="BG336" s="185">
        <v>45855.061154665826</v>
      </c>
      <c r="BH336" s="185">
        <v>49259.439960541364</v>
      </c>
      <c r="BI336" s="185">
        <v>49031.190561629279</v>
      </c>
      <c r="BJ336" s="185">
        <v>42471.001560122902</v>
      </c>
      <c r="BK336" s="185">
        <v>45541.795499796994</v>
      </c>
      <c r="BL336" s="185">
        <v>51726.929569281696</v>
      </c>
      <c r="BM336" s="185">
        <v>56501.39659189232</v>
      </c>
      <c r="BN336" s="185">
        <v>68562.786061637147</v>
      </c>
      <c r="BO336" s="185">
        <v>66081.384921444056</v>
      </c>
      <c r="BP336" s="149"/>
    </row>
    <row r="337" spans="1:69" ht="12" customHeight="1" outlineLevel="1">
      <c r="C337" s="165" t="s">
        <v>128</v>
      </c>
      <c r="D337" s="165"/>
      <c r="E337" s="166"/>
      <c r="F337" s="167" t="s">
        <v>9</v>
      </c>
      <c r="G337" s="168"/>
      <c r="H337" s="169">
        <f t="array" ref="H337:BO337">H335:BO335+H336:BO336</f>
        <v>98939.8859280303</v>
      </c>
      <c r="I337" s="169">
        <v>101975.05946212122</v>
      </c>
      <c r="J337" s="169">
        <v>109277.96191287879</v>
      </c>
      <c r="K337" s="169">
        <v>118076.51552272728</v>
      </c>
      <c r="L337" s="169">
        <v>126732.25083333335</v>
      </c>
      <c r="M337" s="169">
        <v>120206.48231818184</v>
      </c>
      <c r="N337" s="169">
        <v>108111.69944696969</v>
      </c>
      <c r="O337" s="169">
        <v>118419.89020454546</v>
      </c>
      <c r="P337" s="169">
        <v>131395.14197348483</v>
      </c>
      <c r="Q337" s="169">
        <v>147349.48809090912</v>
      </c>
      <c r="R337" s="169">
        <v>174027.03506818184</v>
      </c>
      <c r="S337" s="169">
        <v>148286.28938795454</v>
      </c>
      <c r="T337" s="169">
        <v>102495.0388015341</v>
      </c>
      <c r="U337" s="169">
        <v>105607.87268676137</v>
      </c>
      <c r="V337" s="169">
        <v>113209.76520511364</v>
      </c>
      <c r="W337" s="169">
        <v>122359.31830181819</v>
      </c>
      <c r="X337" s="169">
        <v>131351.0657875</v>
      </c>
      <c r="Y337" s="169">
        <v>124584.57750170457</v>
      </c>
      <c r="Z337" s="169">
        <v>112099.04557471594</v>
      </c>
      <c r="AA337" s="169">
        <v>122871.23085011364</v>
      </c>
      <c r="AB337" s="169">
        <v>136337.20330454546</v>
      </c>
      <c r="AC337" s="169">
        <v>153143.53105977277</v>
      </c>
      <c r="AD337" s="169">
        <v>181272.30386232957</v>
      </c>
      <c r="AE337" s="169">
        <v>153539.41649544888</v>
      </c>
      <c r="AF337" s="169">
        <v>104553.36431150456</v>
      </c>
      <c r="AG337" s="169">
        <v>107747.01989653069</v>
      </c>
      <c r="AH337" s="169">
        <v>115534.42982686934</v>
      </c>
      <c r="AI337" s="169">
        <v>124943.40184655911</v>
      </c>
      <c r="AJ337" s="169">
        <v>134190.58686025001</v>
      </c>
      <c r="AK337" s="169">
        <v>127236.49656775229</v>
      </c>
      <c r="AL337" s="169">
        <v>114421.27917890796</v>
      </c>
      <c r="AM337" s="169">
        <v>125406.14276165681</v>
      </c>
      <c r="AN337" s="169">
        <v>139151.25271191023</v>
      </c>
      <c r="AO337" s="169">
        <v>156367.18554651138</v>
      </c>
      <c r="AP337" s="169">
        <v>185174.13534606478</v>
      </c>
      <c r="AQ337" s="169">
        <v>155896.38094556506</v>
      </c>
      <c r="AR337" s="169">
        <v>104768.9150696932</v>
      </c>
      <c r="AS337" s="169">
        <v>107985.47076371963</v>
      </c>
      <c r="AT337" s="169">
        <v>115810.3124947429</v>
      </c>
      <c r="AU337" s="169">
        <v>125291.80806278637</v>
      </c>
      <c r="AV337" s="169">
        <v>134610.57273756253</v>
      </c>
      <c r="AW337" s="169">
        <v>127600.98614510286</v>
      </c>
      <c r="AX337" s="169">
        <v>114699.44786649122</v>
      </c>
      <c r="AY337" s="169">
        <v>125697.60883989606</v>
      </c>
      <c r="AZ337" s="169">
        <v>139474.33176353155</v>
      </c>
      <c r="BA337" s="169">
        <v>156754.77030206425</v>
      </c>
      <c r="BB337" s="169">
        <v>185660.37366594977</v>
      </c>
      <c r="BC337" s="169">
        <v>156077.79654853477</v>
      </c>
      <c r="BD337" s="169">
        <v>104605.71052825777</v>
      </c>
      <c r="BE337" s="169">
        <v>107825.09284777912</v>
      </c>
      <c r="BF337" s="169">
        <v>115658.74389466044</v>
      </c>
      <c r="BG337" s="169">
        <v>125169.97998747995</v>
      </c>
      <c r="BH337" s="169">
        <v>134517.09722164436</v>
      </c>
      <c r="BI337" s="169">
        <v>127487.51352530591</v>
      </c>
      <c r="BJ337" s="169">
        <v>114566.8845846717</v>
      </c>
      <c r="BK337" s="169">
        <v>125553.58473241831</v>
      </c>
      <c r="BL337" s="169">
        <v>139314.90655599121</v>
      </c>
      <c r="BM337" s="169">
        <v>156628.76228491531</v>
      </c>
      <c r="BN337" s="169">
        <v>185587.32608272255</v>
      </c>
      <c r="BO337" s="169">
        <v>156006.85919680295</v>
      </c>
      <c r="BP337" s="168"/>
      <c r="BQ337" s="169"/>
    </row>
    <row r="338" spans="1:69" outlineLevel="1"/>
    <row r="339" spans="1:69" ht="12" customHeight="1" outlineLevel="1">
      <c r="B339" s="160" t="s">
        <v>129</v>
      </c>
    </row>
    <row r="340" spans="1:69" outlineLevel="1">
      <c r="C340" s="101" t="s">
        <v>130</v>
      </c>
      <c r="D340" s="245">
        <f>Assumptions!D12</f>
        <v>0.18</v>
      </c>
      <c r="E340" s="219" t="s">
        <v>131</v>
      </c>
      <c r="F340" s="109" t="s">
        <v>9</v>
      </c>
      <c r="G340" s="149"/>
      <c r="H340" s="110">
        <f t="array" ref="H340:BO340">D340*H31:BO31</f>
        <v>0.18</v>
      </c>
      <c r="I340" s="101">
        <v>0.18</v>
      </c>
      <c r="J340" s="101">
        <v>0.18</v>
      </c>
      <c r="K340" s="101">
        <v>0.18</v>
      </c>
      <c r="L340" s="101">
        <v>0.18</v>
      </c>
      <c r="M340" s="101">
        <v>0.18</v>
      </c>
      <c r="N340" s="101">
        <v>0.18</v>
      </c>
      <c r="O340" s="101">
        <v>0.18</v>
      </c>
      <c r="P340" s="101">
        <v>0.18</v>
      </c>
      <c r="Q340" s="101">
        <v>0.18</v>
      </c>
      <c r="R340" s="101">
        <v>0.18</v>
      </c>
      <c r="S340" s="101">
        <v>0.18</v>
      </c>
      <c r="T340" s="101">
        <v>0.18540000000000001</v>
      </c>
      <c r="U340" s="101">
        <v>0.18540000000000001</v>
      </c>
      <c r="V340" s="101">
        <v>0.18540000000000001</v>
      </c>
      <c r="W340" s="101">
        <v>0.18540000000000001</v>
      </c>
      <c r="X340" s="101">
        <v>0.18540000000000001</v>
      </c>
      <c r="Y340" s="101">
        <v>0.18540000000000001</v>
      </c>
      <c r="Z340" s="101">
        <v>0.18540000000000001</v>
      </c>
      <c r="AA340" s="101">
        <v>0.18540000000000001</v>
      </c>
      <c r="AB340" s="101">
        <v>0.18540000000000001</v>
      </c>
      <c r="AC340" s="101">
        <v>0.18540000000000001</v>
      </c>
      <c r="AD340" s="101">
        <v>0.18540000000000001</v>
      </c>
      <c r="AE340" s="101">
        <v>0.18540000000000001</v>
      </c>
      <c r="AF340" s="101">
        <v>0.19096199999999999</v>
      </c>
      <c r="AG340" s="101">
        <v>0.19096199999999999</v>
      </c>
      <c r="AH340" s="101">
        <v>0.19096199999999999</v>
      </c>
      <c r="AI340" s="101">
        <v>0.19096199999999999</v>
      </c>
      <c r="AJ340" s="101">
        <v>0.19096199999999999</v>
      </c>
      <c r="AK340" s="101">
        <v>0.19096199999999999</v>
      </c>
      <c r="AL340" s="101">
        <v>0.19096199999999999</v>
      </c>
      <c r="AM340" s="101">
        <v>0.19096199999999999</v>
      </c>
      <c r="AN340" s="101">
        <v>0.19096199999999999</v>
      </c>
      <c r="AO340" s="101">
        <v>0.19096199999999999</v>
      </c>
      <c r="AP340" s="101">
        <v>0.19096199999999999</v>
      </c>
      <c r="AQ340" s="101">
        <v>0.19096199999999999</v>
      </c>
      <c r="AR340" s="101">
        <v>0.19669086</v>
      </c>
      <c r="AS340" s="101">
        <v>0.19669086</v>
      </c>
      <c r="AT340" s="101">
        <v>0.19669086</v>
      </c>
      <c r="AU340" s="101">
        <v>0.19669086</v>
      </c>
      <c r="AV340" s="101">
        <v>0.19669086</v>
      </c>
      <c r="AW340" s="101">
        <v>0.19669086</v>
      </c>
      <c r="AX340" s="101">
        <v>0.19669086</v>
      </c>
      <c r="AY340" s="101">
        <v>0.19669086</v>
      </c>
      <c r="AZ340" s="101">
        <v>0.19669086</v>
      </c>
      <c r="BA340" s="101">
        <v>0.19669086</v>
      </c>
      <c r="BB340" s="101">
        <v>0.19669086</v>
      </c>
      <c r="BC340" s="101">
        <v>0.19669086</v>
      </c>
      <c r="BD340" s="101">
        <v>0.20259158579999997</v>
      </c>
      <c r="BE340" s="101">
        <v>0.20259158579999997</v>
      </c>
      <c r="BF340" s="101">
        <v>0.20259158579999997</v>
      </c>
      <c r="BG340" s="101">
        <v>0.20259158579999997</v>
      </c>
      <c r="BH340" s="101">
        <v>0.20259158579999997</v>
      </c>
      <c r="BI340" s="101">
        <v>0.20259158579999997</v>
      </c>
      <c r="BJ340" s="101">
        <v>0.20259158579999997</v>
      </c>
      <c r="BK340" s="101">
        <v>0.20259158579999997</v>
      </c>
      <c r="BL340" s="101">
        <v>0.20259158579999997</v>
      </c>
      <c r="BM340" s="101">
        <v>0.20259158579999997</v>
      </c>
      <c r="BN340" s="101">
        <v>0.20259158579999997</v>
      </c>
      <c r="BO340" s="101">
        <v>0.20259158579999997</v>
      </c>
      <c r="BP340" s="149"/>
    </row>
    <row r="341" spans="1:69" ht="12" customHeight="1" outlineLevel="1">
      <c r="C341" s="165" t="s">
        <v>132</v>
      </c>
      <c r="D341" s="165"/>
      <c r="E341" s="166"/>
      <c r="F341" s="167" t="s">
        <v>9</v>
      </c>
      <c r="G341" s="168"/>
      <c r="H341" s="169">
        <f t="array" ref="H341:BO341">H340:BO340*_xlfn.ANCHORARRAY(H337)</f>
        <v>17809.179467045455</v>
      </c>
      <c r="I341" s="169">
        <v>18355.510703181819</v>
      </c>
      <c r="J341" s="169">
        <v>19670.033144318182</v>
      </c>
      <c r="K341" s="169">
        <v>21253.77279409091</v>
      </c>
      <c r="L341" s="169">
        <v>22811.805150000004</v>
      </c>
      <c r="M341" s="169">
        <v>21637.16681727273</v>
      </c>
      <c r="N341" s="169">
        <v>19460.105900454546</v>
      </c>
      <c r="O341" s="169">
        <v>21315.580236818183</v>
      </c>
      <c r="P341" s="169">
        <v>23651.125555227271</v>
      </c>
      <c r="Q341" s="169">
        <v>26522.907856363639</v>
      </c>
      <c r="R341" s="169">
        <v>31324.86631227273</v>
      </c>
      <c r="S341" s="169">
        <v>26691.532089831817</v>
      </c>
      <c r="T341" s="169">
        <v>19002.580193804424</v>
      </c>
      <c r="U341" s="169">
        <v>19579.69959612556</v>
      </c>
      <c r="V341" s="169">
        <v>20989.090469028069</v>
      </c>
      <c r="W341" s="169">
        <v>22685.417613157093</v>
      </c>
      <c r="X341" s="169">
        <v>24352.487597002502</v>
      </c>
      <c r="Y341" s="169">
        <v>23097.980668816028</v>
      </c>
      <c r="Z341" s="169">
        <v>20783.163049552339</v>
      </c>
      <c r="AA341" s="169">
        <v>22780.32619961107</v>
      </c>
      <c r="AB341" s="169">
        <v>25276.917492662731</v>
      </c>
      <c r="AC341" s="169">
        <v>28392.810658481871</v>
      </c>
      <c r="AD341" s="169">
        <v>33607.885136075907</v>
      </c>
      <c r="AE341" s="169">
        <v>28466.207818256225</v>
      </c>
      <c r="AF341" s="169">
        <v>19965.719555653533</v>
      </c>
      <c r="AG341" s="169">
        <v>20575.586413481295</v>
      </c>
      <c r="AH341" s="169">
        <v>22062.685788598621</v>
      </c>
      <c r="AI341" s="169">
        <v>23859.441903422619</v>
      </c>
      <c r="AJ341" s="169">
        <v>25625.302848007061</v>
      </c>
      <c r="AK341" s="169">
        <v>24297.33585757111</v>
      </c>
      <c r="AL341" s="169">
        <v>21850.116314562623</v>
      </c>
      <c r="AM341" s="169">
        <v>23947.807834051506</v>
      </c>
      <c r="AN341" s="169">
        <v>26572.601520371802</v>
      </c>
      <c r="AO341" s="169">
        <v>29860.190486332904</v>
      </c>
      <c r="AP341" s="169">
        <v>35361.223233955221</v>
      </c>
      <c r="AQ341" s="169">
        <v>29770.284698126994</v>
      </c>
      <c r="AR341" s="169">
        <v>20607.088006324917</v>
      </c>
      <c r="AS341" s="169">
        <v>21239.75511202087</v>
      </c>
      <c r="AT341" s="169">
        <v>22778.829961459727</v>
      </c>
      <c r="AU341" s="169">
        <v>24643.753478824383</v>
      </c>
      <c r="AV341" s="169">
        <v>26476.669316843727</v>
      </c>
      <c r="AW341" s="169">
        <v>25097.947701728364</v>
      </c>
      <c r="AX341" s="169">
        <v>22560.333042385322</v>
      </c>
      <c r="AY341" s="169">
        <v>24723.570782662759</v>
      </c>
      <c r="AZ341" s="169">
        <v>27433.326262494335</v>
      </c>
      <c r="BA341" s="169">
        <v>30832.230579815478</v>
      </c>
      <c r="BB341" s="169">
        <v>36517.698564277009</v>
      </c>
      <c r="BC341" s="169">
        <v>30699.076030036333</v>
      </c>
      <c r="BD341" s="169">
        <v>21192.236779655494</v>
      </c>
      <c r="BE341" s="169">
        <v>21844.456549063805</v>
      </c>
      <c r="BF341" s="169">
        <v>23431.488337255323</v>
      </c>
      <c r="BG341" s="169">
        <v>25358.384740217825</v>
      </c>
      <c r="BH341" s="169">
        <v>27252.032043345702</v>
      </c>
      <c r="BI341" s="169">
        <v>25827.897534790671</v>
      </c>
      <c r="BJ341" s="169">
        <v>23210.286828174212</v>
      </c>
      <c r="BK341" s="169">
        <v>25436.099833815289</v>
      </c>
      <c r="BL341" s="169">
        <v>28224.027844757071</v>
      </c>
      <c r="BM341" s="169">
        <v>31731.669333192222</v>
      </c>
      <c r="BN341" s="169">
        <v>37598.430695480456</v>
      </c>
      <c r="BO341" s="169">
        <v>31605.67700035762</v>
      </c>
      <c r="BP341" s="168"/>
      <c r="BQ341" s="169"/>
    </row>
    <row r="342" spans="1:69" outlineLevel="1"/>
    <row r="343" spans="1:69" ht="13.75" customHeight="1" thickBot="1">
      <c r="A343" s="102"/>
      <c r="B343" s="138" t="s">
        <v>133</v>
      </c>
      <c r="C343" s="139"/>
      <c r="D343" s="139"/>
      <c r="E343" s="140"/>
      <c r="F343" s="141"/>
      <c r="G343" s="139"/>
      <c r="H343" s="139"/>
      <c r="I343" s="139"/>
      <c r="J343" s="139"/>
      <c r="K343" s="139"/>
      <c r="L343" s="139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  <c r="Y343" s="139"/>
      <c r="Z343" s="139"/>
      <c r="AA343" s="139"/>
      <c r="AB343" s="139"/>
      <c r="AC343" s="139"/>
      <c r="AD343" s="139"/>
      <c r="AE343" s="139"/>
      <c r="AF343" s="139"/>
      <c r="AG343" s="139"/>
      <c r="AH343" s="139"/>
      <c r="AI343" s="139"/>
      <c r="AJ343" s="139"/>
      <c r="AK343" s="139"/>
      <c r="AL343" s="139"/>
      <c r="AM343" s="139"/>
      <c r="AN343" s="139"/>
      <c r="AO343" s="139"/>
      <c r="AP343" s="139"/>
      <c r="AQ343" s="139"/>
      <c r="AR343" s="139"/>
      <c r="AS343" s="139"/>
      <c r="AT343" s="139"/>
      <c r="AU343" s="139"/>
      <c r="AV343" s="139"/>
      <c r="AW343" s="139"/>
      <c r="AX343" s="139"/>
      <c r="AY343" s="139"/>
      <c r="AZ343" s="139"/>
      <c r="BA343" s="139"/>
      <c r="BB343" s="139"/>
      <c r="BC343" s="139"/>
      <c r="BD343" s="139"/>
      <c r="BE343" s="139"/>
      <c r="BF343" s="139"/>
      <c r="BG343" s="139"/>
      <c r="BH343" s="139"/>
      <c r="BI343" s="139"/>
      <c r="BJ343" s="139"/>
      <c r="BK343" s="139"/>
      <c r="BL343" s="139"/>
      <c r="BM343" s="139"/>
      <c r="BN343" s="139"/>
      <c r="BO343" s="139"/>
      <c r="BP343" s="139"/>
      <c r="BQ343" s="102"/>
    </row>
    <row r="344" spans="1:69" ht="12" customHeight="1" outlineLevel="1" thickTop="1"/>
    <row r="345" spans="1:69" ht="12" customHeight="1" outlineLevel="1">
      <c r="B345" s="160" t="s">
        <v>134</v>
      </c>
    </row>
    <row r="346" spans="1:69" outlineLevel="1">
      <c r="C346" s="101" t="s">
        <v>135</v>
      </c>
      <c r="F346" s="109" t="s">
        <v>9</v>
      </c>
      <c r="G346" s="197">
        <f t="array" ref="G346:BO346">G245:BO245</f>
        <v>0</v>
      </c>
      <c r="H346" s="185">
        <v>723840</v>
      </c>
      <c r="I346" s="185">
        <v>723840</v>
      </c>
      <c r="J346" s="185">
        <v>742297.08354978368</v>
      </c>
      <c r="K346" s="185">
        <v>815884.12981240998</v>
      </c>
      <c r="L346" s="185">
        <v>887658.26031746017</v>
      </c>
      <c r="M346" s="185">
        <v>844488.56658008648</v>
      </c>
      <c r="N346" s="185">
        <v>735273.28366522351</v>
      </c>
      <c r="O346" s="185">
        <v>817123.44196248217</v>
      </c>
      <c r="P346" s="185">
        <v>930661.03119769122</v>
      </c>
      <c r="Q346" s="185">
        <v>1056293.1776623377</v>
      </c>
      <c r="R346" s="185">
        <v>1287163.1351515152</v>
      </c>
      <c r="S346" s="185">
        <v>1112255.624774026</v>
      </c>
      <c r="T346" s="185">
        <f ca="1"/>
        <v>754124.80000000005</v>
      </c>
      <c r="U346" s="185">
        <f ca="1"/>
        <v>754124.80000000005</v>
      </c>
      <c r="V346" s="185">
        <f ca="1"/>
        <v>796628.95186434325</v>
      </c>
      <c r="W346" s="185">
        <f ca="1"/>
        <v>875481.44451819349</v>
      </c>
      <c r="X346" s="185">
        <f ca="1"/>
        <v>952253.48160063522</v>
      </c>
      <c r="Y346" s="185">
        <f ca="1"/>
        <v>906202.94473848504</v>
      </c>
      <c r="Z346" s="185">
        <f ca="1"/>
        <v>789929.38131588767</v>
      </c>
      <c r="AA346" s="185">
        <f ca="1"/>
        <v>878166.43615224853</v>
      </c>
      <c r="AB346" s="185">
        <f ca="1"/>
        <v>999577.08139421395</v>
      </c>
      <c r="AC346" s="185">
        <f ca="1"/>
        <v>1135865.3219541386</v>
      </c>
      <c r="AD346" s="185">
        <f ca="1"/>
        <v>1386638.9946601992</v>
      </c>
      <c r="AE346" s="185">
        <f ca="1"/>
        <v>1192044.1189889601</v>
      </c>
      <c r="AF346" s="185">
        <f ca="1"/>
        <v>807641.95200000005</v>
      </c>
      <c r="AG346" s="185">
        <f ca="1"/>
        <v>807641.95200000005</v>
      </c>
      <c r="AH346" s="185">
        <f ca="1"/>
        <v>833955.53216616809</v>
      </c>
      <c r="AI346" s="185">
        <f ca="1"/>
        <v>917455.04374339676</v>
      </c>
      <c r="AJ346" s="185">
        <f ca="1"/>
        <v>998781.81427488802</v>
      </c>
      <c r="AK346" s="185">
        <f ca="1"/>
        <v>950017.91398926126</v>
      </c>
      <c r="AL346" s="185">
        <f ca="1"/>
        <v>827109.60592452437</v>
      </c>
      <c r="AM346" s="185">
        <f ca="1"/>
        <v>919782.52274983784</v>
      </c>
      <c r="AN346" s="185">
        <f ca="1"/>
        <v>1047422.5705660374</v>
      </c>
      <c r="AO346" s="185">
        <f ca="1"/>
        <v>1191220.5828863387</v>
      </c>
      <c r="AP346" s="185">
        <f ca="1"/>
        <v>1455689.8615604341</v>
      </c>
      <c r="AQ346" s="185">
        <f ca="1"/>
        <v>1243316.6217352052</v>
      </c>
      <c r="AR346" s="185">
        <f ca="1"/>
        <v>845508.44351999997</v>
      </c>
      <c r="AS346" s="185">
        <f ca="1"/>
        <v>845508.44351999997</v>
      </c>
      <c r="AT346" s="185">
        <f ca="1"/>
        <v>858288.30856982374</v>
      </c>
      <c r="AU346" s="185">
        <f ca="1"/>
        <v>944931.77695298812</v>
      </c>
      <c r="AV346" s="185">
        <f ca="1"/>
        <v>1029347.0506011973</v>
      </c>
      <c r="AW346" s="185">
        <f ca="1"/>
        <v>978693.37051959906</v>
      </c>
      <c r="AX346" s="185">
        <f ca="1"/>
        <v>851280.35806160956</v>
      </c>
      <c r="AY346" s="185">
        <f ca="1"/>
        <v>946833.31768621434</v>
      </c>
      <c r="AZ346" s="185">
        <f ca="1"/>
        <v>1078591.5856711636</v>
      </c>
      <c r="BA346" s="185">
        <f ca="1"/>
        <v>1227258.1700304141</v>
      </c>
      <c r="BB346" s="185">
        <f ca="1"/>
        <v>1500542.366166017</v>
      </c>
      <c r="BC346" s="185">
        <f ca="1"/>
        <v>1279319.610713003</v>
      </c>
      <c r="BD346" s="185">
        <f ca="1"/>
        <v>875555.81347519998</v>
      </c>
      <c r="BE346" s="185">
        <f ca="1"/>
        <v>875555.81347519998</v>
      </c>
      <c r="BF346" s="185">
        <f ca="1"/>
        <v>881541.30082771799</v>
      </c>
      <c r="BG346" s="185">
        <f ca="1"/>
        <v>971049.76454796945</v>
      </c>
      <c r="BH346" s="185">
        <f ca="1"/>
        <v>1058256.6140685149</v>
      </c>
      <c r="BI346" s="185">
        <f ca="1"/>
        <v>1005922.4995234736</v>
      </c>
      <c r="BJ346" s="185">
        <f ca="1"/>
        <v>875555.81347519998</v>
      </c>
      <c r="BK346" s="185">
        <f ca="1"/>
        <v>972827.95732485922</v>
      </c>
      <c r="BL346" s="185">
        <f ca="1"/>
        <v>1108381.688467104</v>
      </c>
      <c r="BM346" s="185">
        <f ca="1"/>
        <v>1261800.161568433</v>
      </c>
      <c r="BN346" s="185">
        <f ca="1"/>
        <v>1543763.3216761355</v>
      </c>
      <c r="BO346" s="185">
        <f ca="1"/>
        <v>1315948.2656413065</v>
      </c>
      <c r="BP346" s="149"/>
    </row>
    <row r="347" spans="1:69" outlineLevel="1">
      <c r="C347" s="101" t="s">
        <v>136</v>
      </c>
      <c r="E347" s="246"/>
      <c r="F347" s="109" t="s">
        <v>9</v>
      </c>
      <c r="G347" s="197">
        <v>0</v>
      </c>
      <c r="H347" s="185">
        <f t="array" ref="H347:BO347">_xlfn.ANCHORARRAY(H341)</f>
        <v>17809.179467045455</v>
      </c>
      <c r="I347" s="185">
        <v>18355.510703181819</v>
      </c>
      <c r="J347" s="185">
        <v>19670.033144318182</v>
      </c>
      <c r="K347" s="185">
        <v>21253.77279409091</v>
      </c>
      <c r="L347" s="185">
        <v>22811.805150000004</v>
      </c>
      <c r="M347" s="185">
        <v>21637.16681727273</v>
      </c>
      <c r="N347" s="185">
        <v>19460.105900454546</v>
      </c>
      <c r="O347" s="185">
        <v>21315.580236818183</v>
      </c>
      <c r="P347" s="185">
        <v>23651.125555227271</v>
      </c>
      <c r="Q347" s="185">
        <v>26522.907856363639</v>
      </c>
      <c r="R347" s="185">
        <v>31324.86631227273</v>
      </c>
      <c r="S347" s="185">
        <v>26691.532089831817</v>
      </c>
      <c r="T347" s="185">
        <v>19002.580193804424</v>
      </c>
      <c r="U347" s="185">
        <v>19579.69959612556</v>
      </c>
      <c r="V347" s="185">
        <v>20989.090469028069</v>
      </c>
      <c r="W347" s="185">
        <v>22685.417613157093</v>
      </c>
      <c r="X347" s="185">
        <v>24352.487597002502</v>
      </c>
      <c r="Y347" s="185">
        <v>23097.980668816028</v>
      </c>
      <c r="Z347" s="185">
        <v>20783.163049552339</v>
      </c>
      <c r="AA347" s="185">
        <v>22780.32619961107</v>
      </c>
      <c r="AB347" s="185">
        <v>25276.917492662731</v>
      </c>
      <c r="AC347" s="185">
        <v>28392.810658481871</v>
      </c>
      <c r="AD347" s="185">
        <v>33607.885136075907</v>
      </c>
      <c r="AE347" s="185">
        <v>28466.207818256225</v>
      </c>
      <c r="AF347" s="185">
        <v>19965.719555653533</v>
      </c>
      <c r="AG347" s="185">
        <v>20575.586413481295</v>
      </c>
      <c r="AH347" s="185">
        <v>22062.685788598621</v>
      </c>
      <c r="AI347" s="185">
        <v>23859.441903422619</v>
      </c>
      <c r="AJ347" s="185">
        <v>25625.302848007061</v>
      </c>
      <c r="AK347" s="185">
        <v>24297.33585757111</v>
      </c>
      <c r="AL347" s="185">
        <v>21850.116314562623</v>
      </c>
      <c r="AM347" s="185">
        <v>23947.807834051506</v>
      </c>
      <c r="AN347" s="185">
        <v>26572.601520371802</v>
      </c>
      <c r="AO347" s="185">
        <v>29860.190486332904</v>
      </c>
      <c r="AP347" s="185">
        <v>35361.223233955221</v>
      </c>
      <c r="AQ347" s="185">
        <v>29770.284698126994</v>
      </c>
      <c r="AR347" s="185">
        <v>20607.088006324917</v>
      </c>
      <c r="AS347" s="185">
        <v>21239.75511202087</v>
      </c>
      <c r="AT347" s="185">
        <v>22778.829961459727</v>
      </c>
      <c r="AU347" s="185">
        <v>24643.753478824383</v>
      </c>
      <c r="AV347" s="185">
        <v>26476.669316843727</v>
      </c>
      <c r="AW347" s="185">
        <v>25097.947701728364</v>
      </c>
      <c r="AX347" s="185">
        <v>22560.333042385322</v>
      </c>
      <c r="AY347" s="185">
        <v>24723.570782662759</v>
      </c>
      <c r="AZ347" s="185">
        <v>27433.326262494335</v>
      </c>
      <c r="BA347" s="185">
        <v>30832.230579815478</v>
      </c>
      <c r="BB347" s="185">
        <v>36517.698564277009</v>
      </c>
      <c r="BC347" s="185">
        <v>30699.076030036333</v>
      </c>
      <c r="BD347" s="185">
        <v>21192.236779655494</v>
      </c>
      <c r="BE347" s="185">
        <v>21844.456549063805</v>
      </c>
      <c r="BF347" s="185">
        <v>23431.488337255323</v>
      </c>
      <c r="BG347" s="185">
        <v>25358.384740217825</v>
      </c>
      <c r="BH347" s="185">
        <v>27252.032043345702</v>
      </c>
      <c r="BI347" s="185">
        <v>25827.897534790671</v>
      </c>
      <c r="BJ347" s="185">
        <v>23210.286828174212</v>
      </c>
      <c r="BK347" s="185">
        <v>25436.099833815289</v>
      </c>
      <c r="BL347" s="185">
        <v>28224.027844757071</v>
      </c>
      <c r="BM347" s="185">
        <v>31731.669333192222</v>
      </c>
      <c r="BN347" s="185">
        <v>37598.430695480456</v>
      </c>
      <c r="BO347" s="185">
        <v>31605.67700035762</v>
      </c>
      <c r="BP347" s="149"/>
    </row>
    <row r="348" spans="1:69" outlineLevel="1">
      <c r="G348" s="185"/>
      <c r="H348" s="185"/>
      <c r="I348" s="185"/>
      <c r="J348" s="185"/>
      <c r="K348" s="185"/>
      <c r="L348" s="185"/>
      <c r="M348" s="185"/>
      <c r="N348" s="185"/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  <c r="Z348" s="185"/>
      <c r="AA348" s="185"/>
      <c r="AB348" s="185"/>
      <c r="AC348" s="185"/>
      <c r="AD348" s="185"/>
      <c r="AE348" s="185"/>
      <c r="AF348" s="185"/>
      <c r="AG348" s="185"/>
      <c r="AH348" s="185"/>
      <c r="AI348" s="185"/>
      <c r="AJ348" s="185"/>
      <c r="AK348" s="185"/>
      <c r="AL348" s="185"/>
      <c r="AM348" s="185"/>
      <c r="AN348" s="185"/>
      <c r="AO348" s="185"/>
      <c r="AP348" s="185"/>
      <c r="AQ348" s="185"/>
      <c r="AR348" s="185"/>
      <c r="AS348" s="185"/>
      <c r="AT348" s="185"/>
      <c r="AU348" s="185"/>
      <c r="AV348" s="185"/>
      <c r="AW348" s="185"/>
      <c r="AX348" s="185"/>
      <c r="AY348" s="185"/>
      <c r="AZ348" s="185"/>
      <c r="BA348" s="185"/>
      <c r="BB348" s="185"/>
      <c r="BC348" s="185"/>
      <c r="BD348" s="185"/>
      <c r="BE348" s="185"/>
      <c r="BF348" s="185"/>
      <c r="BG348" s="185"/>
      <c r="BH348" s="185"/>
      <c r="BI348" s="185"/>
      <c r="BJ348" s="185"/>
      <c r="BK348" s="185"/>
      <c r="BL348" s="185"/>
      <c r="BM348" s="185"/>
      <c r="BN348" s="185"/>
      <c r="BO348" s="185"/>
    </row>
    <row r="349" spans="1:69" ht="12" customHeight="1" outlineLevel="1">
      <c r="B349" s="160" t="s">
        <v>137</v>
      </c>
      <c r="G349" s="185"/>
      <c r="H349" s="185"/>
      <c r="I349" s="185"/>
      <c r="J349" s="185"/>
      <c r="K349" s="185"/>
      <c r="L349" s="185"/>
      <c r="M349" s="185"/>
      <c r="N349" s="185"/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185"/>
      <c r="Z349" s="185"/>
      <c r="AA349" s="185"/>
      <c r="AB349" s="185"/>
      <c r="AC349" s="185"/>
      <c r="AD349" s="185"/>
      <c r="AE349" s="185"/>
      <c r="AF349" s="185"/>
      <c r="AG349" s="185"/>
      <c r="AH349" s="185"/>
      <c r="AI349" s="185"/>
      <c r="AJ349" s="185"/>
      <c r="AK349" s="185"/>
      <c r="AL349" s="185"/>
      <c r="AM349" s="185"/>
      <c r="AN349" s="185"/>
      <c r="AO349" s="185"/>
      <c r="AP349" s="185"/>
      <c r="AQ349" s="185"/>
      <c r="AR349" s="185"/>
      <c r="AS349" s="185"/>
      <c r="AT349" s="185"/>
      <c r="AU349" s="185"/>
      <c r="AV349" s="185"/>
      <c r="AW349" s="185"/>
      <c r="AX349" s="185"/>
      <c r="AY349" s="185"/>
      <c r="AZ349" s="185"/>
      <c r="BA349" s="185"/>
      <c r="BB349" s="185"/>
      <c r="BC349" s="185"/>
      <c r="BD349" s="185"/>
      <c r="BE349" s="185"/>
      <c r="BF349" s="185"/>
      <c r="BG349" s="185"/>
      <c r="BH349" s="185"/>
      <c r="BI349" s="185"/>
      <c r="BJ349" s="185"/>
      <c r="BK349" s="185"/>
      <c r="BL349" s="185"/>
      <c r="BM349" s="185"/>
      <c r="BN349" s="185"/>
      <c r="BO349" s="185"/>
    </row>
    <row r="350" spans="1:69" outlineLevel="1">
      <c r="C350" s="101" t="s">
        <v>138</v>
      </c>
      <c r="D350" s="218">
        <f>Assumptions!D13</f>
        <v>60000</v>
      </c>
      <c r="E350" s="219" t="s">
        <v>139</v>
      </c>
      <c r="F350" s="109" t="s">
        <v>9</v>
      </c>
      <c r="G350" s="197">
        <v>0</v>
      </c>
      <c r="H350" s="185">
        <f t="array" ref="H350:BO350">D350*_xlfn.ANCHORARRAY(H31)</f>
        <v>60000</v>
      </c>
      <c r="I350" s="185">
        <v>60000</v>
      </c>
      <c r="J350" s="185">
        <v>60000</v>
      </c>
      <c r="K350" s="185">
        <v>60000</v>
      </c>
      <c r="L350" s="185">
        <v>60000</v>
      </c>
      <c r="M350" s="185">
        <v>60000</v>
      </c>
      <c r="N350" s="185">
        <v>60000</v>
      </c>
      <c r="O350" s="185">
        <v>60000</v>
      </c>
      <c r="P350" s="185">
        <v>60000</v>
      </c>
      <c r="Q350" s="185">
        <v>60000</v>
      </c>
      <c r="R350" s="185">
        <v>60000</v>
      </c>
      <c r="S350" s="185">
        <v>60000</v>
      </c>
      <c r="T350" s="185">
        <v>61800</v>
      </c>
      <c r="U350" s="185">
        <v>61800</v>
      </c>
      <c r="V350" s="185">
        <v>61800</v>
      </c>
      <c r="W350" s="185">
        <v>61800</v>
      </c>
      <c r="X350" s="185">
        <v>61800</v>
      </c>
      <c r="Y350" s="185">
        <v>61800</v>
      </c>
      <c r="Z350" s="185">
        <v>61800</v>
      </c>
      <c r="AA350" s="185">
        <v>61800</v>
      </c>
      <c r="AB350" s="185">
        <v>61800</v>
      </c>
      <c r="AC350" s="185">
        <v>61800</v>
      </c>
      <c r="AD350" s="185">
        <v>61800</v>
      </c>
      <c r="AE350" s="185">
        <v>61800</v>
      </c>
      <c r="AF350" s="185">
        <v>63654</v>
      </c>
      <c r="AG350" s="185">
        <v>63654</v>
      </c>
      <c r="AH350" s="185">
        <v>63654</v>
      </c>
      <c r="AI350" s="185">
        <v>63654</v>
      </c>
      <c r="AJ350" s="185">
        <v>63654</v>
      </c>
      <c r="AK350" s="185">
        <v>63654</v>
      </c>
      <c r="AL350" s="185">
        <v>63654</v>
      </c>
      <c r="AM350" s="185">
        <v>63654</v>
      </c>
      <c r="AN350" s="185">
        <v>63654</v>
      </c>
      <c r="AO350" s="185">
        <v>63654</v>
      </c>
      <c r="AP350" s="185">
        <v>63654</v>
      </c>
      <c r="AQ350" s="185">
        <v>63654</v>
      </c>
      <c r="AR350" s="185">
        <v>65563.62</v>
      </c>
      <c r="AS350" s="185">
        <v>65563.62</v>
      </c>
      <c r="AT350" s="185">
        <v>65563.62</v>
      </c>
      <c r="AU350" s="185">
        <v>65563.62</v>
      </c>
      <c r="AV350" s="185">
        <v>65563.62</v>
      </c>
      <c r="AW350" s="185">
        <v>65563.62</v>
      </c>
      <c r="AX350" s="185">
        <v>65563.62</v>
      </c>
      <c r="AY350" s="185">
        <v>65563.62</v>
      </c>
      <c r="AZ350" s="185">
        <v>65563.62</v>
      </c>
      <c r="BA350" s="185">
        <v>65563.62</v>
      </c>
      <c r="BB350" s="185">
        <v>65563.62</v>
      </c>
      <c r="BC350" s="185">
        <v>65563.62</v>
      </c>
      <c r="BD350" s="185">
        <v>67530.528599999991</v>
      </c>
      <c r="BE350" s="185">
        <v>67530.528599999991</v>
      </c>
      <c r="BF350" s="185">
        <v>67530.528599999991</v>
      </c>
      <c r="BG350" s="185">
        <v>67530.528599999991</v>
      </c>
      <c r="BH350" s="185">
        <v>67530.528599999991</v>
      </c>
      <c r="BI350" s="185">
        <v>67530.528599999991</v>
      </c>
      <c r="BJ350" s="185">
        <v>67530.528599999991</v>
      </c>
      <c r="BK350" s="185">
        <v>67530.528599999991</v>
      </c>
      <c r="BL350" s="185">
        <v>67530.528599999991</v>
      </c>
      <c r="BM350" s="185">
        <v>67530.528599999991</v>
      </c>
      <c r="BN350" s="185">
        <v>67530.528599999991</v>
      </c>
      <c r="BO350" s="185">
        <v>67530.528599999991</v>
      </c>
      <c r="BP350" s="149"/>
    </row>
    <row r="351" spans="1:69" outlineLevel="1">
      <c r="C351" s="101" t="s">
        <v>140</v>
      </c>
      <c r="D351" s="247"/>
      <c r="F351" s="109" t="s">
        <v>9</v>
      </c>
      <c r="G351" s="234">
        <v>0</v>
      </c>
      <c r="H351" s="110">
        <f t="shared" ref="H351:AM351" si="91">SUM(H346:H347)</f>
        <v>741649.17946704547</v>
      </c>
      <c r="I351" s="110">
        <f t="shared" si="91"/>
        <v>742195.51070318185</v>
      </c>
      <c r="J351" s="110">
        <f t="shared" si="91"/>
        <v>761967.11669410183</v>
      </c>
      <c r="K351" s="110">
        <f t="shared" si="91"/>
        <v>837137.90260650089</v>
      </c>
      <c r="L351" s="110">
        <f t="shared" si="91"/>
        <v>910470.0654674602</v>
      </c>
      <c r="M351" s="110">
        <f t="shared" si="91"/>
        <v>866125.73339735926</v>
      </c>
      <c r="N351" s="110">
        <f t="shared" si="91"/>
        <v>754733.38956567808</v>
      </c>
      <c r="O351" s="110">
        <f t="shared" si="91"/>
        <v>838439.02219930035</v>
      </c>
      <c r="P351" s="110">
        <f t="shared" si="91"/>
        <v>954312.1567529185</v>
      </c>
      <c r="Q351" s="110">
        <f t="shared" si="91"/>
        <v>1082816.0855187012</v>
      </c>
      <c r="R351" s="110">
        <f t="shared" si="91"/>
        <v>1318488.0014637881</v>
      </c>
      <c r="S351" s="110">
        <f t="shared" si="91"/>
        <v>1138947.1568638578</v>
      </c>
      <c r="T351" s="110">
        <f t="shared" ca="1" si="91"/>
        <v>773127.38019380451</v>
      </c>
      <c r="U351" s="110">
        <f t="shared" ca="1" si="91"/>
        <v>773704.49959612556</v>
      </c>
      <c r="V351" s="110">
        <f t="shared" ca="1" si="91"/>
        <v>817618.04233337136</v>
      </c>
      <c r="W351" s="110">
        <f t="shared" ca="1" si="91"/>
        <v>898166.86213135056</v>
      </c>
      <c r="X351" s="110">
        <f t="shared" ca="1" si="91"/>
        <v>976605.96919763775</v>
      </c>
      <c r="Y351" s="110">
        <f t="shared" ca="1" si="91"/>
        <v>929300.92540730105</v>
      </c>
      <c r="Z351" s="110">
        <f t="shared" ca="1" si="91"/>
        <v>810712.54436544003</v>
      </c>
      <c r="AA351" s="110">
        <f t="shared" ca="1" si="91"/>
        <v>900946.76235185959</v>
      </c>
      <c r="AB351" s="110">
        <f t="shared" ca="1" si="91"/>
        <v>1024853.9988868767</v>
      </c>
      <c r="AC351" s="110">
        <f t="shared" ca="1" si="91"/>
        <v>1164258.1326126205</v>
      </c>
      <c r="AD351" s="110">
        <f t="shared" ca="1" si="91"/>
        <v>1420246.8797962752</v>
      </c>
      <c r="AE351" s="110">
        <f t="shared" ca="1" si="91"/>
        <v>1220510.3268072163</v>
      </c>
      <c r="AF351" s="110">
        <f t="shared" ca="1" si="91"/>
        <v>827607.67155565356</v>
      </c>
      <c r="AG351" s="110">
        <f t="shared" ca="1" si="91"/>
        <v>828217.53841348132</v>
      </c>
      <c r="AH351" s="110">
        <f t="shared" ca="1" si="91"/>
        <v>856018.2179547667</v>
      </c>
      <c r="AI351" s="110">
        <f t="shared" ca="1" si="91"/>
        <v>941314.48564681935</v>
      </c>
      <c r="AJ351" s="110">
        <f t="shared" ca="1" si="91"/>
        <v>1024407.1171228951</v>
      </c>
      <c r="AK351" s="110">
        <f t="shared" ca="1" si="91"/>
        <v>974315.24984683236</v>
      </c>
      <c r="AL351" s="110">
        <f t="shared" ca="1" si="91"/>
        <v>848959.72223908699</v>
      </c>
      <c r="AM351" s="110">
        <f t="shared" ca="1" si="91"/>
        <v>943730.33058388939</v>
      </c>
      <c r="AN351" s="110">
        <f t="shared" ref="AN351:BO351" ca="1" si="92">SUM(AN346:AN347)</f>
        <v>1073995.1720864093</v>
      </c>
      <c r="AO351" s="110">
        <f t="shared" ca="1" si="92"/>
        <v>1221080.7733726716</v>
      </c>
      <c r="AP351" s="110">
        <f t="shared" ca="1" si="92"/>
        <v>1491051.0847943893</v>
      </c>
      <c r="AQ351" s="110">
        <f t="shared" ca="1" si="92"/>
        <v>1273086.9064333322</v>
      </c>
      <c r="AR351" s="110">
        <f t="shared" ca="1" si="92"/>
        <v>866115.53152632492</v>
      </c>
      <c r="AS351" s="110">
        <f t="shared" ca="1" si="92"/>
        <v>866748.19863202085</v>
      </c>
      <c r="AT351" s="110">
        <f t="shared" ca="1" si="92"/>
        <v>881067.13853128348</v>
      </c>
      <c r="AU351" s="110">
        <f t="shared" ca="1" si="92"/>
        <v>969575.53043181251</v>
      </c>
      <c r="AV351" s="110">
        <f t="shared" ca="1" si="92"/>
        <v>1055823.719918041</v>
      </c>
      <c r="AW351" s="110">
        <f t="shared" ca="1" si="92"/>
        <v>1003791.3182213274</v>
      </c>
      <c r="AX351" s="110">
        <f t="shared" ca="1" si="92"/>
        <v>873840.69110399485</v>
      </c>
      <c r="AY351" s="110">
        <f t="shared" ca="1" si="92"/>
        <v>971556.88846887706</v>
      </c>
      <c r="AZ351" s="110">
        <f t="shared" ca="1" si="92"/>
        <v>1106024.9119336579</v>
      </c>
      <c r="BA351" s="110">
        <f t="shared" ca="1" si="92"/>
        <v>1258090.4006102297</v>
      </c>
      <c r="BB351" s="110">
        <f t="shared" ca="1" si="92"/>
        <v>1537060.064730294</v>
      </c>
      <c r="BC351" s="110">
        <f t="shared" ca="1" si="92"/>
        <v>1310018.6867430394</v>
      </c>
      <c r="BD351" s="110">
        <f t="shared" ca="1" si="92"/>
        <v>896748.05025485542</v>
      </c>
      <c r="BE351" s="110">
        <f t="shared" ca="1" si="92"/>
        <v>897400.27002426377</v>
      </c>
      <c r="BF351" s="110">
        <f t="shared" ca="1" si="92"/>
        <v>904972.78916497331</v>
      </c>
      <c r="BG351" s="110">
        <f t="shared" ca="1" si="92"/>
        <v>996408.14928818727</v>
      </c>
      <c r="BH351" s="110">
        <f t="shared" ca="1" si="92"/>
        <v>1085508.6461118606</v>
      </c>
      <c r="BI351" s="110">
        <f t="shared" ca="1" si="92"/>
        <v>1031750.3970582642</v>
      </c>
      <c r="BJ351" s="110">
        <f t="shared" ca="1" si="92"/>
        <v>898766.10030337423</v>
      </c>
      <c r="BK351" s="110">
        <f t="shared" ca="1" si="92"/>
        <v>998264.05715867446</v>
      </c>
      <c r="BL351" s="110">
        <f t="shared" ca="1" si="92"/>
        <v>1136605.7163118611</v>
      </c>
      <c r="BM351" s="110">
        <f t="shared" ca="1" si="92"/>
        <v>1293531.8309016253</v>
      </c>
      <c r="BN351" s="110">
        <f t="shared" ca="1" si="92"/>
        <v>1581361.752371616</v>
      </c>
      <c r="BO351" s="110">
        <f t="shared" ca="1" si="92"/>
        <v>1347553.9426416641</v>
      </c>
      <c r="BP351" s="149"/>
    </row>
    <row r="352" spans="1:69" ht="12.65" customHeight="1" outlineLevel="1" thickBot="1">
      <c r="C352" s="248" t="s">
        <v>141</v>
      </c>
      <c r="D352" s="248"/>
      <c r="E352" s="249"/>
      <c r="F352" s="250" t="s">
        <v>9</v>
      </c>
      <c r="G352" s="251">
        <v>0</v>
      </c>
      <c r="H352" s="252">
        <f t="array" ref="H352:BO352">H350:BO350+H351:BO351</f>
        <v>801649.17946704547</v>
      </c>
      <c r="I352" s="252">
        <v>802195.51070318185</v>
      </c>
      <c r="J352" s="252">
        <v>821967.11669410183</v>
      </c>
      <c r="K352" s="252">
        <v>897137.90260650089</v>
      </c>
      <c r="L352" s="252">
        <v>970470.0654674602</v>
      </c>
      <c r="M352" s="252">
        <v>926125.73339735926</v>
      </c>
      <c r="N352" s="252">
        <v>814733.38956567808</v>
      </c>
      <c r="O352" s="252">
        <v>898439.02219930035</v>
      </c>
      <c r="P352" s="252">
        <v>1014312.1567529185</v>
      </c>
      <c r="Q352" s="252">
        <v>1142816.0855187012</v>
      </c>
      <c r="R352" s="252">
        <v>1378488.0014637881</v>
      </c>
      <c r="S352" s="252">
        <v>1198947.1568638578</v>
      </c>
      <c r="T352" s="252">
        <f ca="1"/>
        <v>834927.38019380451</v>
      </c>
      <c r="U352" s="252">
        <f ca="1"/>
        <v>835504.49959612556</v>
      </c>
      <c r="V352" s="252">
        <f ca="1"/>
        <v>879418.04233337136</v>
      </c>
      <c r="W352" s="252">
        <f ca="1"/>
        <v>959966.86213135056</v>
      </c>
      <c r="X352" s="252">
        <f ca="1"/>
        <v>1038405.9691976378</v>
      </c>
      <c r="Y352" s="252">
        <f ca="1"/>
        <v>991100.92540730105</v>
      </c>
      <c r="Z352" s="252">
        <f ca="1"/>
        <v>872512.54436544003</v>
      </c>
      <c r="AA352" s="252">
        <f ca="1"/>
        <v>962746.76235185959</v>
      </c>
      <c r="AB352" s="252">
        <f ca="1"/>
        <v>1086653.9988868767</v>
      </c>
      <c r="AC352" s="252">
        <f ca="1"/>
        <v>1226058.1326126205</v>
      </c>
      <c r="AD352" s="252">
        <f ca="1"/>
        <v>1482046.8797962752</v>
      </c>
      <c r="AE352" s="252">
        <f ca="1"/>
        <v>1282310.3268072163</v>
      </c>
      <c r="AF352" s="252">
        <f ca="1"/>
        <v>891261.67155565356</v>
      </c>
      <c r="AG352" s="252">
        <f ca="1"/>
        <v>891871.53841348132</v>
      </c>
      <c r="AH352" s="252">
        <f ca="1"/>
        <v>919672.2179547667</v>
      </c>
      <c r="AI352" s="252">
        <f ca="1"/>
        <v>1004968.4856468193</v>
      </c>
      <c r="AJ352" s="252">
        <f ca="1"/>
        <v>1088061.1171228951</v>
      </c>
      <c r="AK352" s="252">
        <f ca="1"/>
        <v>1037969.2498468324</v>
      </c>
      <c r="AL352" s="252">
        <f ca="1"/>
        <v>912613.72223908699</v>
      </c>
      <c r="AM352" s="252">
        <f ca="1"/>
        <v>1007384.3305838894</v>
      </c>
      <c r="AN352" s="252">
        <f ca="1"/>
        <v>1137649.1720864093</v>
      </c>
      <c r="AO352" s="252">
        <f ca="1"/>
        <v>1284734.7733726716</v>
      </c>
      <c r="AP352" s="252">
        <f ca="1"/>
        <v>1554705.0847943893</v>
      </c>
      <c r="AQ352" s="252">
        <f ca="1"/>
        <v>1336740.9064333322</v>
      </c>
      <c r="AR352" s="252">
        <f ca="1"/>
        <v>931679.15152632492</v>
      </c>
      <c r="AS352" s="252">
        <f ca="1"/>
        <v>932311.81863202085</v>
      </c>
      <c r="AT352" s="252">
        <f ca="1"/>
        <v>946630.75853128347</v>
      </c>
      <c r="AU352" s="252">
        <f ca="1"/>
        <v>1035139.1504318125</v>
      </c>
      <c r="AV352" s="252">
        <f ca="1"/>
        <v>1121387.3399180411</v>
      </c>
      <c r="AW352" s="252">
        <f ca="1"/>
        <v>1069354.9382213275</v>
      </c>
      <c r="AX352" s="252">
        <f ca="1"/>
        <v>939404.31110399484</v>
      </c>
      <c r="AY352" s="252">
        <f ca="1"/>
        <v>1037120.5084688771</v>
      </c>
      <c r="AZ352" s="252">
        <f ca="1"/>
        <v>1171588.5319336578</v>
      </c>
      <c r="BA352" s="252">
        <f ca="1"/>
        <v>1323654.0206102296</v>
      </c>
      <c r="BB352" s="252">
        <f ca="1"/>
        <v>1602623.6847302942</v>
      </c>
      <c r="BC352" s="252">
        <f ca="1"/>
        <v>1375582.3067430393</v>
      </c>
      <c r="BD352" s="252">
        <f ca="1"/>
        <v>964278.57885485538</v>
      </c>
      <c r="BE352" s="252">
        <f ca="1"/>
        <v>964930.79862426373</v>
      </c>
      <c r="BF352" s="252">
        <f ca="1"/>
        <v>972503.31776497327</v>
      </c>
      <c r="BG352" s="252">
        <f ca="1"/>
        <v>1063938.6778881873</v>
      </c>
      <c r="BH352" s="252">
        <f ca="1"/>
        <v>1153039.1747118607</v>
      </c>
      <c r="BI352" s="252">
        <f ca="1"/>
        <v>1099280.9256582642</v>
      </c>
      <c r="BJ352" s="252">
        <f ca="1"/>
        <v>966296.62890337419</v>
      </c>
      <c r="BK352" s="252">
        <f ca="1"/>
        <v>1065794.5857586744</v>
      </c>
      <c r="BL352" s="252">
        <f ca="1"/>
        <v>1204136.2449118611</v>
      </c>
      <c r="BM352" s="252">
        <f ca="1"/>
        <v>1361062.3595016254</v>
      </c>
      <c r="BN352" s="252">
        <f ca="1"/>
        <v>1648892.280971616</v>
      </c>
      <c r="BO352" s="252">
        <f ca="1"/>
        <v>1415084.4712416641</v>
      </c>
      <c r="BP352" s="252"/>
      <c r="BQ352" s="169"/>
    </row>
    <row r="353" spans="1:72" ht="12" customHeight="1" outlineLevel="1" thickTop="1">
      <c r="H353" s="110"/>
    </row>
    <row r="354" spans="1:72" s="111" customFormat="1" ht="12.65" customHeight="1" outlineLevel="1" thickBot="1">
      <c r="B354" s="160"/>
      <c r="C354" s="253" t="s">
        <v>142</v>
      </c>
      <c r="D354" s="254">
        <f>Assumptions!D11</f>
        <v>62500</v>
      </c>
      <c r="E354" s="255" t="s">
        <v>139</v>
      </c>
      <c r="F354" s="256" t="s">
        <v>9</v>
      </c>
      <c r="G354" s="257">
        <v>0</v>
      </c>
      <c r="H354" s="257">
        <f t="array" ref="H354:BO354">D354*_xlfn.ANCHORARRAY(H31)</f>
        <v>62500</v>
      </c>
      <c r="I354" s="257">
        <v>62500</v>
      </c>
      <c r="J354" s="257">
        <v>62500</v>
      </c>
      <c r="K354" s="257">
        <v>62500</v>
      </c>
      <c r="L354" s="257">
        <v>62500</v>
      </c>
      <c r="M354" s="257">
        <v>62500</v>
      </c>
      <c r="N354" s="257">
        <v>62500</v>
      </c>
      <c r="O354" s="257">
        <v>62500</v>
      </c>
      <c r="P354" s="257">
        <v>62500</v>
      </c>
      <c r="Q354" s="257">
        <v>62500</v>
      </c>
      <c r="R354" s="257">
        <v>62500</v>
      </c>
      <c r="S354" s="257">
        <v>62500</v>
      </c>
      <c r="T354" s="257">
        <v>64375</v>
      </c>
      <c r="U354" s="257">
        <v>64375</v>
      </c>
      <c r="V354" s="257">
        <v>64375</v>
      </c>
      <c r="W354" s="257">
        <v>64375</v>
      </c>
      <c r="X354" s="257">
        <v>64375</v>
      </c>
      <c r="Y354" s="257">
        <v>64375</v>
      </c>
      <c r="Z354" s="257">
        <v>64375</v>
      </c>
      <c r="AA354" s="257">
        <v>64375</v>
      </c>
      <c r="AB354" s="257">
        <v>64375</v>
      </c>
      <c r="AC354" s="257">
        <v>64375</v>
      </c>
      <c r="AD354" s="257">
        <v>64375</v>
      </c>
      <c r="AE354" s="257">
        <v>64375</v>
      </c>
      <c r="AF354" s="257">
        <v>66306.25</v>
      </c>
      <c r="AG354" s="257">
        <v>66306.25</v>
      </c>
      <c r="AH354" s="257">
        <v>66306.25</v>
      </c>
      <c r="AI354" s="257">
        <v>66306.25</v>
      </c>
      <c r="AJ354" s="257">
        <v>66306.25</v>
      </c>
      <c r="AK354" s="257">
        <v>66306.25</v>
      </c>
      <c r="AL354" s="257">
        <v>66306.25</v>
      </c>
      <c r="AM354" s="257">
        <v>66306.25</v>
      </c>
      <c r="AN354" s="257">
        <v>66306.25</v>
      </c>
      <c r="AO354" s="257">
        <v>66306.25</v>
      </c>
      <c r="AP354" s="257">
        <v>66306.25</v>
      </c>
      <c r="AQ354" s="257">
        <v>66306.25</v>
      </c>
      <c r="AR354" s="257">
        <v>68295.4375</v>
      </c>
      <c r="AS354" s="257">
        <v>68295.4375</v>
      </c>
      <c r="AT354" s="257">
        <v>68295.4375</v>
      </c>
      <c r="AU354" s="257">
        <v>68295.4375</v>
      </c>
      <c r="AV354" s="257">
        <v>68295.4375</v>
      </c>
      <c r="AW354" s="257">
        <v>68295.4375</v>
      </c>
      <c r="AX354" s="257">
        <v>68295.4375</v>
      </c>
      <c r="AY354" s="257">
        <v>68295.4375</v>
      </c>
      <c r="AZ354" s="257">
        <v>68295.4375</v>
      </c>
      <c r="BA354" s="257">
        <v>68295.4375</v>
      </c>
      <c r="BB354" s="257">
        <v>68295.4375</v>
      </c>
      <c r="BC354" s="257">
        <v>68295.4375</v>
      </c>
      <c r="BD354" s="257">
        <v>70344.300624999989</v>
      </c>
      <c r="BE354" s="257">
        <v>70344.300624999989</v>
      </c>
      <c r="BF354" s="257">
        <v>70344.300624999989</v>
      </c>
      <c r="BG354" s="257">
        <v>70344.300624999989</v>
      </c>
      <c r="BH354" s="257">
        <v>70344.300624999989</v>
      </c>
      <c r="BI354" s="257">
        <v>70344.300624999989</v>
      </c>
      <c r="BJ354" s="257">
        <v>70344.300624999989</v>
      </c>
      <c r="BK354" s="257">
        <v>70344.300624999989</v>
      </c>
      <c r="BL354" s="257">
        <v>70344.300624999989</v>
      </c>
      <c r="BM354" s="257">
        <v>70344.300624999989</v>
      </c>
      <c r="BN354" s="257">
        <v>70344.300624999989</v>
      </c>
      <c r="BO354" s="257">
        <v>70344.300624999989</v>
      </c>
      <c r="BP354" s="253"/>
    </row>
    <row r="355" spans="1:72" ht="12.65" customHeight="1" outlineLevel="1" thickTop="1">
      <c r="B355" s="160"/>
      <c r="C355" s="111"/>
      <c r="D355" s="220"/>
      <c r="G355" s="258"/>
      <c r="H355" s="185"/>
      <c r="I355" s="185"/>
      <c r="J355" s="185"/>
      <c r="K355" s="185"/>
      <c r="L355" s="185"/>
      <c r="M355" s="185"/>
      <c r="N355" s="185"/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185"/>
      <c r="Z355" s="185"/>
      <c r="AA355" s="185"/>
      <c r="AB355" s="185"/>
      <c r="AC355" s="185"/>
      <c r="AD355" s="185"/>
      <c r="AE355" s="185"/>
      <c r="AF355" s="185"/>
      <c r="AG355" s="185"/>
      <c r="AH355" s="185"/>
      <c r="AI355" s="185"/>
      <c r="AJ355" s="185"/>
      <c r="AK355" s="185"/>
      <c r="AL355" s="185"/>
      <c r="AM355" s="185"/>
      <c r="AN355" s="185"/>
      <c r="AO355" s="185"/>
      <c r="AP355" s="185"/>
      <c r="AQ355" s="185"/>
      <c r="AR355" s="185"/>
      <c r="AS355" s="185"/>
      <c r="AT355" s="185"/>
      <c r="AU355" s="185"/>
      <c r="AV355" s="185"/>
      <c r="AW355" s="185"/>
      <c r="AX355" s="185"/>
      <c r="AY355" s="185"/>
      <c r="AZ355" s="185"/>
      <c r="BA355" s="185"/>
      <c r="BB355" s="185"/>
      <c r="BC355" s="185"/>
      <c r="BD355" s="185"/>
      <c r="BE355" s="185"/>
      <c r="BF355" s="185"/>
      <c r="BG355" s="185"/>
      <c r="BH355" s="185"/>
      <c r="BI355" s="185"/>
      <c r="BJ355" s="185"/>
      <c r="BK355" s="185"/>
      <c r="BL355" s="185"/>
      <c r="BM355" s="185"/>
      <c r="BN355" s="185"/>
      <c r="BO355" s="185"/>
    </row>
    <row r="356" spans="1:72" outlineLevel="1">
      <c r="D356" s="247"/>
      <c r="H356" s="110"/>
    </row>
    <row r="357" spans="1:72" ht="15" customHeight="1" thickBot="1">
      <c r="A357" s="259"/>
      <c r="B357" s="138" t="s">
        <v>279</v>
      </c>
      <c r="C357" s="260"/>
      <c r="D357" s="260"/>
      <c r="E357" s="261"/>
      <c r="F357" s="261"/>
      <c r="G357" s="262"/>
      <c r="H357" s="262"/>
      <c r="I357" s="263"/>
      <c r="J357" s="263"/>
      <c r="K357" s="263"/>
      <c r="L357" s="263"/>
      <c r="M357" s="263"/>
      <c r="N357" s="263"/>
      <c r="O357" s="263"/>
      <c r="P357" s="263"/>
      <c r="Q357" s="263"/>
      <c r="R357" s="263"/>
      <c r="S357" s="263"/>
      <c r="T357" s="263"/>
      <c r="U357" s="263"/>
      <c r="V357" s="263"/>
      <c r="W357" s="263"/>
      <c r="X357" s="263"/>
      <c r="Y357" s="263"/>
      <c r="Z357" s="263"/>
      <c r="AA357" s="263"/>
      <c r="AB357" s="263"/>
      <c r="AC357" s="263"/>
      <c r="AD357" s="263"/>
      <c r="AE357" s="263"/>
      <c r="AF357" s="263"/>
      <c r="AG357" s="263"/>
      <c r="AH357" s="263"/>
      <c r="AI357" s="263"/>
      <c r="AJ357" s="263"/>
      <c r="AK357" s="263"/>
      <c r="AL357" s="263"/>
      <c r="AM357" s="263"/>
      <c r="AN357" s="263"/>
      <c r="AO357" s="263"/>
      <c r="AP357" s="263"/>
      <c r="AQ357" s="263"/>
      <c r="AR357" s="263"/>
      <c r="AS357" s="263"/>
      <c r="AT357" s="263"/>
      <c r="AU357" s="263"/>
      <c r="AV357" s="263"/>
      <c r="AW357" s="263"/>
      <c r="AX357" s="263"/>
      <c r="AY357" s="263"/>
      <c r="AZ357" s="263"/>
      <c r="BA357" s="263"/>
      <c r="BB357" s="263"/>
      <c r="BC357" s="263"/>
      <c r="BD357" s="263"/>
      <c r="BE357" s="263"/>
      <c r="BF357" s="263"/>
      <c r="BG357" s="263"/>
      <c r="BH357" s="263"/>
      <c r="BI357" s="263"/>
      <c r="BJ357" s="263"/>
      <c r="BK357" s="263"/>
      <c r="BL357" s="263"/>
      <c r="BM357" s="263"/>
      <c r="BN357" s="263"/>
      <c r="BO357" s="263"/>
      <c r="BP357" s="263"/>
      <c r="BQ357" s="264"/>
      <c r="BR357" s="264"/>
      <c r="BS357" s="265"/>
      <c r="BT357" s="265"/>
    </row>
    <row r="358" spans="1:72" ht="12" customHeight="1" thickTop="1">
      <c r="H358" s="110"/>
    </row>
    <row r="359" spans="1:72">
      <c r="H359" s="110"/>
    </row>
    <row r="360" spans="1:72">
      <c r="D360" s="247"/>
      <c r="H360" s="110"/>
    </row>
    <row r="361" spans="1:72">
      <c r="H361" s="110"/>
    </row>
    <row r="362" spans="1:72">
      <c r="H362" s="110"/>
    </row>
    <row r="363" spans="1:72">
      <c r="H363" s="110"/>
    </row>
    <row r="364" spans="1:72">
      <c r="D364" s="247"/>
      <c r="H364" s="110"/>
    </row>
    <row r="365" spans="1:72">
      <c r="H365" s="110"/>
    </row>
    <row r="366" spans="1:72">
      <c r="H366" s="110"/>
    </row>
    <row r="367" spans="1:72">
      <c r="H367" s="110"/>
    </row>
    <row r="368" spans="1:72">
      <c r="D368" s="247"/>
      <c r="H368" s="110"/>
    </row>
    <row r="370" spans="4:69">
      <c r="H370" s="110"/>
    </row>
    <row r="371" spans="4:69">
      <c r="D371" s="266"/>
      <c r="H371" s="110"/>
    </row>
    <row r="375" spans="4:69">
      <c r="H375" s="185"/>
    </row>
    <row r="376" spans="4:69">
      <c r="H376" s="110"/>
    </row>
    <row r="379" spans="4:69">
      <c r="D379" s="220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  <c r="AO379" s="128"/>
      <c r="AP379" s="128"/>
      <c r="AQ379" s="128"/>
      <c r="AR379" s="128"/>
      <c r="AS379" s="128"/>
      <c r="AT379" s="128"/>
      <c r="AU379" s="128"/>
      <c r="AV379" s="128"/>
      <c r="AW379" s="128"/>
      <c r="AX379" s="128"/>
      <c r="AY379" s="128"/>
      <c r="AZ379" s="128"/>
      <c r="BA379" s="128"/>
      <c r="BB379" s="128"/>
      <c r="BC379" s="128"/>
      <c r="BD379" s="128"/>
      <c r="BE379" s="128"/>
      <c r="BF379" s="128"/>
      <c r="BG379" s="128"/>
      <c r="BH379" s="128"/>
      <c r="BI379" s="128"/>
      <c r="BJ379" s="128"/>
      <c r="BK379" s="128"/>
      <c r="BL379" s="128"/>
      <c r="BM379" s="128"/>
      <c r="BN379" s="128"/>
      <c r="BO379" s="128"/>
      <c r="BP379" s="128"/>
      <c r="BQ379" s="128"/>
    </row>
    <row r="380" spans="4:69">
      <c r="H380" s="110"/>
    </row>
    <row r="381" spans="4:69">
      <c r="H381" s="110"/>
    </row>
    <row r="384" spans="4:69">
      <c r="D384" s="220"/>
      <c r="H384" s="110"/>
      <c r="BP384" s="149"/>
    </row>
  </sheetData>
  <conditionalFormatting sqref="B2:C2">
    <cfRule type="containsText" dxfId="1" priority="1" operator="containsText" text="Off">
      <formula>NOT(ISERROR(SEARCH("Off",B2)))</formula>
    </cfRule>
    <cfRule type="containsText" dxfId="0" priority="2" operator="containsText" text="On">
      <formula>NOT(ISERROR(SEARCH("On",B2)))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88888"/>
  </sheetPr>
  <dimension ref="A1:G30"/>
  <sheetViews>
    <sheetView workbookViewId="0">
      <selection activeCell="F9" sqref="F9"/>
    </sheetView>
  </sheetViews>
  <sheetFormatPr defaultRowHeight="11.5"/>
  <cols>
    <col min="2" max="2" width="3" bestFit="1" customWidth="1"/>
    <col min="3" max="3" width="109.3984375" bestFit="1" customWidth="1"/>
    <col min="4" max="4" width="0" hidden="1"/>
    <col min="6" max="6" width="16.5" bestFit="1" customWidth="1"/>
    <col min="7" max="7" width="16.5" hidden="1" customWidth="1"/>
  </cols>
  <sheetData>
    <row r="1" spans="1:7">
      <c r="A1" s="89"/>
      <c r="B1" s="86"/>
      <c r="C1" s="81"/>
      <c r="D1" s="81"/>
      <c r="E1" s="81"/>
      <c r="F1" s="81"/>
      <c r="G1" s="81"/>
    </row>
    <row r="2" spans="1:7" ht="15" customHeight="1" thickBot="1">
      <c r="A2" s="89"/>
      <c r="B2" s="86"/>
      <c r="C2" s="69" t="s">
        <v>246</v>
      </c>
      <c r="D2" s="70"/>
      <c r="E2" s="70"/>
      <c r="F2" s="70"/>
      <c r="G2" s="70"/>
    </row>
    <row r="3" spans="1:7" ht="12" customHeight="1" thickTop="1">
      <c r="A3" s="89"/>
      <c r="B3" s="86"/>
      <c r="C3" s="81"/>
      <c r="D3" s="71"/>
      <c r="E3" s="71"/>
      <c r="F3" s="71"/>
      <c r="G3" s="71"/>
    </row>
    <row r="4" spans="1:7" ht="13.75" customHeight="1">
      <c r="A4" s="81"/>
      <c r="B4" s="72" t="s">
        <v>247</v>
      </c>
      <c r="C4" s="73" t="s">
        <v>248</v>
      </c>
      <c r="D4" s="72" t="s">
        <v>249</v>
      </c>
      <c r="E4" s="72" t="s">
        <v>250</v>
      </c>
      <c r="F4" s="72" t="s">
        <v>251</v>
      </c>
      <c r="G4" s="72" t="s">
        <v>252</v>
      </c>
    </row>
    <row r="5" spans="1:7">
      <c r="A5" s="89"/>
      <c r="B5" s="86"/>
      <c r="C5" s="81"/>
      <c r="D5" s="81"/>
      <c r="E5" s="81"/>
      <c r="F5" s="81"/>
      <c r="G5" s="81"/>
    </row>
    <row r="6" spans="1:7" ht="12" customHeight="1">
      <c r="A6" s="81"/>
      <c r="B6" s="90" t="s">
        <v>253</v>
      </c>
      <c r="C6" s="86"/>
      <c r="D6" s="81"/>
      <c r="E6" s="81"/>
      <c r="F6" s="81"/>
      <c r="G6" s="81"/>
    </row>
    <row r="7" spans="1:7" ht="13.75" customHeight="1">
      <c r="A7" s="81"/>
      <c r="B7" s="71">
        <v>1</v>
      </c>
      <c r="C7" s="81" t="s">
        <v>254</v>
      </c>
      <c r="D7" s="71">
        <v>20</v>
      </c>
      <c r="E7" s="71">
        <f t="shared" ref="E7:E25" si="0">--(F7=G7)</f>
        <v>1</v>
      </c>
      <c r="F7" s="74">
        <f>Model!J65</f>
        <v>227250</v>
      </c>
      <c r="G7" s="74">
        <v>227250</v>
      </c>
    </row>
    <row r="8" spans="1:7" ht="13.75" customHeight="1">
      <c r="A8" s="81"/>
      <c r="B8" s="71">
        <v>2</v>
      </c>
      <c r="C8" s="81" t="s">
        <v>255</v>
      </c>
      <c r="D8" s="71">
        <v>20</v>
      </c>
      <c r="E8" s="71">
        <f t="shared" si="0"/>
        <v>1</v>
      </c>
      <c r="F8" s="74">
        <f>SUM(Model!T80:AE80)</f>
        <v>280875</v>
      </c>
      <c r="G8" s="74">
        <v>280875</v>
      </c>
    </row>
    <row r="9" spans="1:7" ht="13.75" customHeight="1">
      <c r="A9" s="81"/>
      <c r="B9" s="71">
        <v>3</v>
      </c>
      <c r="C9" s="81" t="s">
        <v>256</v>
      </c>
      <c r="D9" s="71">
        <v>25</v>
      </c>
      <c r="E9" s="71">
        <f t="shared" si="0"/>
        <v>1</v>
      </c>
      <c r="F9" s="74">
        <f>ROUND(Model!AD90,0)</f>
        <v>41528</v>
      </c>
      <c r="G9" s="74">
        <v>41528</v>
      </c>
    </row>
    <row r="10" spans="1:7" ht="13.75" customHeight="1">
      <c r="A10" s="81"/>
      <c r="B10" s="71">
        <v>4</v>
      </c>
      <c r="C10" s="81" t="s">
        <v>257</v>
      </c>
      <c r="D10" s="71">
        <v>25</v>
      </c>
      <c r="E10" s="71">
        <f t="shared" si="0"/>
        <v>0</v>
      </c>
      <c r="F10" s="75"/>
      <c r="G10" s="75">
        <v>517244</v>
      </c>
    </row>
    <row r="11" spans="1:7" ht="13.75" customHeight="1">
      <c r="A11" s="81"/>
      <c r="B11" s="71">
        <v>5</v>
      </c>
      <c r="C11" s="81" t="s">
        <v>258</v>
      </c>
      <c r="D11" s="71">
        <v>25</v>
      </c>
      <c r="E11" s="71">
        <f t="shared" si="0"/>
        <v>1</v>
      </c>
      <c r="F11" s="75">
        <f>ROUND(SUM(Model!H127:BO127),0)</f>
        <v>22681102</v>
      </c>
      <c r="G11" s="75">
        <v>22681102</v>
      </c>
    </row>
    <row r="12" spans="1:7" ht="13.75" customHeight="1">
      <c r="A12" s="81"/>
      <c r="B12" s="71">
        <v>6</v>
      </c>
      <c r="C12" s="81" t="s">
        <v>259</v>
      </c>
      <c r="D12" s="71">
        <v>25</v>
      </c>
      <c r="E12" s="71">
        <f t="shared" si="0"/>
        <v>1</v>
      </c>
      <c r="F12" s="76">
        <f>ROUND(Model!H222,2)</f>
        <v>24.16</v>
      </c>
      <c r="G12" s="76">
        <v>24.16</v>
      </c>
    </row>
    <row r="13" spans="1:7" ht="13.75" customHeight="1">
      <c r="A13" s="81"/>
      <c r="B13" s="71">
        <v>7</v>
      </c>
      <c r="C13" s="81" t="s">
        <v>260</v>
      </c>
      <c r="D13" s="71">
        <v>25</v>
      </c>
      <c r="E13" s="71">
        <f t="shared" si="0"/>
        <v>1</v>
      </c>
      <c r="F13" s="76">
        <f>ROUND(Model!R234,0)</f>
        <v>110</v>
      </c>
      <c r="G13" s="76">
        <v>110</v>
      </c>
    </row>
    <row r="14" spans="1:7" ht="13.75" customHeight="1">
      <c r="A14" s="81"/>
      <c r="B14" s="71">
        <v>8</v>
      </c>
      <c r="C14" s="81" t="s">
        <v>261</v>
      </c>
      <c r="D14" s="71">
        <v>25</v>
      </c>
      <c r="E14" s="71">
        <f t="shared" si="0"/>
        <v>1</v>
      </c>
      <c r="F14" s="76">
        <f>ROUND(SUM(Model!H250:S250),0)</f>
        <v>1280</v>
      </c>
      <c r="G14" s="75">
        <v>1280</v>
      </c>
    </row>
    <row r="15" spans="1:7" ht="13.75" customHeight="1">
      <c r="A15" s="81"/>
      <c r="B15" s="71">
        <v>9</v>
      </c>
      <c r="C15" s="81" t="s">
        <v>262</v>
      </c>
      <c r="D15" s="71">
        <v>25</v>
      </c>
      <c r="E15" s="71">
        <f t="shared" ca="1" si="0"/>
        <v>1</v>
      </c>
      <c r="F15" s="76">
        <f ca="1">Model!T229</f>
        <v>2</v>
      </c>
      <c r="G15" s="76">
        <v>2</v>
      </c>
    </row>
    <row r="16" spans="1:7" ht="13.75" customHeight="1">
      <c r="A16" s="81"/>
      <c r="B16" s="71">
        <v>10</v>
      </c>
      <c r="C16" s="81" t="s">
        <v>263</v>
      </c>
      <c r="D16" s="71">
        <v>25</v>
      </c>
      <c r="E16" s="71">
        <f t="shared" ca="1" si="0"/>
        <v>1</v>
      </c>
      <c r="F16" s="75">
        <f ca="1">ROUND(SUM(Model!H244:BO244),0)</f>
        <v>11150061</v>
      </c>
      <c r="G16" s="75">
        <v>11150061</v>
      </c>
    </row>
    <row r="17" spans="1:7" ht="13.75" customHeight="1">
      <c r="A17" s="81"/>
      <c r="B17" s="71">
        <v>11</v>
      </c>
      <c r="C17" s="81" t="s">
        <v>264</v>
      </c>
      <c r="D17" s="71">
        <v>20</v>
      </c>
      <c r="E17" s="71">
        <f t="shared" si="0"/>
        <v>1</v>
      </c>
      <c r="F17" s="76">
        <v>8.0500000000000007</v>
      </c>
      <c r="G17" s="76">
        <v>8.0500000000000007</v>
      </c>
    </row>
    <row r="18" spans="1:7" ht="13.75" customHeight="1">
      <c r="A18" s="81"/>
      <c r="B18" s="71">
        <v>12</v>
      </c>
      <c r="C18" s="81" t="s">
        <v>265</v>
      </c>
      <c r="D18" s="71">
        <v>20</v>
      </c>
      <c r="E18" s="71">
        <f t="shared" si="0"/>
        <v>1</v>
      </c>
      <c r="F18" s="76">
        <f>Model!I309</f>
        <v>34</v>
      </c>
      <c r="G18" s="76">
        <v>34</v>
      </c>
    </row>
    <row r="19" spans="1:7" ht="13.75" customHeight="1">
      <c r="A19" s="81"/>
      <c r="B19" s="71">
        <v>13</v>
      </c>
      <c r="C19" s="81" t="s">
        <v>266</v>
      </c>
      <c r="D19" s="71">
        <v>25</v>
      </c>
      <c r="E19" s="71">
        <f t="shared" si="0"/>
        <v>1</v>
      </c>
      <c r="F19" s="77">
        <v>46143</v>
      </c>
      <c r="G19" s="77">
        <v>46143</v>
      </c>
    </row>
    <row r="20" spans="1:7" ht="13.75" customHeight="1">
      <c r="A20" s="81"/>
      <c r="B20" s="71">
        <v>14</v>
      </c>
      <c r="C20" s="81" t="s">
        <v>267</v>
      </c>
      <c r="D20" s="71">
        <v>25</v>
      </c>
      <c r="E20" s="71">
        <f t="shared" si="0"/>
        <v>1</v>
      </c>
      <c r="F20" s="82">
        <f>ROUND(SUM(_xlfn.ANCHORARRAY(Model!H326)),0)</f>
        <v>1254790</v>
      </c>
      <c r="G20" s="75">
        <v>1254790</v>
      </c>
    </row>
    <row r="21" spans="1:7" ht="13.75" customHeight="1">
      <c r="A21" s="81"/>
      <c r="B21" s="71">
        <v>15</v>
      </c>
      <c r="C21" s="81" t="s">
        <v>268</v>
      </c>
      <c r="D21" s="71">
        <v>25</v>
      </c>
      <c r="E21" s="71">
        <f t="shared" si="0"/>
        <v>1</v>
      </c>
      <c r="F21" s="74">
        <f>ROUND(Model!J285,0)</f>
        <v>4834</v>
      </c>
      <c r="G21" s="74">
        <v>4834</v>
      </c>
    </row>
    <row r="22" spans="1:7" ht="13.75" customHeight="1">
      <c r="A22" s="81"/>
      <c r="B22" s="71">
        <v>16</v>
      </c>
      <c r="C22" s="81" t="s">
        <v>269</v>
      </c>
      <c r="D22" s="71">
        <v>25</v>
      </c>
      <c r="E22" s="71">
        <f t="shared" si="0"/>
        <v>1</v>
      </c>
      <c r="F22" s="75">
        <f>ROUND(Model!T341,0)</f>
        <v>19003</v>
      </c>
      <c r="G22" s="75">
        <v>19003</v>
      </c>
    </row>
    <row r="23" spans="1:7" ht="13.75" customHeight="1">
      <c r="A23" s="81"/>
      <c r="B23" s="71">
        <v>17</v>
      </c>
      <c r="C23" s="81" t="s">
        <v>270</v>
      </c>
      <c r="D23" s="71">
        <v>20</v>
      </c>
      <c r="E23" s="71">
        <f t="shared" si="0"/>
        <v>1</v>
      </c>
      <c r="F23" s="75">
        <f>Model!T350</f>
        <v>61800</v>
      </c>
      <c r="G23" s="75">
        <v>61800</v>
      </c>
    </row>
    <row r="24" spans="1:7" ht="13.75" customHeight="1">
      <c r="A24" s="81"/>
      <c r="B24" s="71">
        <v>18</v>
      </c>
      <c r="C24" s="81" t="s">
        <v>271</v>
      </c>
      <c r="D24" s="71">
        <v>20</v>
      </c>
      <c r="E24" s="71">
        <f t="shared" si="0"/>
        <v>1</v>
      </c>
      <c r="F24" s="82">
        <f>-ROUND(SUM(_xlfn.ANCHORARRAY(Model!H24)),0)</f>
        <v>3981852</v>
      </c>
      <c r="G24" s="75">
        <v>3981852</v>
      </c>
    </row>
    <row r="25" spans="1:7" ht="13.75" customHeight="1">
      <c r="A25" s="81"/>
      <c r="B25" s="71">
        <v>19</v>
      </c>
      <c r="C25" s="81" t="s">
        <v>272</v>
      </c>
      <c r="D25" s="71">
        <v>50</v>
      </c>
      <c r="E25" s="71">
        <f t="shared" si="0"/>
        <v>0</v>
      </c>
      <c r="F25" s="82">
        <f>ROUND(Model!E17,0)</f>
        <v>0</v>
      </c>
      <c r="G25" s="75">
        <v>55621678</v>
      </c>
    </row>
    <row r="26" spans="1:7">
      <c r="A26" s="89"/>
      <c r="B26" s="86"/>
      <c r="C26" s="81"/>
      <c r="D26" s="71"/>
      <c r="E26" s="81"/>
      <c r="F26" s="71"/>
      <c r="G26" s="81"/>
    </row>
    <row r="27" spans="1:7" ht="12" customHeight="1">
      <c r="A27" s="81"/>
      <c r="B27" s="90" t="s">
        <v>273</v>
      </c>
      <c r="C27" s="86"/>
      <c r="D27" s="71"/>
      <c r="E27" s="81"/>
      <c r="F27" s="71"/>
      <c r="G27" s="81"/>
    </row>
    <row r="28" spans="1:7" ht="13.75" customHeight="1">
      <c r="A28" s="81"/>
      <c r="B28" s="71">
        <v>20</v>
      </c>
      <c r="C28" s="81" t="s">
        <v>274</v>
      </c>
      <c r="D28" s="71">
        <v>30</v>
      </c>
      <c r="E28" s="71">
        <f>--(F28=G28)</f>
        <v>0</v>
      </c>
      <c r="F28" s="83">
        <f>ROUND(Model!E16,0)</f>
        <v>0</v>
      </c>
      <c r="G28" s="83">
        <v>61161159</v>
      </c>
    </row>
    <row r="29" spans="1:7">
      <c r="A29" s="89"/>
      <c r="B29" s="86"/>
      <c r="C29" s="81"/>
      <c r="D29" s="81"/>
      <c r="E29" s="81"/>
      <c r="F29" s="81"/>
      <c r="G29" s="81"/>
    </row>
    <row r="30" spans="1:7" ht="12" customHeight="1">
      <c r="A30" s="89"/>
      <c r="B30" s="86"/>
      <c r="C30" s="78"/>
      <c r="D30" s="79">
        <v>500</v>
      </c>
      <c r="E30" s="80"/>
      <c r="F30" s="80"/>
      <c r="G30" s="78"/>
    </row>
  </sheetData>
  <mergeCells count="9">
    <mergeCell ref="A1:B1"/>
    <mergeCell ref="B27:C27"/>
    <mergeCell ref="A3:B3"/>
    <mergeCell ref="A26:B26"/>
    <mergeCell ref="B6:C6"/>
    <mergeCell ref="A30:B30"/>
    <mergeCell ref="A2:B2"/>
    <mergeCell ref="A29:B29"/>
    <mergeCell ref="A5:B5"/>
  </mergeCells>
  <conditionalFormatting sqref="E7:E25">
    <cfRule type="iconSet" priority="2">
      <iconSet iconSet="3Symbols" showValue="0">
        <cfvo type="percent" val="0"/>
        <cfvo type="percent" val="0"/>
        <cfvo type="num" val="1"/>
      </iconSet>
    </cfRule>
  </conditionalFormatting>
  <conditionalFormatting sqref="E28">
    <cfRule type="iconSet" priority="1">
      <iconSet iconSet="3Symbols" showValue="0">
        <cfvo type="percent" val="0"/>
        <cfvo type="percent" val="0"/>
        <cfvo type="num" val="1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"/>
  <sheetViews>
    <sheetView workbookViewId="0"/>
  </sheetViews>
  <sheetFormatPr defaultRowHeight="11.5"/>
  <sheetData>
    <row r="1" spans="1:1">
      <c r="A1" t="s">
        <v>275</v>
      </c>
    </row>
  </sheetData>
  <sheetProtection algorithmName="SHA-512" hashValue="g1iGkHh4pt0YmRQRooDyoxB7gYW9qjyZ8P2E2IOidAeQ+58wzF5mbbbQ/D1xV+KBe6KjXLiRPx+fEmXY1JwsAA==" saltValue="8997kBfPHcUEj7JdIb0sqw==" spinCount="100000" sheet="1" objects="1" scenarios="1" selectLockedCells="1" selectUnlockedCells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Cover</vt:lpstr>
      <vt:lpstr>Dashboard Summary</vt:lpstr>
      <vt:lpstr>Assumptions</vt:lpstr>
      <vt:lpstr>Financial Model</vt:lpstr>
      <vt:lpstr>Model</vt:lpstr>
      <vt:lpstr>Model Validation</vt:lpstr>
      <vt:lpstr>_avcts_version_hash</vt:lpstr>
      <vt:lpstr>active</vt:lpstr>
      <vt:lpstr>cust</vt:lpstr>
      <vt:lpstr>ib_rate</vt:lpstr>
      <vt:lpstr>inpal</vt:lpstr>
      <vt:lpstr>month</vt:lpstr>
      <vt:lpstr>pal</vt:lpstr>
      <vt:lpstr>PPP</vt:lpstr>
      <vt:lpstr>seg</vt:lpstr>
      <vt:lpstr>starting_parc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FMWC;Julien Lacaze;Ny Tsiory Rakotonanahary</dc:creator>
  <cp:lastModifiedBy>Alicia Bruce</cp:lastModifiedBy>
  <dcterms:created xsi:type="dcterms:W3CDTF">2023-02-17T08:18:19Z</dcterms:created>
  <dcterms:modified xsi:type="dcterms:W3CDTF">2026-03-22T16:08:20Z</dcterms:modified>
</cp:coreProperties>
</file>